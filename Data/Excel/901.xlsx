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Programming\Work History\"/>
    </mc:Choice>
  </mc:AlternateContent>
  <xr:revisionPtr revIDLastSave="0" documentId="13_ncr:1_{018FBD8D-EC7B-4F79-8CFA-425D0689B76C}" xr6:coauthVersionLast="47" xr6:coauthVersionMax="47" xr10:uidLastSave="{00000000-0000-0000-0000-000000000000}"/>
  <bookViews>
    <workbookView xWindow="-120" yWindow="-120" windowWidth="21840" windowHeight="13740" activeTab="1" xr2:uid="{00000000-000D-0000-FFFF-FFFF00000000}"/>
  </bookViews>
  <sheets>
    <sheet name="راهنما" sheetId="1" r:id="rId1"/>
    <sheet name="کلاس‌بندی" sheetId="2" r:id="rId2"/>
    <sheet name="دانش‌آموزان" sheetId="3" r:id="rId3"/>
    <sheet name="تنظیمات وزن‌دهی" sheetId="4" r:id="rId4"/>
    <sheet name="بانک راهکارها" sheetId="5" r:id="rId5"/>
    <sheet name="ثبت اطلاعات" sheetId="6" r:id="rId6"/>
    <sheet name="تحلیل دانش‌آموزان" sheetId="7" r:id="rId7"/>
    <sheet name="گزارش دانش‌آموز" sheetId="8" r:id="rId8"/>
    <sheet name="داشبورد" sheetId="9" r:id="rId9"/>
  </sheets>
  <definedNames>
    <definedName name="_xlnm._FilterDatabase" localSheetId="5" hidden="1">'ثبت اطلاعات'!$A$4:$AZ$1204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" i="9" l="1"/>
  <c r="A5" i="9"/>
  <c r="CK1204" i="6"/>
  <c r="CJ1204" i="6"/>
  <c r="CI1204" i="6"/>
  <c r="CH1204" i="6"/>
  <c r="CG1204" i="6"/>
  <c r="CF1204" i="6"/>
  <c r="CE1204" i="6"/>
  <c r="CD1204" i="6"/>
  <c r="CC1204" i="6"/>
  <c r="F1204" i="6"/>
  <c r="E1204" i="6"/>
  <c r="D1204" i="6"/>
  <c r="C1204" i="6"/>
  <c r="CM1204" i="6" s="1"/>
  <c r="CK1203" i="6"/>
  <c r="CJ1203" i="6"/>
  <c r="CI1203" i="6"/>
  <c r="CH1203" i="6"/>
  <c r="CG1203" i="6"/>
  <c r="CF1203" i="6"/>
  <c r="CE1203" i="6"/>
  <c r="CD1203" i="6"/>
  <c r="CC1203" i="6"/>
  <c r="F1203" i="6"/>
  <c r="E1203" i="6"/>
  <c r="D1203" i="6"/>
  <c r="C1203" i="6"/>
  <c r="CM1203" i="6" s="1"/>
  <c r="CK1202" i="6"/>
  <c r="CJ1202" i="6"/>
  <c r="CI1202" i="6"/>
  <c r="CH1202" i="6"/>
  <c r="CG1202" i="6"/>
  <c r="CF1202" i="6"/>
  <c r="CE1202" i="6"/>
  <c r="CD1202" i="6"/>
  <c r="CC1202" i="6"/>
  <c r="F1202" i="6"/>
  <c r="E1202" i="6"/>
  <c r="D1202" i="6"/>
  <c r="C1202" i="6"/>
  <c r="CM1202" i="6" s="1"/>
  <c r="CK1201" i="6"/>
  <c r="CJ1201" i="6"/>
  <c r="CI1201" i="6"/>
  <c r="CH1201" i="6"/>
  <c r="CG1201" i="6"/>
  <c r="CF1201" i="6"/>
  <c r="CE1201" i="6"/>
  <c r="CD1201" i="6"/>
  <c r="CC1201" i="6"/>
  <c r="F1201" i="6"/>
  <c r="E1201" i="6"/>
  <c r="D1201" i="6"/>
  <c r="C1201" i="6"/>
  <c r="CM1201" i="6" s="1"/>
  <c r="CK1200" i="6"/>
  <c r="CJ1200" i="6"/>
  <c r="CI1200" i="6"/>
  <c r="CH1200" i="6"/>
  <c r="CG1200" i="6"/>
  <c r="CF1200" i="6"/>
  <c r="CE1200" i="6"/>
  <c r="CD1200" i="6"/>
  <c r="CC1200" i="6"/>
  <c r="F1200" i="6"/>
  <c r="E1200" i="6"/>
  <c r="D1200" i="6"/>
  <c r="C1200" i="6"/>
  <c r="CM1200" i="6" s="1"/>
  <c r="CK1199" i="6"/>
  <c r="CJ1199" i="6"/>
  <c r="CI1199" i="6"/>
  <c r="CH1199" i="6"/>
  <c r="CG1199" i="6"/>
  <c r="CF1199" i="6"/>
  <c r="CE1199" i="6"/>
  <c r="CD1199" i="6"/>
  <c r="CC1199" i="6"/>
  <c r="F1199" i="6"/>
  <c r="E1199" i="6"/>
  <c r="D1199" i="6"/>
  <c r="C1199" i="6"/>
  <c r="CM1199" i="6" s="1"/>
  <c r="CK1198" i="6"/>
  <c r="CJ1198" i="6"/>
  <c r="CI1198" i="6"/>
  <c r="CH1198" i="6"/>
  <c r="CG1198" i="6"/>
  <c r="CF1198" i="6"/>
  <c r="CE1198" i="6"/>
  <c r="CD1198" i="6"/>
  <c r="CC1198" i="6"/>
  <c r="F1198" i="6"/>
  <c r="E1198" i="6"/>
  <c r="D1198" i="6"/>
  <c r="C1198" i="6"/>
  <c r="CM1198" i="6" s="1"/>
  <c r="CK1197" i="6"/>
  <c r="CJ1197" i="6"/>
  <c r="CI1197" i="6"/>
  <c r="CH1197" i="6"/>
  <c r="CG1197" i="6"/>
  <c r="CF1197" i="6"/>
  <c r="CE1197" i="6"/>
  <c r="CD1197" i="6"/>
  <c r="CC1197" i="6"/>
  <c r="F1197" i="6"/>
  <c r="E1197" i="6"/>
  <c r="D1197" i="6"/>
  <c r="C1197" i="6"/>
  <c r="CM1197" i="6" s="1"/>
  <c r="CK1196" i="6"/>
  <c r="CJ1196" i="6"/>
  <c r="CI1196" i="6"/>
  <c r="CH1196" i="6"/>
  <c r="CG1196" i="6"/>
  <c r="CF1196" i="6"/>
  <c r="CE1196" i="6"/>
  <c r="CD1196" i="6"/>
  <c r="CC1196" i="6"/>
  <c r="F1196" i="6"/>
  <c r="E1196" i="6"/>
  <c r="D1196" i="6"/>
  <c r="C1196" i="6"/>
  <c r="CM1196" i="6" s="1"/>
  <c r="CK1195" i="6"/>
  <c r="CJ1195" i="6"/>
  <c r="CI1195" i="6"/>
  <c r="CH1195" i="6"/>
  <c r="CG1195" i="6"/>
  <c r="CF1195" i="6"/>
  <c r="CE1195" i="6"/>
  <c r="CD1195" i="6"/>
  <c r="CC1195" i="6"/>
  <c r="F1195" i="6"/>
  <c r="E1195" i="6"/>
  <c r="D1195" i="6"/>
  <c r="C1195" i="6"/>
  <c r="CM1195" i="6" s="1"/>
  <c r="CK1194" i="6"/>
  <c r="CJ1194" i="6"/>
  <c r="CI1194" i="6"/>
  <c r="CH1194" i="6"/>
  <c r="CG1194" i="6"/>
  <c r="CF1194" i="6"/>
  <c r="CE1194" i="6"/>
  <c r="CD1194" i="6"/>
  <c r="CC1194" i="6"/>
  <c r="F1194" i="6"/>
  <c r="E1194" i="6"/>
  <c r="D1194" i="6"/>
  <c r="C1194" i="6"/>
  <c r="CM1194" i="6" s="1"/>
  <c r="CK1193" i="6"/>
  <c r="CJ1193" i="6"/>
  <c r="CI1193" i="6"/>
  <c r="CH1193" i="6"/>
  <c r="CG1193" i="6"/>
  <c r="CF1193" i="6"/>
  <c r="CE1193" i="6"/>
  <c r="CD1193" i="6"/>
  <c r="CC1193" i="6"/>
  <c r="F1193" i="6"/>
  <c r="E1193" i="6"/>
  <c r="D1193" i="6"/>
  <c r="C1193" i="6"/>
  <c r="CM1193" i="6" s="1"/>
  <c r="CK1192" i="6"/>
  <c r="CJ1192" i="6"/>
  <c r="CI1192" i="6"/>
  <c r="CH1192" i="6"/>
  <c r="CG1192" i="6"/>
  <c r="CF1192" i="6"/>
  <c r="CE1192" i="6"/>
  <c r="CD1192" i="6"/>
  <c r="CC1192" i="6"/>
  <c r="F1192" i="6"/>
  <c r="E1192" i="6"/>
  <c r="D1192" i="6"/>
  <c r="C1192" i="6"/>
  <c r="CM1192" i="6" s="1"/>
  <c r="CK1191" i="6"/>
  <c r="CJ1191" i="6"/>
  <c r="CI1191" i="6"/>
  <c r="CH1191" i="6"/>
  <c r="CG1191" i="6"/>
  <c r="CF1191" i="6"/>
  <c r="CE1191" i="6"/>
  <c r="CD1191" i="6"/>
  <c r="CC1191" i="6"/>
  <c r="F1191" i="6"/>
  <c r="E1191" i="6"/>
  <c r="D1191" i="6"/>
  <c r="C1191" i="6"/>
  <c r="CM1191" i="6" s="1"/>
  <c r="CK1190" i="6"/>
  <c r="CJ1190" i="6"/>
  <c r="CI1190" i="6"/>
  <c r="CH1190" i="6"/>
  <c r="CG1190" i="6"/>
  <c r="CF1190" i="6"/>
  <c r="CE1190" i="6"/>
  <c r="CD1190" i="6"/>
  <c r="CC1190" i="6"/>
  <c r="F1190" i="6"/>
  <c r="E1190" i="6"/>
  <c r="D1190" i="6"/>
  <c r="C1190" i="6"/>
  <c r="CM1190" i="6" s="1"/>
  <c r="CK1189" i="6"/>
  <c r="CJ1189" i="6"/>
  <c r="CI1189" i="6"/>
  <c r="CH1189" i="6"/>
  <c r="CG1189" i="6"/>
  <c r="CF1189" i="6"/>
  <c r="CE1189" i="6"/>
  <c r="CD1189" i="6"/>
  <c r="CC1189" i="6"/>
  <c r="F1189" i="6"/>
  <c r="E1189" i="6"/>
  <c r="D1189" i="6"/>
  <c r="C1189" i="6"/>
  <c r="CM1189" i="6" s="1"/>
  <c r="CK1188" i="6"/>
  <c r="CJ1188" i="6"/>
  <c r="CI1188" i="6"/>
  <c r="CH1188" i="6"/>
  <c r="CG1188" i="6"/>
  <c r="CF1188" i="6"/>
  <c r="CE1188" i="6"/>
  <c r="CD1188" i="6"/>
  <c r="CC1188" i="6"/>
  <c r="F1188" i="6"/>
  <c r="E1188" i="6"/>
  <c r="D1188" i="6"/>
  <c r="C1188" i="6"/>
  <c r="CM1188" i="6" s="1"/>
  <c r="CK1187" i="6"/>
  <c r="CJ1187" i="6"/>
  <c r="CI1187" i="6"/>
  <c r="CH1187" i="6"/>
  <c r="CG1187" i="6"/>
  <c r="CF1187" i="6"/>
  <c r="CE1187" i="6"/>
  <c r="CD1187" i="6"/>
  <c r="CC1187" i="6"/>
  <c r="F1187" i="6"/>
  <c r="E1187" i="6"/>
  <c r="D1187" i="6"/>
  <c r="C1187" i="6"/>
  <c r="CM1187" i="6" s="1"/>
  <c r="CK1186" i="6"/>
  <c r="CJ1186" i="6"/>
  <c r="CI1186" i="6"/>
  <c r="CH1186" i="6"/>
  <c r="CG1186" i="6"/>
  <c r="CF1186" i="6"/>
  <c r="CE1186" i="6"/>
  <c r="CD1186" i="6"/>
  <c r="CC1186" i="6"/>
  <c r="F1186" i="6"/>
  <c r="E1186" i="6"/>
  <c r="D1186" i="6"/>
  <c r="C1186" i="6"/>
  <c r="CM1186" i="6" s="1"/>
  <c r="CK1185" i="6"/>
  <c r="CJ1185" i="6"/>
  <c r="CI1185" i="6"/>
  <c r="CH1185" i="6"/>
  <c r="CG1185" i="6"/>
  <c r="CF1185" i="6"/>
  <c r="CE1185" i="6"/>
  <c r="CD1185" i="6"/>
  <c r="CC1185" i="6"/>
  <c r="F1185" i="6"/>
  <c r="E1185" i="6"/>
  <c r="D1185" i="6"/>
  <c r="C1185" i="6"/>
  <c r="CM1185" i="6" s="1"/>
  <c r="CK1184" i="6"/>
  <c r="CJ1184" i="6"/>
  <c r="CI1184" i="6"/>
  <c r="CH1184" i="6"/>
  <c r="CG1184" i="6"/>
  <c r="CF1184" i="6"/>
  <c r="CE1184" i="6"/>
  <c r="CD1184" i="6"/>
  <c r="CC1184" i="6"/>
  <c r="F1184" i="6"/>
  <c r="E1184" i="6"/>
  <c r="D1184" i="6"/>
  <c r="C1184" i="6"/>
  <c r="CM1184" i="6" s="1"/>
  <c r="CK1183" i="6"/>
  <c r="CJ1183" i="6"/>
  <c r="CI1183" i="6"/>
  <c r="CH1183" i="6"/>
  <c r="CG1183" i="6"/>
  <c r="CF1183" i="6"/>
  <c r="CE1183" i="6"/>
  <c r="CD1183" i="6"/>
  <c r="CC1183" i="6"/>
  <c r="F1183" i="6"/>
  <c r="E1183" i="6"/>
  <c r="D1183" i="6"/>
  <c r="C1183" i="6"/>
  <c r="CM1183" i="6" s="1"/>
  <c r="CK1182" i="6"/>
  <c r="CJ1182" i="6"/>
  <c r="CI1182" i="6"/>
  <c r="CH1182" i="6"/>
  <c r="CG1182" i="6"/>
  <c r="CF1182" i="6"/>
  <c r="CE1182" i="6"/>
  <c r="CD1182" i="6"/>
  <c r="CC1182" i="6"/>
  <c r="F1182" i="6"/>
  <c r="E1182" i="6"/>
  <c r="D1182" i="6"/>
  <c r="C1182" i="6"/>
  <c r="CM1182" i="6" s="1"/>
  <c r="CK1181" i="6"/>
  <c r="CJ1181" i="6"/>
  <c r="CI1181" i="6"/>
  <c r="CH1181" i="6"/>
  <c r="CG1181" i="6"/>
  <c r="CF1181" i="6"/>
  <c r="CE1181" i="6"/>
  <c r="CD1181" i="6"/>
  <c r="CC1181" i="6"/>
  <c r="F1181" i="6"/>
  <c r="E1181" i="6"/>
  <c r="D1181" i="6"/>
  <c r="C1181" i="6"/>
  <c r="CM1181" i="6" s="1"/>
  <c r="CK1180" i="6"/>
  <c r="CJ1180" i="6"/>
  <c r="CI1180" i="6"/>
  <c r="CH1180" i="6"/>
  <c r="CG1180" i="6"/>
  <c r="CF1180" i="6"/>
  <c r="CE1180" i="6"/>
  <c r="CD1180" i="6"/>
  <c r="CC1180" i="6"/>
  <c r="F1180" i="6"/>
  <c r="E1180" i="6"/>
  <c r="D1180" i="6"/>
  <c r="C1180" i="6"/>
  <c r="CM1180" i="6" s="1"/>
  <c r="CK1179" i="6"/>
  <c r="CJ1179" i="6"/>
  <c r="CI1179" i="6"/>
  <c r="CH1179" i="6"/>
  <c r="CG1179" i="6"/>
  <c r="CF1179" i="6"/>
  <c r="CE1179" i="6"/>
  <c r="CD1179" i="6"/>
  <c r="CC1179" i="6"/>
  <c r="F1179" i="6"/>
  <c r="E1179" i="6"/>
  <c r="D1179" i="6"/>
  <c r="C1179" i="6"/>
  <c r="CM1179" i="6" s="1"/>
  <c r="CK1178" i="6"/>
  <c r="CJ1178" i="6"/>
  <c r="CI1178" i="6"/>
  <c r="CH1178" i="6"/>
  <c r="CG1178" i="6"/>
  <c r="CF1178" i="6"/>
  <c r="CE1178" i="6"/>
  <c r="CD1178" i="6"/>
  <c r="CC1178" i="6"/>
  <c r="F1178" i="6"/>
  <c r="E1178" i="6"/>
  <c r="D1178" i="6"/>
  <c r="C1178" i="6"/>
  <c r="CM1178" i="6" s="1"/>
  <c r="CK1177" i="6"/>
  <c r="CJ1177" i="6"/>
  <c r="CI1177" i="6"/>
  <c r="CH1177" i="6"/>
  <c r="CG1177" i="6"/>
  <c r="CF1177" i="6"/>
  <c r="CE1177" i="6"/>
  <c r="CD1177" i="6"/>
  <c r="CC1177" i="6"/>
  <c r="F1177" i="6"/>
  <c r="E1177" i="6"/>
  <c r="D1177" i="6"/>
  <c r="C1177" i="6"/>
  <c r="CM1177" i="6" s="1"/>
  <c r="CK1176" i="6"/>
  <c r="CJ1176" i="6"/>
  <c r="CI1176" i="6"/>
  <c r="CH1176" i="6"/>
  <c r="CG1176" i="6"/>
  <c r="CF1176" i="6"/>
  <c r="CE1176" i="6"/>
  <c r="CD1176" i="6"/>
  <c r="CC1176" i="6"/>
  <c r="F1176" i="6"/>
  <c r="E1176" i="6"/>
  <c r="D1176" i="6"/>
  <c r="C1176" i="6"/>
  <c r="CM1176" i="6" s="1"/>
  <c r="CK1175" i="6"/>
  <c r="CJ1175" i="6"/>
  <c r="CI1175" i="6"/>
  <c r="CH1175" i="6"/>
  <c r="CG1175" i="6"/>
  <c r="CF1175" i="6"/>
  <c r="CE1175" i="6"/>
  <c r="CD1175" i="6"/>
  <c r="CC1175" i="6"/>
  <c r="F1175" i="6"/>
  <c r="E1175" i="6"/>
  <c r="D1175" i="6"/>
  <c r="C1175" i="6"/>
  <c r="CM1175" i="6" s="1"/>
  <c r="CK1174" i="6"/>
  <c r="CJ1174" i="6"/>
  <c r="CI1174" i="6"/>
  <c r="CH1174" i="6"/>
  <c r="CG1174" i="6"/>
  <c r="CF1174" i="6"/>
  <c r="CE1174" i="6"/>
  <c r="CD1174" i="6"/>
  <c r="CC1174" i="6"/>
  <c r="F1174" i="6"/>
  <c r="E1174" i="6"/>
  <c r="D1174" i="6"/>
  <c r="C1174" i="6"/>
  <c r="CM1174" i="6" s="1"/>
  <c r="CK1173" i="6"/>
  <c r="CJ1173" i="6"/>
  <c r="CI1173" i="6"/>
  <c r="CH1173" i="6"/>
  <c r="CG1173" i="6"/>
  <c r="CF1173" i="6"/>
  <c r="CE1173" i="6"/>
  <c r="CD1173" i="6"/>
  <c r="CC1173" i="6"/>
  <c r="F1173" i="6"/>
  <c r="E1173" i="6"/>
  <c r="D1173" i="6"/>
  <c r="C1173" i="6"/>
  <c r="CM1173" i="6" s="1"/>
  <c r="CK1172" i="6"/>
  <c r="CJ1172" i="6"/>
  <c r="CI1172" i="6"/>
  <c r="CH1172" i="6"/>
  <c r="CG1172" i="6"/>
  <c r="CF1172" i="6"/>
  <c r="CE1172" i="6"/>
  <c r="CD1172" i="6"/>
  <c r="CC1172" i="6"/>
  <c r="F1172" i="6"/>
  <c r="E1172" i="6"/>
  <c r="D1172" i="6"/>
  <c r="C1172" i="6"/>
  <c r="CM1172" i="6" s="1"/>
  <c r="CK1171" i="6"/>
  <c r="CJ1171" i="6"/>
  <c r="CI1171" i="6"/>
  <c r="CH1171" i="6"/>
  <c r="CG1171" i="6"/>
  <c r="CF1171" i="6"/>
  <c r="CE1171" i="6"/>
  <c r="CD1171" i="6"/>
  <c r="CC1171" i="6"/>
  <c r="F1171" i="6"/>
  <c r="E1171" i="6"/>
  <c r="D1171" i="6"/>
  <c r="C1171" i="6"/>
  <c r="CM1171" i="6" s="1"/>
  <c r="CK1170" i="6"/>
  <c r="CJ1170" i="6"/>
  <c r="CI1170" i="6"/>
  <c r="CH1170" i="6"/>
  <c r="CG1170" i="6"/>
  <c r="CF1170" i="6"/>
  <c r="CE1170" i="6"/>
  <c r="CD1170" i="6"/>
  <c r="CC1170" i="6"/>
  <c r="F1170" i="6"/>
  <c r="E1170" i="6"/>
  <c r="D1170" i="6"/>
  <c r="C1170" i="6"/>
  <c r="CM1170" i="6" s="1"/>
  <c r="CK1169" i="6"/>
  <c r="CJ1169" i="6"/>
  <c r="CI1169" i="6"/>
  <c r="CH1169" i="6"/>
  <c r="CG1169" i="6"/>
  <c r="CF1169" i="6"/>
  <c r="CE1169" i="6"/>
  <c r="CD1169" i="6"/>
  <c r="CC1169" i="6"/>
  <c r="F1169" i="6"/>
  <c r="E1169" i="6"/>
  <c r="D1169" i="6"/>
  <c r="C1169" i="6"/>
  <c r="CM1169" i="6" s="1"/>
  <c r="CK1168" i="6"/>
  <c r="CJ1168" i="6"/>
  <c r="CI1168" i="6"/>
  <c r="CH1168" i="6"/>
  <c r="CG1168" i="6"/>
  <c r="CF1168" i="6"/>
  <c r="CE1168" i="6"/>
  <c r="CD1168" i="6"/>
  <c r="CC1168" i="6"/>
  <c r="F1168" i="6"/>
  <c r="E1168" i="6"/>
  <c r="D1168" i="6"/>
  <c r="C1168" i="6"/>
  <c r="CM1168" i="6" s="1"/>
  <c r="CK1167" i="6"/>
  <c r="CJ1167" i="6"/>
  <c r="CI1167" i="6"/>
  <c r="CH1167" i="6"/>
  <c r="CG1167" i="6"/>
  <c r="CF1167" i="6"/>
  <c r="CE1167" i="6"/>
  <c r="CD1167" i="6"/>
  <c r="CC1167" i="6"/>
  <c r="F1167" i="6"/>
  <c r="E1167" i="6"/>
  <c r="D1167" i="6"/>
  <c r="C1167" i="6"/>
  <c r="CM1167" i="6" s="1"/>
  <c r="CK1166" i="6"/>
  <c r="CJ1166" i="6"/>
  <c r="CI1166" i="6"/>
  <c r="CH1166" i="6"/>
  <c r="CG1166" i="6"/>
  <c r="CF1166" i="6"/>
  <c r="CE1166" i="6"/>
  <c r="CD1166" i="6"/>
  <c r="CC1166" i="6"/>
  <c r="F1166" i="6"/>
  <c r="E1166" i="6"/>
  <c r="D1166" i="6"/>
  <c r="C1166" i="6"/>
  <c r="CM1166" i="6" s="1"/>
  <c r="CK1165" i="6"/>
  <c r="CJ1165" i="6"/>
  <c r="CI1165" i="6"/>
  <c r="CH1165" i="6"/>
  <c r="CG1165" i="6"/>
  <c r="CF1165" i="6"/>
  <c r="CE1165" i="6"/>
  <c r="CD1165" i="6"/>
  <c r="CC1165" i="6"/>
  <c r="F1165" i="6"/>
  <c r="E1165" i="6"/>
  <c r="D1165" i="6"/>
  <c r="C1165" i="6"/>
  <c r="CM1165" i="6" s="1"/>
  <c r="CK1164" i="6"/>
  <c r="CJ1164" i="6"/>
  <c r="CI1164" i="6"/>
  <c r="CH1164" i="6"/>
  <c r="CG1164" i="6"/>
  <c r="CF1164" i="6"/>
  <c r="CE1164" i="6"/>
  <c r="CD1164" i="6"/>
  <c r="CC1164" i="6"/>
  <c r="F1164" i="6"/>
  <c r="E1164" i="6"/>
  <c r="D1164" i="6"/>
  <c r="C1164" i="6"/>
  <c r="CM1164" i="6" s="1"/>
  <c r="CK1163" i="6"/>
  <c r="CJ1163" i="6"/>
  <c r="CI1163" i="6"/>
  <c r="CH1163" i="6"/>
  <c r="CG1163" i="6"/>
  <c r="CF1163" i="6"/>
  <c r="CE1163" i="6"/>
  <c r="CD1163" i="6"/>
  <c r="CC1163" i="6"/>
  <c r="F1163" i="6"/>
  <c r="E1163" i="6"/>
  <c r="D1163" i="6"/>
  <c r="C1163" i="6"/>
  <c r="CM1163" i="6" s="1"/>
  <c r="CK1162" i="6"/>
  <c r="CJ1162" i="6"/>
  <c r="CI1162" i="6"/>
  <c r="CH1162" i="6"/>
  <c r="CG1162" i="6"/>
  <c r="CF1162" i="6"/>
  <c r="CE1162" i="6"/>
  <c r="CD1162" i="6"/>
  <c r="CC1162" i="6"/>
  <c r="F1162" i="6"/>
  <c r="E1162" i="6"/>
  <c r="D1162" i="6"/>
  <c r="C1162" i="6"/>
  <c r="CM1162" i="6" s="1"/>
  <c r="CK1161" i="6"/>
  <c r="CJ1161" i="6"/>
  <c r="CI1161" i="6"/>
  <c r="CH1161" i="6"/>
  <c r="CG1161" i="6"/>
  <c r="CF1161" i="6"/>
  <c r="CE1161" i="6"/>
  <c r="CD1161" i="6"/>
  <c r="CC1161" i="6"/>
  <c r="F1161" i="6"/>
  <c r="E1161" i="6"/>
  <c r="D1161" i="6"/>
  <c r="C1161" i="6"/>
  <c r="CM1161" i="6" s="1"/>
  <c r="CK1160" i="6"/>
  <c r="CJ1160" i="6"/>
  <c r="CI1160" i="6"/>
  <c r="CH1160" i="6"/>
  <c r="CG1160" i="6"/>
  <c r="CF1160" i="6"/>
  <c r="CE1160" i="6"/>
  <c r="CD1160" i="6"/>
  <c r="CC1160" i="6"/>
  <c r="F1160" i="6"/>
  <c r="E1160" i="6"/>
  <c r="D1160" i="6"/>
  <c r="C1160" i="6"/>
  <c r="CM1160" i="6" s="1"/>
  <c r="CK1159" i="6"/>
  <c r="CJ1159" i="6"/>
  <c r="CI1159" i="6"/>
  <c r="CH1159" i="6"/>
  <c r="CG1159" i="6"/>
  <c r="CF1159" i="6"/>
  <c r="CE1159" i="6"/>
  <c r="CD1159" i="6"/>
  <c r="CC1159" i="6"/>
  <c r="F1159" i="6"/>
  <c r="E1159" i="6"/>
  <c r="D1159" i="6"/>
  <c r="C1159" i="6"/>
  <c r="CM1159" i="6" s="1"/>
  <c r="CK1158" i="6"/>
  <c r="CJ1158" i="6"/>
  <c r="CI1158" i="6"/>
  <c r="CH1158" i="6"/>
  <c r="CG1158" i="6"/>
  <c r="CF1158" i="6"/>
  <c r="CE1158" i="6"/>
  <c r="CD1158" i="6"/>
  <c r="CC1158" i="6"/>
  <c r="F1158" i="6"/>
  <c r="E1158" i="6"/>
  <c r="D1158" i="6"/>
  <c r="C1158" i="6"/>
  <c r="CM1158" i="6" s="1"/>
  <c r="CK1157" i="6"/>
  <c r="CJ1157" i="6"/>
  <c r="CI1157" i="6"/>
  <c r="CH1157" i="6"/>
  <c r="CG1157" i="6"/>
  <c r="CF1157" i="6"/>
  <c r="CE1157" i="6"/>
  <c r="CD1157" i="6"/>
  <c r="CC1157" i="6"/>
  <c r="F1157" i="6"/>
  <c r="E1157" i="6"/>
  <c r="D1157" i="6"/>
  <c r="C1157" i="6"/>
  <c r="CM1157" i="6" s="1"/>
  <c r="CK1156" i="6"/>
  <c r="CJ1156" i="6"/>
  <c r="CI1156" i="6"/>
  <c r="CH1156" i="6"/>
  <c r="CG1156" i="6"/>
  <c r="CF1156" i="6"/>
  <c r="CE1156" i="6"/>
  <c r="CD1156" i="6"/>
  <c r="CC1156" i="6"/>
  <c r="F1156" i="6"/>
  <c r="E1156" i="6"/>
  <c r="D1156" i="6"/>
  <c r="C1156" i="6"/>
  <c r="CM1156" i="6" s="1"/>
  <c r="CK1155" i="6"/>
  <c r="CJ1155" i="6"/>
  <c r="CI1155" i="6"/>
  <c r="CH1155" i="6"/>
  <c r="CG1155" i="6"/>
  <c r="CF1155" i="6"/>
  <c r="CE1155" i="6"/>
  <c r="CD1155" i="6"/>
  <c r="CC1155" i="6"/>
  <c r="F1155" i="6"/>
  <c r="E1155" i="6"/>
  <c r="D1155" i="6"/>
  <c r="C1155" i="6"/>
  <c r="CM1155" i="6" s="1"/>
  <c r="CK1154" i="6"/>
  <c r="CJ1154" i="6"/>
  <c r="CI1154" i="6"/>
  <c r="CH1154" i="6"/>
  <c r="CG1154" i="6"/>
  <c r="CF1154" i="6"/>
  <c r="CE1154" i="6"/>
  <c r="CD1154" i="6"/>
  <c r="CC1154" i="6"/>
  <c r="F1154" i="6"/>
  <c r="E1154" i="6"/>
  <c r="D1154" i="6"/>
  <c r="C1154" i="6"/>
  <c r="CM1154" i="6" s="1"/>
  <c r="CK1153" i="6"/>
  <c r="CJ1153" i="6"/>
  <c r="CI1153" i="6"/>
  <c r="CH1153" i="6"/>
  <c r="CG1153" i="6"/>
  <c r="CF1153" i="6"/>
  <c r="CE1153" i="6"/>
  <c r="CD1153" i="6"/>
  <c r="CC1153" i="6"/>
  <c r="F1153" i="6"/>
  <c r="E1153" i="6"/>
  <c r="D1153" i="6"/>
  <c r="C1153" i="6"/>
  <c r="CM1153" i="6" s="1"/>
  <c r="CK1152" i="6"/>
  <c r="CJ1152" i="6"/>
  <c r="CI1152" i="6"/>
  <c r="CH1152" i="6"/>
  <c r="CG1152" i="6"/>
  <c r="CF1152" i="6"/>
  <c r="CE1152" i="6"/>
  <c r="CD1152" i="6"/>
  <c r="CC1152" i="6"/>
  <c r="F1152" i="6"/>
  <c r="E1152" i="6"/>
  <c r="D1152" i="6"/>
  <c r="C1152" i="6"/>
  <c r="CM1152" i="6" s="1"/>
  <c r="CK1151" i="6"/>
  <c r="CJ1151" i="6"/>
  <c r="CI1151" i="6"/>
  <c r="CH1151" i="6"/>
  <c r="CG1151" i="6"/>
  <c r="CF1151" i="6"/>
  <c r="CE1151" i="6"/>
  <c r="CD1151" i="6"/>
  <c r="CC1151" i="6"/>
  <c r="F1151" i="6"/>
  <c r="E1151" i="6"/>
  <c r="D1151" i="6"/>
  <c r="C1151" i="6"/>
  <c r="CM1151" i="6" s="1"/>
  <c r="CK1150" i="6"/>
  <c r="CJ1150" i="6"/>
  <c r="CI1150" i="6"/>
  <c r="CH1150" i="6"/>
  <c r="CG1150" i="6"/>
  <c r="CF1150" i="6"/>
  <c r="CE1150" i="6"/>
  <c r="CD1150" i="6"/>
  <c r="CC1150" i="6"/>
  <c r="F1150" i="6"/>
  <c r="E1150" i="6"/>
  <c r="D1150" i="6"/>
  <c r="C1150" i="6"/>
  <c r="CM1150" i="6" s="1"/>
  <c r="CK1149" i="6"/>
  <c r="CJ1149" i="6"/>
  <c r="CI1149" i="6"/>
  <c r="CH1149" i="6"/>
  <c r="CG1149" i="6"/>
  <c r="CF1149" i="6"/>
  <c r="CE1149" i="6"/>
  <c r="CD1149" i="6"/>
  <c r="CC1149" i="6"/>
  <c r="F1149" i="6"/>
  <c r="E1149" i="6"/>
  <c r="D1149" i="6"/>
  <c r="C1149" i="6"/>
  <c r="CM1149" i="6" s="1"/>
  <c r="CK1148" i="6"/>
  <c r="CJ1148" i="6"/>
  <c r="CI1148" i="6"/>
  <c r="CH1148" i="6"/>
  <c r="CG1148" i="6"/>
  <c r="CF1148" i="6"/>
  <c r="CE1148" i="6"/>
  <c r="CD1148" i="6"/>
  <c r="CC1148" i="6"/>
  <c r="F1148" i="6"/>
  <c r="E1148" i="6"/>
  <c r="D1148" i="6"/>
  <c r="C1148" i="6"/>
  <c r="CM1148" i="6" s="1"/>
  <c r="CK1147" i="6"/>
  <c r="CJ1147" i="6"/>
  <c r="CI1147" i="6"/>
  <c r="CH1147" i="6"/>
  <c r="CG1147" i="6"/>
  <c r="CF1147" i="6"/>
  <c r="CE1147" i="6"/>
  <c r="CD1147" i="6"/>
  <c r="CC1147" i="6"/>
  <c r="F1147" i="6"/>
  <c r="E1147" i="6"/>
  <c r="D1147" i="6"/>
  <c r="C1147" i="6"/>
  <c r="CM1147" i="6" s="1"/>
  <c r="CK1146" i="6"/>
  <c r="CJ1146" i="6"/>
  <c r="CI1146" i="6"/>
  <c r="CH1146" i="6"/>
  <c r="CG1146" i="6"/>
  <c r="CF1146" i="6"/>
  <c r="CE1146" i="6"/>
  <c r="CD1146" i="6"/>
  <c r="CC1146" i="6"/>
  <c r="F1146" i="6"/>
  <c r="E1146" i="6"/>
  <c r="D1146" i="6"/>
  <c r="C1146" i="6"/>
  <c r="CM1146" i="6" s="1"/>
  <c r="CK1145" i="6"/>
  <c r="CJ1145" i="6"/>
  <c r="CI1145" i="6"/>
  <c r="CH1145" i="6"/>
  <c r="CG1145" i="6"/>
  <c r="CF1145" i="6"/>
  <c r="CE1145" i="6"/>
  <c r="CD1145" i="6"/>
  <c r="CC1145" i="6"/>
  <c r="F1145" i="6"/>
  <c r="E1145" i="6"/>
  <c r="D1145" i="6"/>
  <c r="C1145" i="6"/>
  <c r="CM1145" i="6" s="1"/>
  <c r="CK1144" i="6"/>
  <c r="CJ1144" i="6"/>
  <c r="CI1144" i="6"/>
  <c r="CH1144" i="6"/>
  <c r="CG1144" i="6"/>
  <c r="CF1144" i="6"/>
  <c r="CE1144" i="6"/>
  <c r="CD1144" i="6"/>
  <c r="CC1144" i="6"/>
  <c r="F1144" i="6"/>
  <c r="E1144" i="6"/>
  <c r="D1144" i="6"/>
  <c r="C1144" i="6"/>
  <c r="CM1144" i="6" s="1"/>
  <c r="CK1143" i="6"/>
  <c r="CJ1143" i="6"/>
  <c r="CI1143" i="6"/>
  <c r="CH1143" i="6"/>
  <c r="CG1143" i="6"/>
  <c r="CF1143" i="6"/>
  <c r="CE1143" i="6"/>
  <c r="CD1143" i="6"/>
  <c r="CC1143" i="6"/>
  <c r="F1143" i="6"/>
  <c r="E1143" i="6"/>
  <c r="D1143" i="6"/>
  <c r="C1143" i="6"/>
  <c r="CM1143" i="6" s="1"/>
  <c r="CK1142" i="6"/>
  <c r="CJ1142" i="6"/>
  <c r="CI1142" i="6"/>
  <c r="CH1142" i="6"/>
  <c r="CG1142" i="6"/>
  <c r="CF1142" i="6"/>
  <c r="CE1142" i="6"/>
  <c r="CD1142" i="6"/>
  <c r="CC1142" i="6"/>
  <c r="F1142" i="6"/>
  <c r="E1142" i="6"/>
  <c r="D1142" i="6"/>
  <c r="C1142" i="6"/>
  <c r="CM1142" i="6" s="1"/>
  <c r="CK1141" i="6"/>
  <c r="CJ1141" i="6"/>
  <c r="CI1141" i="6"/>
  <c r="CH1141" i="6"/>
  <c r="CG1141" i="6"/>
  <c r="CF1141" i="6"/>
  <c r="CE1141" i="6"/>
  <c r="CD1141" i="6"/>
  <c r="CC1141" i="6"/>
  <c r="F1141" i="6"/>
  <c r="E1141" i="6"/>
  <c r="D1141" i="6"/>
  <c r="C1141" i="6"/>
  <c r="CM1141" i="6" s="1"/>
  <c r="CK1140" i="6"/>
  <c r="CJ1140" i="6"/>
  <c r="CI1140" i="6"/>
  <c r="CH1140" i="6"/>
  <c r="CG1140" i="6"/>
  <c r="CF1140" i="6"/>
  <c r="CE1140" i="6"/>
  <c r="CD1140" i="6"/>
  <c r="CC1140" i="6"/>
  <c r="F1140" i="6"/>
  <c r="E1140" i="6"/>
  <c r="D1140" i="6"/>
  <c r="C1140" i="6"/>
  <c r="CM1140" i="6" s="1"/>
  <c r="CK1139" i="6"/>
  <c r="CJ1139" i="6"/>
  <c r="CI1139" i="6"/>
  <c r="CH1139" i="6"/>
  <c r="CG1139" i="6"/>
  <c r="CF1139" i="6"/>
  <c r="CE1139" i="6"/>
  <c r="CD1139" i="6"/>
  <c r="CC1139" i="6"/>
  <c r="F1139" i="6"/>
  <c r="E1139" i="6"/>
  <c r="D1139" i="6"/>
  <c r="C1139" i="6"/>
  <c r="CM1139" i="6" s="1"/>
  <c r="CK1138" i="6"/>
  <c r="CJ1138" i="6"/>
  <c r="CI1138" i="6"/>
  <c r="CH1138" i="6"/>
  <c r="CG1138" i="6"/>
  <c r="CF1138" i="6"/>
  <c r="CE1138" i="6"/>
  <c r="CD1138" i="6"/>
  <c r="CC1138" i="6"/>
  <c r="F1138" i="6"/>
  <c r="E1138" i="6"/>
  <c r="D1138" i="6"/>
  <c r="C1138" i="6"/>
  <c r="CM1138" i="6" s="1"/>
  <c r="CK1137" i="6"/>
  <c r="CJ1137" i="6"/>
  <c r="CI1137" i="6"/>
  <c r="CH1137" i="6"/>
  <c r="CG1137" i="6"/>
  <c r="CF1137" i="6"/>
  <c r="CE1137" i="6"/>
  <c r="CD1137" i="6"/>
  <c r="CC1137" i="6"/>
  <c r="F1137" i="6"/>
  <c r="E1137" i="6"/>
  <c r="D1137" i="6"/>
  <c r="C1137" i="6"/>
  <c r="CM1137" i="6" s="1"/>
  <c r="CK1136" i="6"/>
  <c r="CJ1136" i="6"/>
  <c r="CI1136" i="6"/>
  <c r="CH1136" i="6"/>
  <c r="CG1136" i="6"/>
  <c r="CF1136" i="6"/>
  <c r="CE1136" i="6"/>
  <c r="CD1136" i="6"/>
  <c r="CC1136" i="6"/>
  <c r="F1136" i="6"/>
  <c r="E1136" i="6"/>
  <c r="D1136" i="6"/>
  <c r="C1136" i="6"/>
  <c r="CM1136" i="6" s="1"/>
  <c r="CK1135" i="6"/>
  <c r="CJ1135" i="6"/>
  <c r="CI1135" i="6"/>
  <c r="CH1135" i="6"/>
  <c r="CG1135" i="6"/>
  <c r="CF1135" i="6"/>
  <c r="CE1135" i="6"/>
  <c r="CD1135" i="6"/>
  <c r="CC1135" i="6"/>
  <c r="F1135" i="6"/>
  <c r="E1135" i="6"/>
  <c r="D1135" i="6"/>
  <c r="C1135" i="6"/>
  <c r="CM1135" i="6" s="1"/>
  <c r="CK1134" i="6"/>
  <c r="CJ1134" i="6"/>
  <c r="CI1134" i="6"/>
  <c r="CH1134" i="6"/>
  <c r="CG1134" i="6"/>
  <c r="CF1134" i="6"/>
  <c r="CE1134" i="6"/>
  <c r="CD1134" i="6"/>
  <c r="CC1134" i="6"/>
  <c r="F1134" i="6"/>
  <c r="E1134" i="6"/>
  <c r="D1134" i="6"/>
  <c r="C1134" i="6"/>
  <c r="CM1134" i="6" s="1"/>
  <c r="CK1133" i="6"/>
  <c r="CJ1133" i="6"/>
  <c r="CI1133" i="6"/>
  <c r="CH1133" i="6"/>
  <c r="CG1133" i="6"/>
  <c r="CF1133" i="6"/>
  <c r="CE1133" i="6"/>
  <c r="CD1133" i="6"/>
  <c r="CC1133" i="6"/>
  <c r="F1133" i="6"/>
  <c r="E1133" i="6"/>
  <c r="D1133" i="6"/>
  <c r="C1133" i="6"/>
  <c r="CM1133" i="6" s="1"/>
  <c r="CK1132" i="6"/>
  <c r="CJ1132" i="6"/>
  <c r="CI1132" i="6"/>
  <c r="CH1132" i="6"/>
  <c r="CG1132" i="6"/>
  <c r="CF1132" i="6"/>
  <c r="CE1132" i="6"/>
  <c r="CD1132" i="6"/>
  <c r="CC1132" i="6"/>
  <c r="F1132" i="6"/>
  <c r="E1132" i="6"/>
  <c r="D1132" i="6"/>
  <c r="C1132" i="6"/>
  <c r="CM1132" i="6" s="1"/>
  <c r="CK1131" i="6"/>
  <c r="CJ1131" i="6"/>
  <c r="CI1131" i="6"/>
  <c r="CH1131" i="6"/>
  <c r="CG1131" i="6"/>
  <c r="CF1131" i="6"/>
  <c r="CE1131" i="6"/>
  <c r="CD1131" i="6"/>
  <c r="CC1131" i="6"/>
  <c r="F1131" i="6"/>
  <c r="E1131" i="6"/>
  <c r="D1131" i="6"/>
  <c r="C1131" i="6"/>
  <c r="CM1131" i="6" s="1"/>
  <c r="CK1130" i="6"/>
  <c r="CJ1130" i="6"/>
  <c r="CI1130" i="6"/>
  <c r="CH1130" i="6"/>
  <c r="CG1130" i="6"/>
  <c r="CF1130" i="6"/>
  <c r="CE1130" i="6"/>
  <c r="CD1130" i="6"/>
  <c r="CC1130" i="6"/>
  <c r="F1130" i="6"/>
  <c r="E1130" i="6"/>
  <c r="D1130" i="6"/>
  <c r="C1130" i="6"/>
  <c r="CM1130" i="6" s="1"/>
  <c r="CK1129" i="6"/>
  <c r="CJ1129" i="6"/>
  <c r="CI1129" i="6"/>
  <c r="CH1129" i="6"/>
  <c r="CG1129" i="6"/>
  <c r="CF1129" i="6"/>
  <c r="CE1129" i="6"/>
  <c r="CD1129" i="6"/>
  <c r="CC1129" i="6"/>
  <c r="F1129" i="6"/>
  <c r="E1129" i="6"/>
  <c r="D1129" i="6"/>
  <c r="C1129" i="6"/>
  <c r="CK1128" i="6"/>
  <c r="CJ1128" i="6"/>
  <c r="CI1128" i="6"/>
  <c r="CH1128" i="6"/>
  <c r="CG1128" i="6"/>
  <c r="CF1128" i="6"/>
  <c r="CE1128" i="6"/>
  <c r="CD1128" i="6"/>
  <c r="CC1128" i="6"/>
  <c r="F1128" i="6"/>
  <c r="E1128" i="6"/>
  <c r="D1128" i="6"/>
  <c r="C1128" i="6"/>
  <c r="CK1127" i="6"/>
  <c r="CJ1127" i="6"/>
  <c r="CI1127" i="6"/>
  <c r="CH1127" i="6"/>
  <c r="CG1127" i="6"/>
  <c r="CF1127" i="6"/>
  <c r="CE1127" i="6"/>
  <c r="CD1127" i="6"/>
  <c r="CC1127" i="6"/>
  <c r="F1127" i="6"/>
  <c r="E1127" i="6"/>
  <c r="D1127" i="6"/>
  <c r="C1127" i="6"/>
  <c r="CK1126" i="6"/>
  <c r="CJ1126" i="6"/>
  <c r="CI1126" i="6"/>
  <c r="CH1126" i="6"/>
  <c r="CG1126" i="6"/>
  <c r="CF1126" i="6"/>
  <c r="CE1126" i="6"/>
  <c r="CD1126" i="6"/>
  <c r="CC1126" i="6"/>
  <c r="F1126" i="6"/>
  <c r="E1126" i="6"/>
  <c r="D1126" i="6"/>
  <c r="C1126" i="6"/>
  <c r="CK1125" i="6"/>
  <c r="CJ1125" i="6"/>
  <c r="CI1125" i="6"/>
  <c r="CH1125" i="6"/>
  <c r="CG1125" i="6"/>
  <c r="CF1125" i="6"/>
  <c r="CE1125" i="6"/>
  <c r="CD1125" i="6"/>
  <c r="CC1125" i="6"/>
  <c r="F1125" i="6"/>
  <c r="E1125" i="6"/>
  <c r="D1125" i="6"/>
  <c r="C1125" i="6"/>
  <c r="CK1124" i="6"/>
  <c r="CJ1124" i="6"/>
  <c r="CI1124" i="6"/>
  <c r="CH1124" i="6"/>
  <c r="CG1124" i="6"/>
  <c r="CF1124" i="6"/>
  <c r="CE1124" i="6"/>
  <c r="CD1124" i="6"/>
  <c r="CC1124" i="6"/>
  <c r="F1124" i="6"/>
  <c r="E1124" i="6"/>
  <c r="D1124" i="6"/>
  <c r="C1124" i="6"/>
  <c r="CK1123" i="6"/>
  <c r="CJ1123" i="6"/>
  <c r="CI1123" i="6"/>
  <c r="CH1123" i="6"/>
  <c r="CG1123" i="6"/>
  <c r="CF1123" i="6"/>
  <c r="CE1123" i="6"/>
  <c r="CD1123" i="6"/>
  <c r="CC1123" i="6"/>
  <c r="F1123" i="6"/>
  <c r="E1123" i="6"/>
  <c r="D1123" i="6"/>
  <c r="C1123" i="6"/>
  <c r="CK1122" i="6"/>
  <c r="CJ1122" i="6"/>
  <c r="CI1122" i="6"/>
  <c r="CH1122" i="6"/>
  <c r="CG1122" i="6"/>
  <c r="CF1122" i="6"/>
  <c r="CE1122" i="6"/>
  <c r="CD1122" i="6"/>
  <c r="CC1122" i="6"/>
  <c r="F1122" i="6"/>
  <c r="E1122" i="6"/>
  <c r="D1122" i="6"/>
  <c r="C1122" i="6"/>
  <c r="CK1121" i="6"/>
  <c r="CJ1121" i="6"/>
  <c r="CI1121" i="6"/>
  <c r="CH1121" i="6"/>
  <c r="CG1121" i="6"/>
  <c r="CF1121" i="6"/>
  <c r="CE1121" i="6"/>
  <c r="CD1121" i="6"/>
  <c r="CC1121" i="6"/>
  <c r="F1121" i="6"/>
  <c r="E1121" i="6"/>
  <c r="D1121" i="6"/>
  <c r="C1121" i="6"/>
  <c r="CK1120" i="6"/>
  <c r="CJ1120" i="6"/>
  <c r="CI1120" i="6"/>
  <c r="CH1120" i="6"/>
  <c r="CG1120" i="6"/>
  <c r="CF1120" i="6"/>
  <c r="CE1120" i="6"/>
  <c r="CD1120" i="6"/>
  <c r="CC1120" i="6"/>
  <c r="F1120" i="6"/>
  <c r="E1120" i="6"/>
  <c r="D1120" i="6"/>
  <c r="C1120" i="6"/>
  <c r="CK1119" i="6"/>
  <c r="CJ1119" i="6"/>
  <c r="CI1119" i="6"/>
  <c r="CH1119" i="6"/>
  <c r="CG1119" i="6"/>
  <c r="CF1119" i="6"/>
  <c r="CE1119" i="6"/>
  <c r="CD1119" i="6"/>
  <c r="CC1119" i="6"/>
  <c r="F1119" i="6"/>
  <c r="E1119" i="6"/>
  <c r="D1119" i="6"/>
  <c r="C1119" i="6"/>
  <c r="CK1118" i="6"/>
  <c r="CJ1118" i="6"/>
  <c r="CI1118" i="6"/>
  <c r="CH1118" i="6"/>
  <c r="CG1118" i="6"/>
  <c r="CF1118" i="6"/>
  <c r="CE1118" i="6"/>
  <c r="CD1118" i="6"/>
  <c r="CC1118" i="6"/>
  <c r="F1118" i="6"/>
  <c r="E1118" i="6"/>
  <c r="D1118" i="6"/>
  <c r="C1118" i="6"/>
  <c r="CK1117" i="6"/>
  <c r="CJ1117" i="6"/>
  <c r="CI1117" i="6"/>
  <c r="CH1117" i="6"/>
  <c r="CG1117" i="6"/>
  <c r="CF1117" i="6"/>
  <c r="CE1117" i="6"/>
  <c r="CD1117" i="6"/>
  <c r="CC1117" i="6"/>
  <c r="F1117" i="6"/>
  <c r="E1117" i="6"/>
  <c r="D1117" i="6"/>
  <c r="C1117" i="6"/>
  <c r="CK1116" i="6"/>
  <c r="CJ1116" i="6"/>
  <c r="CI1116" i="6"/>
  <c r="CH1116" i="6"/>
  <c r="CG1116" i="6"/>
  <c r="CF1116" i="6"/>
  <c r="CE1116" i="6"/>
  <c r="CD1116" i="6"/>
  <c r="CC1116" i="6"/>
  <c r="F1116" i="6"/>
  <c r="E1116" i="6"/>
  <c r="D1116" i="6"/>
  <c r="C1116" i="6"/>
  <c r="CK1115" i="6"/>
  <c r="CJ1115" i="6"/>
  <c r="CI1115" i="6"/>
  <c r="CH1115" i="6"/>
  <c r="CG1115" i="6"/>
  <c r="CF1115" i="6"/>
  <c r="CE1115" i="6"/>
  <c r="CD1115" i="6"/>
  <c r="CC1115" i="6"/>
  <c r="F1115" i="6"/>
  <c r="E1115" i="6"/>
  <c r="D1115" i="6"/>
  <c r="C1115" i="6"/>
  <c r="CK1114" i="6"/>
  <c r="CJ1114" i="6"/>
  <c r="CI1114" i="6"/>
  <c r="CH1114" i="6"/>
  <c r="CG1114" i="6"/>
  <c r="CF1114" i="6"/>
  <c r="CE1114" i="6"/>
  <c r="CD1114" i="6"/>
  <c r="CC1114" i="6"/>
  <c r="F1114" i="6"/>
  <c r="E1114" i="6"/>
  <c r="D1114" i="6"/>
  <c r="C1114" i="6"/>
  <c r="CK1113" i="6"/>
  <c r="CJ1113" i="6"/>
  <c r="CI1113" i="6"/>
  <c r="CH1113" i="6"/>
  <c r="CG1113" i="6"/>
  <c r="CF1113" i="6"/>
  <c r="CE1113" i="6"/>
  <c r="CD1113" i="6"/>
  <c r="CC1113" i="6"/>
  <c r="F1113" i="6"/>
  <c r="E1113" i="6"/>
  <c r="D1113" i="6"/>
  <c r="C1113" i="6"/>
  <c r="CK1112" i="6"/>
  <c r="CJ1112" i="6"/>
  <c r="CI1112" i="6"/>
  <c r="CH1112" i="6"/>
  <c r="CG1112" i="6"/>
  <c r="CF1112" i="6"/>
  <c r="CE1112" i="6"/>
  <c r="CD1112" i="6"/>
  <c r="CC1112" i="6"/>
  <c r="F1112" i="6"/>
  <c r="E1112" i="6"/>
  <c r="D1112" i="6"/>
  <c r="C1112" i="6"/>
  <c r="CK1111" i="6"/>
  <c r="CJ1111" i="6"/>
  <c r="CI1111" i="6"/>
  <c r="CH1111" i="6"/>
  <c r="CG1111" i="6"/>
  <c r="CF1111" i="6"/>
  <c r="CE1111" i="6"/>
  <c r="CD1111" i="6"/>
  <c r="CC1111" i="6"/>
  <c r="F1111" i="6"/>
  <c r="E1111" i="6"/>
  <c r="D1111" i="6"/>
  <c r="C1111" i="6"/>
  <c r="CK1110" i="6"/>
  <c r="CJ1110" i="6"/>
  <c r="CI1110" i="6"/>
  <c r="CH1110" i="6"/>
  <c r="CG1110" i="6"/>
  <c r="CF1110" i="6"/>
  <c r="CE1110" i="6"/>
  <c r="CD1110" i="6"/>
  <c r="CC1110" i="6"/>
  <c r="F1110" i="6"/>
  <c r="E1110" i="6"/>
  <c r="D1110" i="6"/>
  <c r="C1110" i="6"/>
  <c r="CK1109" i="6"/>
  <c r="CJ1109" i="6"/>
  <c r="CI1109" i="6"/>
  <c r="CH1109" i="6"/>
  <c r="CG1109" i="6"/>
  <c r="CF1109" i="6"/>
  <c r="CE1109" i="6"/>
  <c r="CD1109" i="6"/>
  <c r="CC1109" i="6"/>
  <c r="F1109" i="6"/>
  <c r="E1109" i="6"/>
  <c r="D1109" i="6"/>
  <c r="C1109" i="6"/>
  <c r="CK1108" i="6"/>
  <c r="CJ1108" i="6"/>
  <c r="CI1108" i="6"/>
  <c r="CH1108" i="6"/>
  <c r="CG1108" i="6"/>
  <c r="CF1108" i="6"/>
  <c r="CE1108" i="6"/>
  <c r="CD1108" i="6"/>
  <c r="CC1108" i="6"/>
  <c r="F1108" i="6"/>
  <c r="E1108" i="6"/>
  <c r="D1108" i="6"/>
  <c r="C1108" i="6"/>
  <c r="CK1107" i="6"/>
  <c r="CJ1107" i="6"/>
  <c r="CI1107" i="6"/>
  <c r="CH1107" i="6"/>
  <c r="CG1107" i="6"/>
  <c r="CF1107" i="6"/>
  <c r="CE1107" i="6"/>
  <c r="CD1107" i="6"/>
  <c r="CC1107" i="6"/>
  <c r="F1107" i="6"/>
  <c r="E1107" i="6"/>
  <c r="D1107" i="6"/>
  <c r="C1107" i="6"/>
  <c r="CK1106" i="6"/>
  <c r="CJ1106" i="6"/>
  <c r="CI1106" i="6"/>
  <c r="CH1106" i="6"/>
  <c r="CG1106" i="6"/>
  <c r="CF1106" i="6"/>
  <c r="CE1106" i="6"/>
  <c r="CD1106" i="6"/>
  <c r="CC1106" i="6"/>
  <c r="F1106" i="6"/>
  <c r="E1106" i="6"/>
  <c r="D1106" i="6"/>
  <c r="C1106" i="6"/>
  <c r="CK1105" i="6"/>
  <c r="CJ1105" i="6"/>
  <c r="CI1105" i="6"/>
  <c r="CH1105" i="6"/>
  <c r="CG1105" i="6"/>
  <c r="CF1105" i="6"/>
  <c r="CE1105" i="6"/>
  <c r="CD1105" i="6"/>
  <c r="CC1105" i="6"/>
  <c r="F1105" i="6"/>
  <c r="E1105" i="6"/>
  <c r="D1105" i="6"/>
  <c r="C1105" i="6"/>
  <c r="CK1104" i="6"/>
  <c r="CJ1104" i="6"/>
  <c r="CI1104" i="6"/>
  <c r="CH1104" i="6"/>
  <c r="CG1104" i="6"/>
  <c r="CF1104" i="6"/>
  <c r="CE1104" i="6"/>
  <c r="CD1104" i="6"/>
  <c r="CC1104" i="6"/>
  <c r="F1104" i="6"/>
  <c r="E1104" i="6"/>
  <c r="D1104" i="6"/>
  <c r="C1104" i="6"/>
  <c r="CK1103" i="6"/>
  <c r="CJ1103" i="6"/>
  <c r="CI1103" i="6"/>
  <c r="CH1103" i="6"/>
  <c r="CG1103" i="6"/>
  <c r="CF1103" i="6"/>
  <c r="CE1103" i="6"/>
  <c r="CD1103" i="6"/>
  <c r="CC1103" i="6"/>
  <c r="F1103" i="6"/>
  <c r="E1103" i="6"/>
  <c r="D1103" i="6"/>
  <c r="C1103" i="6"/>
  <c r="CK1102" i="6"/>
  <c r="CJ1102" i="6"/>
  <c r="CI1102" i="6"/>
  <c r="CH1102" i="6"/>
  <c r="CG1102" i="6"/>
  <c r="CF1102" i="6"/>
  <c r="CE1102" i="6"/>
  <c r="CD1102" i="6"/>
  <c r="CC1102" i="6"/>
  <c r="F1102" i="6"/>
  <c r="E1102" i="6"/>
  <c r="D1102" i="6"/>
  <c r="C1102" i="6"/>
  <c r="CK1101" i="6"/>
  <c r="CJ1101" i="6"/>
  <c r="CI1101" i="6"/>
  <c r="CH1101" i="6"/>
  <c r="CG1101" i="6"/>
  <c r="CF1101" i="6"/>
  <c r="CE1101" i="6"/>
  <c r="CD1101" i="6"/>
  <c r="CC1101" i="6"/>
  <c r="F1101" i="6"/>
  <c r="E1101" i="6"/>
  <c r="D1101" i="6"/>
  <c r="C1101" i="6"/>
  <c r="CK1100" i="6"/>
  <c r="CJ1100" i="6"/>
  <c r="CI1100" i="6"/>
  <c r="CH1100" i="6"/>
  <c r="CG1100" i="6"/>
  <c r="CF1100" i="6"/>
  <c r="CE1100" i="6"/>
  <c r="CD1100" i="6"/>
  <c r="CC1100" i="6"/>
  <c r="F1100" i="6"/>
  <c r="E1100" i="6"/>
  <c r="D1100" i="6"/>
  <c r="C1100" i="6"/>
  <c r="CK1099" i="6"/>
  <c r="CJ1099" i="6"/>
  <c r="CI1099" i="6"/>
  <c r="CH1099" i="6"/>
  <c r="CG1099" i="6"/>
  <c r="CF1099" i="6"/>
  <c r="CE1099" i="6"/>
  <c r="CD1099" i="6"/>
  <c r="CC1099" i="6"/>
  <c r="F1099" i="6"/>
  <c r="E1099" i="6"/>
  <c r="D1099" i="6"/>
  <c r="C1099" i="6"/>
  <c r="CK1098" i="6"/>
  <c r="CJ1098" i="6"/>
  <c r="CI1098" i="6"/>
  <c r="CH1098" i="6"/>
  <c r="CG1098" i="6"/>
  <c r="CF1098" i="6"/>
  <c r="CE1098" i="6"/>
  <c r="CD1098" i="6"/>
  <c r="CC1098" i="6"/>
  <c r="F1098" i="6"/>
  <c r="E1098" i="6"/>
  <c r="D1098" i="6"/>
  <c r="C1098" i="6"/>
  <c r="CK1097" i="6"/>
  <c r="CJ1097" i="6"/>
  <c r="CI1097" i="6"/>
  <c r="CH1097" i="6"/>
  <c r="CG1097" i="6"/>
  <c r="CF1097" i="6"/>
  <c r="CE1097" i="6"/>
  <c r="CD1097" i="6"/>
  <c r="CC1097" i="6"/>
  <c r="F1097" i="6"/>
  <c r="E1097" i="6"/>
  <c r="D1097" i="6"/>
  <c r="C1097" i="6"/>
  <c r="CK1096" i="6"/>
  <c r="CJ1096" i="6"/>
  <c r="CI1096" i="6"/>
  <c r="CH1096" i="6"/>
  <c r="CG1096" i="6"/>
  <c r="CF1096" i="6"/>
  <c r="CE1096" i="6"/>
  <c r="CD1096" i="6"/>
  <c r="CC1096" i="6"/>
  <c r="F1096" i="6"/>
  <c r="E1096" i="6"/>
  <c r="D1096" i="6"/>
  <c r="C1096" i="6"/>
  <c r="CK1095" i="6"/>
  <c r="CJ1095" i="6"/>
  <c r="CI1095" i="6"/>
  <c r="CH1095" i="6"/>
  <c r="CG1095" i="6"/>
  <c r="CF1095" i="6"/>
  <c r="CE1095" i="6"/>
  <c r="CD1095" i="6"/>
  <c r="CC1095" i="6"/>
  <c r="F1095" i="6"/>
  <c r="E1095" i="6"/>
  <c r="D1095" i="6"/>
  <c r="C1095" i="6"/>
  <c r="CK1094" i="6"/>
  <c r="CJ1094" i="6"/>
  <c r="CI1094" i="6"/>
  <c r="CH1094" i="6"/>
  <c r="CG1094" i="6"/>
  <c r="CF1094" i="6"/>
  <c r="CE1094" i="6"/>
  <c r="CD1094" i="6"/>
  <c r="CC1094" i="6"/>
  <c r="F1094" i="6"/>
  <c r="E1094" i="6"/>
  <c r="D1094" i="6"/>
  <c r="C1094" i="6"/>
  <c r="CK1093" i="6"/>
  <c r="CJ1093" i="6"/>
  <c r="CI1093" i="6"/>
  <c r="CH1093" i="6"/>
  <c r="CG1093" i="6"/>
  <c r="CF1093" i="6"/>
  <c r="CE1093" i="6"/>
  <c r="CD1093" i="6"/>
  <c r="CC1093" i="6"/>
  <c r="F1093" i="6"/>
  <c r="E1093" i="6"/>
  <c r="D1093" i="6"/>
  <c r="C1093" i="6"/>
  <c r="CK1092" i="6"/>
  <c r="CJ1092" i="6"/>
  <c r="CI1092" i="6"/>
  <c r="CH1092" i="6"/>
  <c r="CG1092" i="6"/>
  <c r="CF1092" i="6"/>
  <c r="CE1092" i="6"/>
  <c r="CD1092" i="6"/>
  <c r="CC1092" i="6"/>
  <c r="F1092" i="6"/>
  <c r="E1092" i="6"/>
  <c r="D1092" i="6"/>
  <c r="C1092" i="6"/>
  <c r="CK1091" i="6"/>
  <c r="CJ1091" i="6"/>
  <c r="CI1091" i="6"/>
  <c r="CH1091" i="6"/>
  <c r="CG1091" i="6"/>
  <c r="CF1091" i="6"/>
  <c r="CE1091" i="6"/>
  <c r="CD1091" i="6"/>
  <c r="CC1091" i="6"/>
  <c r="F1091" i="6"/>
  <c r="E1091" i="6"/>
  <c r="D1091" i="6"/>
  <c r="C1091" i="6"/>
  <c r="CK1090" i="6"/>
  <c r="CJ1090" i="6"/>
  <c r="CI1090" i="6"/>
  <c r="CH1090" i="6"/>
  <c r="CG1090" i="6"/>
  <c r="CF1090" i="6"/>
  <c r="CE1090" i="6"/>
  <c r="CD1090" i="6"/>
  <c r="CC1090" i="6"/>
  <c r="F1090" i="6"/>
  <c r="E1090" i="6"/>
  <c r="D1090" i="6"/>
  <c r="C1090" i="6"/>
  <c r="CK1089" i="6"/>
  <c r="CJ1089" i="6"/>
  <c r="CI1089" i="6"/>
  <c r="CH1089" i="6"/>
  <c r="CG1089" i="6"/>
  <c r="CF1089" i="6"/>
  <c r="CE1089" i="6"/>
  <c r="CD1089" i="6"/>
  <c r="CC1089" i="6"/>
  <c r="F1089" i="6"/>
  <c r="E1089" i="6"/>
  <c r="D1089" i="6"/>
  <c r="C1089" i="6"/>
  <c r="CK1088" i="6"/>
  <c r="CJ1088" i="6"/>
  <c r="CI1088" i="6"/>
  <c r="CH1088" i="6"/>
  <c r="CG1088" i="6"/>
  <c r="CF1088" i="6"/>
  <c r="CE1088" i="6"/>
  <c r="CD1088" i="6"/>
  <c r="CC1088" i="6"/>
  <c r="F1088" i="6"/>
  <c r="E1088" i="6"/>
  <c r="D1088" i="6"/>
  <c r="C1088" i="6"/>
  <c r="CK1087" i="6"/>
  <c r="CJ1087" i="6"/>
  <c r="CI1087" i="6"/>
  <c r="CH1087" i="6"/>
  <c r="CG1087" i="6"/>
  <c r="CF1087" i="6"/>
  <c r="CE1087" i="6"/>
  <c r="CD1087" i="6"/>
  <c r="CC1087" i="6"/>
  <c r="F1087" i="6"/>
  <c r="E1087" i="6"/>
  <c r="D1087" i="6"/>
  <c r="C1087" i="6"/>
  <c r="CO1087" i="6" s="1"/>
  <c r="CK1086" i="6"/>
  <c r="CJ1086" i="6"/>
  <c r="CI1086" i="6"/>
  <c r="CH1086" i="6"/>
  <c r="CG1086" i="6"/>
  <c r="CF1086" i="6"/>
  <c r="CE1086" i="6"/>
  <c r="CD1086" i="6"/>
  <c r="CC1086" i="6"/>
  <c r="F1086" i="6"/>
  <c r="E1086" i="6"/>
  <c r="D1086" i="6"/>
  <c r="C1086" i="6"/>
  <c r="CO1086" i="6" s="1"/>
  <c r="CK1085" i="6"/>
  <c r="CJ1085" i="6"/>
  <c r="CI1085" i="6"/>
  <c r="CH1085" i="6"/>
  <c r="CG1085" i="6"/>
  <c r="CF1085" i="6"/>
  <c r="CE1085" i="6"/>
  <c r="CD1085" i="6"/>
  <c r="CC1085" i="6"/>
  <c r="F1085" i="6"/>
  <c r="E1085" i="6"/>
  <c r="D1085" i="6"/>
  <c r="C1085" i="6"/>
  <c r="CO1085" i="6" s="1"/>
  <c r="CK1084" i="6"/>
  <c r="CJ1084" i="6"/>
  <c r="CI1084" i="6"/>
  <c r="CH1084" i="6"/>
  <c r="CG1084" i="6"/>
  <c r="CF1084" i="6"/>
  <c r="CE1084" i="6"/>
  <c r="CD1084" i="6"/>
  <c r="CC1084" i="6"/>
  <c r="F1084" i="6"/>
  <c r="E1084" i="6"/>
  <c r="D1084" i="6"/>
  <c r="C1084" i="6"/>
  <c r="CO1084" i="6" s="1"/>
  <c r="CK1083" i="6"/>
  <c r="CJ1083" i="6"/>
  <c r="CI1083" i="6"/>
  <c r="CH1083" i="6"/>
  <c r="CG1083" i="6"/>
  <c r="CF1083" i="6"/>
  <c r="CE1083" i="6"/>
  <c r="CD1083" i="6"/>
  <c r="CC1083" i="6"/>
  <c r="F1083" i="6"/>
  <c r="E1083" i="6"/>
  <c r="D1083" i="6"/>
  <c r="C1083" i="6"/>
  <c r="CO1083" i="6" s="1"/>
  <c r="CK1082" i="6"/>
  <c r="CJ1082" i="6"/>
  <c r="CI1082" i="6"/>
  <c r="CH1082" i="6"/>
  <c r="CG1082" i="6"/>
  <c r="CF1082" i="6"/>
  <c r="CE1082" i="6"/>
  <c r="CD1082" i="6"/>
  <c r="CC1082" i="6"/>
  <c r="F1082" i="6"/>
  <c r="E1082" i="6"/>
  <c r="D1082" i="6"/>
  <c r="C1082" i="6"/>
  <c r="CO1082" i="6" s="1"/>
  <c r="CK1081" i="6"/>
  <c r="CJ1081" i="6"/>
  <c r="CI1081" i="6"/>
  <c r="CH1081" i="6"/>
  <c r="CG1081" i="6"/>
  <c r="CF1081" i="6"/>
  <c r="CE1081" i="6"/>
  <c r="CD1081" i="6"/>
  <c r="CC1081" i="6"/>
  <c r="F1081" i="6"/>
  <c r="E1081" i="6"/>
  <c r="D1081" i="6"/>
  <c r="C1081" i="6"/>
  <c r="CO1081" i="6" s="1"/>
  <c r="CK1080" i="6"/>
  <c r="CJ1080" i="6"/>
  <c r="CI1080" i="6"/>
  <c r="CH1080" i="6"/>
  <c r="CG1080" i="6"/>
  <c r="CF1080" i="6"/>
  <c r="CE1080" i="6"/>
  <c r="CD1080" i="6"/>
  <c r="CC1080" i="6"/>
  <c r="F1080" i="6"/>
  <c r="E1080" i="6"/>
  <c r="D1080" i="6"/>
  <c r="C1080" i="6"/>
  <c r="CO1080" i="6" s="1"/>
  <c r="CK1079" i="6"/>
  <c r="CJ1079" i="6"/>
  <c r="CI1079" i="6"/>
  <c r="CH1079" i="6"/>
  <c r="CG1079" i="6"/>
  <c r="CF1079" i="6"/>
  <c r="CE1079" i="6"/>
  <c r="CD1079" i="6"/>
  <c r="CC1079" i="6"/>
  <c r="F1079" i="6"/>
  <c r="E1079" i="6"/>
  <c r="D1079" i="6"/>
  <c r="C1079" i="6"/>
  <c r="CO1079" i="6" s="1"/>
  <c r="CK1078" i="6"/>
  <c r="CJ1078" i="6"/>
  <c r="CI1078" i="6"/>
  <c r="CH1078" i="6"/>
  <c r="CG1078" i="6"/>
  <c r="CF1078" i="6"/>
  <c r="CE1078" i="6"/>
  <c r="CD1078" i="6"/>
  <c r="CC1078" i="6"/>
  <c r="F1078" i="6"/>
  <c r="E1078" i="6"/>
  <c r="D1078" i="6"/>
  <c r="C1078" i="6"/>
  <c r="CO1078" i="6" s="1"/>
  <c r="CK1077" i="6"/>
  <c r="CJ1077" i="6"/>
  <c r="CI1077" i="6"/>
  <c r="CH1077" i="6"/>
  <c r="CG1077" i="6"/>
  <c r="CF1077" i="6"/>
  <c r="CE1077" i="6"/>
  <c r="CD1077" i="6"/>
  <c r="CC1077" i="6"/>
  <c r="F1077" i="6"/>
  <c r="E1077" i="6"/>
  <c r="D1077" i="6"/>
  <c r="C1077" i="6"/>
  <c r="CO1077" i="6" s="1"/>
  <c r="CK1076" i="6"/>
  <c r="CJ1076" i="6"/>
  <c r="CI1076" i="6"/>
  <c r="CH1076" i="6"/>
  <c r="CG1076" i="6"/>
  <c r="CF1076" i="6"/>
  <c r="CE1076" i="6"/>
  <c r="CD1076" i="6"/>
  <c r="CC1076" i="6"/>
  <c r="F1076" i="6"/>
  <c r="E1076" i="6"/>
  <c r="D1076" i="6"/>
  <c r="C1076" i="6"/>
  <c r="CO1076" i="6" s="1"/>
  <c r="CK1075" i="6"/>
  <c r="CJ1075" i="6"/>
  <c r="CI1075" i="6"/>
  <c r="CH1075" i="6"/>
  <c r="CG1075" i="6"/>
  <c r="CF1075" i="6"/>
  <c r="CE1075" i="6"/>
  <c r="CD1075" i="6"/>
  <c r="CC1075" i="6"/>
  <c r="F1075" i="6"/>
  <c r="E1075" i="6"/>
  <c r="D1075" i="6"/>
  <c r="C1075" i="6"/>
  <c r="CO1075" i="6" s="1"/>
  <c r="CK1074" i="6"/>
  <c r="CJ1074" i="6"/>
  <c r="CI1074" i="6"/>
  <c r="CH1074" i="6"/>
  <c r="CG1074" i="6"/>
  <c r="CF1074" i="6"/>
  <c r="CE1074" i="6"/>
  <c r="CD1074" i="6"/>
  <c r="CC1074" i="6"/>
  <c r="F1074" i="6"/>
  <c r="E1074" i="6"/>
  <c r="D1074" i="6"/>
  <c r="C1074" i="6"/>
  <c r="CO1074" i="6" s="1"/>
  <c r="CK1073" i="6"/>
  <c r="CJ1073" i="6"/>
  <c r="CI1073" i="6"/>
  <c r="CH1073" i="6"/>
  <c r="CG1073" i="6"/>
  <c r="CF1073" i="6"/>
  <c r="CE1073" i="6"/>
  <c r="CD1073" i="6"/>
  <c r="CC1073" i="6"/>
  <c r="F1073" i="6"/>
  <c r="E1073" i="6"/>
  <c r="D1073" i="6"/>
  <c r="C1073" i="6"/>
  <c r="CO1073" i="6" s="1"/>
  <c r="CK1072" i="6"/>
  <c r="CJ1072" i="6"/>
  <c r="CI1072" i="6"/>
  <c r="CH1072" i="6"/>
  <c r="CG1072" i="6"/>
  <c r="CF1072" i="6"/>
  <c r="CE1072" i="6"/>
  <c r="CD1072" i="6"/>
  <c r="CC1072" i="6"/>
  <c r="F1072" i="6"/>
  <c r="E1072" i="6"/>
  <c r="D1072" i="6"/>
  <c r="C1072" i="6"/>
  <c r="CO1072" i="6" s="1"/>
  <c r="CK1071" i="6"/>
  <c r="CJ1071" i="6"/>
  <c r="CI1071" i="6"/>
  <c r="CH1071" i="6"/>
  <c r="CG1071" i="6"/>
  <c r="CF1071" i="6"/>
  <c r="CE1071" i="6"/>
  <c r="CD1071" i="6"/>
  <c r="CC1071" i="6"/>
  <c r="F1071" i="6"/>
  <c r="E1071" i="6"/>
  <c r="D1071" i="6"/>
  <c r="C1071" i="6"/>
  <c r="CO1071" i="6" s="1"/>
  <c r="CK1070" i="6"/>
  <c r="CJ1070" i="6"/>
  <c r="CI1070" i="6"/>
  <c r="CH1070" i="6"/>
  <c r="CG1070" i="6"/>
  <c r="CF1070" i="6"/>
  <c r="CE1070" i="6"/>
  <c r="CD1070" i="6"/>
  <c r="CC1070" i="6"/>
  <c r="F1070" i="6"/>
  <c r="E1070" i="6"/>
  <c r="D1070" i="6"/>
  <c r="C1070" i="6"/>
  <c r="CO1070" i="6" s="1"/>
  <c r="CK1069" i="6"/>
  <c r="CJ1069" i="6"/>
  <c r="CI1069" i="6"/>
  <c r="CH1069" i="6"/>
  <c r="CG1069" i="6"/>
  <c r="CF1069" i="6"/>
  <c r="CE1069" i="6"/>
  <c r="CD1069" i="6"/>
  <c r="CC1069" i="6"/>
  <c r="F1069" i="6"/>
  <c r="E1069" i="6"/>
  <c r="D1069" i="6"/>
  <c r="C1069" i="6"/>
  <c r="CO1069" i="6" s="1"/>
  <c r="CK1068" i="6"/>
  <c r="CJ1068" i="6"/>
  <c r="CI1068" i="6"/>
  <c r="CH1068" i="6"/>
  <c r="CG1068" i="6"/>
  <c r="CF1068" i="6"/>
  <c r="CE1068" i="6"/>
  <c r="CD1068" i="6"/>
  <c r="CC1068" i="6"/>
  <c r="F1068" i="6"/>
  <c r="E1068" i="6"/>
  <c r="D1068" i="6"/>
  <c r="C1068" i="6"/>
  <c r="CO1068" i="6" s="1"/>
  <c r="CK1067" i="6"/>
  <c r="CJ1067" i="6"/>
  <c r="CI1067" i="6"/>
  <c r="CH1067" i="6"/>
  <c r="CG1067" i="6"/>
  <c r="CF1067" i="6"/>
  <c r="CE1067" i="6"/>
  <c r="CD1067" i="6"/>
  <c r="CC1067" i="6"/>
  <c r="F1067" i="6"/>
  <c r="E1067" i="6"/>
  <c r="D1067" i="6"/>
  <c r="C1067" i="6"/>
  <c r="CO1067" i="6" s="1"/>
  <c r="CK1066" i="6"/>
  <c r="CJ1066" i="6"/>
  <c r="CI1066" i="6"/>
  <c r="CH1066" i="6"/>
  <c r="CG1066" i="6"/>
  <c r="CF1066" i="6"/>
  <c r="CE1066" i="6"/>
  <c r="CD1066" i="6"/>
  <c r="CC1066" i="6"/>
  <c r="F1066" i="6"/>
  <c r="E1066" i="6"/>
  <c r="D1066" i="6"/>
  <c r="C1066" i="6"/>
  <c r="CO1066" i="6" s="1"/>
  <c r="CK1065" i="6"/>
  <c r="CJ1065" i="6"/>
  <c r="CI1065" i="6"/>
  <c r="CH1065" i="6"/>
  <c r="CG1065" i="6"/>
  <c r="CF1065" i="6"/>
  <c r="CE1065" i="6"/>
  <c r="CD1065" i="6"/>
  <c r="CC1065" i="6"/>
  <c r="F1065" i="6"/>
  <c r="E1065" i="6"/>
  <c r="D1065" i="6"/>
  <c r="C1065" i="6"/>
  <c r="CO1065" i="6" s="1"/>
  <c r="CK1064" i="6"/>
  <c r="CJ1064" i="6"/>
  <c r="CI1064" i="6"/>
  <c r="CH1064" i="6"/>
  <c r="CG1064" i="6"/>
  <c r="CF1064" i="6"/>
  <c r="CE1064" i="6"/>
  <c r="CD1064" i="6"/>
  <c r="CC1064" i="6"/>
  <c r="F1064" i="6"/>
  <c r="E1064" i="6"/>
  <c r="D1064" i="6"/>
  <c r="C1064" i="6"/>
  <c r="CO1064" i="6" s="1"/>
  <c r="CK1063" i="6"/>
  <c r="CJ1063" i="6"/>
  <c r="CI1063" i="6"/>
  <c r="CH1063" i="6"/>
  <c r="CG1063" i="6"/>
  <c r="CF1063" i="6"/>
  <c r="CE1063" i="6"/>
  <c r="CD1063" i="6"/>
  <c r="CC1063" i="6"/>
  <c r="F1063" i="6"/>
  <c r="E1063" i="6"/>
  <c r="D1063" i="6"/>
  <c r="C1063" i="6"/>
  <c r="CO1063" i="6" s="1"/>
  <c r="CK1062" i="6"/>
  <c r="CJ1062" i="6"/>
  <c r="CI1062" i="6"/>
  <c r="CH1062" i="6"/>
  <c r="CG1062" i="6"/>
  <c r="CF1062" i="6"/>
  <c r="CE1062" i="6"/>
  <c r="CD1062" i="6"/>
  <c r="CC1062" i="6"/>
  <c r="F1062" i="6"/>
  <c r="E1062" i="6"/>
  <c r="D1062" i="6"/>
  <c r="C1062" i="6"/>
  <c r="CO1062" i="6" s="1"/>
  <c r="CK1061" i="6"/>
  <c r="CJ1061" i="6"/>
  <c r="CI1061" i="6"/>
  <c r="CH1061" i="6"/>
  <c r="CG1061" i="6"/>
  <c r="CF1061" i="6"/>
  <c r="CE1061" i="6"/>
  <c r="CD1061" i="6"/>
  <c r="CC1061" i="6"/>
  <c r="F1061" i="6"/>
  <c r="E1061" i="6"/>
  <c r="D1061" i="6"/>
  <c r="C1061" i="6"/>
  <c r="CO1061" i="6" s="1"/>
  <c r="CK1060" i="6"/>
  <c r="CJ1060" i="6"/>
  <c r="CI1060" i="6"/>
  <c r="CH1060" i="6"/>
  <c r="CG1060" i="6"/>
  <c r="CF1060" i="6"/>
  <c r="CE1060" i="6"/>
  <c r="CD1060" i="6"/>
  <c r="CC1060" i="6"/>
  <c r="F1060" i="6"/>
  <c r="E1060" i="6"/>
  <c r="D1060" i="6"/>
  <c r="C1060" i="6"/>
  <c r="CO1060" i="6" s="1"/>
  <c r="CK1059" i="6"/>
  <c r="CJ1059" i="6"/>
  <c r="CI1059" i="6"/>
  <c r="CH1059" i="6"/>
  <c r="CG1059" i="6"/>
  <c r="CF1059" i="6"/>
  <c r="CE1059" i="6"/>
  <c r="CD1059" i="6"/>
  <c r="CC1059" i="6"/>
  <c r="F1059" i="6"/>
  <c r="E1059" i="6"/>
  <c r="D1059" i="6"/>
  <c r="C1059" i="6"/>
  <c r="CO1059" i="6" s="1"/>
  <c r="CK1058" i="6"/>
  <c r="CJ1058" i="6"/>
  <c r="CI1058" i="6"/>
  <c r="CH1058" i="6"/>
  <c r="CG1058" i="6"/>
  <c r="CF1058" i="6"/>
  <c r="CE1058" i="6"/>
  <c r="CD1058" i="6"/>
  <c r="CC1058" i="6"/>
  <c r="F1058" i="6"/>
  <c r="E1058" i="6"/>
  <c r="D1058" i="6"/>
  <c r="C1058" i="6"/>
  <c r="CO1058" i="6" s="1"/>
  <c r="CK1057" i="6"/>
  <c r="CJ1057" i="6"/>
  <c r="CI1057" i="6"/>
  <c r="CH1057" i="6"/>
  <c r="CG1057" i="6"/>
  <c r="CF1057" i="6"/>
  <c r="CE1057" i="6"/>
  <c r="CD1057" i="6"/>
  <c r="CC1057" i="6"/>
  <c r="F1057" i="6"/>
  <c r="E1057" i="6"/>
  <c r="D1057" i="6"/>
  <c r="C1057" i="6"/>
  <c r="CO1057" i="6" s="1"/>
  <c r="CK1056" i="6"/>
  <c r="CJ1056" i="6"/>
  <c r="CI1056" i="6"/>
  <c r="CH1056" i="6"/>
  <c r="CG1056" i="6"/>
  <c r="CF1056" i="6"/>
  <c r="CE1056" i="6"/>
  <c r="CD1056" i="6"/>
  <c r="CC1056" i="6"/>
  <c r="F1056" i="6"/>
  <c r="E1056" i="6"/>
  <c r="D1056" i="6"/>
  <c r="C1056" i="6"/>
  <c r="CO1056" i="6" s="1"/>
  <c r="CK1055" i="6"/>
  <c r="CJ1055" i="6"/>
  <c r="CI1055" i="6"/>
  <c r="CH1055" i="6"/>
  <c r="CG1055" i="6"/>
  <c r="CF1055" i="6"/>
  <c r="CE1055" i="6"/>
  <c r="CD1055" i="6"/>
  <c r="CC1055" i="6"/>
  <c r="F1055" i="6"/>
  <c r="E1055" i="6"/>
  <c r="D1055" i="6"/>
  <c r="C1055" i="6"/>
  <c r="CO1055" i="6" s="1"/>
  <c r="CK1054" i="6"/>
  <c r="CJ1054" i="6"/>
  <c r="CI1054" i="6"/>
  <c r="CH1054" i="6"/>
  <c r="CG1054" i="6"/>
  <c r="CF1054" i="6"/>
  <c r="CE1054" i="6"/>
  <c r="CD1054" i="6"/>
  <c r="CC1054" i="6"/>
  <c r="F1054" i="6"/>
  <c r="E1054" i="6"/>
  <c r="D1054" i="6"/>
  <c r="C1054" i="6"/>
  <c r="CO1054" i="6" s="1"/>
  <c r="CK1053" i="6"/>
  <c r="CJ1053" i="6"/>
  <c r="CI1053" i="6"/>
  <c r="CH1053" i="6"/>
  <c r="CG1053" i="6"/>
  <c r="CF1053" i="6"/>
  <c r="CE1053" i="6"/>
  <c r="CD1053" i="6"/>
  <c r="CC1053" i="6"/>
  <c r="F1053" i="6"/>
  <c r="E1053" i="6"/>
  <c r="D1053" i="6"/>
  <c r="C1053" i="6"/>
  <c r="CO1053" i="6" s="1"/>
  <c r="CK1052" i="6"/>
  <c r="CJ1052" i="6"/>
  <c r="CI1052" i="6"/>
  <c r="CH1052" i="6"/>
  <c r="CG1052" i="6"/>
  <c r="CF1052" i="6"/>
  <c r="CE1052" i="6"/>
  <c r="CD1052" i="6"/>
  <c r="CC1052" i="6"/>
  <c r="F1052" i="6"/>
  <c r="E1052" i="6"/>
  <c r="D1052" i="6"/>
  <c r="C1052" i="6"/>
  <c r="CO1052" i="6" s="1"/>
  <c r="CK1051" i="6"/>
  <c r="CJ1051" i="6"/>
  <c r="CI1051" i="6"/>
  <c r="CH1051" i="6"/>
  <c r="CG1051" i="6"/>
  <c r="CF1051" i="6"/>
  <c r="CE1051" i="6"/>
  <c r="CD1051" i="6"/>
  <c r="CC1051" i="6"/>
  <c r="F1051" i="6"/>
  <c r="E1051" i="6"/>
  <c r="D1051" i="6"/>
  <c r="C1051" i="6"/>
  <c r="CO1051" i="6" s="1"/>
  <c r="CK1050" i="6"/>
  <c r="CJ1050" i="6"/>
  <c r="CI1050" i="6"/>
  <c r="CH1050" i="6"/>
  <c r="CG1050" i="6"/>
  <c r="CF1050" i="6"/>
  <c r="CE1050" i="6"/>
  <c r="CD1050" i="6"/>
  <c r="CC1050" i="6"/>
  <c r="F1050" i="6"/>
  <c r="E1050" i="6"/>
  <c r="D1050" i="6"/>
  <c r="C1050" i="6"/>
  <c r="CO1050" i="6" s="1"/>
  <c r="CK1049" i="6"/>
  <c r="CJ1049" i="6"/>
  <c r="CI1049" i="6"/>
  <c r="CH1049" i="6"/>
  <c r="CG1049" i="6"/>
  <c r="CF1049" i="6"/>
  <c r="CE1049" i="6"/>
  <c r="CD1049" i="6"/>
  <c r="CC1049" i="6"/>
  <c r="F1049" i="6"/>
  <c r="E1049" i="6"/>
  <c r="D1049" i="6"/>
  <c r="C1049" i="6"/>
  <c r="CO1049" i="6" s="1"/>
  <c r="CK1048" i="6"/>
  <c r="CJ1048" i="6"/>
  <c r="CI1048" i="6"/>
  <c r="CH1048" i="6"/>
  <c r="CG1048" i="6"/>
  <c r="CF1048" i="6"/>
  <c r="CE1048" i="6"/>
  <c r="CD1048" i="6"/>
  <c r="CC1048" i="6"/>
  <c r="F1048" i="6"/>
  <c r="E1048" i="6"/>
  <c r="D1048" i="6"/>
  <c r="C1048" i="6"/>
  <c r="CO1048" i="6" s="1"/>
  <c r="CK1047" i="6"/>
  <c r="CJ1047" i="6"/>
  <c r="CI1047" i="6"/>
  <c r="CH1047" i="6"/>
  <c r="CG1047" i="6"/>
  <c r="CF1047" i="6"/>
  <c r="CE1047" i="6"/>
  <c r="CD1047" i="6"/>
  <c r="CC1047" i="6"/>
  <c r="F1047" i="6"/>
  <c r="E1047" i="6"/>
  <c r="D1047" i="6"/>
  <c r="C1047" i="6"/>
  <c r="CO1047" i="6" s="1"/>
  <c r="CK1046" i="6"/>
  <c r="CJ1046" i="6"/>
  <c r="CI1046" i="6"/>
  <c r="CH1046" i="6"/>
  <c r="CG1046" i="6"/>
  <c r="CF1046" i="6"/>
  <c r="CE1046" i="6"/>
  <c r="CD1046" i="6"/>
  <c r="CC1046" i="6"/>
  <c r="F1046" i="6"/>
  <c r="E1046" i="6"/>
  <c r="D1046" i="6"/>
  <c r="C1046" i="6"/>
  <c r="CO1046" i="6" s="1"/>
  <c r="CK1045" i="6"/>
  <c r="CJ1045" i="6"/>
  <c r="CI1045" i="6"/>
  <c r="CH1045" i="6"/>
  <c r="CG1045" i="6"/>
  <c r="CF1045" i="6"/>
  <c r="CE1045" i="6"/>
  <c r="CD1045" i="6"/>
  <c r="CC1045" i="6"/>
  <c r="F1045" i="6"/>
  <c r="E1045" i="6"/>
  <c r="D1045" i="6"/>
  <c r="C1045" i="6"/>
  <c r="CO1045" i="6" s="1"/>
  <c r="CK1044" i="6"/>
  <c r="CJ1044" i="6"/>
  <c r="CI1044" i="6"/>
  <c r="CH1044" i="6"/>
  <c r="CG1044" i="6"/>
  <c r="CF1044" i="6"/>
  <c r="CE1044" i="6"/>
  <c r="CD1044" i="6"/>
  <c r="CC1044" i="6"/>
  <c r="F1044" i="6"/>
  <c r="E1044" i="6"/>
  <c r="D1044" i="6"/>
  <c r="C1044" i="6"/>
  <c r="CO1044" i="6" s="1"/>
  <c r="CK1043" i="6"/>
  <c r="CJ1043" i="6"/>
  <c r="CI1043" i="6"/>
  <c r="CH1043" i="6"/>
  <c r="CG1043" i="6"/>
  <c r="CF1043" i="6"/>
  <c r="CE1043" i="6"/>
  <c r="CD1043" i="6"/>
  <c r="CC1043" i="6"/>
  <c r="F1043" i="6"/>
  <c r="E1043" i="6"/>
  <c r="D1043" i="6"/>
  <c r="C1043" i="6"/>
  <c r="CO1043" i="6" s="1"/>
  <c r="CK1042" i="6"/>
  <c r="CJ1042" i="6"/>
  <c r="CI1042" i="6"/>
  <c r="CH1042" i="6"/>
  <c r="CG1042" i="6"/>
  <c r="CF1042" i="6"/>
  <c r="CE1042" i="6"/>
  <c r="CD1042" i="6"/>
  <c r="CC1042" i="6"/>
  <c r="F1042" i="6"/>
  <c r="E1042" i="6"/>
  <c r="D1042" i="6"/>
  <c r="C1042" i="6"/>
  <c r="CO1042" i="6" s="1"/>
  <c r="CK1041" i="6"/>
  <c r="CJ1041" i="6"/>
  <c r="CI1041" i="6"/>
  <c r="CH1041" i="6"/>
  <c r="CG1041" i="6"/>
  <c r="CF1041" i="6"/>
  <c r="CE1041" i="6"/>
  <c r="CD1041" i="6"/>
  <c r="CC1041" i="6"/>
  <c r="F1041" i="6"/>
  <c r="E1041" i="6"/>
  <c r="D1041" i="6"/>
  <c r="C1041" i="6"/>
  <c r="CO1041" i="6" s="1"/>
  <c r="CK1040" i="6"/>
  <c r="CJ1040" i="6"/>
  <c r="CI1040" i="6"/>
  <c r="CH1040" i="6"/>
  <c r="CG1040" i="6"/>
  <c r="CF1040" i="6"/>
  <c r="CE1040" i="6"/>
  <c r="CD1040" i="6"/>
  <c r="CC1040" i="6"/>
  <c r="F1040" i="6"/>
  <c r="E1040" i="6"/>
  <c r="D1040" i="6"/>
  <c r="C1040" i="6"/>
  <c r="CO1040" i="6" s="1"/>
  <c r="CK1039" i="6"/>
  <c r="CJ1039" i="6"/>
  <c r="CI1039" i="6"/>
  <c r="CH1039" i="6"/>
  <c r="CG1039" i="6"/>
  <c r="CF1039" i="6"/>
  <c r="CE1039" i="6"/>
  <c r="CD1039" i="6"/>
  <c r="CC1039" i="6"/>
  <c r="F1039" i="6"/>
  <c r="E1039" i="6"/>
  <c r="D1039" i="6"/>
  <c r="C1039" i="6"/>
  <c r="CO1039" i="6" s="1"/>
  <c r="CK1038" i="6"/>
  <c r="CJ1038" i="6"/>
  <c r="CI1038" i="6"/>
  <c r="CH1038" i="6"/>
  <c r="CG1038" i="6"/>
  <c r="CF1038" i="6"/>
  <c r="CE1038" i="6"/>
  <c r="CD1038" i="6"/>
  <c r="CC1038" i="6"/>
  <c r="F1038" i="6"/>
  <c r="E1038" i="6"/>
  <c r="D1038" i="6"/>
  <c r="C1038" i="6"/>
  <c r="CO1038" i="6" s="1"/>
  <c r="CK1037" i="6"/>
  <c r="CJ1037" i="6"/>
  <c r="CI1037" i="6"/>
  <c r="CH1037" i="6"/>
  <c r="CG1037" i="6"/>
  <c r="CF1037" i="6"/>
  <c r="CE1037" i="6"/>
  <c r="CD1037" i="6"/>
  <c r="CC1037" i="6"/>
  <c r="F1037" i="6"/>
  <c r="E1037" i="6"/>
  <c r="D1037" i="6"/>
  <c r="C1037" i="6"/>
  <c r="CO1037" i="6" s="1"/>
  <c r="CK1036" i="6"/>
  <c r="CJ1036" i="6"/>
  <c r="CI1036" i="6"/>
  <c r="CH1036" i="6"/>
  <c r="CG1036" i="6"/>
  <c r="CF1036" i="6"/>
  <c r="CE1036" i="6"/>
  <c r="CD1036" i="6"/>
  <c r="CC1036" i="6"/>
  <c r="F1036" i="6"/>
  <c r="E1036" i="6"/>
  <c r="D1036" i="6"/>
  <c r="C1036" i="6"/>
  <c r="CO1036" i="6" s="1"/>
  <c r="CK1035" i="6"/>
  <c r="CJ1035" i="6"/>
  <c r="CI1035" i="6"/>
  <c r="CH1035" i="6"/>
  <c r="CG1035" i="6"/>
  <c r="CF1035" i="6"/>
  <c r="CE1035" i="6"/>
  <c r="CD1035" i="6"/>
  <c r="CC1035" i="6"/>
  <c r="F1035" i="6"/>
  <c r="E1035" i="6"/>
  <c r="D1035" i="6"/>
  <c r="C1035" i="6"/>
  <c r="CO1035" i="6" s="1"/>
  <c r="CK1034" i="6"/>
  <c r="CJ1034" i="6"/>
  <c r="CI1034" i="6"/>
  <c r="CH1034" i="6"/>
  <c r="CG1034" i="6"/>
  <c r="CF1034" i="6"/>
  <c r="CE1034" i="6"/>
  <c r="CD1034" i="6"/>
  <c r="CC1034" i="6"/>
  <c r="F1034" i="6"/>
  <c r="E1034" i="6"/>
  <c r="D1034" i="6"/>
  <c r="C1034" i="6"/>
  <c r="CO1034" i="6" s="1"/>
  <c r="CK1033" i="6"/>
  <c r="CJ1033" i="6"/>
  <c r="CI1033" i="6"/>
  <c r="CH1033" i="6"/>
  <c r="CG1033" i="6"/>
  <c r="CF1033" i="6"/>
  <c r="CE1033" i="6"/>
  <c r="CD1033" i="6"/>
  <c r="CC1033" i="6"/>
  <c r="F1033" i="6"/>
  <c r="E1033" i="6"/>
  <c r="D1033" i="6"/>
  <c r="C1033" i="6"/>
  <c r="CO1033" i="6" s="1"/>
  <c r="CK1032" i="6"/>
  <c r="CJ1032" i="6"/>
  <c r="CI1032" i="6"/>
  <c r="CH1032" i="6"/>
  <c r="CG1032" i="6"/>
  <c r="CF1032" i="6"/>
  <c r="CE1032" i="6"/>
  <c r="CD1032" i="6"/>
  <c r="CC1032" i="6"/>
  <c r="F1032" i="6"/>
  <c r="E1032" i="6"/>
  <c r="D1032" i="6"/>
  <c r="C1032" i="6"/>
  <c r="CO1032" i="6" s="1"/>
  <c r="CK1031" i="6"/>
  <c r="CJ1031" i="6"/>
  <c r="CI1031" i="6"/>
  <c r="CH1031" i="6"/>
  <c r="CG1031" i="6"/>
  <c r="CF1031" i="6"/>
  <c r="CE1031" i="6"/>
  <c r="CD1031" i="6"/>
  <c r="CC1031" i="6"/>
  <c r="F1031" i="6"/>
  <c r="E1031" i="6"/>
  <c r="D1031" i="6"/>
  <c r="C1031" i="6"/>
  <c r="CO1031" i="6" s="1"/>
  <c r="CK1030" i="6"/>
  <c r="CJ1030" i="6"/>
  <c r="CI1030" i="6"/>
  <c r="CH1030" i="6"/>
  <c r="CG1030" i="6"/>
  <c r="CF1030" i="6"/>
  <c r="CE1030" i="6"/>
  <c r="CD1030" i="6"/>
  <c r="CC1030" i="6"/>
  <c r="F1030" i="6"/>
  <c r="E1030" i="6"/>
  <c r="D1030" i="6"/>
  <c r="C1030" i="6"/>
  <c r="CO1030" i="6" s="1"/>
  <c r="CK1029" i="6"/>
  <c r="CJ1029" i="6"/>
  <c r="CI1029" i="6"/>
  <c r="CH1029" i="6"/>
  <c r="CG1029" i="6"/>
  <c r="CF1029" i="6"/>
  <c r="CE1029" i="6"/>
  <c r="CD1029" i="6"/>
  <c r="CC1029" i="6"/>
  <c r="F1029" i="6"/>
  <c r="E1029" i="6"/>
  <c r="D1029" i="6"/>
  <c r="C1029" i="6"/>
  <c r="CO1029" i="6" s="1"/>
  <c r="CK1028" i="6"/>
  <c r="CJ1028" i="6"/>
  <c r="CI1028" i="6"/>
  <c r="CH1028" i="6"/>
  <c r="CG1028" i="6"/>
  <c r="CF1028" i="6"/>
  <c r="CE1028" i="6"/>
  <c r="CD1028" i="6"/>
  <c r="CC1028" i="6"/>
  <c r="F1028" i="6"/>
  <c r="E1028" i="6"/>
  <c r="D1028" i="6"/>
  <c r="C1028" i="6"/>
  <c r="CO1028" i="6" s="1"/>
  <c r="CK1027" i="6"/>
  <c r="CJ1027" i="6"/>
  <c r="CI1027" i="6"/>
  <c r="CH1027" i="6"/>
  <c r="CG1027" i="6"/>
  <c r="CF1027" i="6"/>
  <c r="CE1027" i="6"/>
  <c r="CD1027" i="6"/>
  <c r="CC1027" i="6"/>
  <c r="F1027" i="6"/>
  <c r="E1027" i="6"/>
  <c r="D1027" i="6"/>
  <c r="C1027" i="6"/>
  <c r="CO1027" i="6" s="1"/>
  <c r="CK1026" i="6"/>
  <c r="CJ1026" i="6"/>
  <c r="CI1026" i="6"/>
  <c r="CH1026" i="6"/>
  <c r="CG1026" i="6"/>
  <c r="CF1026" i="6"/>
  <c r="CE1026" i="6"/>
  <c r="CD1026" i="6"/>
  <c r="CC1026" i="6"/>
  <c r="F1026" i="6"/>
  <c r="E1026" i="6"/>
  <c r="D1026" i="6"/>
  <c r="C1026" i="6"/>
  <c r="CO1026" i="6" s="1"/>
  <c r="CK1025" i="6"/>
  <c r="CJ1025" i="6"/>
  <c r="CI1025" i="6"/>
  <c r="CH1025" i="6"/>
  <c r="CG1025" i="6"/>
  <c r="CF1025" i="6"/>
  <c r="CE1025" i="6"/>
  <c r="CD1025" i="6"/>
  <c r="CC1025" i="6"/>
  <c r="F1025" i="6"/>
  <c r="E1025" i="6"/>
  <c r="D1025" i="6"/>
  <c r="C1025" i="6"/>
  <c r="CO1025" i="6" s="1"/>
  <c r="CK1024" i="6"/>
  <c r="CJ1024" i="6"/>
  <c r="CI1024" i="6"/>
  <c r="CH1024" i="6"/>
  <c r="CG1024" i="6"/>
  <c r="CF1024" i="6"/>
  <c r="CE1024" i="6"/>
  <c r="CD1024" i="6"/>
  <c r="CC1024" i="6"/>
  <c r="F1024" i="6"/>
  <c r="E1024" i="6"/>
  <c r="D1024" i="6"/>
  <c r="C1024" i="6"/>
  <c r="CO1024" i="6" s="1"/>
  <c r="CK1023" i="6"/>
  <c r="CJ1023" i="6"/>
  <c r="CI1023" i="6"/>
  <c r="CH1023" i="6"/>
  <c r="CG1023" i="6"/>
  <c r="CF1023" i="6"/>
  <c r="CE1023" i="6"/>
  <c r="CD1023" i="6"/>
  <c r="CC1023" i="6"/>
  <c r="F1023" i="6"/>
  <c r="E1023" i="6"/>
  <c r="D1023" i="6"/>
  <c r="C1023" i="6"/>
  <c r="CO1023" i="6" s="1"/>
  <c r="CK1022" i="6"/>
  <c r="CJ1022" i="6"/>
  <c r="CI1022" i="6"/>
  <c r="CH1022" i="6"/>
  <c r="CG1022" i="6"/>
  <c r="CF1022" i="6"/>
  <c r="CE1022" i="6"/>
  <c r="CD1022" i="6"/>
  <c r="CC1022" i="6"/>
  <c r="F1022" i="6"/>
  <c r="E1022" i="6"/>
  <c r="D1022" i="6"/>
  <c r="C1022" i="6"/>
  <c r="CO1022" i="6" s="1"/>
  <c r="CK1021" i="6"/>
  <c r="CJ1021" i="6"/>
  <c r="CI1021" i="6"/>
  <c r="CH1021" i="6"/>
  <c r="CG1021" i="6"/>
  <c r="CF1021" i="6"/>
  <c r="CE1021" i="6"/>
  <c r="CD1021" i="6"/>
  <c r="CC1021" i="6"/>
  <c r="F1021" i="6"/>
  <c r="E1021" i="6"/>
  <c r="D1021" i="6"/>
  <c r="C1021" i="6"/>
  <c r="CO1021" i="6" s="1"/>
  <c r="CK1020" i="6"/>
  <c r="CJ1020" i="6"/>
  <c r="CI1020" i="6"/>
  <c r="CH1020" i="6"/>
  <c r="CG1020" i="6"/>
  <c r="CF1020" i="6"/>
  <c r="CE1020" i="6"/>
  <c r="CD1020" i="6"/>
  <c r="CC1020" i="6"/>
  <c r="F1020" i="6"/>
  <c r="E1020" i="6"/>
  <c r="D1020" i="6"/>
  <c r="C1020" i="6"/>
  <c r="CO1020" i="6" s="1"/>
  <c r="CK1019" i="6"/>
  <c r="CJ1019" i="6"/>
  <c r="CI1019" i="6"/>
  <c r="CH1019" i="6"/>
  <c r="CG1019" i="6"/>
  <c r="CF1019" i="6"/>
  <c r="CE1019" i="6"/>
  <c r="CD1019" i="6"/>
  <c r="CC1019" i="6"/>
  <c r="F1019" i="6"/>
  <c r="E1019" i="6"/>
  <c r="D1019" i="6"/>
  <c r="C1019" i="6"/>
  <c r="CO1019" i="6" s="1"/>
  <c r="CK1018" i="6"/>
  <c r="CJ1018" i="6"/>
  <c r="CI1018" i="6"/>
  <c r="CH1018" i="6"/>
  <c r="CG1018" i="6"/>
  <c r="CF1018" i="6"/>
  <c r="CE1018" i="6"/>
  <c r="CD1018" i="6"/>
  <c r="CC1018" i="6"/>
  <c r="F1018" i="6"/>
  <c r="E1018" i="6"/>
  <c r="D1018" i="6"/>
  <c r="C1018" i="6"/>
  <c r="CO1018" i="6" s="1"/>
  <c r="CK1017" i="6"/>
  <c r="CJ1017" i="6"/>
  <c r="CI1017" i="6"/>
  <c r="CH1017" i="6"/>
  <c r="CG1017" i="6"/>
  <c r="CF1017" i="6"/>
  <c r="CE1017" i="6"/>
  <c r="CD1017" i="6"/>
  <c r="CC1017" i="6"/>
  <c r="F1017" i="6"/>
  <c r="E1017" i="6"/>
  <c r="D1017" i="6"/>
  <c r="C1017" i="6"/>
  <c r="CO1017" i="6" s="1"/>
  <c r="CK1016" i="6"/>
  <c r="CJ1016" i="6"/>
  <c r="CI1016" i="6"/>
  <c r="CH1016" i="6"/>
  <c r="CG1016" i="6"/>
  <c r="CF1016" i="6"/>
  <c r="CE1016" i="6"/>
  <c r="CD1016" i="6"/>
  <c r="CC1016" i="6"/>
  <c r="F1016" i="6"/>
  <c r="E1016" i="6"/>
  <c r="D1016" i="6"/>
  <c r="C1016" i="6"/>
  <c r="CO1016" i="6" s="1"/>
  <c r="CK1015" i="6"/>
  <c r="CJ1015" i="6"/>
  <c r="CI1015" i="6"/>
  <c r="CH1015" i="6"/>
  <c r="CG1015" i="6"/>
  <c r="CF1015" i="6"/>
  <c r="CE1015" i="6"/>
  <c r="CD1015" i="6"/>
  <c r="CC1015" i="6"/>
  <c r="F1015" i="6"/>
  <c r="E1015" i="6"/>
  <c r="D1015" i="6"/>
  <c r="C1015" i="6"/>
  <c r="CO1015" i="6" s="1"/>
  <c r="CK1014" i="6"/>
  <c r="CJ1014" i="6"/>
  <c r="CI1014" i="6"/>
  <c r="CH1014" i="6"/>
  <c r="CG1014" i="6"/>
  <c r="CF1014" i="6"/>
  <c r="CE1014" i="6"/>
  <c r="CD1014" i="6"/>
  <c r="CC1014" i="6"/>
  <c r="F1014" i="6"/>
  <c r="E1014" i="6"/>
  <c r="D1014" i="6"/>
  <c r="C1014" i="6"/>
  <c r="CO1014" i="6" s="1"/>
  <c r="CK1013" i="6"/>
  <c r="CJ1013" i="6"/>
  <c r="CI1013" i="6"/>
  <c r="CH1013" i="6"/>
  <c r="CG1013" i="6"/>
  <c r="CF1013" i="6"/>
  <c r="CE1013" i="6"/>
  <c r="CD1013" i="6"/>
  <c r="CC1013" i="6"/>
  <c r="F1013" i="6"/>
  <c r="E1013" i="6"/>
  <c r="D1013" i="6"/>
  <c r="C1013" i="6"/>
  <c r="CO1013" i="6" s="1"/>
  <c r="CK1012" i="6"/>
  <c r="CJ1012" i="6"/>
  <c r="CI1012" i="6"/>
  <c r="CH1012" i="6"/>
  <c r="CG1012" i="6"/>
  <c r="CF1012" i="6"/>
  <c r="CE1012" i="6"/>
  <c r="CD1012" i="6"/>
  <c r="CC1012" i="6"/>
  <c r="F1012" i="6"/>
  <c r="E1012" i="6"/>
  <c r="D1012" i="6"/>
  <c r="C1012" i="6"/>
  <c r="CO1012" i="6" s="1"/>
  <c r="CK1011" i="6"/>
  <c r="CJ1011" i="6"/>
  <c r="CI1011" i="6"/>
  <c r="CH1011" i="6"/>
  <c r="CG1011" i="6"/>
  <c r="CF1011" i="6"/>
  <c r="CE1011" i="6"/>
  <c r="CD1011" i="6"/>
  <c r="CC1011" i="6"/>
  <c r="F1011" i="6"/>
  <c r="E1011" i="6"/>
  <c r="D1011" i="6"/>
  <c r="C1011" i="6"/>
  <c r="CO1011" i="6" s="1"/>
  <c r="CK1010" i="6"/>
  <c r="CJ1010" i="6"/>
  <c r="CI1010" i="6"/>
  <c r="CH1010" i="6"/>
  <c r="CG1010" i="6"/>
  <c r="CF1010" i="6"/>
  <c r="CE1010" i="6"/>
  <c r="CD1010" i="6"/>
  <c r="CC1010" i="6"/>
  <c r="F1010" i="6"/>
  <c r="E1010" i="6"/>
  <c r="D1010" i="6"/>
  <c r="C1010" i="6"/>
  <c r="CO1010" i="6" s="1"/>
  <c r="CK1009" i="6"/>
  <c r="CJ1009" i="6"/>
  <c r="CI1009" i="6"/>
  <c r="CH1009" i="6"/>
  <c r="CG1009" i="6"/>
  <c r="CF1009" i="6"/>
  <c r="CE1009" i="6"/>
  <c r="CD1009" i="6"/>
  <c r="CC1009" i="6"/>
  <c r="F1009" i="6"/>
  <c r="E1009" i="6"/>
  <c r="D1009" i="6"/>
  <c r="C1009" i="6"/>
  <c r="CO1009" i="6" s="1"/>
  <c r="CK1008" i="6"/>
  <c r="CJ1008" i="6"/>
  <c r="CI1008" i="6"/>
  <c r="CH1008" i="6"/>
  <c r="CG1008" i="6"/>
  <c r="CF1008" i="6"/>
  <c r="CE1008" i="6"/>
  <c r="CD1008" i="6"/>
  <c r="CC1008" i="6"/>
  <c r="F1008" i="6"/>
  <c r="E1008" i="6"/>
  <c r="D1008" i="6"/>
  <c r="C1008" i="6"/>
  <c r="CO1008" i="6" s="1"/>
  <c r="CK1007" i="6"/>
  <c r="CJ1007" i="6"/>
  <c r="CI1007" i="6"/>
  <c r="CH1007" i="6"/>
  <c r="CG1007" i="6"/>
  <c r="CF1007" i="6"/>
  <c r="CE1007" i="6"/>
  <c r="CD1007" i="6"/>
  <c r="CC1007" i="6"/>
  <c r="F1007" i="6"/>
  <c r="E1007" i="6"/>
  <c r="D1007" i="6"/>
  <c r="C1007" i="6"/>
  <c r="CO1007" i="6" s="1"/>
  <c r="CK1006" i="6"/>
  <c r="CJ1006" i="6"/>
  <c r="CI1006" i="6"/>
  <c r="CH1006" i="6"/>
  <c r="CG1006" i="6"/>
  <c r="CF1006" i="6"/>
  <c r="CE1006" i="6"/>
  <c r="CD1006" i="6"/>
  <c r="CC1006" i="6"/>
  <c r="F1006" i="6"/>
  <c r="E1006" i="6"/>
  <c r="D1006" i="6"/>
  <c r="C1006" i="6"/>
  <c r="CO1006" i="6" s="1"/>
  <c r="CK1005" i="6"/>
  <c r="CJ1005" i="6"/>
  <c r="CI1005" i="6"/>
  <c r="CH1005" i="6"/>
  <c r="CG1005" i="6"/>
  <c r="CF1005" i="6"/>
  <c r="CE1005" i="6"/>
  <c r="CD1005" i="6"/>
  <c r="CC1005" i="6"/>
  <c r="F1005" i="6"/>
  <c r="E1005" i="6"/>
  <c r="D1005" i="6"/>
  <c r="C1005" i="6"/>
  <c r="CO1005" i="6" s="1"/>
  <c r="CK1004" i="6"/>
  <c r="CJ1004" i="6"/>
  <c r="CI1004" i="6"/>
  <c r="CH1004" i="6"/>
  <c r="CG1004" i="6"/>
  <c r="CF1004" i="6"/>
  <c r="CE1004" i="6"/>
  <c r="CD1004" i="6"/>
  <c r="CC1004" i="6"/>
  <c r="F1004" i="6"/>
  <c r="E1004" i="6"/>
  <c r="D1004" i="6"/>
  <c r="C1004" i="6"/>
  <c r="CO1004" i="6" s="1"/>
  <c r="CK1003" i="6"/>
  <c r="CJ1003" i="6"/>
  <c r="CI1003" i="6"/>
  <c r="CH1003" i="6"/>
  <c r="CG1003" i="6"/>
  <c r="CF1003" i="6"/>
  <c r="CE1003" i="6"/>
  <c r="CD1003" i="6"/>
  <c r="CC1003" i="6"/>
  <c r="F1003" i="6"/>
  <c r="E1003" i="6"/>
  <c r="D1003" i="6"/>
  <c r="C1003" i="6"/>
  <c r="CO1003" i="6" s="1"/>
  <c r="CK1002" i="6"/>
  <c r="CJ1002" i="6"/>
  <c r="CI1002" i="6"/>
  <c r="CH1002" i="6"/>
  <c r="CG1002" i="6"/>
  <c r="CF1002" i="6"/>
  <c r="CE1002" i="6"/>
  <c r="CD1002" i="6"/>
  <c r="CC1002" i="6"/>
  <c r="F1002" i="6"/>
  <c r="E1002" i="6"/>
  <c r="D1002" i="6"/>
  <c r="C1002" i="6"/>
  <c r="CO1002" i="6" s="1"/>
  <c r="CK1001" i="6"/>
  <c r="CJ1001" i="6"/>
  <c r="CI1001" i="6"/>
  <c r="CH1001" i="6"/>
  <c r="CG1001" i="6"/>
  <c r="CF1001" i="6"/>
  <c r="CE1001" i="6"/>
  <c r="CD1001" i="6"/>
  <c r="CC1001" i="6"/>
  <c r="F1001" i="6"/>
  <c r="E1001" i="6"/>
  <c r="D1001" i="6"/>
  <c r="C1001" i="6"/>
  <c r="CO1001" i="6" s="1"/>
  <c r="CK1000" i="6"/>
  <c r="CJ1000" i="6"/>
  <c r="CI1000" i="6"/>
  <c r="CH1000" i="6"/>
  <c r="CG1000" i="6"/>
  <c r="CF1000" i="6"/>
  <c r="CE1000" i="6"/>
  <c r="CD1000" i="6"/>
  <c r="CC1000" i="6"/>
  <c r="F1000" i="6"/>
  <c r="E1000" i="6"/>
  <c r="D1000" i="6"/>
  <c r="C1000" i="6"/>
  <c r="CO1000" i="6" s="1"/>
  <c r="CK999" i="6"/>
  <c r="CJ999" i="6"/>
  <c r="CI999" i="6"/>
  <c r="CH999" i="6"/>
  <c r="CG999" i="6"/>
  <c r="CF999" i="6"/>
  <c r="CE999" i="6"/>
  <c r="CD999" i="6"/>
  <c r="CC999" i="6"/>
  <c r="F999" i="6"/>
  <c r="E999" i="6"/>
  <c r="D999" i="6"/>
  <c r="C999" i="6"/>
  <c r="CO999" i="6" s="1"/>
  <c r="CK998" i="6"/>
  <c r="CJ998" i="6"/>
  <c r="CI998" i="6"/>
  <c r="CH998" i="6"/>
  <c r="CG998" i="6"/>
  <c r="CF998" i="6"/>
  <c r="CE998" i="6"/>
  <c r="CD998" i="6"/>
  <c r="CC998" i="6"/>
  <c r="F998" i="6"/>
  <c r="E998" i="6"/>
  <c r="D998" i="6"/>
  <c r="C998" i="6"/>
  <c r="CO998" i="6" s="1"/>
  <c r="CK997" i="6"/>
  <c r="CJ997" i="6"/>
  <c r="CI997" i="6"/>
  <c r="CH997" i="6"/>
  <c r="CG997" i="6"/>
  <c r="CF997" i="6"/>
  <c r="CE997" i="6"/>
  <c r="CD997" i="6"/>
  <c r="CC997" i="6"/>
  <c r="F997" i="6"/>
  <c r="E997" i="6"/>
  <c r="D997" i="6"/>
  <c r="C997" i="6"/>
  <c r="CO997" i="6" s="1"/>
  <c r="CK996" i="6"/>
  <c r="CJ996" i="6"/>
  <c r="CI996" i="6"/>
  <c r="CH996" i="6"/>
  <c r="CG996" i="6"/>
  <c r="CF996" i="6"/>
  <c r="CE996" i="6"/>
  <c r="CD996" i="6"/>
  <c r="CC996" i="6"/>
  <c r="F996" i="6"/>
  <c r="E996" i="6"/>
  <c r="D996" i="6"/>
  <c r="C996" i="6"/>
  <c r="CO996" i="6" s="1"/>
  <c r="CK995" i="6"/>
  <c r="CJ995" i="6"/>
  <c r="CI995" i="6"/>
  <c r="CH995" i="6"/>
  <c r="CG995" i="6"/>
  <c r="CF995" i="6"/>
  <c r="CE995" i="6"/>
  <c r="CD995" i="6"/>
  <c r="CC995" i="6"/>
  <c r="F995" i="6"/>
  <c r="E995" i="6"/>
  <c r="D995" i="6"/>
  <c r="C995" i="6"/>
  <c r="CO995" i="6" s="1"/>
  <c r="CK994" i="6"/>
  <c r="CJ994" i="6"/>
  <c r="CI994" i="6"/>
  <c r="CH994" i="6"/>
  <c r="CG994" i="6"/>
  <c r="CF994" i="6"/>
  <c r="CE994" i="6"/>
  <c r="CD994" i="6"/>
  <c r="CC994" i="6"/>
  <c r="F994" i="6"/>
  <c r="E994" i="6"/>
  <c r="D994" i="6"/>
  <c r="C994" i="6"/>
  <c r="CO994" i="6" s="1"/>
  <c r="CK993" i="6"/>
  <c r="CJ993" i="6"/>
  <c r="CI993" i="6"/>
  <c r="CH993" i="6"/>
  <c r="CG993" i="6"/>
  <c r="CF993" i="6"/>
  <c r="CE993" i="6"/>
  <c r="CD993" i="6"/>
  <c r="CC993" i="6"/>
  <c r="F993" i="6"/>
  <c r="E993" i="6"/>
  <c r="D993" i="6"/>
  <c r="C993" i="6"/>
  <c r="CO993" i="6" s="1"/>
  <c r="CK992" i="6"/>
  <c r="CJ992" i="6"/>
  <c r="CI992" i="6"/>
  <c r="CH992" i="6"/>
  <c r="CG992" i="6"/>
  <c r="CF992" i="6"/>
  <c r="CE992" i="6"/>
  <c r="CD992" i="6"/>
  <c r="CC992" i="6"/>
  <c r="F992" i="6"/>
  <c r="E992" i="6"/>
  <c r="D992" i="6"/>
  <c r="C992" i="6"/>
  <c r="CO992" i="6" s="1"/>
  <c r="CK991" i="6"/>
  <c r="CJ991" i="6"/>
  <c r="CI991" i="6"/>
  <c r="CH991" i="6"/>
  <c r="CG991" i="6"/>
  <c r="CF991" i="6"/>
  <c r="CE991" i="6"/>
  <c r="CD991" i="6"/>
  <c r="CC991" i="6"/>
  <c r="F991" i="6"/>
  <c r="E991" i="6"/>
  <c r="D991" i="6"/>
  <c r="C991" i="6"/>
  <c r="CO991" i="6" s="1"/>
  <c r="CK990" i="6"/>
  <c r="CJ990" i="6"/>
  <c r="CI990" i="6"/>
  <c r="CH990" i="6"/>
  <c r="CG990" i="6"/>
  <c r="CF990" i="6"/>
  <c r="CE990" i="6"/>
  <c r="CD990" i="6"/>
  <c r="CC990" i="6"/>
  <c r="F990" i="6"/>
  <c r="E990" i="6"/>
  <c r="D990" i="6"/>
  <c r="C990" i="6"/>
  <c r="CO990" i="6" s="1"/>
  <c r="CK989" i="6"/>
  <c r="CJ989" i="6"/>
  <c r="CI989" i="6"/>
  <c r="CH989" i="6"/>
  <c r="CG989" i="6"/>
  <c r="CF989" i="6"/>
  <c r="CE989" i="6"/>
  <c r="CD989" i="6"/>
  <c r="CC989" i="6"/>
  <c r="F989" i="6"/>
  <c r="E989" i="6"/>
  <c r="D989" i="6"/>
  <c r="C989" i="6"/>
  <c r="CO989" i="6" s="1"/>
  <c r="CK988" i="6"/>
  <c r="CJ988" i="6"/>
  <c r="CI988" i="6"/>
  <c r="CH988" i="6"/>
  <c r="CG988" i="6"/>
  <c r="CF988" i="6"/>
  <c r="CE988" i="6"/>
  <c r="CD988" i="6"/>
  <c r="CC988" i="6"/>
  <c r="F988" i="6"/>
  <c r="E988" i="6"/>
  <c r="D988" i="6"/>
  <c r="C988" i="6"/>
  <c r="CO988" i="6" s="1"/>
  <c r="CK987" i="6"/>
  <c r="CJ987" i="6"/>
  <c r="CI987" i="6"/>
  <c r="CH987" i="6"/>
  <c r="CG987" i="6"/>
  <c r="CF987" i="6"/>
  <c r="CE987" i="6"/>
  <c r="CD987" i="6"/>
  <c r="CC987" i="6"/>
  <c r="F987" i="6"/>
  <c r="E987" i="6"/>
  <c r="D987" i="6"/>
  <c r="C987" i="6"/>
  <c r="CO987" i="6" s="1"/>
  <c r="CK986" i="6"/>
  <c r="CJ986" i="6"/>
  <c r="CI986" i="6"/>
  <c r="CH986" i="6"/>
  <c r="CG986" i="6"/>
  <c r="CF986" i="6"/>
  <c r="CE986" i="6"/>
  <c r="CD986" i="6"/>
  <c r="CC986" i="6"/>
  <c r="F986" i="6"/>
  <c r="E986" i="6"/>
  <c r="D986" i="6"/>
  <c r="C986" i="6"/>
  <c r="CO986" i="6" s="1"/>
  <c r="CK985" i="6"/>
  <c r="CJ985" i="6"/>
  <c r="CI985" i="6"/>
  <c r="CH985" i="6"/>
  <c r="CG985" i="6"/>
  <c r="CF985" i="6"/>
  <c r="CE985" i="6"/>
  <c r="CD985" i="6"/>
  <c r="CC985" i="6"/>
  <c r="F985" i="6"/>
  <c r="E985" i="6"/>
  <c r="D985" i="6"/>
  <c r="C985" i="6"/>
  <c r="CO985" i="6" s="1"/>
  <c r="CK984" i="6"/>
  <c r="CJ984" i="6"/>
  <c r="CI984" i="6"/>
  <c r="CH984" i="6"/>
  <c r="CG984" i="6"/>
  <c r="CF984" i="6"/>
  <c r="CE984" i="6"/>
  <c r="CD984" i="6"/>
  <c r="CC984" i="6"/>
  <c r="F984" i="6"/>
  <c r="E984" i="6"/>
  <c r="D984" i="6"/>
  <c r="C984" i="6"/>
  <c r="CO984" i="6" s="1"/>
  <c r="CK983" i="6"/>
  <c r="CJ983" i="6"/>
  <c r="CI983" i="6"/>
  <c r="CH983" i="6"/>
  <c r="CG983" i="6"/>
  <c r="CF983" i="6"/>
  <c r="CE983" i="6"/>
  <c r="CD983" i="6"/>
  <c r="CC983" i="6"/>
  <c r="F983" i="6"/>
  <c r="E983" i="6"/>
  <c r="D983" i="6"/>
  <c r="C983" i="6"/>
  <c r="CO983" i="6" s="1"/>
  <c r="CK982" i="6"/>
  <c r="CJ982" i="6"/>
  <c r="CI982" i="6"/>
  <c r="CH982" i="6"/>
  <c r="CG982" i="6"/>
  <c r="CF982" i="6"/>
  <c r="CE982" i="6"/>
  <c r="CD982" i="6"/>
  <c r="CC982" i="6"/>
  <c r="F982" i="6"/>
  <c r="E982" i="6"/>
  <c r="D982" i="6"/>
  <c r="C982" i="6"/>
  <c r="CO982" i="6" s="1"/>
  <c r="CK981" i="6"/>
  <c r="CJ981" i="6"/>
  <c r="CI981" i="6"/>
  <c r="CH981" i="6"/>
  <c r="CG981" i="6"/>
  <c r="CF981" i="6"/>
  <c r="CE981" i="6"/>
  <c r="CD981" i="6"/>
  <c r="CC981" i="6"/>
  <c r="F981" i="6"/>
  <c r="E981" i="6"/>
  <c r="D981" i="6"/>
  <c r="C981" i="6"/>
  <c r="CO981" i="6" s="1"/>
  <c r="CK980" i="6"/>
  <c r="CJ980" i="6"/>
  <c r="CI980" i="6"/>
  <c r="CH980" i="6"/>
  <c r="CG980" i="6"/>
  <c r="CF980" i="6"/>
  <c r="CE980" i="6"/>
  <c r="CD980" i="6"/>
  <c r="CC980" i="6"/>
  <c r="F980" i="6"/>
  <c r="E980" i="6"/>
  <c r="D980" i="6"/>
  <c r="C980" i="6"/>
  <c r="CO980" i="6" s="1"/>
  <c r="CK979" i="6"/>
  <c r="CJ979" i="6"/>
  <c r="CI979" i="6"/>
  <c r="CH979" i="6"/>
  <c r="CG979" i="6"/>
  <c r="CF979" i="6"/>
  <c r="CE979" i="6"/>
  <c r="CD979" i="6"/>
  <c r="CC979" i="6"/>
  <c r="F979" i="6"/>
  <c r="E979" i="6"/>
  <c r="D979" i="6"/>
  <c r="C979" i="6"/>
  <c r="CO979" i="6" s="1"/>
  <c r="CK978" i="6"/>
  <c r="CJ978" i="6"/>
  <c r="CI978" i="6"/>
  <c r="CH978" i="6"/>
  <c r="CG978" i="6"/>
  <c r="CF978" i="6"/>
  <c r="CE978" i="6"/>
  <c r="CD978" i="6"/>
  <c r="CC978" i="6"/>
  <c r="F978" i="6"/>
  <c r="E978" i="6"/>
  <c r="D978" i="6"/>
  <c r="C978" i="6"/>
  <c r="CO978" i="6" s="1"/>
  <c r="CK977" i="6"/>
  <c r="CJ977" i="6"/>
  <c r="CI977" i="6"/>
  <c r="CH977" i="6"/>
  <c r="CG977" i="6"/>
  <c r="CF977" i="6"/>
  <c r="CE977" i="6"/>
  <c r="CD977" i="6"/>
  <c r="CC977" i="6"/>
  <c r="F977" i="6"/>
  <c r="E977" i="6"/>
  <c r="D977" i="6"/>
  <c r="C977" i="6"/>
  <c r="CO977" i="6" s="1"/>
  <c r="CK976" i="6"/>
  <c r="CJ976" i="6"/>
  <c r="CI976" i="6"/>
  <c r="CH976" i="6"/>
  <c r="CG976" i="6"/>
  <c r="CF976" i="6"/>
  <c r="CE976" i="6"/>
  <c r="CD976" i="6"/>
  <c r="CC976" i="6"/>
  <c r="F976" i="6"/>
  <c r="E976" i="6"/>
  <c r="D976" i="6"/>
  <c r="C976" i="6"/>
  <c r="CO976" i="6" s="1"/>
  <c r="CK975" i="6"/>
  <c r="CJ975" i="6"/>
  <c r="CI975" i="6"/>
  <c r="CH975" i="6"/>
  <c r="CG975" i="6"/>
  <c r="CF975" i="6"/>
  <c r="CE975" i="6"/>
  <c r="CD975" i="6"/>
  <c r="CC975" i="6"/>
  <c r="F975" i="6"/>
  <c r="E975" i="6"/>
  <c r="D975" i="6"/>
  <c r="C975" i="6"/>
  <c r="CO975" i="6" s="1"/>
  <c r="CK974" i="6"/>
  <c r="CJ974" i="6"/>
  <c r="CI974" i="6"/>
  <c r="CH974" i="6"/>
  <c r="CG974" i="6"/>
  <c r="CF974" i="6"/>
  <c r="CE974" i="6"/>
  <c r="CD974" i="6"/>
  <c r="CC974" i="6"/>
  <c r="F974" i="6"/>
  <c r="E974" i="6"/>
  <c r="D974" i="6"/>
  <c r="C974" i="6"/>
  <c r="CO974" i="6" s="1"/>
  <c r="CK973" i="6"/>
  <c r="CJ973" i="6"/>
  <c r="CI973" i="6"/>
  <c r="CH973" i="6"/>
  <c r="CG973" i="6"/>
  <c r="CF973" i="6"/>
  <c r="CE973" i="6"/>
  <c r="CD973" i="6"/>
  <c r="CC973" i="6"/>
  <c r="F973" i="6"/>
  <c r="E973" i="6"/>
  <c r="D973" i="6"/>
  <c r="C973" i="6"/>
  <c r="CO973" i="6" s="1"/>
  <c r="CK972" i="6"/>
  <c r="CJ972" i="6"/>
  <c r="CI972" i="6"/>
  <c r="CH972" i="6"/>
  <c r="CG972" i="6"/>
  <c r="CF972" i="6"/>
  <c r="CE972" i="6"/>
  <c r="CD972" i="6"/>
  <c r="CC972" i="6"/>
  <c r="F972" i="6"/>
  <c r="E972" i="6"/>
  <c r="D972" i="6"/>
  <c r="C972" i="6"/>
  <c r="CO972" i="6" s="1"/>
  <c r="CK971" i="6"/>
  <c r="CJ971" i="6"/>
  <c r="CI971" i="6"/>
  <c r="CH971" i="6"/>
  <c r="CG971" i="6"/>
  <c r="CF971" i="6"/>
  <c r="CE971" i="6"/>
  <c r="CD971" i="6"/>
  <c r="CC971" i="6"/>
  <c r="F971" i="6"/>
  <c r="E971" i="6"/>
  <c r="D971" i="6"/>
  <c r="C971" i="6"/>
  <c r="CO971" i="6" s="1"/>
  <c r="CK970" i="6"/>
  <c r="CJ970" i="6"/>
  <c r="CI970" i="6"/>
  <c r="CH970" i="6"/>
  <c r="CG970" i="6"/>
  <c r="CF970" i="6"/>
  <c r="CE970" i="6"/>
  <c r="CD970" i="6"/>
  <c r="CC970" i="6"/>
  <c r="F970" i="6"/>
  <c r="E970" i="6"/>
  <c r="D970" i="6"/>
  <c r="C970" i="6"/>
  <c r="CO970" i="6" s="1"/>
  <c r="CK969" i="6"/>
  <c r="CJ969" i="6"/>
  <c r="CI969" i="6"/>
  <c r="CH969" i="6"/>
  <c r="CG969" i="6"/>
  <c r="CF969" i="6"/>
  <c r="CE969" i="6"/>
  <c r="CD969" i="6"/>
  <c r="CC969" i="6"/>
  <c r="F969" i="6"/>
  <c r="E969" i="6"/>
  <c r="D969" i="6"/>
  <c r="C969" i="6"/>
  <c r="CO969" i="6" s="1"/>
  <c r="CK968" i="6"/>
  <c r="CJ968" i="6"/>
  <c r="CI968" i="6"/>
  <c r="CH968" i="6"/>
  <c r="CG968" i="6"/>
  <c r="CF968" i="6"/>
  <c r="CE968" i="6"/>
  <c r="CD968" i="6"/>
  <c r="CC968" i="6"/>
  <c r="F968" i="6"/>
  <c r="E968" i="6"/>
  <c r="D968" i="6"/>
  <c r="C968" i="6"/>
  <c r="CO968" i="6" s="1"/>
  <c r="CK967" i="6"/>
  <c r="CJ967" i="6"/>
  <c r="CI967" i="6"/>
  <c r="CH967" i="6"/>
  <c r="CG967" i="6"/>
  <c r="CF967" i="6"/>
  <c r="CE967" i="6"/>
  <c r="CD967" i="6"/>
  <c r="CC967" i="6"/>
  <c r="F967" i="6"/>
  <c r="E967" i="6"/>
  <c r="D967" i="6"/>
  <c r="C967" i="6"/>
  <c r="CO967" i="6" s="1"/>
  <c r="CK966" i="6"/>
  <c r="CJ966" i="6"/>
  <c r="CI966" i="6"/>
  <c r="CH966" i="6"/>
  <c r="CG966" i="6"/>
  <c r="CF966" i="6"/>
  <c r="CE966" i="6"/>
  <c r="CD966" i="6"/>
  <c r="CC966" i="6"/>
  <c r="F966" i="6"/>
  <c r="E966" i="6"/>
  <c r="D966" i="6"/>
  <c r="C966" i="6"/>
  <c r="CO966" i="6" s="1"/>
  <c r="CK965" i="6"/>
  <c r="CJ965" i="6"/>
  <c r="CI965" i="6"/>
  <c r="CH965" i="6"/>
  <c r="CG965" i="6"/>
  <c r="CF965" i="6"/>
  <c r="CE965" i="6"/>
  <c r="CD965" i="6"/>
  <c r="CC965" i="6"/>
  <c r="F965" i="6"/>
  <c r="E965" i="6"/>
  <c r="D965" i="6"/>
  <c r="C965" i="6"/>
  <c r="CO965" i="6" s="1"/>
  <c r="CK964" i="6"/>
  <c r="CJ964" i="6"/>
  <c r="CI964" i="6"/>
  <c r="CH964" i="6"/>
  <c r="CG964" i="6"/>
  <c r="CF964" i="6"/>
  <c r="CE964" i="6"/>
  <c r="CD964" i="6"/>
  <c r="CC964" i="6"/>
  <c r="F964" i="6"/>
  <c r="E964" i="6"/>
  <c r="D964" i="6"/>
  <c r="C964" i="6"/>
  <c r="CO964" i="6" s="1"/>
  <c r="CK963" i="6"/>
  <c r="CJ963" i="6"/>
  <c r="CI963" i="6"/>
  <c r="CH963" i="6"/>
  <c r="CG963" i="6"/>
  <c r="CF963" i="6"/>
  <c r="CE963" i="6"/>
  <c r="CD963" i="6"/>
  <c r="CC963" i="6"/>
  <c r="F963" i="6"/>
  <c r="E963" i="6"/>
  <c r="D963" i="6"/>
  <c r="C963" i="6"/>
  <c r="CO963" i="6" s="1"/>
  <c r="CK962" i="6"/>
  <c r="CJ962" i="6"/>
  <c r="CI962" i="6"/>
  <c r="CH962" i="6"/>
  <c r="CG962" i="6"/>
  <c r="CF962" i="6"/>
  <c r="CE962" i="6"/>
  <c r="CD962" i="6"/>
  <c r="CC962" i="6"/>
  <c r="F962" i="6"/>
  <c r="E962" i="6"/>
  <c r="D962" i="6"/>
  <c r="C962" i="6"/>
  <c r="CO962" i="6" s="1"/>
  <c r="CK961" i="6"/>
  <c r="CJ961" i="6"/>
  <c r="CI961" i="6"/>
  <c r="CH961" i="6"/>
  <c r="CG961" i="6"/>
  <c r="CF961" i="6"/>
  <c r="CE961" i="6"/>
  <c r="CD961" i="6"/>
  <c r="CC961" i="6"/>
  <c r="F961" i="6"/>
  <c r="E961" i="6"/>
  <c r="D961" i="6"/>
  <c r="C961" i="6"/>
  <c r="CO961" i="6" s="1"/>
  <c r="CM960" i="6"/>
  <c r="CK960" i="6"/>
  <c r="CJ960" i="6"/>
  <c r="CI960" i="6"/>
  <c r="CH960" i="6"/>
  <c r="CG960" i="6"/>
  <c r="CF960" i="6"/>
  <c r="CE960" i="6"/>
  <c r="CD960" i="6"/>
  <c r="CC960" i="6"/>
  <c r="F960" i="6"/>
  <c r="E960" i="6"/>
  <c r="D960" i="6"/>
  <c r="C960" i="6"/>
  <c r="CO960" i="6" s="1"/>
  <c r="CK959" i="6"/>
  <c r="CJ959" i="6"/>
  <c r="CI959" i="6"/>
  <c r="CH959" i="6"/>
  <c r="CG959" i="6"/>
  <c r="CF959" i="6"/>
  <c r="CE959" i="6"/>
  <c r="CD959" i="6"/>
  <c r="CC959" i="6"/>
  <c r="F959" i="6"/>
  <c r="E959" i="6"/>
  <c r="D959" i="6"/>
  <c r="C959" i="6"/>
  <c r="CO959" i="6" s="1"/>
  <c r="CM958" i="6"/>
  <c r="CK958" i="6"/>
  <c r="CJ958" i="6"/>
  <c r="CI958" i="6"/>
  <c r="CH958" i="6"/>
  <c r="CG958" i="6"/>
  <c r="CF958" i="6"/>
  <c r="CE958" i="6"/>
  <c r="CD958" i="6"/>
  <c r="CC958" i="6"/>
  <c r="F958" i="6"/>
  <c r="E958" i="6"/>
  <c r="D958" i="6"/>
  <c r="C958" i="6"/>
  <c r="CO958" i="6" s="1"/>
  <c r="CK957" i="6"/>
  <c r="CJ957" i="6"/>
  <c r="CI957" i="6"/>
  <c r="CH957" i="6"/>
  <c r="CG957" i="6"/>
  <c r="CF957" i="6"/>
  <c r="CE957" i="6"/>
  <c r="CD957" i="6"/>
  <c r="CC957" i="6"/>
  <c r="F957" i="6"/>
  <c r="E957" i="6"/>
  <c r="D957" i="6"/>
  <c r="C957" i="6"/>
  <c r="CO957" i="6" s="1"/>
  <c r="CM956" i="6"/>
  <c r="CK956" i="6"/>
  <c r="CJ956" i="6"/>
  <c r="CI956" i="6"/>
  <c r="CH956" i="6"/>
  <c r="CG956" i="6"/>
  <c r="CF956" i="6"/>
  <c r="CE956" i="6"/>
  <c r="CD956" i="6"/>
  <c r="CC956" i="6"/>
  <c r="F956" i="6"/>
  <c r="E956" i="6"/>
  <c r="D956" i="6"/>
  <c r="C956" i="6"/>
  <c r="CO956" i="6" s="1"/>
  <c r="CK955" i="6"/>
  <c r="CJ955" i="6"/>
  <c r="CI955" i="6"/>
  <c r="CH955" i="6"/>
  <c r="CG955" i="6"/>
  <c r="CF955" i="6"/>
  <c r="CE955" i="6"/>
  <c r="CD955" i="6"/>
  <c r="CC955" i="6"/>
  <c r="F955" i="6"/>
  <c r="E955" i="6"/>
  <c r="D955" i="6"/>
  <c r="C955" i="6"/>
  <c r="CO955" i="6" s="1"/>
  <c r="CM954" i="6"/>
  <c r="CK954" i="6"/>
  <c r="CJ954" i="6"/>
  <c r="CI954" i="6"/>
  <c r="CH954" i="6"/>
  <c r="CG954" i="6"/>
  <c r="CF954" i="6"/>
  <c r="CE954" i="6"/>
  <c r="CD954" i="6"/>
  <c r="CC954" i="6"/>
  <c r="F954" i="6"/>
  <c r="E954" i="6"/>
  <c r="D954" i="6"/>
  <c r="C954" i="6"/>
  <c r="CO954" i="6" s="1"/>
  <c r="CK953" i="6"/>
  <c r="CJ953" i="6"/>
  <c r="CI953" i="6"/>
  <c r="CH953" i="6"/>
  <c r="CG953" i="6"/>
  <c r="CF953" i="6"/>
  <c r="CE953" i="6"/>
  <c r="CD953" i="6"/>
  <c r="CC953" i="6"/>
  <c r="F953" i="6"/>
  <c r="E953" i="6"/>
  <c r="D953" i="6"/>
  <c r="C953" i="6"/>
  <c r="CO953" i="6" s="1"/>
  <c r="CM952" i="6"/>
  <c r="CK952" i="6"/>
  <c r="CJ952" i="6"/>
  <c r="CI952" i="6"/>
  <c r="CH952" i="6"/>
  <c r="CG952" i="6"/>
  <c r="CF952" i="6"/>
  <c r="CE952" i="6"/>
  <c r="CD952" i="6"/>
  <c r="CC952" i="6"/>
  <c r="F952" i="6"/>
  <c r="E952" i="6"/>
  <c r="D952" i="6"/>
  <c r="C952" i="6"/>
  <c r="CO952" i="6" s="1"/>
  <c r="CK951" i="6"/>
  <c r="CJ951" i="6"/>
  <c r="CI951" i="6"/>
  <c r="CH951" i="6"/>
  <c r="CG951" i="6"/>
  <c r="CF951" i="6"/>
  <c r="CE951" i="6"/>
  <c r="CD951" i="6"/>
  <c r="CC951" i="6"/>
  <c r="F951" i="6"/>
  <c r="E951" i="6"/>
  <c r="D951" i="6"/>
  <c r="C951" i="6"/>
  <c r="CO951" i="6" s="1"/>
  <c r="CM950" i="6"/>
  <c r="CK950" i="6"/>
  <c r="CJ950" i="6"/>
  <c r="CI950" i="6"/>
  <c r="CH950" i="6"/>
  <c r="CG950" i="6"/>
  <c r="CF950" i="6"/>
  <c r="CE950" i="6"/>
  <c r="CD950" i="6"/>
  <c r="CC950" i="6"/>
  <c r="F950" i="6"/>
  <c r="E950" i="6"/>
  <c r="D950" i="6"/>
  <c r="C950" i="6"/>
  <c r="CO950" i="6" s="1"/>
  <c r="CK949" i="6"/>
  <c r="CJ949" i="6"/>
  <c r="CI949" i="6"/>
  <c r="CH949" i="6"/>
  <c r="CG949" i="6"/>
  <c r="CF949" i="6"/>
  <c r="CE949" i="6"/>
  <c r="CD949" i="6"/>
  <c r="CC949" i="6"/>
  <c r="F949" i="6"/>
  <c r="E949" i="6"/>
  <c r="D949" i="6"/>
  <c r="C949" i="6"/>
  <c r="CO949" i="6" s="1"/>
  <c r="CM948" i="6"/>
  <c r="CK948" i="6"/>
  <c r="CJ948" i="6"/>
  <c r="CI948" i="6"/>
  <c r="CH948" i="6"/>
  <c r="CG948" i="6"/>
  <c r="CF948" i="6"/>
  <c r="CE948" i="6"/>
  <c r="CD948" i="6"/>
  <c r="CC948" i="6"/>
  <c r="F948" i="6"/>
  <c r="E948" i="6"/>
  <c r="D948" i="6"/>
  <c r="C948" i="6"/>
  <c r="CO948" i="6" s="1"/>
  <c r="CK947" i="6"/>
  <c r="CJ947" i="6"/>
  <c r="CI947" i="6"/>
  <c r="CH947" i="6"/>
  <c r="CG947" i="6"/>
  <c r="CF947" i="6"/>
  <c r="CE947" i="6"/>
  <c r="CD947" i="6"/>
  <c r="CC947" i="6"/>
  <c r="F947" i="6"/>
  <c r="E947" i="6"/>
  <c r="D947" i="6"/>
  <c r="C947" i="6"/>
  <c r="CO947" i="6" s="1"/>
  <c r="CM946" i="6"/>
  <c r="CK946" i="6"/>
  <c r="CJ946" i="6"/>
  <c r="CI946" i="6"/>
  <c r="CH946" i="6"/>
  <c r="CG946" i="6"/>
  <c r="CF946" i="6"/>
  <c r="CE946" i="6"/>
  <c r="CD946" i="6"/>
  <c r="CC946" i="6"/>
  <c r="F946" i="6"/>
  <c r="E946" i="6"/>
  <c r="D946" i="6"/>
  <c r="C946" i="6"/>
  <c r="CO946" i="6" s="1"/>
  <c r="CK945" i="6"/>
  <c r="CJ945" i="6"/>
  <c r="CI945" i="6"/>
  <c r="CH945" i="6"/>
  <c r="CG945" i="6"/>
  <c r="CF945" i="6"/>
  <c r="CE945" i="6"/>
  <c r="CD945" i="6"/>
  <c r="CC945" i="6"/>
  <c r="F945" i="6"/>
  <c r="E945" i="6"/>
  <c r="D945" i="6"/>
  <c r="C945" i="6"/>
  <c r="CO945" i="6" s="1"/>
  <c r="CM944" i="6"/>
  <c r="CK944" i="6"/>
  <c r="CJ944" i="6"/>
  <c r="CI944" i="6"/>
  <c r="CH944" i="6"/>
  <c r="CG944" i="6"/>
  <c r="CF944" i="6"/>
  <c r="CE944" i="6"/>
  <c r="CD944" i="6"/>
  <c r="CC944" i="6"/>
  <c r="F944" i="6"/>
  <c r="E944" i="6"/>
  <c r="D944" i="6"/>
  <c r="C944" i="6"/>
  <c r="CO944" i="6" s="1"/>
  <c r="CK943" i="6"/>
  <c r="CJ943" i="6"/>
  <c r="CI943" i="6"/>
  <c r="CH943" i="6"/>
  <c r="CG943" i="6"/>
  <c r="CF943" i="6"/>
  <c r="CE943" i="6"/>
  <c r="CD943" i="6"/>
  <c r="CC943" i="6"/>
  <c r="F943" i="6"/>
  <c r="E943" i="6"/>
  <c r="D943" i="6"/>
  <c r="C943" i="6"/>
  <c r="CO943" i="6" s="1"/>
  <c r="CM942" i="6"/>
  <c r="CK942" i="6"/>
  <c r="CJ942" i="6"/>
  <c r="CI942" i="6"/>
  <c r="CH942" i="6"/>
  <c r="CG942" i="6"/>
  <c r="CF942" i="6"/>
  <c r="CE942" i="6"/>
  <c r="CD942" i="6"/>
  <c r="CC942" i="6"/>
  <c r="F942" i="6"/>
  <c r="E942" i="6"/>
  <c r="D942" i="6"/>
  <c r="C942" i="6"/>
  <c r="CO942" i="6" s="1"/>
  <c r="CK941" i="6"/>
  <c r="CJ941" i="6"/>
  <c r="CI941" i="6"/>
  <c r="CH941" i="6"/>
  <c r="CG941" i="6"/>
  <c r="CF941" i="6"/>
  <c r="CE941" i="6"/>
  <c r="CD941" i="6"/>
  <c r="CC941" i="6"/>
  <c r="F941" i="6"/>
  <c r="E941" i="6"/>
  <c r="D941" i="6"/>
  <c r="C941" i="6"/>
  <c r="CO941" i="6" s="1"/>
  <c r="CM940" i="6"/>
  <c r="CK940" i="6"/>
  <c r="CJ940" i="6"/>
  <c r="CI940" i="6"/>
  <c r="CH940" i="6"/>
  <c r="CG940" i="6"/>
  <c r="CF940" i="6"/>
  <c r="CE940" i="6"/>
  <c r="CD940" i="6"/>
  <c r="CC940" i="6"/>
  <c r="F940" i="6"/>
  <c r="E940" i="6"/>
  <c r="D940" i="6"/>
  <c r="C940" i="6"/>
  <c r="CO940" i="6" s="1"/>
  <c r="CK939" i="6"/>
  <c r="CJ939" i="6"/>
  <c r="CI939" i="6"/>
  <c r="CH939" i="6"/>
  <c r="CG939" i="6"/>
  <c r="CF939" i="6"/>
  <c r="CE939" i="6"/>
  <c r="CD939" i="6"/>
  <c r="CC939" i="6"/>
  <c r="F939" i="6"/>
  <c r="E939" i="6"/>
  <c r="D939" i="6"/>
  <c r="C939" i="6"/>
  <c r="CO939" i="6" s="1"/>
  <c r="CM938" i="6"/>
  <c r="CK938" i="6"/>
  <c r="CJ938" i="6"/>
  <c r="CI938" i="6"/>
  <c r="CH938" i="6"/>
  <c r="CG938" i="6"/>
  <c r="CF938" i="6"/>
  <c r="CE938" i="6"/>
  <c r="CD938" i="6"/>
  <c r="CC938" i="6"/>
  <c r="F938" i="6"/>
  <c r="E938" i="6"/>
  <c r="D938" i="6"/>
  <c r="C938" i="6"/>
  <c r="CO938" i="6" s="1"/>
  <c r="CK937" i="6"/>
  <c r="CJ937" i="6"/>
  <c r="CI937" i="6"/>
  <c r="CH937" i="6"/>
  <c r="CG937" i="6"/>
  <c r="CF937" i="6"/>
  <c r="CE937" i="6"/>
  <c r="CD937" i="6"/>
  <c r="CC937" i="6"/>
  <c r="F937" i="6"/>
  <c r="E937" i="6"/>
  <c r="D937" i="6"/>
  <c r="C937" i="6"/>
  <c r="CO937" i="6" s="1"/>
  <c r="CM936" i="6"/>
  <c r="CK936" i="6"/>
  <c r="CJ936" i="6"/>
  <c r="CI936" i="6"/>
  <c r="CH936" i="6"/>
  <c r="CG936" i="6"/>
  <c r="CF936" i="6"/>
  <c r="CE936" i="6"/>
  <c r="CD936" i="6"/>
  <c r="CC936" i="6"/>
  <c r="F936" i="6"/>
  <c r="E936" i="6"/>
  <c r="D936" i="6"/>
  <c r="C936" i="6"/>
  <c r="CO936" i="6" s="1"/>
  <c r="CK935" i="6"/>
  <c r="CJ935" i="6"/>
  <c r="CI935" i="6"/>
  <c r="CH935" i="6"/>
  <c r="CG935" i="6"/>
  <c r="CF935" i="6"/>
  <c r="CE935" i="6"/>
  <c r="CD935" i="6"/>
  <c r="CC935" i="6"/>
  <c r="F935" i="6"/>
  <c r="E935" i="6"/>
  <c r="D935" i="6"/>
  <c r="C935" i="6"/>
  <c r="CO935" i="6" s="1"/>
  <c r="CM934" i="6"/>
  <c r="CK934" i="6"/>
  <c r="CJ934" i="6"/>
  <c r="CI934" i="6"/>
  <c r="CH934" i="6"/>
  <c r="CG934" i="6"/>
  <c r="CF934" i="6"/>
  <c r="CE934" i="6"/>
  <c r="CD934" i="6"/>
  <c r="CC934" i="6"/>
  <c r="F934" i="6"/>
  <c r="E934" i="6"/>
  <c r="D934" i="6"/>
  <c r="C934" i="6"/>
  <c r="CO934" i="6" s="1"/>
  <c r="CK933" i="6"/>
  <c r="CJ933" i="6"/>
  <c r="CI933" i="6"/>
  <c r="CH933" i="6"/>
  <c r="CG933" i="6"/>
  <c r="CF933" i="6"/>
  <c r="CE933" i="6"/>
  <c r="CD933" i="6"/>
  <c r="CC933" i="6"/>
  <c r="F933" i="6"/>
  <c r="E933" i="6"/>
  <c r="D933" i="6"/>
  <c r="C933" i="6"/>
  <c r="CO933" i="6" s="1"/>
  <c r="CM932" i="6"/>
  <c r="CK932" i="6"/>
  <c r="CJ932" i="6"/>
  <c r="CI932" i="6"/>
  <c r="CH932" i="6"/>
  <c r="CG932" i="6"/>
  <c r="CF932" i="6"/>
  <c r="CE932" i="6"/>
  <c r="CD932" i="6"/>
  <c r="CC932" i="6"/>
  <c r="F932" i="6"/>
  <c r="E932" i="6"/>
  <c r="D932" i="6"/>
  <c r="C932" i="6"/>
  <c r="CO932" i="6" s="1"/>
  <c r="CK931" i="6"/>
  <c r="CJ931" i="6"/>
  <c r="CI931" i="6"/>
  <c r="CH931" i="6"/>
  <c r="CG931" i="6"/>
  <c r="CF931" i="6"/>
  <c r="CE931" i="6"/>
  <c r="CD931" i="6"/>
  <c r="CC931" i="6"/>
  <c r="F931" i="6"/>
  <c r="E931" i="6"/>
  <c r="D931" i="6"/>
  <c r="C931" i="6"/>
  <c r="CO931" i="6" s="1"/>
  <c r="CM930" i="6"/>
  <c r="CK930" i="6"/>
  <c r="CJ930" i="6"/>
  <c r="CI930" i="6"/>
  <c r="CH930" i="6"/>
  <c r="CG930" i="6"/>
  <c r="CF930" i="6"/>
  <c r="CE930" i="6"/>
  <c r="CD930" i="6"/>
  <c r="CC930" i="6"/>
  <c r="F930" i="6"/>
  <c r="E930" i="6"/>
  <c r="D930" i="6"/>
  <c r="C930" i="6"/>
  <c r="CO930" i="6" s="1"/>
  <c r="CK929" i="6"/>
  <c r="CJ929" i="6"/>
  <c r="CI929" i="6"/>
  <c r="CH929" i="6"/>
  <c r="CG929" i="6"/>
  <c r="CF929" i="6"/>
  <c r="CE929" i="6"/>
  <c r="CD929" i="6"/>
  <c r="CC929" i="6"/>
  <c r="F929" i="6"/>
  <c r="E929" i="6"/>
  <c r="D929" i="6"/>
  <c r="C929" i="6"/>
  <c r="CO929" i="6" s="1"/>
  <c r="CM928" i="6"/>
  <c r="CK928" i="6"/>
  <c r="CJ928" i="6"/>
  <c r="CI928" i="6"/>
  <c r="CH928" i="6"/>
  <c r="CG928" i="6"/>
  <c r="CF928" i="6"/>
  <c r="CE928" i="6"/>
  <c r="CD928" i="6"/>
  <c r="CC928" i="6"/>
  <c r="F928" i="6"/>
  <c r="E928" i="6"/>
  <c r="D928" i="6"/>
  <c r="C928" i="6"/>
  <c r="CO928" i="6" s="1"/>
  <c r="CK927" i="6"/>
  <c r="CJ927" i="6"/>
  <c r="CI927" i="6"/>
  <c r="CH927" i="6"/>
  <c r="CG927" i="6"/>
  <c r="CF927" i="6"/>
  <c r="CE927" i="6"/>
  <c r="CD927" i="6"/>
  <c r="CC927" i="6"/>
  <c r="F927" i="6"/>
  <c r="E927" i="6"/>
  <c r="D927" i="6"/>
  <c r="C927" i="6"/>
  <c r="CO927" i="6" s="1"/>
  <c r="CM926" i="6"/>
  <c r="CK926" i="6"/>
  <c r="CJ926" i="6"/>
  <c r="CI926" i="6"/>
  <c r="CH926" i="6"/>
  <c r="CG926" i="6"/>
  <c r="CF926" i="6"/>
  <c r="CE926" i="6"/>
  <c r="CD926" i="6"/>
  <c r="CC926" i="6"/>
  <c r="F926" i="6"/>
  <c r="E926" i="6"/>
  <c r="D926" i="6"/>
  <c r="C926" i="6"/>
  <c r="CO926" i="6" s="1"/>
  <c r="CK925" i="6"/>
  <c r="CJ925" i="6"/>
  <c r="CI925" i="6"/>
  <c r="CH925" i="6"/>
  <c r="CG925" i="6"/>
  <c r="CF925" i="6"/>
  <c r="CE925" i="6"/>
  <c r="CD925" i="6"/>
  <c r="CC925" i="6"/>
  <c r="F925" i="6"/>
  <c r="E925" i="6"/>
  <c r="D925" i="6"/>
  <c r="C925" i="6"/>
  <c r="CO925" i="6" s="1"/>
  <c r="CM924" i="6"/>
  <c r="CK924" i="6"/>
  <c r="CJ924" i="6"/>
  <c r="CI924" i="6"/>
  <c r="CH924" i="6"/>
  <c r="CG924" i="6"/>
  <c r="CF924" i="6"/>
  <c r="CE924" i="6"/>
  <c r="CD924" i="6"/>
  <c r="CC924" i="6"/>
  <c r="F924" i="6"/>
  <c r="E924" i="6"/>
  <c r="D924" i="6"/>
  <c r="C924" i="6"/>
  <c r="CO924" i="6" s="1"/>
  <c r="CK923" i="6"/>
  <c r="CJ923" i="6"/>
  <c r="CI923" i="6"/>
  <c r="CH923" i="6"/>
  <c r="CG923" i="6"/>
  <c r="CF923" i="6"/>
  <c r="CE923" i="6"/>
  <c r="CD923" i="6"/>
  <c r="CC923" i="6"/>
  <c r="F923" i="6"/>
  <c r="E923" i="6"/>
  <c r="D923" i="6"/>
  <c r="C923" i="6"/>
  <c r="CO923" i="6" s="1"/>
  <c r="CM922" i="6"/>
  <c r="CK922" i="6"/>
  <c r="CJ922" i="6"/>
  <c r="CI922" i="6"/>
  <c r="CH922" i="6"/>
  <c r="CG922" i="6"/>
  <c r="CF922" i="6"/>
  <c r="CE922" i="6"/>
  <c r="CD922" i="6"/>
  <c r="CC922" i="6"/>
  <c r="F922" i="6"/>
  <c r="E922" i="6"/>
  <c r="D922" i="6"/>
  <c r="C922" i="6"/>
  <c r="CO922" i="6" s="1"/>
  <c r="CK921" i="6"/>
  <c r="CJ921" i="6"/>
  <c r="CI921" i="6"/>
  <c r="CH921" i="6"/>
  <c r="CG921" i="6"/>
  <c r="CF921" i="6"/>
  <c r="CE921" i="6"/>
  <c r="CD921" i="6"/>
  <c r="CC921" i="6"/>
  <c r="F921" i="6"/>
  <c r="E921" i="6"/>
  <c r="D921" i="6"/>
  <c r="C921" i="6"/>
  <c r="CO921" i="6" s="1"/>
  <c r="CM920" i="6"/>
  <c r="CK920" i="6"/>
  <c r="CJ920" i="6"/>
  <c r="CI920" i="6"/>
  <c r="CH920" i="6"/>
  <c r="CG920" i="6"/>
  <c r="CF920" i="6"/>
  <c r="CE920" i="6"/>
  <c r="CD920" i="6"/>
  <c r="CC920" i="6"/>
  <c r="F920" i="6"/>
  <c r="E920" i="6"/>
  <c r="D920" i="6"/>
  <c r="C920" i="6"/>
  <c r="CO920" i="6" s="1"/>
  <c r="CK919" i="6"/>
  <c r="CJ919" i="6"/>
  <c r="CI919" i="6"/>
  <c r="CH919" i="6"/>
  <c r="CG919" i="6"/>
  <c r="CF919" i="6"/>
  <c r="CE919" i="6"/>
  <c r="CD919" i="6"/>
  <c r="CC919" i="6"/>
  <c r="F919" i="6"/>
  <c r="E919" i="6"/>
  <c r="D919" i="6"/>
  <c r="C919" i="6"/>
  <c r="CO919" i="6" s="1"/>
  <c r="CM918" i="6"/>
  <c r="CK918" i="6"/>
  <c r="CJ918" i="6"/>
  <c r="CI918" i="6"/>
  <c r="CH918" i="6"/>
  <c r="CG918" i="6"/>
  <c r="CF918" i="6"/>
  <c r="CE918" i="6"/>
  <c r="CD918" i="6"/>
  <c r="CC918" i="6"/>
  <c r="F918" i="6"/>
  <c r="E918" i="6"/>
  <c r="D918" i="6"/>
  <c r="C918" i="6"/>
  <c r="CO918" i="6" s="1"/>
  <c r="CK917" i="6"/>
  <c r="CJ917" i="6"/>
  <c r="CI917" i="6"/>
  <c r="CH917" i="6"/>
  <c r="CG917" i="6"/>
  <c r="CF917" i="6"/>
  <c r="CE917" i="6"/>
  <c r="CD917" i="6"/>
  <c r="CC917" i="6"/>
  <c r="F917" i="6"/>
  <c r="E917" i="6"/>
  <c r="D917" i="6"/>
  <c r="C917" i="6"/>
  <c r="CO917" i="6" s="1"/>
  <c r="CM916" i="6"/>
  <c r="CK916" i="6"/>
  <c r="CJ916" i="6"/>
  <c r="CI916" i="6"/>
  <c r="CH916" i="6"/>
  <c r="CG916" i="6"/>
  <c r="CF916" i="6"/>
  <c r="CE916" i="6"/>
  <c r="CD916" i="6"/>
  <c r="CC916" i="6"/>
  <c r="F916" i="6"/>
  <c r="E916" i="6"/>
  <c r="D916" i="6"/>
  <c r="C916" i="6"/>
  <c r="CO916" i="6" s="1"/>
  <c r="CK915" i="6"/>
  <c r="CJ915" i="6"/>
  <c r="CI915" i="6"/>
  <c r="CH915" i="6"/>
  <c r="CG915" i="6"/>
  <c r="CF915" i="6"/>
  <c r="CE915" i="6"/>
  <c r="CD915" i="6"/>
  <c r="CC915" i="6"/>
  <c r="F915" i="6"/>
  <c r="E915" i="6"/>
  <c r="D915" i="6"/>
  <c r="C915" i="6"/>
  <c r="CO915" i="6" s="1"/>
  <c r="CM914" i="6"/>
  <c r="CK914" i="6"/>
  <c r="CJ914" i="6"/>
  <c r="CI914" i="6"/>
  <c r="CH914" i="6"/>
  <c r="CG914" i="6"/>
  <c r="CF914" i="6"/>
  <c r="CE914" i="6"/>
  <c r="CD914" i="6"/>
  <c r="CC914" i="6"/>
  <c r="F914" i="6"/>
  <c r="E914" i="6"/>
  <c r="D914" i="6"/>
  <c r="C914" i="6"/>
  <c r="CO914" i="6" s="1"/>
  <c r="CK913" i="6"/>
  <c r="CJ913" i="6"/>
  <c r="CI913" i="6"/>
  <c r="CH913" i="6"/>
  <c r="CG913" i="6"/>
  <c r="CF913" i="6"/>
  <c r="CE913" i="6"/>
  <c r="CD913" i="6"/>
  <c r="CC913" i="6"/>
  <c r="F913" i="6"/>
  <c r="E913" i="6"/>
  <c r="D913" i="6"/>
  <c r="C913" i="6"/>
  <c r="CO913" i="6" s="1"/>
  <c r="CM912" i="6"/>
  <c r="CK912" i="6"/>
  <c r="CJ912" i="6"/>
  <c r="CI912" i="6"/>
  <c r="CH912" i="6"/>
  <c r="CG912" i="6"/>
  <c r="CF912" i="6"/>
  <c r="CE912" i="6"/>
  <c r="CD912" i="6"/>
  <c r="CC912" i="6"/>
  <c r="F912" i="6"/>
  <c r="E912" i="6"/>
  <c r="D912" i="6"/>
  <c r="C912" i="6"/>
  <c r="CO912" i="6" s="1"/>
  <c r="CK911" i="6"/>
  <c r="CJ911" i="6"/>
  <c r="CI911" i="6"/>
  <c r="CH911" i="6"/>
  <c r="CG911" i="6"/>
  <c r="CF911" i="6"/>
  <c r="CE911" i="6"/>
  <c r="CD911" i="6"/>
  <c r="CC911" i="6"/>
  <c r="F911" i="6"/>
  <c r="E911" i="6"/>
  <c r="D911" i="6"/>
  <c r="C911" i="6"/>
  <c r="CO911" i="6" s="1"/>
  <c r="CM910" i="6"/>
  <c r="CK910" i="6"/>
  <c r="CJ910" i="6"/>
  <c r="CI910" i="6"/>
  <c r="CH910" i="6"/>
  <c r="CG910" i="6"/>
  <c r="CF910" i="6"/>
  <c r="CE910" i="6"/>
  <c r="CD910" i="6"/>
  <c r="CC910" i="6"/>
  <c r="F910" i="6"/>
  <c r="E910" i="6"/>
  <c r="D910" i="6"/>
  <c r="C910" i="6"/>
  <c r="CO910" i="6" s="1"/>
  <c r="CK909" i="6"/>
  <c r="CJ909" i="6"/>
  <c r="CI909" i="6"/>
  <c r="CH909" i="6"/>
  <c r="CG909" i="6"/>
  <c r="CF909" i="6"/>
  <c r="CE909" i="6"/>
  <c r="CD909" i="6"/>
  <c r="CC909" i="6"/>
  <c r="F909" i="6"/>
  <c r="E909" i="6"/>
  <c r="D909" i="6"/>
  <c r="C909" i="6"/>
  <c r="CO909" i="6" s="1"/>
  <c r="CM908" i="6"/>
  <c r="CK908" i="6"/>
  <c r="CJ908" i="6"/>
  <c r="CI908" i="6"/>
  <c r="CH908" i="6"/>
  <c r="CG908" i="6"/>
  <c r="CF908" i="6"/>
  <c r="CE908" i="6"/>
  <c r="CD908" i="6"/>
  <c r="CC908" i="6"/>
  <c r="F908" i="6"/>
  <c r="E908" i="6"/>
  <c r="D908" i="6"/>
  <c r="C908" i="6"/>
  <c r="CO908" i="6" s="1"/>
  <c r="CK907" i="6"/>
  <c r="CJ907" i="6"/>
  <c r="CI907" i="6"/>
  <c r="CH907" i="6"/>
  <c r="CG907" i="6"/>
  <c r="CF907" i="6"/>
  <c r="CE907" i="6"/>
  <c r="CD907" i="6"/>
  <c r="CC907" i="6"/>
  <c r="F907" i="6"/>
  <c r="E907" i="6"/>
  <c r="D907" i="6"/>
  <c r="C907" i="6"/>
  <c r="CO907" i="6" s="1"/>
  <c r="CM906" i="6"/>
  <c r="CK906" i="6"/>
  <c r="CJ906" i="6"/>
  <c r="CI906" i="6"/>
  <c r="CH906" i="6"/>
  <c r="CG906" i="6"/>
  <c r="CF906" i="6"/>
  <c r="CE906" i="6"/>
  <c r="CD906" i="6"/>
  <c r="CC906" i="6"/>
  <c r="F906" i="6"/>
  <c r="E906" i="6"/>
  <c r="D906" i="6"/>
  <c r="C906" i="6"/>
  <c r="CO906" i="6" s="1"/>
  <c r="CK905" i="6"/>
  <c r="CJ905" i="6"/>
  <c r="CI905" i="6"/>
  <c r="CH905" i="6"/>
  <c r="CG905" i="6"/>
  <c r="CF905" i="6"/>
  <c r="CE905" i="6"/>
  <c r="CD905" i="6"/>
  <c r="CC905" i="6"/>
  <c r="F905" i="6"/>
  <c r="E905" i="6"/>
  <c r="D905" i="6"/>
  <c r="C905" i="6"/>
  <c r="CO905" i="6" s="1"/>
  <c r="CM904" i="6"/>
  <c r="CK904" i="6"/>
  <c r="CJ904" i="6"/>
  <c r="CI904" i="6"/>
  <c r="CH904" i="6"/>
  <c r="CG904" i="6"/>
  <c r="CF904" i="6"/>
  <c r="CE904" i="6"/>
  <c r="CD904" i="6"/>
  <c r="CC904" i="6"/>
  <c r="F904" i="6"/>
  <c r="E904" i="6"/>
  <c r="D904" i="6"/>
  <c r="C904" i="6"/>
  <c r="CO904" i="6" s="1"/>
  <c r="CK903" i="6"/>
  <c r="CJ903" i="6"/>
  <c r="CI903" i="6"/>
  <c r="CH903" i="6"/>
  <c r="CG903" i="6"/>
  <c r="CF903" i="6"/>
  <c r="CE903" i="6"/>
  <c r="CD903" i="6"/>
  <c r="CC903" i="6"/>
  <c r="F903" i="6"/>
  <c r="E903" i="6"/>
  <c r="D903" i="6"/>
  <c r="C903" i="6"/>
  <c r="CO903" i="6" s="1"/>
  <c r="CM902" i="6"/>
  <c r="CK902" i="6"/>
  <c r="CJ902" i="6"/>
  <c r="CI902" i="6"/>
  <c r="CH902" i="6"/>
  <c r="CG902" i="6"/>
  <c r="CF902" i="6"/>
  <c r="CE902" i="6"/>
  <c r="CD902" i="6"/>
  <c r="CC902" i="6"/>
  <c r="F902" i="6"/>
  <c r="E902" i="6"/>
  <c r="D902" i="6"/>
  <c r="C902" i="6"/>
  <c r="CO902" i="6" s="1"/>
  <c r="CK901" i="6"/>
  <c r="CJ901" i="6"/>
  <c r="CI901" i="6"/>
  <c r="CH901" i="6"/>
  <c r="CG901" i="6"/>
  <c r="CF901" i="6"/>
  <c r="CE901" i="6"/>
  <c r="CD901" i="6"/>
  <c r="CC901" i="6"/>
  <c r="F901" i="6"/>
  <c r="E901" i="6"/>
  <c r="D901" i="6"/>
  <c r="C901" i="6"/>
  <c r="CO901" i="6" s="1"/>
  <c r="CM900" i="6"/>
  <c r="CK900" i="6"/>
  <c r="CJ900" i="6"/>
  <c r="CI900" i="6"/>
  <c r="CH900" i="6"/>
  <c r="CG900" i="6"/>
  <c r="CF900" i="6"/>
  <c r="CE900" i="6"/>
  <c r="CD900" i="6"/>
  <c r="CC900" i="6"/>
  <c r="F900" i="6"/>
  <c r="E900" i="6"/>
  <c r="D900" i="6"/>
  <c r="C900" i="6"/>
  <c r="CO900" i="6" s="1"/>
  <c r="CK899" i="6"/>
  <c r="CJ899" i="6"/>
  <c r="CI899" i="6"/>
  <c r="CH899" i="6"/>
  <c r="CG899" i="6"/>
  <c r="CF899" i="6"/>
  <c r="CE899" i="6"/>
  <c r="CD899" i="6"/>
  <c r="CC899" i="6"/>
  <c r="F899" i="6"/>
  <c r="E899" i="6"/>
  <c r="D899" i="6"/>
  <c r="C899" i="6"/>
  <c r="CO899" i="6" s="1"/>
  <c r="CM898" i="6"/>
  <c r="CK898" i="6"/>
  <c r="CJ898" i="6"/>
  <c r="CI898" i="6"/>
  <c r="CH898" i="6"/>
  <c r="CG898" i="6"/>
  <c r="CF898" i="6"/>
  <c r="CE898" i="6"/>
  <c r="CD898" i="6"/>
  <c r="CC898" i="6"/>
  <c r="F898" i="6"/>
  <c r="E898" i="6"/>
  <c r="D898" i="6"/>
  <c r="C898" i="6"/>
  <c r="CO898" i="6" s="1"/>
  <c r="CK897" i="6"/>
  <c r="CJ897" i="6"/>
  <c r="CI897" i="6"/>
  <c r="CH897" i="6"/>
  <c r="CG897" i="6"/>
  <c r="CF897" i="6"/>
  <c r="CE897" i="6"/>
  <c r="CD897" i="6"/>
  <c r="CC897" i="6"/>
  <c r="F897" i="6"/>
  <c r="E897" i="6"/>
  <c r="D897" i="6"/>
  <c r="C897" i="6"/>
  <c r="CO897" i="6" s="1"/>
  <c r="CM896" i="6"/>
  <c r="CK896" i="6"/>
  <c r="CJ896" i="6"/>
  <c r="CI896" i="6"/>
  <c r="CH896" i="6"/>
  <c r="CG896" i="6"/>
  <c r="CF896" i="6"/>
  <c r="CE896" i="6"/>
  <c r="CD896" i="6"/>
  <c r="CC896" i="6"/>
  <c r="F896" i="6"/>
  <c r="E896" i="6"/>
  <c r="D896" i="6"/>
  <c r="C896" i="6"/>
  <c r="CO896" i="6" s="1"/>
  <c r="CK895" i="6"/>
  <c r="CJ895" i="6"/>
  <c r="CI895" i="6"/>
  <c r="CH895" i="6"/>
  <c r="CG895" i="6"/>
  <c r="CF895" i="6"/>
  <c r="CE895" i="6"/>
  <c r="CD895" i="6"/>
  <c r="CC895" i="6"/>
  <c r="F895" i="6"/>
  <c r="E895" i="6"/>
  <c r="D895" i="6"/>
  <c r="C895" i="6"/>
  <c r="CO895" i="6" s="1"/>
  <c r="CM894" i="6"/>
  <c r="CK894" i="6"/>
  <c r="CJ894" i="6"/>
  <c r="CI894" i="6"/>
  <c r="CH894" i="6"/>
  <c r="CG894" i="6"/>
  <c r="CF894" i="6"/>
  <c r="CE894" i="6"/>
  <c r="CD894" i="6"/>
  <c r="CC894" i="6"/>
  <c r="F894" i="6"/>
  <c r="E894" i="6"/>
  <c r="D894" i="6"/>
  <c r="C894" i="6"/>
  <c r="CO894" i="6" s="1"/>
  <c r="CK893" i="6"/>
  <c r="CJ893" i="6"/>
  <c r="CI893" i="6"/>
  <c r="CH893" i="6"/>
  <c r="CG893" i="6"/>
  <c r="CF893" i="6"/>
  <c r="CE893" i="6"/>
  <c r="CD893" i="6"/>
  <c r="CC893" i="6"/>
  <c r="F893" i="6"/>
  <c r="E893" i="6"/>
  <c r="D893" i="6"/>
  <c r="C893" i="6"/>
  <c r="CO893" i="6" s="1"/>
  <c r="CM892" i="6"/>
  <c r="CK892" i="6"/>
  <c r="CJ892" i="6"/>
  <c r="CI892" i="6"/>
  <c r="CH892" i="6"/>
  <c r="CG892" i="6"/>
  <c r="CF892" i="6"/>
  <c r="CE892" i="6"/>
  <c r="CD892" i="6"/>
  <c r="CC892" i="6"/>
  <c r="F892" i="6"/>
  <c r="E892" i="6"/>
  <c r="D892" i="6"/>
  <c r="C892" i="6"/>
  <c r="CO892" i="6" s="1"/>
  <c r="CK891" i="6"/>
  <c r="CJ891" i="6"/>
  <c r="CI891" i="6"/>
  <c r="CH891" i="6"/>
  <c r="CG891" i="6"/>
  <c r="CF891" i="6"/>
  <c r="CE891" i="6"/>
  <c r="CD891" i="6"/>
  <c r="CC891" i="6"/>
  <c r="F891" i="6"/>
  <c r="E891" i="6"/>
  <c r="D891" i="6"/>
  <c r="C891" i="6"/>
  <c r="CO891" i="6" s="1"/>
  <c r="CM890" i="6"/>
  <c r="CK890" i="6"/>
  <c r="CJ890" i="6"/>
  <c r="CI890" i="6"/>
  <c r="CH890" i="6"/>
  <c r="CG890" i="6"/>
  <c r="CF890" i="6"/>
  <c r="CE890" i="6"/>
  <c r="CD890" i="6"/>
  <c r="CC890" i="6"/>
  <c r="F890" i="6"/>
  <c r="E890" i="6"/>
  <c r="D890" i="6"/>
  <c r="C890" i="6"/>
  <c r="CO890" i="6" s="1"/>
  <c r="CK889" i="6"/>
  <c r="CJ889" i="6"/>
  <c r="CI889" i="6"/>
  <c r="CH889" i="6"/>
  <c r="CG889" i="6"/>
  <c r="CF889" i="6"/>
  <c r="CE889" i="6"/>
  <c r="CD889" i="6"/>
  <c r="CC889" i="6"/>
  <c r="F889" i="6"/>
  <c r="E889" i="6"/>
  <c r="D889" i="6"/>
  <c r="C889" i="6"/>
  <c r="CO889" i="6" s="1"/>
  <c r="CM888" i="6"/>
  <c r="CK888" i="6"/>
  <c r="CJ888" i="6"/>
  <c r="CI888" i="6"/>
  <c r="CH888" i="6"/>
  <c r="CG888" i="6"/>
  <c r="CF888" i="6"/>
  <c r="CE888" i="6"/>
  <c r="CD888" i="6"/>
  <c r="CC888" i="6"/>
  <c r="F888" i="6"/>
  <c r="E888" i="6"/>
  <c r="D888" i="6"/>
  <c r="C888" i="6"/>
  <c r="CO888" i="6" s="1"/>
  <c r="CK887" i="6"/>
  <c r="CJ887" i="6"/>
  <c r="CI887" i="6"/>
  <c r="CH887" i="6"/>
  <c r="CG887" i="6"/>
  <c r="CF887" i="6"/>
  <c r="CE887" i="6"/>
  <c r="CD887" i="6"/>
  <c r="CC887" i="6"/>
  <c r="F887" i="6"/>
  <c r="E887" i="6"/>
  <c r="D887" i="6"/>
  <c r="C887" i="6"/>
  <c r="CO887" i="6" s="1"/>
  <c r="CM886" i="6"/>
  <c r="CK886" i="6"/>
  <c r="CJ886" i="6"/>
  <c r="CI886" i="6"/>
  <c r="CH886" i="6"/>
  <c r="CG886" i="6"/>
  <c r="CF886" i="6"/>
  <c r="CE886" i="6"/>
  <c r="CD886" i="6"/>
  <c r="CC886" i="6"/>
  <c r="F886" i="6"/>
  <c r="E886" i="6"/>
  <c r="D886" i="6"/>
  <c r="C886" i="6"/>
  <c r="CO886" i="6" s="1"/>
  <c r="CK885" i="6"/>
  <c r="CJ885" i="6"/>
  <c r="CI885" i="6"/>
  <c r="CH885" i="6"/>
  <c r="CG885" i="6"/>
  <c r="CF885" i="6"/>
  <c r="CE885" i="6"/>
  <c r="CD885" i="6"/>
  <c r="CC885" i="6"/>
  <c r="F885" i="6"/>
  <c r="E885" i="6"/>
  <c r="D885" i="6"/>
  <c r="C885" i="6"/>
  <c r="CO885" i="6" s="1"/>
  <c r="CM884" i="6"/>
  <c r="CK884" i="6"/>
  <c r="CJ884" i="6"/>
  <c r="CI884" i="6"/>
  <c r="CH884" i="6"/>
  <c r="CG884" i="6"/>
  <c r="CF884" i="6"/>
  <c r="CE884" i="6"/>
  <c r="CD884" i="6"/>
  <c r="CC884" i="6"/>
  <c r="F884" i="6"/>
  <c r="E884" i="6"/>
  <c r="D884" i="6"/>
  <c r="C884" i="6"/>
  <c r="CO884" i="6" s="1"/>
  <c r="CK883" i="6"/>
  <c r="CJ883" i="6"/>
  <c r="CI883" i="6"/>
  <c r="CH883" i="6"/>
  <c r="CG883" i="6"/>
  <c r="CF883" i="6"/>
  <c r="CE883" i="6"/>
  <c r="CD883" i="6"/>
  <c r="CC883" i="6"/>
  <c r="F883" i="6"/>
  <c r="E883" i="6"/>
  <c r="D883" i="6"/>
  <c r="C883" i="6"/>
  <c r="CO883" i="6" s="1"/>
  <c r="CM882" i="6"/>
  <c r="CK882" i="6"/>
  <c r="CJ882" i="6"/>
  <c r="CI882" i="6"/>
  <c r="CH882" i="6"/>
  <c r="CG882" i="6"/>
  <c r="CF882" i="6"/>
  <c r="CE882" i="6"/>
  <c r="CD882" i="6"/>
  <c r="CC882" i="6"/>
  <c r="F882" i="6"/>
  <c r="E882" i="6"/>
  <c r="D882" i="6"/>
  <c r="C882" i="6"/>
  <c r="CO882" i="6" s="1"/>
  <c r="CK881" i="6"/>
  <c r="CJ881" i="6"/>
  <c r="CI881" i="6"/>
  <c r="CH881" i="6"/>
  <c r="CG881" i="6"/>
  <c r="CF881" i="6"/>
  <c r="CE881" i="6"/>
  <c r="CD881" i="6"/>
  <c r="CC881" i="6"/>
  <c r="F881" i="6"/>
  <c r="E881" i="6"/>
  <c r="D881" i="6"/>
  <c r="C881" i="6"/>
  <c r="CO881" i="6" s="1"/>
  <c r="CM880" i="6"/>
  <c r="CK880" i="6"/>
  <c r="CJ880" i="6"/>
  <c r="CI880" i="6"/>
  <c r="CH880" i="6"/>
  <c r="CG880" i="6"/>
  <c r="CF880" i="6"/>
  <c r="CE880" i="6"/>
  <c r="CD880" i="6"/>
  <c r="CC880" i="6"/>
  <c r="F880" i="6"/>
  <c r="E880" i="6"/>
  <c r="D880" i="6"/>
  <c r="C880" i="6"/>
  <c r="CO880" i="6" s="1"/>
  <c r="CK879" i="6"/>
  <c r="CJ879" i="6"/>
  <c r="CI879" i="6"/>
  <c r="CH879" i="6"/>
  <c r="CG879" i="6"/>
  <c r="CF879" i="6"/>
  <c r="CE879" i="6"/>
  <c r="CD879" i="6"/>
  <c r="CC879" i="6"/>
  <c r="F879" i="6"/>
  <c r="E879" i="6"/>
  <c r="D879" i="6"/>
  <c r="C879" i="6"/>
  <c r="CO879" i="6" s="1"/>
  <c r="CM878" i="6"/>
  <c r="CK878" i="6"/>
  <c r="CJ878" i="6"/>
  <c r="CI878" i="6"/>
  <c r="CH878" i="6"/>
  <c r="CG878" i="6"/>
  <c r="CF878" i="6"/>
  <c r="CE878" i="6"/>
  <c r="CD878" i="6"/>
  <c r="CC878" i="6"/>
  <c r="F878" i="6"/>
  <c r="E878" i="6"/>
  <c r="D878" i="6"/>
  <c r="C878" i="6"/>
  <c r="CO878" i="6" s="1"/>
  <c r="CK877" i="6"/>
  <c r="CJ877" i="6"/>
  <c r="CI877" i="6"/>
  <c r="CH877" i="6"/>
  <c r="CG877" i="6"/>
  <c r="CF877" i="6"/>
  <c r="CE877" i="6"/>
  <c r="CD877" i="6"/>
  <c r="CC877" i="6"/>
  <c r="F877" i="6"/>
  <c r="E877" i="6"/>
  <c r="D877" i="6"/>
  <c r="C877" i="6"/>
  <c r="CO877" i="6" s="1"/>
  <c r="CM876" i="6"/>
  <c r="CK876" i="6"/>
  <c r="CJ876" i="6"/>
  <c r="CI876" i="6"/>
  <c r="CH876" i="6"/>
  <c r="CG876" i="6"/>
  <c r="CF876" i="6"/>
  <c r="CE876" i="6"/>
  <c r="CD876" i="6"/>
  <c r="CC876" i="6"/>
  <c r="F876" i="6"/>
  <c r="E876" i="6"/>
  <c r="D876" i="6"/>
  <c r="C876" i="6"/>
  <c r="CO876" i="6" s="1"/>
  <c r="CK875" i="6"/>
  <c r="CJ875" i="6"/>
  <c r="CI875" i="6"/>
  <c r="CH875" i="6"/>
  <c r="CG875" i="6"/>
  <c r="CF875" i="6"/>
  <c r="CE875" i="6"/>
  <c r="CD875" i="6"/>
  <c r="CC875" i="6"/>
  <c r="F875" i="6"/>
  <c r="E875" i="6"/>
  <c r="D875" i="6"/>
  <c r="C875" i="6"/>
  <c r="CO875" i="6" s="1"/>
  <c r="CM874" i="6"/>
  <c r="CK874" i="6"/>
  <c r="CJ874" i="6"/>
  <c r="CI874" i="6"/>
  <c r="CH874" i="6"/>
  <c r="CG874" i="6"/>
  <c r="CF874" i="6"/>
  <c r="CE874" i="6"/>
  <c r="CD874" i="6"/>
  <c r="CC874" i="6"/>
  <c r="F874" i="6"/>
  <c r="E874" i="6"/>
  <c r="D874" i="6"/>
  <c r="C874" i="6"/>
  <c r="CO874" i="6" s="1"/>
  <c r="CK873" i="6"/>
  <c r="CJ873" i="6"/>
  <c r="CI873" i="6"/>
  <c r="CH873" i="6"/>
  <c r="CG873" i="6"/>
  <c r="CF873" i="6"/>
  <c r="CE873" i="6"/>
  <c r="CD873" i="6"/>
  <c r="CC873" i="6"/>
  <c r="F873" i="6"/>
  <c r="E873" i="6"/>
  <c r="D873" i="6"/>
  <c r="C873" i="6"/>
  <c r="CO873" i="6" s="1"/>
  <c r="CM872" i="6"/>
  <c r="CK872" i="6"/>
  <c r="CJ872" i="6"/>
  <c r="CI872" i="6"/>
  <c r="CH872" i="6"/>
  <c r="CG872" i="6"/>
  <c r="CF872" i="6"/>
  <c r="CE872" i="6"/>
  <c r="CD872" i="6"/>
  <c r="CC872" i="6"/>
  <c r="F872" i="6"/>
  <c r="E872" i="6"/>
  <c r="D872" i="6"/>
  <c r="C872" i="6"/>
  <c r="CO872" i="6" s="1"/>
  <c r="CK871" i="6"/>
  <c r="CJ871" i="6"/>
  <c r="CI871" i="6"/>
  <c r="CH871" i="6"/>
  <c r="CG871" i="6"/>
  <c r="CF871" i="6"/>
  <c r="CE871" i="6"/>
  <c r="CD871" i="6"/>
  <c r="CC871" i="6"/>
  <c r="F871" i="6"/>
  <c r="E871" i="6"/>
  <c r="D871" i="6"/>
  <c r="C871" i="6"/>
  <c r="CM870" i="6"/>
  <c r="CK870" i="6"/>
  <c r="CJ870" i="6"/>
  <c r="CI870" i="6"/>
  <c r="CH870" i="6"/>
  <c r="CG870" i="6"/>
  <c r="CF870" i="6"/>
  <c r="CE870" i="6"/>
  <c r="CD870" i="6"/>
  <c r="CC870" i="6"/>
  <c r="F870" i="6"/>
  <c r="E870" i="6"/>
  <c r="D870" i="6"/>
  <c r="C870" i="6"/>
  <c r="CO870" i="6" s="1"/>
  <c r="CK869" i="6"/>
  <c r="CJ869" i="6"/>
  <c r="CI869" i="6"/>
  <c r="CH869" i="6"/>
  <c r="CG869" i="6"/>
  <c r="CF869" i="6"/>
  <c r="CE869" i="6"/>
  <c r="CD869" i="6"/>
  <c r="CC869" i="6"/>
  <c r="F869" i="6"/>
  <c r="E869" i="6"/>
  <c r="D869" i="6"/>
  <c r="C869" i="6"/>
  <c r="CM868" i="6"/>
  <c r="CK868" i="6"/>
  <c r="CJ868" i="6"/>
  <c r="CI868" i="6"/>
  <c r="CH868" i="6"/>
  <c r="CG868" i="6"/>
  <c r="CF868" i="6"/>
  <c r="CE868" i="6"/>
  <c r="CD868" i="6"/>
  <c r="CC868" i="6"/>
  <c r="F868" i="6"/>
  <c r="E868" i="6"/>
  <c r="D868" i="6"/>
  <c r="C868" i="6"/>
  <c r="CO868" i="6" s="1"/>
  <c r="CK867" i="6"/>
  <c r="CJ867" i="6"/>
  <c r="CI867" i="6"/>
  <c r="CH867" i="6"/>
  <c r="CG867" i="6"/>
  <c r="CF867" i="6"/>
  <c r="CE867" i="6"/>
  <c r="CD867" i="6"/>
  <c r="CC867" i="6"/>
  <c r="F867" i="6"/>
  <c r="E867" i="6"/>
  <c r="D867" i="6"/>
  <c r="C867" i="6"/>
  <c r="CM866" i="6"/>
  <c r="CK866" i="6"/>
  <c r="CJ866" i="6"/>
  <c r="CI866" i="6"/>
  <c r="CH866" i="6"/>
  <c r="CG866" i="6"/>
  <c r="CF866" i="6"/>
  <c r="CE866" i="6"/>
  <c r="CD866" i="6"/>
  <c r="CC866" i="6"/>
  <c r="F866" i="6"/>
  <c r="E866" i="6"/>
  <c r="D866" i="6"/>
  <c r="C866" i="6"/>
  <c r="CO866" i="6" s="1"/>
  <c r="CK865" i="6"/>
  <c r="CJ865" i="6"/>
  <c r="CI865" i="6"/>
  <c r="CH865" i="6"/>
  <c r="CG865" i="6"/>
  <c r="CF865" i="6"/>
  <c r="CE865" i="6"/>
  <c r="CD865" i="6"/>
  <c r="CC865" i="6"/>
  <c r="F865" i="6"/>
  <c r="E865" i="6"/>
  <c r="D865" i="6"/>
  <c r="C865" i="6"/>
  <c r="CM864" i="6"/>
  <c r="CK864" i="6"/>
  <c r="CJ864" i="6"/>
  <c r="CI864" i="6"/>
  <c r="CH864" i="6"/>
  <c r="CG864" i="6"/>
  <c r="CF864" i="6"/>
  <c r="CE864" i="6"/>
  <c r="CD864" i="6"/>
  <c r="CC864" i="6"/>
  <c r="F864" i="6"/>
  <c r="E864" i="6"/>
  <c r="D864" i="6"/>
  <c r="C864" i="6"/>
  <c r="CO864" i="6" s="1"/>
  <c r="CK863" i="6"/>
  <c r="CJ863" i="6"/>
  <c r="CI863" i="6"/>
  <c r="CH863" i="6"/>
  <c r="CG863" i="6"/>
  <c r="CF863" i="6"/>
  <c r="CE863" i="6"/>
  <c r="CD863" i="6"/>
  <c r="CC863" i="6"/>
  <c r="F863" i="6"/>
  <c r="E863" i="6"/>
  <c r="D863" i="6"/>
  <c r="C863" i="6"/>
  <c r="CM862" i="6"/>
  <c r="CK862" i="6"/>
  <c r="CJ862" i="6"/>
  <c r="CI862" i="6"/>
  <c r="CH862" i="6"/>
  <c r="CG862" i="6"/>
  <c r="CF862" i="6"/>
  <c r="CE862" i="6"/>
  <c r="CD862" i="6"/>
  <c r="CC862" i="6"/>
  <c r="F862" i="6"/>
  <c r="E862" i="6"/>
  <c r="D862" i="6"/>
  <c r="C862" i="6"/>
  <c r="CO862" i="6" s="1"/>
  <c r="CK861" i="6"/>
  <c r="CJ861" i="6"/>
  <c r="CI861" i="6"/>
  <c r="CH861" i="6"/>
  <c r="CG861" i="6"/>
  <c r="CF861" i="6"/>
  <c r="CE861" i="6"/>
  <c r="CD861" i="6"/>
  <c r="CC861" i="6"/>
  <c r="F861" i="6"/>
  <c r="E861" i="6"/>
  <c r="D861" i="6"/>
  <c r="C861" i="6"/>
  <c r="CM860" i="6"/>
  <c r="CK860" i="6"/>
  <c r="CJ860" i="6"/>
  <c r="CI860" i="6"/>
  <c r="CH860" i="6"/>
  <c r="CG860" i="6"/>
  <c r="CF860" i="6"/>
  <c r="CE860" i="6"/>
  <c r="CD860" i="6"/>
  <c r="CC860" i="6"/>
  <c r="F860" i="6"/>
  <c r="E860" i="6"/>
  <c r="D860" i="6"/>
  <c r="C860" i="6"/>
  <c r="CO860" i="6" s="1"/>
  <c r="CK859" i="6"/>
  <c r="CJ859" i="6"/>
  <c r="CI859" i="6"/>
  <c r="CH859" i="6"/>
  <c r="CG859" i="6"/>
  <c r="CF859" i="6"/>
  <c r="CE859" i="6"/>
  <c r="CD859" i="6"/>
  <c r="CC859" i="6"/>
  <c r="F859" i="6"/>
  <c r="E859" i="6"/>
  <c r="D859" i="6"/>
  <c r="C859" i="6"/>
  <c r="CM858" i="6"/>
  <c r="CK858" i="6"/>
  <c r="CJ858" i="6"/>
  <c r="CI858" i="6"/>
  <c r="CH858" i="6"/>
  <c r="CG858" i="6"/>
  <c r="CF858" i="6"/>
  <c r="CE858" i="6"/>
  <c r="CD858" i="6"/>
  <c r="CC858" i="6"/>
  <c r="F858" i="6"/>
  <c r="E858" i="6"/>
  <c r="D858" i="6"/>
  <c r="C858" i="6"/>
  <c r="CO858" i="6" s="1"/>
  <c r="CK857" i="6"/>
  <c r="CJ857" i="6"/>
  <c r="CI857" i="6"/>
  <c r="CH857" i="6"/>
  <c r="CG857" i="6"/>
  <c r="CF857" i="6"/>
  <c r="CE857" i="6"/>
  <c r="CD857" i="6"/>
  <c r="CC857" i="6"/>
  <c r="F857" i="6"/>
  <c r="E857" i="6"/>
  <c r="D857" i="6"/>
  <c r="C857" i="6"/>
  <c r="CM856" i="6"/>
  <c r="CK856" i="6"/>
  <c r="CJ856" i="6"/>
  <c r="CI856" i="6"/>
  <c r="CH856" i="6"/>
  <c r="CG856" i="6"/>
  <c r="CF856" i="6"/>
  <c r="CE856" i="6"/>
  <c r="CD856" i="6"/>
  <c r="CC856" i="6"/>
  <c r="F856" i="6"/>
  <c r="E856" i="6"/>
  <c r="D856" i="6"/>
  <c r="C856" i="6"/>
  <c r="CO856" i="6" s="1"/>
  <c r="CK855" i="6"/>
  <c r="CJ855" i="6"/>
  <c r="CI855" i="6"/>
  <c r="CH855" i="6"/>
  <c r="CG855" i="6"/>
  <c r="CF855" i="6"/>
  <c r="CE855" i="6"/>
  <c r="CD855" i="6"/>
  <c r="CC855" i="6"/>
  <c r="F855" i="6"/>
  <c r="E855" i="6"/>
  <c r="D855" i="6"/>
  <c r="C855" i="6"/>
  <c r="CM854" i="6"/>
  <c r="CK854" i="6"/>
  <c r="CJ854" i="6"/>
  <c r="CI854" i="6"/>
  <c r="CH854" i="6"/>
  <c r="CG854" i="6"/>
  <c r="CF854" i="6"/>
  <c r="CE854" i="6"/>
  <c r="CD854" i="6"/>
  <c r="CC854" i="6"/>
  <c r="F854" i="6"/>
  <c r="E854" i="6"/>
  <c r="D854" i="6"/>
  <c r="C854" i="6"/>
  <c r="CO854" i="6" s="1"/>
  <c r="CK853" i="6"/>
  <c r="CJ853" i="6"/>
  <c r="CI853" i="6"/>
  <c r="CH853" i="6"/>
  <c r="CG853" i="6"/>
  <c r="CF853" i="6"/>
  <c r="CE853" i="6"/>
  <c r="CD853" i="6"/>
  <c r="CC853" i="6"/>
  <c r="F853" i="6"/>
  <c r="E853" i="6"/>
  <c r="D853" i="6"/>
  <c r="C853" i="6"/>
  <c r="CM852" i="6"/>
  <c r="CK852" i="6"/>
  <c r="CJ852" i="6"/>
  <c r="CI852" i="6"/>
  <c r="CH852" i="6"/>
  <c r="CG852" i="6"/>
  <c r="CF852" i="6"/>
  <c r="CE852" i="6"/>
  <c r="CD852" i="6"/>
  <c r="CC852" i="6"/>
  <c r="F852" i="6"/>
  <c r="E852" i="6"/>
  <c r="D852" i="6"/>
  <c r="C852" i="6"/>
  <c r="CO852" i="6" s="1"/>
  <c r="CK851" i="6"/>
  <c r="CJ851" i="6"/>
  <c r="CI851" i="6"/>
  <c r="CH851" i="6"/>
  <c r="CG851" i="6"/>
  <c r="CF851" i="6"/>
  <c r="CE851" i="6"/>
  <c r="CD851" i="6"/>
  <c r="CC851" i="6"/>
  <c r="F851" i="6"/>
  <c r="E851" i="6"/>
  <c r="D851" i="6"/>
  <c r="C851" i="6"/>
  <c r="CM850" i="6"/>
  <c r="CK850" i="6"/>
  <c r="CJ850" i="6"/>
  <c r="CI850" i="6"/>
  <c r="CH850" i="6"/>
  <c r="CG850" i="6"/>
  <c r="CF850" i="6"/>
  <c r="CE850" i="6"/>
  <c r="CD850" i="6"/>
  <c r="CC850" i="6"/>
  <c r="F850" i="6"/>
  <c r="E850" i="6"/>
  <c r="D850" i="6"/>
  <c r="C850" i="6"/>
  <c r="CO850" i="6" s="1"/>
  <c r="CK849" i="6"/>
  <c r="CJ849" i="6"/>
  <c r="CI849" i="6"/>
  <c r="CH849" i="6"/>
  <c r="CG849" i="6"/>
  <c r="CF849" i="6"/>
  <c r="CE849" i="6"/>
  <c r="CD849" i="6"/>
  <c r="CC849" i="6"/>
  <c r="F849" i="6"/>
  <c r="E849" i="6"/>
  <c r="D849" i="6"/>
  <c r="C849" i="6"/>
  <c r="CM848" i="6"/>
  <c r="CK848" i="6"/>
  <c r="CJ848" i="6"/>
  <c r="CI848" i="6"/>
  <c r="CH848" i="6"/>
  <c r="CG848" i="6"/>
  <c r="CF848" i="6"/>
  <c r="CE848" i="6"/>
  <c r="CD848" i="6"/>
  <c r="CC848" i="6"/>
  <c r="F848" i="6"/>
  <c r="E848" i="6"/>
  <c r="D848" i="6"/>
  <c r="C848" i="6"/>
  <c r="CO848" i="6" s="1"/>
  <c r="CK847" i="6"/>
  <c r="CJ847" i="6"/>
  <c r="CI847" i="6"/>
  <c r="CH847" i="6"/>
  <c r="CG847" i="6"/>
  <c r="CF847" i="6"/>
  <c r="CE847" i="6"/>
  <c r="CD847" i="6"/>
  <c r="CC847" i="6"/>
  <c r="F847" i="6"/>
  <c r="E847" i="6"/>
  <c r="D847" i="6"/>
  <c r="C847" i="6"/>
  <c r="CM846" i="6"/>
  <c r="CK846" i="6"/>
  <c r="CJ846" i="6"/>
  <c r="CI846" i="6"/>
  <c r="CH846" i="6"/>
  <c r="CG846" i="6"/>
  <c r="CF846" i="6"/>
  <c r="CE846" i="6"/>
  <c r="CD846" i="6"/>
  <c r="CC846" i="6"/>
  <c r="F846" i="6"/>
  <c r="E846" i="6"/>
  <c r="D846" i="6"/>
  <c r="C846" i="6"/>
  <c r="CO846" i="6" s="1"/>
  <c r="CK845" i="6"/>
  <c r="CJ845" i="6"/>
  <c r="CI845" i="6"/>
  <c r="CH845" i="6"/>
  <c r="CG845" i="6"/>
  <c r="CF845" i="6"/>
  <c r="CE845" i="6"/>
  <c r="CD845" i="6"/>
  <c r="CC845" i="6"/>
  <c r="F845" i="6"/>
  <c r="E845" i="6"/>
  <c r="D845" i="6"/>
  <c r="C845" i="6"/>
  <c r="CM844" i="6"/>
  <c r="CK844" i="6"/>
  <c r="CJ844" i="6"/>
  <c r="CI844" i="6"/>
  <c r="CH844" i="6"/>
  <c r="CG844" i="6"/>
  <c r="CF844" i="6"/>
  <c r="CE844" i="6"/>
  <c r="CD844" i="6"/>
  <c r="CC844" i="6"/>
  <c r="F844" i="6"/>
  <c r="E844" i="6"/>
  <c r="D844" i="6"/>
  <c r="C844" i="6"/>
  <c r="CO844" i="6" s="1"/>
  <c r="CK843" i="6"/>
  <c r="CJ843" i="6"/>
  <c r="CI843" i="6"/>
  <c r="CH843" i="6"/>
  <c r="CG843" i="6"/>
  <c r="CF843" i="6"/>
  <c r="CE843" i="6"/>
  <c r="CD843" i="6"/>
  <c r="CC843" i="6"/>
  <c r="F843" i="6"/>
  <c r="E843" i="6"/>
  <c r="D843" i="6"/>
  <c r="C843" i="6"/>
  <c r="CM842" i="6"/>
  <c r="CK842" i="6"/>
  <c r="CJ842" i="6"/>
  <c r="CI842" i="6"/>
  <c r="CH842" i="6"/>
  <c r="CG842" i="6"/>
  <c r="CF842" i="6"/>
  <c r="CE842" i="6"/>
  <c r="CD842" i="6"/>
  <c r="CC842" i="6"/>
  <c r="F842" i="6"/>
  <c r="E842" i="6"/>
  <c r="D842" i="6"/>
  <c r="C842" i="6"/>
  <c r="CO842" i="6" s="1"/>
  <c r="CK841" i="6"/>
  <c r="CJ841" i="6"/>
  <c r="CI841" i="6"/>
  <c r="CH841" i="6"/>
  <c r="CG841" i="6"/>
  <c r="CF841" i="6"/>
  <c r="CE841" i="6"/>
  <c r="CD841" i="6"/>
  <c r="CC841" i="6"/>
  <c r="F841" i="6"/>
  <c r="E841" i="6"/>
  <c r="D841" i="6"/>
  <c r="C841" i="6"/>
  <c r="CM840" i="6"/>
  <c r="CK840" i="6"/>
  <c r="CJ840" i="6"/>
  <c r="CI840" i="6"/>
  <c r="CH840" i="6"/>
  <c r="CG840" i="6"/>
  <c r="CF840" i="6"/>
  <c r="CE840" i="6"/>
  <c r="CD840" i="6"/>
  <c r="CC840" i="6"/>
  <c r="F840" i="6"/>
  <c r="E840" i="6"/>
  <c r="D840" i="6"/>
  <c r="C840" i="6"/>
  <c r="CO840" i="6" s="1"/>
  <c r="CK839" i="6"/>
  <c r="CJ839" i="6"/>
  <c r="CI839" i="6"/>
  <c r="CH839" i="6"/>
  <c r="CG839" i="6"/>
  <c r="CF839" i="6"/>
  <c r="CE839" i="6"/>
  <c r="CD839" i="6"/>
  <c r="CC839" i="6"/>
  <c r="F839" i="6"/>
  <c r="E839" i="6"/>
  <c r="D839" i="6"/>
  <c r="C839" i="6"/>
  <c r="CM838" i="6"/>
  <c r="CK838" i="6"/>
  <c r="CJ838" i="6"/>
  <c r="CI838" i="6"/>
  <c r="CH838" i="6"/>
  <c r="CG838" i="6"/>
  <c r="CF838" i="6"/>
  <c r="CE838" i="6"/>
  <c r="CD838" i="6"/>
  <c r="CC838" i="6"/>
  <c r="F838" i="6"/>
  <c r="E838" i="6"/>
  <c r="D838" i="6"/>
  <c r="C838" i="6"/>
  <c r="CO838" i="6" s="1"/>
  <c r="CK837" i="6"/>
  <c r="CJ837" i="6"/>
  <c r="CI837" i="6"/>
  <c r="CH837" i="6"/>
  <c r="CG837" i="6"/>
  <c r="CF837" i="6"/>
  <c r="CE837" i="6"/>
  <c r="CD837" i="6"/>
  <c r="CC837" i="6"/>
  <c r="F837" i="6"/>
  <c r="E837" i="6"/>
  <c r="D837" i="6"/>
  <c r="C837" i="6"/>
  <c r="CM836" i="6"/>
  <c r="CK836" i="6"/>
  <c r="CJ836" i="6"/>
  <c r="CI836" i="6"/>
  <c r="CH836" i="6"/>
  <c r="CG836" i="6"/>
  <c r="CF836" i="6"/>
  <c r="CE836" i="6"/>
  <c r="CD836" i="6"/>
  <c r="CC836" i="6"/>
  <c r="F836" i="6"/>
  <c r="E836" i="6"/>
  <c r="D836" i="6"/>
  <c r="C836" i="6"/>
  <c r="CO836" i="6" s="1"/>
  <c r="CK835" i="6"/>
  <c r="CJ835" i="6"/>
  <c r="CI835" i="6"/>
  <c r="CH835" i="6"/>
  <c r="CG835" i="6"/>
  <c r="CF835" i="6"/>
  <c r="CE835" i="6"/>
  <c r="CD835" i="6"/>
  <c r="CC835" i="6"/>
  <c r="F835" i="6"/>
  <c r="E835" i="6"/>
  <c r="D835" i="6"/>
  <c r="C835" i="6"/>
  <c r="CM834" i="6"/>
  <c r="CK834" i="6"/>
  <c r="CJ834" i="6"/>
  <c r="CI834" i="6"/>
  <c r="CH834" i="6"/>
  <c r="CG834" i="6"/>
  <c r="CF834" i="6"/>
  <c r="CE834" i="6"/>
  <c r="CD834" i="6"/>
  <c r="CC834" i="6"/>
  <c r="F834" i="6"/>
  <c r="E834" i="6"/>
  <c r="D834" i="6"/>
  <c r="C834" i="6"/>
  <c r="CO834" i="6" s="1"/>
  <c r="CK833" i="6"/>
  <c r="CJ833" i="6"/>
  <c r="CI833" i="6"/>
  <c r="CH833" i="6"/>
  <c r="CG833" i="6"/>
  <c r="CF833" i="6"/>
  <c r="CE833" i="6"/>
  <c r="CD833" i="6"/>
  <c r="CC833" i="6"/>
  <c r="F833" i="6"/>
  <c r="E833" i="6"/>
  <c r="D833" i="6"/>
  <c r="C833" i="6"/>
  <c r="CM832" i="6"/>
  <c r="CK832" i="6"/>
  <c r="CJ832" i="6"/>
  <c r="CI832" i="6"/>
  <c r="CH832" i="6"/>
  <c r="CG832" i="6"/>
  <c r="CF832" i="6"/>
  <c r="CE832" i="6"/>
  <c r="CD832" i="6"/>
  <c r="CC832" i="6"/>
  <c r="F832" i="6"/>
  <c r="E832" i="6"/>
  <c r="D832" i="6"/>
  <c r="C832" i="6"/>
  <c r="CO832" i="6" s="1"/>
  <c r="CK831" i="6"/>
  <c r="CJ831" i="6"/>
  <c r="CI831" i="6"/>
  <c r="CH831" i="6"/>
  <c r="CG831" i="6"/>
  <c r="CF831" i="6"/>
  <c r="CE831" i="6"/>
  <c r="CD831" i="6"/>
  <c r="CC831" i="6"/>
  <c r="F831" i="6"/>
  <c r="E831" i="6"/>
  <c r="D831" i="6"/>
  <c r="C831" i="6"/>
  <c r="CM830" i="6"/>
  <c r="CK830" i="6"/>
  <c r="CJ830" i="6"/>
  <c r="CI830" i="6"/>
  <c r="CH830" i="6"/>
  <c r="CG830" i="6"/>
  <c r="CF830" i="6"/>
  <c r="CE830" i="6"/>
  <c r="CD830" i="6"/>
  <c r="CC830" i="6"/>
  <c r="F830" i="6"/>
  <c r="E830" i="6"/>
  <c r="D830" i="6"/>
  <c r="C830" i="6"/>
  <c r="CO830" i="6" s="1"/>
  <c r="CK829" i="6"/>
  <c r="CJ829" i="6"/>
  <c r="CI829" i="6"/>
  <c r="CH829" i="6"/>
  <c r="CG829" i="6"/>
  <c r="CF829" i="6"/>
  <c r="CE829" i="6"/>
  <c r="CD829" i="6"/>
  <c r="CC829" i="6"/>
  <c r="F829" i="6"/>
  <c r="E829" i="6"/>
  <c r="D829" i="6"/>
  <c r="C829" i="6"/>
  <c r="CM828" i="6"/>
  <c r="CK828" i="6"/>
  <c r="CJ828" i="6"/>
  <c r="CI828" i="6"/>
  <c r="CH828" i="6"/>
  <c r="CG828" i="6"/>
  <c r="CF828" i="6"/>
  <c r="CE828" i="6"/>
  <c r="CD828" i="6"/>
  <c r="CC828" i="6"/>
  <c r="F828" i="6"/>
  <c r="E828" i="6"/>
  <c r="D828" i="6"/>
  <c r="C828" i="6"/>
  <c r="CO828" i="6" s="1"/>
  <c r="CK827" i="6"/>
  <c r="CJ827" i="6"/>
  <c r="CI827" i="6"/>
  <c r="CH827" i="6"/>
  <c r="CG827" i="6"/>
  <c r="CF827" i="6"/>
  <c r="CE827" i="6"/>
  <c r="CD827" i="6"/>
  <c r="CC827" i="6"/>
  <c r="F827" i="6"/>
  <c r="E827" i="6"/>
  <c r="D827" i="6"/>
  <c r="C827" i="6"/>
  <c r="CM826" i="6"/>
  <c r="CK826" i="6"/>
  <c r="CJ826" i="6"/>
  <c r="CI826" i="6"/>
  <c r="CH826" i="6"/>
  <c r="CG826" i="6"/>
  <c r="CF826" i="6"/>
  <c r="CE826" i="6"/>
  <c r="CD826" i="6"/>
  <c r="CC826" i="6"/>
  <c r="F826" i="6"/>
  <c r="E826" i="6"/>
  <c r="D826" i="6"/>
  <c r="C826" i="6"/>
  <c r="CO826" i="6" s="1"/>
  <c r="CK825" i="6"/>
  <c r="CJ825" i="6"/>
  <c r="CI825" i="6"/>
  <c r="CH825" i="6"/>
  <c r="CG825" i="6"/>
  <c r="CF825" i="6"/>
  <c r="CE825" i="6"/>
  <c r="CD825" i="6"/>
  <c r="CC825" i="6"/>
  <c r="F825" i="6"/>
  <c r="E825" i="6"/>
  <c r="D825" i="6"/>
  <c r="C825" i="6"/>
  <c r="CM824" i="6"/>
  <c r="CK824" i="6"/>
  <c r="CJ824" i="6"/>
  <c r="CI824" i="6"/>
  <c r="CH824" i="6"/>
  <c r="CG824" i="6"/>
  <c r="CF824" i="6"/>
  <c r="CE824" i="6"/>
  <c r="CD824" i="6"/>
  <c r="CC824" i="6"/>
  <c r="F824" i="6"/>
  <c r="E824" i="6"/>
  <c r="D824" i="6"/>
  <c r="C824" i="6"/>
  <c r="CO824" i="6" s="1"/>
  <c r="CK823" i="6"/>
  <c r="CJ823" i="6"/>
  <c r="CI823" i="6"/>
  <c r="CH823" i="6"/>
  <c r="CG823" i="6"/>
  <c r="CF823" i="6"/>
  <c r="CE823" i="6"/>
  <c r="CD823" i="6"/>
  <c r="CC823" i="6"/>
  <c r="F823" i="6"/>
  <c r="E823" i="6"/>
  <c r="D823" i="6"/>
  <c r="C823" i="6"/>
  <c r="CM822" i="6"/>
  <c r="CK822" i="6"/>
  <c r="CJ822" i="6"/>
  <c r="CI822" i="6"/>
  <c r="CH822" i="6"/>
  <c r="CG822" i="6"/>
  <c r="CF822" i="6"/>
  <c r="CE822" i="6"/>
  <c r="CD822" i="6"/>
  <c r="CC822" i="6"/>
  <c r="F822" i="6"/>
  <c r="E822" i="6"/>
  <c r="D822" i="6"/>
  <c r="C822" i="6"/>
  <c r="CO822" i="6" s="1"/>
  <c r="CK821" i="6"/>
  <c r="CJ821" i="6"/>
  <c r="CI821" i="6"/>
  <c r="CH821" i="6"/>
  <c r="CG821" i="6"/>
  <c r="CF821" i="6"/>
  <c r="CE821" i="6"/>
  <c r="CD821" i="6"/>
  <c r="CC821" i="6"/>
  <c r="F821" i="6"/>
  <c r="E821" i="6"/>
  <c r="D821" i="6"/>
  <c r="C821" i="6"/>
  <c r="CM820" i="6"/>
  <c r="CK820" i="6"/>
  <c r="CJ820" i="6"/>
  <c r="CI820" i="6"/>
  <c r="CH820" i="6"/>
  <c r="CG820" i="6"/>
  <c r="CF820" i="6"/>
  <c r="CE820" i="6"/>
  <c r="CD820" i="6"/>
  <c r="CC820" i="6"/>
  <c r="F820" i="6"/>
  <c r="E820" i="6"/>
  <c r="D820" i="6"/>
  <c r="C820" i="6"/>
  <c r="CO820" i="6" s="1"/>
  <c r="CK819" i="6"/>
  <c r="CJ819" i="6"/>
  <c r="CI819" i="6"/>
  <c r="CH819" i="6"/>
  <c r="CG819" i="6"/>
  <c r="CF819" i="6"/>
  <c r="CE819" i="6"/>
  <c r="CD819" i="6"/>
  <c r="CC819" i="6"/>
  <c r="F819" i="6"/>
  <c r="E819" i="6"/>
  <c r="D819" i="6"/>
  <c r="C819" i="6"/>
  <c r="CM818" i="6"/>
  <c r="CK818" i="6"/>
  <c r="CJ818" i="6"/>
  <c r="CI818" i="6"/>
  <c r="CH818" i="6"/>
  <c r="CG818" i="6"/>
  <c r="CF818" i="6"/>
  <c r="CE818" i="6"/>
  <c r="CD818" i="6"/>
  <c r="CC818" i="6"/>
  <c r="F818" i="6"/>
  <c r="E818" i="6"/>
  <c r="D818" i="6"/>
  <c r="C818" i="6"/>
  <c r="CO818" i="6" s="1"/>
  <c r="CK817" i="6"/>
  <c r="CJ817" i="6"/>
  <c r="CI817" i="6"/>
  <c r="CH817" i="6"/>
  <c r="CG817" i="6"/>
  <c r="CF817" i="6"/>
  <c r="CE817" i="6"/>
  <c r="CD817" i="6"/>
  <c r="CC817" i="6"/>
  <c r="F817" i="6"/>
  <c r="E817" i="6"/>
  <c r="D817" i="6"/>
  <c r="C817" i="6"/>
  <c r="CM816" i="6"/>
  <c r="CK816" i="6"/>
  <c r="CJ816" i="6"/>
  <c r="CI816" i="6"/>
  <c r="CH816" i="6"/>
  <c r="CG816" i="6"/>
  <c r="CF816" i="6"/>
  <c r="CE816" i="6"/>
  <c r="CD816" i="6"/>
  <c r="CC816" i="6"/>
  <c r="F816" i="6"/>
  <c r="E816" i="6"/>
  <c r="D816" i="6"/>
  <c r="C816" i="6"/>
  <c r="CO816" i="6" s="1"/>
  <c r="CK815" i="6"/>
  <c r="CJ815" i="6"/>
  <c r="CI815" i="6"/>
  <c r="CH815" i="6"/>
  <c r="CG815" i="6"/>
  <c r="CF815" i="6"/>
  <c r="CE815" i="6"/>
  <c r="CD815" i="6"/>
  <c r="CC815" i="6"/>
  <c r="F815" i="6"/>
  <c r="E815" i="6"/>
  <c r="D815" i="6"/>
  <c r="C815" i="6"/>
  <c r="CM814" i="6"/>
  <c r="CK814" i="6"/>
  <c r="CJ814" i="6"/>
  <c r="CI814" i="6"/>
  <c r="CH814" i="6"/>
  <c r="CG814" i="6"/>
  <c r="CF814" i="6"/>
  <c r="CE814" i="6"/>
  <c r="CD814" i="6"/>
  <c r="CC814" i="6"/>
  <c r="F814" i="6"/>
  <c r="E814" i="6"/>
  <c r="D814" i="6"/>
  <c r="C814" i="6"/>
  <c r="CO814" i="6" s="1"/>
  <c r="CK813" i="6"/>
  <c r="CJ813" i="6"/>
  <c r="CI813" i="6"/>
  <c r="CH813" i="6"/>
  <c r="CG813" i="6"/>
  <c r="CF813" i="6"/>
  <c r="CE813" i="6"/>
  <c r="CD813" i="6"/>
  <c r="CC813" i="6"/>
  <c r="F813" i="6"/>
  <c r="E813" i="6"/>
  <c r="D813" i="6"/>
  <c r="C813" i="6"/>
  <c r="CM812" i="6"/>
  <c r="CK812" i="6"/>
  <c r="CJ812" i="6"/>
  <c r="CI812" i="6"/>
  <c r="CH812" i="6"/>
  <c r="CG812" i="6"/>
  <c r="CF812" i="6"/>
  <c r="CE812" i="6"/>
  <c r="CD812" i="6"/>
  <c r="CC812" i="6"/>
  <c r="F812" i="6"/>
  <c r="E812" i="6"/>
  <c r="D812" i="6"/>
  <c r="C812" i="6"/>
  <c r="CO812" i="6" s="1"/>
  <c r="CK811" i="6"/>
  <c r="CJ811" i="6"/>
  <c r="CI811" i="6"/>
  <c r="CH811" i="6"/>
  <c r="CG811" i="6"/>
  <c r="CF811" i="6"/>
  <c r="CE811" i="6"/>
  <c r="CD811" i="6"/>
  <c r="CC811" i="6"/>
  <c r="F811" i="6"/>
  <c r="E811" i="6"/>
  <c r="D811" i="6"/>
  <c r="C811" i="6"/>
  <c r="CM810" i="6"/>
  <c r="CK810" i="6"/>
  <c r="CJ810" i="6"/>
  <c r="CI810" i="6"/>
  <c r="CH810" i="6"/>
  <c r="CG810" i="6"/>
  <c r="CF810" i="6"/>
  <c r="CE810" i="6"/>
  <c r="CD810" i="6"/>
  <c r="CC810" i="6"/>
  <c r="F810" i="6"/>
  <c r="E810" i="6"/>
  <c r="D810" i="6"/>
  <c r="C810" i="6"/>
  <c r="CO810" i="6" s="1"/>
  <c r="CK809" i="6"/>
  <c r="CJ809" i="6"/>
  <c r="CI809" i="6"/>
  <c r="CH809" i="6"/>
  <c r="CG809" i="6"/>
  <c r="CF809" i="6"/>
  <c r="CE809" i="6"/>
  <c r="CD809" i="6"/>
  <c r="CC809" i="6"/>
  <c r="F809" i="6"/>
  <c r="E809" i="6"/>
  <c r="D809" i="6"/>
  <c r="C809" i="6"/>
  <c r="CM808" i="6"/>
  <c r="CK808" i="6"/>
  <c r="CJ808" i="6"/>
  <c r="CI808" i="6"/>
  <c r="CH808" i="6"/>
  <c r="CG808" i="6"/>
  <c r="CF808" i="6"/>
  <c r="CE808" i="6"/>
  <c r="CD808" i="6"/>
  <c r="CC808" i="6"/>
  <c r="F808" i="6"/>
  <c r="E808" i="6"/>
  <c r="D808" i="6"/>
  <c r="C808" i="6"/>
  <c r="CO808" i="6" s="1"/>
  <c r="CK807" i="6"/>
  <c r="CJ807" i="6"/>
  <c r="CI807" i="6"/>
  <c r="CH807" i="6"/>
  <c r="CG807" i="6"/>
  <c r="CF807" i="6"/>
  <c r="CE807" i="6"/>
  <c r="CD807" i="6"/>
  <c r="CC807" i="6"/>
  <c r="F807" i="6"/>
  <c r="E807" i="6"/>
  <c r="D807" i="6"/>
  <c r="C807" i="6"/>
  <c r="CM806" i="6"/>
  <c r="CK806" i="6"/>
  <c r="CJ806" i="6"/>
  <c r="CI806" i="6"/>
  <c r="CH806" i="6"/>
  <c r="CG806" i="6"/>
  <c r="CF806" i="6"/>
  <c r="CE806" i="6"/>
  <c r="CD806" i="6"/>
  <c r="CC806" i="6"/>
  <c r="F806" i="6"/>
  <c r="E806" i="6"/>
  <c r="D806" i="6"/>
  <c r="C806" i="6"/>
  <c r="CO806" i="6" s="1"/>
  <c r="CK805" i="6"/>
  <c r="CJ805" i="6"/>
  <c r="CI805" i="6"/>
  <c r="CH805" i="6"/>
  <c r="CG805" i="6"/>
  <c r="CF805" i="6"/>
  <c r="CE805" i="6"/>
  <c r="CD805" i="6"/>
  <c r="CC805" i="6"/>
  <c r="F805" i="6"/>
  <c r="E805" i="6"/>
  <c r="D805" i="6"/>
  <c r="C805" i="6"/>
  <c r="CM804" i="6"/>
  <c r="CK804" i="6"/>
  <c r="CJ804" i="6"/>
  <c r="CI804" i="6"/>
  <c r="CH804" i="6"/>
  <c r="CG804" i="6"/>
  <c r="CF804" i="6"/>
  <c r="CE804" i="6"/>
  <c r="CD804" i="6"/>
  <c r="CC804" i="6"/>
  <c r="F804" i="6"/>
  <c r="E804" i="6"/>
  <c r="D804" i="6"/>
  <c r="C804" i="6"/>
  <c r="CO804" i="6" s="1"/>
  <c r="CK803" i="6"/>
  <c r="CJ803" i="6"/>
  <c r="CI803" i="6"/>
  <c r="CH803" i="6"/>
  <c r="CG803" i="6"/>
  <c r="CF803" i="6"/>
  <c r="CE803" i="6"/>
  <c r="CD803" i="6"/>
  <c r="CC803" i="6"/>
  <c r="F803" i="6"/>
  <c r="E803" i="6"/>
  <c r="D803" i="6"/>
  <c r="C803" i="6"/>
  <c r="CM802" i="6"/>
  <c r="CK802" i="6"/>
  <c r="CJ802" i="6"/>
  <c r="CI802" i="6"/>
  <c r="CH802" i="6"/>
  <c r="CG802" i="6"/>
  <c r="CF802" i="6"/>
  <c r="CE802" i="6"/>
  <c r="CD802" i="6"/>
  <c r="CC802" i="6"/>
  <c r="F802" i="6"/>
  <c r="E802" i="6"/>
  <c r="D802" i="6"/>
  <c r="C802" i="6"/>
  <c r="CO802" i="6" s="1"/>
  <c r="CK801" i="6"/>
  <c r="CJ801" i="6"/>
  <c r="CI801" i="6"/>
  <c r="CH801" i="6"/>
  <c r="CG801" i="6"/>
  <c r="CF801" i="6"/>
  <c r="CE801" i="6"/>
  <c r="CD801" i="6"/>
  <c r="CC801" i="6"/>
  <c r="F801" i="6"/>
  <c r="E801" i="6"/>
  <c r="D801" i="6"/>
  <c r="C801" i="6"/>
  <c r="CM800" i="6"/>
  <c r="CK800" i="6"/>
  <c r="CJ800" i="6"/>
  <c r="CI800" i="6"/>
  <c r="CH800" i="6"/>
  <c r="CG800" i="6"/>
  <c r="CF800" i="6"/>
  <c r="CE800" i="6"/>
  <c r="CD800" i="6"/>
  <c r="CC800" i="6"/>
  <c r="F800" i="6"/>
  <c r="E800" i="6"/>
  <c r="D800" i="6"/>
  <c r="C800" i="6"/>
  <c r="CO800" i="6" s="1"/>
  <c r="CK799" i="6"/>
  <c r="CJ799" i="6"/>
  <c r="CI799" i="6"/>
  <c r="CH799" i="6"/>
  <c r="CG799" i="6"/>
  <c r="CF799" i="6"/>
  <c r="CE799" i="6"/>
  <c r="CD799" i="6"/>
  <c r="CC799" i="6"/>
  <c r="F799" i="6"/>
  <c r="E799" i="6"/>
  <c r="D799" i="6"/>
  <c r="C799" i="6"/>
  <c r="CM798" i="6"/>
  <c r="CK798" i="6"/>
  <c r="CJ798" i="6"/>
  <c r="CI798" i="6"/>
  <c r="CH798" i="6"/>
  <c r="CG798" i="6"/>
  <c r="CF798" i="6"/>
  <c r="CE798" i="6"/>
  <c r="CD798" i="6"/>
  <c r="CC798" i="6"/>
  <c r="F798" i="6"/>
  <c r="E798" i="6"/>
  <c r="D798" i="6"/>
  <c r="C798" i="6"/>
  <c r="CO798" i="6" s="1"/>
  <c r="CK797" i="6"/>
  <c r="CJ797" i="6"/>
  <c r="CI797" i="6"/>
  <c r="CH797" i="6"/>
  <c r="CG797" i="6"/>
  <c r="CF797" i="6"/>
  <c r="CE797" i="6"/>
  <c r="CD797" i="6"/>
  <c r="CC797" i="6"/>
  <c r="F797" i="6"/>
  <c r="E797" i="6"/>
  <c r="D797" i="6"/>
  <c r="C797" i="6"/>
  <c r="CM796" i="6"/>
  <c r="CK796" i="6"/>
  <c r="CJ796" i="6"/>
  <c r="CI796" i="6"/>
  <c r="CH796" i="6"/>
  <c r="CG796" i="6"/>
  <c r="CF796" i="6"/>
  <c r="CE796" i="6"/>
  <c r="CD796" i="6"/>
  <c r="CC796" i="6"/>
  <c r="F796" i="6"/>
  <c r="E796" i="6"/>
  <c r="D796" i="6"/>
  <c r="C796" i="6"/>
  <c r="CO796" i="6" s="1"/>
  <c r="CK795" i="6"/>
  <c r="CJ795" i="6"/>
  <c r="CI795" i="6"/>
  <c r="CH795" i="6"/>
  <c r="CG795" i="6"/>
  <c r="CF795" i="6"/>
  <c r="CE795" i="6"/>
  <c r="CD795" i="6"/>
  <c r="CC795" i="6"/>
  <c r="F795" i="6"/>
  <c r="E795" i="6"/>
  <c r="D795" i="6"/>
  <c r="C795" i="6"/>
  <c r="CM794" i="6"/>
  <c r="CK794" i="6"/>
  <c r="CJ794" i="6"/>
  <c r="CI794" i="6"/>
  <c r="CH794" i="6"/>
  <c r="CG794" i="6"/>
  <c r="CF794" i="6"/>
  <c r="CE794" i="6"/>
  <c r="CD794" i="6"/>
  <c r="CC794" i="6"/>
  <c r="F794" i="6"/>
  <c r="E794" i="6"/>
  <c r="D794" i="6"/>
  <c r="C794" i="6"/>
  <c r="CO794" i="6" s="1"/>
  <c r="CK793" i="6"/>
  <c r="CJ793" i="6"/>
  <c r="CI793" i="6"/>
  <c r="CH793" i="6"/>
  <c r="CG793" i="6"/>
  <c r="CF793" i="6"/>
  <c r="CE793" i="6"/>
  <c r="CD793" i="6"/>
  <c r="CC793" i="6"/>
  <c r="F793" i="6"/>
  <c r="E793" i="6"/>
  <c r="D793" i="6"/>
  <c r="C793" i="6"/>
  <c r="CK792" i="6"/>
  <c r="CJ792" i="6"/>
  <c r="CI792" i="6"/>
  <c r="CH792" i="6"/>
  <c r="CG792" i="6"/>
  <c r="CF792" i="6"/>
  <c r="CE792" i="6"/>
  <c r="CD792" i="6"/>
  <c r="CC792" i="6"/>
  <c r="F792" i="6"/>
  <c r="E792" i="6"/>
  <c r="D792" i="6"/>
  <c r="C792" i="6"/>
  <c r="CK791" i="6"/>
  <c r="CJ791" i="6"/>
  <c r="CI791" i="6"/>
  <c r="CH791" i="6"/>
  <c r="CG791" i="6"/>
  <c r="CF791" i="6"/>
  <c r="CE791" i="6"/>
  <c r="CD791" i="6"/>
  <c r="CC791" i="6"/>
  <c r="F791" i="6"/>
  <c r="E791" i="6"/>
  <c r="D791" i="6"/>
  <c r="C791" i="6"/>
  <c r="CO791" i="6" s="1"/>
  <c r="CK790" i="6"/>
  <c r="CJ790" i="6"/>
  <c r="CI790" i="6"/>
  <c r="CH790" i="6"/>
  <c r="CG790" i="6"/>
  <c r="CF790" i="6"/>
  <c r="CE790" i="6"/>
  <c r="CD790" i="6"/>
  <c r="CC790" i="6"/>
  <c r="F790" i="6"/>
  <c r="E790" i="6"/>
  <c r="D790" i="6"/>
  <c r="C790" i="6"/>
  <c r="CK789" i="6"/>
  <c r="CJ789" i="6"/>
  <c r="CI789" i="6"/>
  <c r="CH789" i="6"/>
  <c r="CG789" i="6"/>
  <c r="CF789" i="6"/>
  <c r="CE789" i="6"/>
  <c r="CD789" i="6"/>
  <c r="CC789" i="6"/>
  <c r="F789" i="6"/>
  <c r="E789" i="6"/>
  <c r="D789" i="6"/>
  <c r="C789" i="6"/>
  <c r="CO789" i="6" s="1"/>
  <c r="CK788" i="6"/>
  <c r="CJ788" i="6"/>
  <c r="CI788" i="6"/>
  <c r="CH788" i="6"/>
  <c r="CG788" i="6"/>
  <c r="CF788" i="6"/>
  <c r="CE788" i="6"/>
  <c r="CD788" i="6"/>
  <c r="CC788" i="6"/>
  <c r="F788" i="6"/>
  <c r="E788" i="6"/>
  <c r="D788" i="6"/>
  <c r="C788" i="6"/>
  <c r="CK787" i="6"/>
  <c r="CJ787" i="6"/>
  <c r="CI787" i="6"/>
  <c r="CH787" i="6"/>
  <c r="CG787" i="6"/>
  <c r="CF787" i="6"/>
  <c r="CE787" i="6"/>
  <c r="CD787" i="6"/>
  <c r="CC787" i="6"/>
  <c r="F787" i="6"/>
  <c r="E787" i="6"/>
  <c r="D787" i="6"/>
  <c r="C787" i="6"/>
  <c r="CO787" i="6" s="1"/>
  <c r="CK786" i="6"/>
  <c r="CJ786" i="6"/>
  <c r="CI786" i="6"/>
  <c r="CH786" i="6"/>
  <c r="CG786" i="6"/>
  <c r="CF786" i="6"/>
  <c r="CE786" i="6"/>
  <c r="CD786" i="6"/>
  <c r="CC786" i="6"/>
  <c r="F786" i="6"/>
  <c r="E786" i="6"/>
  <c r="D786" i="6"/>
  <c r="C786" i="6"/>
  <c r="CK785" i="6"/>
  <c r="CJ785" i="6"/>
  <c r="CI785" i="6"/>
  <c r="CH785" i="6"/>
  <c r="CG785" i="6"/>
  <c r="CF785" i="6"/>
  <c r="CE785" i="6"/>
  <c r="CD785" i="6"/>
  <c r="CC785" i="6"/>
  <c r="F785" i="6"/>
  <c r="E785" i="6"/>
  <c r="D785" i="6"/>
  <c r="C785" i="6"/>
  <c r="CO785" i="6" s="1"/>
  <c r="CK784" i="6"/>
  <c r="CJ784" i="6"/>
  <c r="CI784" i="6"/>
  <c r="CH784" i="6"/>
  <c r="CG784" i="6"/>
  <c r="CF784" i="6"/>
  <c r="CE784" i="6"/>
  <c r="CD784" i="6"/>
  <c r="CC784" i="6"/>
  <c r="F784" i="6"/>
  <c r="E784" i="6"/>
  <c r="D784" i="6"/>
  <c r="C784" i="6"/>
  <c r="CK783" i="6"/>
  <c r="CJ783" i="6"/>
  <c r="CI783" i="6"/>
  <c r="CH783" i="6"/>
  <c r="CG783" i="6"/>
  <c r="CF783" i="6"/>
  <c r="CE783" i="6"/>
  <c r="CD783" i="6"/>
  <c r="CC783" i="6"/>
  <c r="F783" i="6"/>
  <c r="E783" i="6"/>
  <c r="D783" i="6"/>
  <c r="C783" i="6"/>
  <c r="CO783" i="6" s="1"/>
  <c r="CK782" i="6"/>
  <c r="CJ782" i="6"/>
  <c r="CI782" i="6"/>
  <c r="CH782" i="6"/>
  <c r="CG782" i="6"/>
  <c r="CF782" i="6"/>
  <c r="CE782" i="6"/>
  <c r="CD782" i="6"/>
  <c r="CC782" i="6"/>
  <c r="F782" i="6"/>
  <c r="E782" i="6"/>
  <c r="D782" i="6"/>
  <c r="C782" i="6"/>
  <c r="CK781" i="6"/>
  <c r="CJ781" i="6"/>
  <c r="CI781" i="6"/>
  <c r="CH781" i="6"/>
  <c r="CG781" i="6"/>
  <c r="CF781" i="6"/>
  <c r="CE781" i="6"/>
  <c r="CD781" i="6"/>
  <c r="CC781" i="6"/>
  <c r="F781" i="6"/>
  <c r="E781" i="6"/>
  <c r="D781" i="6"/>
  <c r="C781" i="6"/>
  <c r="CO781" i="6" s="1"/>
  <c r="CK780" i="6"/>
  <c r="CJ780" i="6"/>
  <c r="CI780" i="6"/>
  <c r="CH780" i="6"/>
  <c r="CG780" i="6"/>
  <c r="CF780" i="6"/>
  <c r="CE780" i="6"/>
  <c r="CD780" i="6"/>
  <c r="CC780" i="6"/>
  <c r="F780" i="6"/>
  <c r="E780" i="6"/>
  <c r="D780" i="6"/>
  <c r="C780" i="6"/>
  <c r="CK779" i="6"/>
  <c r="CJ779" i="6"/>
  <c r="CI779" i="6"/>
  <c r="CH779" i="6"/>
  <c r="CG779" i="6"/>
  <c r="CF779" i="6"/>
  <c r="CE779" i="6"/>
  <c r="CD779" i="6"/>
  <c r="CC779" i="6"/>
  <c r="F779" i="6"/>
  <c r="E779" i="6"/>
  <c r="D779" i="6"/>
  <c r="C779" i="6"/>
  <c r="CO779" i="6" s="1"/>
  <c r="CK778" i="6"/>
  <c r="CJ778" i="6"/>
  <c r="CI778" i="6"/>
  <c r="CH778" i="6"/>
  <c r="CG778" i="6"/>
  <c r="CF778" i="6"/>
  <c r="CE778" i="6"/>
  <c r="CD778" i="6"/>
  <c r="CC778" i="6"/>
  <c r="F778" i="6"/>
  <c r="E778" i="6"/>
  <c r="D778" i="6"/>
  <c r="C778" i="6"/>
  <c r="CK777" i="6"/>
  <c r="CJ777" i="6"/>
  <c r="CI777" i="6"/>
  <c r="CH777" i="6"/>
  <c r="CG777" i="6"/>
  <c r="CF777" i="6"/>
  <c r="CE777" i="6"/>
  <c r="CD777" i="6"/>
  <c r="CC777" i="6"/>
  <c r="F777" i="6"/>
  <c r="E777" i="6"/>
  <c r="D777" i="6"/>
  <c r="C777" i="6"/>
  <c r="CO777" i="6" s="1"/>
  <c r="CK776" i="6"/>
  <c r="CJ776" i="6"/>
  <c r="CI776" i="6"/>
  <c r="CH776" i="6"/>
  <c r="CG776" i="6"/>
  <c r="CF776" i="6"/>
  <c r="CE776" i="6"/>
  <c r="CD776" i="6"/>
  <c r="CC776" i="6"/>
  <c r="F776" i="6"/>
  <c r="E776" i="6"/>
  <c r="D776" i="6"/>
  <c r="C776" i="6"/>
  <c r="CK775" i="6"/>
  <c r="CJ775" i="6"/>
  <c r="CI775" i="6"/>
  <c r="CH775" i="6"/>
  <c r="CG775" i="6"/>
  <c r="CF775" i="6"/>
  <c r="CE775" i="6"/>
  <c r="CD775" i="6"/>
  <c r="CC775" i="6"/>
  <c r="F775" i="6"/>
  <c r="E775" i="6"/>
  <c r="D775" i="6"/>
  <c r="C775" i="6"/>
  <c r="CO775" i="6" s="1"/>
  <c r="CK774" i="6"/>
  <c r="CJ774" i="6"/>
  <c r="CI774" i="6"/>
  <c r="CH774" i="6"/>
  <c r="CG774" i="6"/>
  <c r="CF774" i="6"/>
  <c r="CE774" i="6"/>
  <c r="CD774" i="6"/>
  <c r="CC774" i="6"/>
  <c r="F774" i="6"/>
  <c r="E774" i="6"/>
  <c r="D774" i="6"/>
  <c r="C774" i="6"/>
  <c r="CK773" i="6"/>
  <c r="CJ773" i="6"/>
  <c r="CI773" i="6"/>
  <c r="CH773" i="6"/>
  <c r="CG773" i="6"/>
  <c r="CF773" i="6"/>
  <c r="CE773" i="6"/>
  <c r="CD773" i="6"/>
  <c r="CC773" i="6"/>
  <c r="F773" i="6"/>
  <c r="E773" i="6"/>
  <c r="D773" i="6"/>
  <c r="C773" i="6"/>
  <c r="CO773" i="6" s="1"/>
  <c r="CK772" i="6"/>
  <c r="CJ772" i="6"/>
  <c r="CI772" i="6"/>
  <c r="CH772" i="6"/>
  <c r="CG772" i="6"/>
  <c r="CF772" i="6"/>
  <c r="CE772" i="6"/>
  <c r="CD772" i="6"/>
  <c r="CC772" i="6"/>
  <c r="F772" i="6"/>
  <c r="E772" i="6"/>
  <c r="D772" i="6"/>
  <c r="C772" i="6"/>
  <c r="CK771" i="6"/>
  <c r="CJ771" i="6"/>
  <c r="CI771" i="6"/>
  <c r="CH771" i="6"/>
  <c r="CG771" i="6"/>
  <c r="CF771" i="6"/>
  <c r="CE771" i="6"/>
  <c r="CD771" i="6"/>
  <c r="CC771" i="6"/>
  <c r="F771" i="6"/>
  <c r="E771" i="6"/>
  <c r="D771" i="6"/>
  <c r="C771" i="6"/>
  <c r="CO771" i="6" s="1"/>
  <c r="CK770" i="6"/>
  <c r="CJ770" i="6"/>
  <c r="CI770" i="6"/>
  <c r="CH770" i="6"/>
  <c r="CG770" i="6"/>
  <c r="CF770" i="6"/>
  <c r="CE770" i="6"/>
  <c r="CD770" i="6"/>
  <c r="CC770" i="6"/>
  <c r="F770" i="6"/>
  <c r="E770" i="6"/>
  <c r="D770" i="6"/>
  <c r="C770" i="6"/>
  <c r="CK769" i="6"/>
  <c r="CJ769" i="6"/>
  <c r="CI769" i="6"/>
  <c r="CH769" i="6"/>
  <c r="CG769" i="6"/>
  <c r="CF769" i="6"/>
  <c r="CE769" i="6"/>
  <c r="CD769" i="6"/>
  <c r="CC769" i="6"/>
  <c r="F769" i="6"/>
  <c r="E769" i="6"/>
  <c r="D769" i="6"/>
  <c r="C769" i="6"/>
  <c r="CO769" i="6" s="1"/>
  <c r="CK768" i="6"/>
  <c r="CJ768" i="6"/>
  <c r="CI768" i="6"/>
  <c r="CH768" i="6"/>
  <c r="CG768" i="6"/>
  <c r="CF768" i="6"/>
  <c r="CE768" i="6"/>
  <c r="CD768" i="6"/>
  <c r="CC768" i="6"/>
  <c r="F768" i="6"/>
  <c r="E768" i="6"/>
  <c r="D768" i="6"/>
  <c r="C768" i="6"/>
  <c r="CK767" i="6"/>
  <c r="CJ767" i="6"/>
  <c r="CI767" i="6"/>
  <c r="CH767" i="6"/>
  <c r="CG767" i="6"/>
  <c r="CF767" i="6"/>
  <c r="CE767" i="6"/>
  <c r="CD767" i="6"/>
  <c r="CC767" i="6"/>
  <c r="F767" i="6"/>
  <c r="E767" i="6"/>
  <c r="D767" i="6"/>
  <c r="C767" i="6"/>
  <c r="CO767" i="6" s="1"/>
  <c r="CK766" i="6"/>
  <c r="CJ766" i="6"/>
  <c r="CI766" i="6"/>
  <c r="CH766" i="6"/>
  <c r="CG766" i="6"/>
  <c r="CF766" i="6"/>
  <c r="CE766" i="6"/>
  <c r="CD766" i="6"/>
  <c r="CC766" i="6"/>
  <c r="F766" i="6"/>
  <c r="E766" i="6"/>
  <c r="D766" i="6"/>
  <c r="C766" i="6"/>
  <c r="CK765" i="6"/>
  <c r="CJ765" i="6"/>
  <c r="CI765" i="6"/>
  <c r="CH765" i="6"/>
  <c r="CG765" i="6"/>
  <c r="CF765" i="6"/>
  <c r="CE765" i="6"/>
  <c r="CD765" i="6"/>
  <c r="CC765" i="6"/>
  <c r="F765" i="6"/>
  <c r="E765" i="6"/>
  <c r="D765" i="6"/>
  <c r="C765" i="6"/>
  <c r="CO765" i="6" s="1"/>
  <c r="CK764" i="6"/>
  <c r="CJ764" i="6"/>
  <c r="CI764" i="6"/>
  <c r="CH764" i="6"/>
  <c r="CG764" i="6"/>
  <c r="CF764" i="6"/>
  <c r="CE764" i="6"/>
  <c r="CD764" i="6"/>
  <c r="CC764" i="6"/>
  <c r="F764" i="6"/>
  <c r="E764" i="6"/>
  <c r="D764" i="6"/>
  <c r="C764" i="6"/>
  <c r="CK763" i="6"/>
  <c r="CJ763" i="6"/>
  <c r="CI763" i="6"/>
  <c r="CH763" i="6"/>
  <c r="CG763" i="6"/>
  <c r="CF763" i="6"/>
  <c r="CE763" i="6"/>
  <c r="CD763" i="6"/>
  <c r="CC763" i="6"/>
  <c r="F763" i="6"/>
  <c r="E763" i="6"/>
  <c r="D763" i="6"/>
  <c r="C763" i="6"/>
  <c r="CO763" i="6" s="1"/>
  <c r="CK762" i="6"/>
  <c r="CJ762" i="6"/>
  <c r="CI762" i="6"/>
  <c r="CH762" i="6"/>
  <c r="CG762" i="6"/>
  <c r="CF762" i="6"/>
  <c r="CE762" i="6"/>
  <c r="CD762" i="6"/>
  <c r="CC762" i="6"/>
  <c r="F762" i="6"/>
  <c r="E762" i="6"/>
  <c r="D762" i="6"/>
  <c r="C762" i="6"/>
  <c r="CK761" i="6"/>
  <c r="CJ761" i="6"/>
  <c r="CI761" i="6"/>
  <c r="CH761" i="6"/>
  <c r="CG761" i="6"/>
  <c r="CF761" i="6"/>
  <c r="CE761" i="6"/>
  <c r="CD761" i="6"/>
  <c r="CC761" i="6"/>
  <c r="F761" i="6"/>
  <c r="E761" i="6"/>
  <c r="D761" i="6"/>
  <c r="C761" i="6"/>
  <c r="CO761" i="6" s="1"/>
  <c r="CK760" i="6"/>
  <c r="CJ760" i="6"/>
  <c r="CI760" i="6"/>
  <c r="CH760" i="6"/>
  <c r="CG760" i="6"/>
  <c r="CF760" i="6"/>
  <c r="CE760" i="6"/>
  <c r="CD760" i="6"/>
  <c r="CC760" i="6"/>
  <c r="F760" i="6"/>
  <c r="E760" i="6"/>
  <c r="D760" i="6"/>
  <c r="C760" i="6"/>
  <c r="CK759" i="6"/>
  <c r="CJ759" i="6"/>
  <c r="CI759" i="6"/>
  <c r="CH759" i="6"/>
  <c r="CG759" i="6"/>
  <c r="CF759" i="6"/>
  <c r="CE759" i="6"/>
  <c r="CD759" i="6"/>
  <c r="CC759" i="6"/>
  <c r="F759" i="6"/>
  <c r="E759" i="6"/>
  <c r="D759" i="6"/>
  <c r="C759" i="6"/>
  <c r="CO759" i="6" s="1"/>
  <c r="CK758" i="6"/>
  <c r="CJ758" i="6"/>
  <c r="CI758" i="6"/>
  <c r="CH758" i="6"/>
  <c r="CG758" i="6"/>
  <c r="CF758" i="6"/>
  <c r="CE758" i="6"/>
  <c r="CD758" i="6"/>
  <c r="CC758" i="6"/>
  <c r="F758" i="6"/>
  <c r="E758" i="6"/>
  <c r="D758" i="6"/>
  <c r="C758" i="6"/>
  <c r="CM758" i="6" s="1"/>
  <c r="CK757" i="6"/>
  <c r="CJ757" i="6"/>
  <c r="CI757" i="6"/>
  <c r="CH757" i="6"/>
  <c r="CG757" i="6"/>
  <c r="CF757" i="6"/>
  <c r="CE757" i="6"/>
  <c r="CD757" i="6"/>
  <c r="CC757" i="6"/>
  <c r="F757" i="6"/>
  <c r="E757" i="6"/>
  <c r="D757" i="6"/>
  <c r="C757" i="6"/>
  <c r="CK756" i="6"/>
  <c r="CJ756" i="6"/>
  <c r="CI756" i="6"/>
  <c r="CH756" i="6"/>
  <c r="CG756" i="6"/>
  <c r="CF756" i="6"/>
  <c r="CE756" i="6"/>
  <c r="CD756" i="6"/>
  <c r="CC756" i="6"/>
  <c r="F756" i="6"/>
  <c r="E756" i="6"/>
  <c r="D756" i="6"/>
  <c r="C756" i="6"/>
  <c r="CM756" i="6" s="1"/>
  <c r="CK755" i="6"/>
  <c r="CJ755" i="6"/>
  <c r="CI755" i="6"/>
  <c r="CH755" i="6"/>
  <c r="CG755" i="6"/>
  <c r="CF755" i="6"/>
  <c r="CE755" i="6"/>
  <c r="CD755" i="6"/>
  <c r="CC755" i="6"/>
  <c r="F755" i="6"/>
  <c r="E755" i="6"/>
  <c r="D755" i="6"/>
  <c r="C755" i="6"/>
  <c r="CK754" i="6"/>
  <c r="CJ754" i="6"/>
  <c r="CI754" i="6"/>
  <c r="CH754" i="6"/>
  <c r="CG754" i="6"/>
  <c r="CF754" i="6"/>
  <c r="CE754" i="6"/>
  <c r="CD754" i="6"/>
  <c r="CC754" i="6"/>
  <c r="F754" i="6"/>
  <c r="E754" i="6"/>
  <c r="D754" i="6"/>
  <c r="C754" i="6"/>
  <c r="CM754" i="6" s="1"/>
  <c r="CK753" i="6"/>
  <c r="CJ753" i="6"/>
  <c r="CI753" i="6"/>
  <c r="CH753" i="6"/>
  <c r="CG753" i="6"/>
  <c r="CF753" i="6"/>
  <c r="CE753" i="6"/>
  <c r="CD753" i="6"/>
  <c r="CC753" i="6"/>
  <c r="F753" i="6"/>
  <c r="E753" i="6"/>
  <c r="D753" i="6"/>
  <c r="C753" i="6"/>
  <c r="CK752" i="6"/>
  <c r="CJ752" i="6"/>
  <c r="CI752" i="6"/>
  <c r="CH752" i="6"/>
  <c r="CG752" i="6"/>
  <c r="CF752" i="6"/>
  <c r="CE752" i="6"/>
  <c r="CD752" i="6"/>
  <c r="CC752" i="6"/>
  <c r="F752" i="6"/>
  <c r="E752" i="6"/>
  <c r="D752" i="6"/>
  <c r="C752" i="6"/>
  <c r="CM752" i="6" s="1"/>
  <c r="CK751" i="6"/>
  <c r="CJ751" i="6"/>
  <c r="CI751" i="6"/>
  <c r="CH751" i="6"/>
  <c r="CG751" i="6"/>
  <c r="CF751" i="6"/>
  <c r="CE751" i="6"/>
  <c r="CD751" i="6"/>
  <c r="CC751" i="6"/>
  <c r="F751" i="6"/>
  <c r="E751" i="6"/>
  <c r="D751" i="6"/>
  <c r="C751" i="6"/>
  <c r="CK750" i="6"/>
  <c r="CJ750" i="6"/>
  <c r="CI750" i="6"/>
  <c r="CH750" i="6"/>
  <c r="CG750" i="6"/>
  <c r="CF750" i="6"/>
  <c r="CE750" i="6"/>
  <c r="CD750" i="6"/>
  <c r="CC750" i="6"/>
  <c r="F750" i="6"/>
  <c r="E750" i="6"/>
  <c r="D750" i="6"/>
  <c r="C750" i="6"/>
  <c r="CK749" i="6"/>
  <c r="CJ749" i="6"/>
  <c r="CI749" i="6"/>
  <c r="CH749" i="6"/>
  <c r="CG749" i="6"/>
  <c r="CF749" i="6"/>
  <c r="CE749" i="6"/>
  <c r="CD749" i="6"/>
  <c r="CC749" i="6"/>
  <c r="F749" i="6"/>
  <c r="E749" i="6"/>
  <c r="D749" i="6"/>
  <c r="C749" i="6"/>
  <c r="CL749" i="6" s="1"/>
  <c r="CK748" i="6"/>
  <c r="CJ748" i="6"/>
  <c r="CI748" i="6"/>
  <c r="CH748" i="6"/>
  <c r="CG748" i="6"/>
  <c r="CF748" i="6"/>
  <c r="CE748" i="6"/>
  <c r="CD748" i="6"/>
  <c r="CC748" i="6"/>
  <c r="F748" i="6"/>
  <c r="E748" i="6"/>
  <c r="D748" i="6"/>
  <c r="C748" i="6"/>
  <c r="CK747" i="6"/>
  <c r="CJ747" i="6"/>
  <c r="CI747" i="6"/>
  <c r="CH747" i="6"/>
  <c r="CG747" i="6"/>
  <c r="CF747" i="6"/>
  <c r="CE747" i="6"/>
  <c r="CD747" i="6"/>
  <c r="CC747" i="6"/>
  <c r="F747" i="6"/>
  <c r="E747" i="6"/>
  <c r="D747" i="6"/>
  <c r="C747" i="6"/>
  <c r="CL747" i="6" s="1"/>
  <c r="CK746" i="6"/>
  <c r="CJ746" i="6"/>
  <c r="CI746" i="6"/>
  <c r="CH746" i="6"/>
  <c r="CG746" i="6"/>
  <c r="CF746" i="6"/>
  <c r="CE746" i="6"/>
  <c r="CD746" i="6"/>
  <c r="CC746" i="6"/>
  <c r="F746" i="6"/>
  <c r="E746" i="6"/>
  <c r="D746" i="6"/>
  <c r="C746" i="6"/>
  <c r="CK745" i="6"/>
  <c r="CJ745" i="6"/>
  <c r="CI745" i="6"/>
  <c r="CH745" i="6"/>
  <c r="CG745" i="6"/>
  <c r="CF745" i="6"/>
  <c r="CE745" i="6"/>
  <c r="CD745" i="6"/>
  <c r="CC745" i="6"/>
  <c r="F745" i="6"/>
  <c r="E745" i="6"/>
  <c r="D745" i="6"/>
  <c r="C745" i="6"/>
  <c r="CL745" i="6" s="1"/>
  <c r="CK744" i="6"/>
  <c r="CJ744" i="6"/>
  <c r="CI744" i="6"/>
  <c r="CH744" i="6"/>
  <c r="CG744" i="6"/>
  <c r="CF744" i="6"/>
  <c r="CE744" i="6"/>
  <c r="CD744" i="6"/>
  <c r="CC744" i="6"/>
  <c r="F744" i="6"/>
  <c r="E744" i="6"/>
  <c r="D744" i="6"/>
  <c r="C744" i="6"/>
  <c r="CK743" i="6"/>
  <c r="CJ743" i="6"/>
  <c r="CI743" i="6"/>
  <c r="CH743" i="6"/>
  <c r="CG743" i="6"/>
  <c r="CF743" i="6"/>
  <c r="CE743" i="6"/>
  <c r="CD743" i="6"/>
  <c r="CC743" i="6"/>
  <c r="F743" i="6"/>
  <c r="E743" i="6"/>
  <c r="D743" i="6"/>
  <c r="C743" i="6"/>
  <c r="CL743" i="6" s="1"/>
  <c r="CK742" i="6"/>
  <c r="CJ742" i="6"/>
  <c r="CI742" i="6"/>
  <c r="CH742" i="6"/>
  <c r="CG742" i="6"/>
  <c r="CF742" i="6"/>
  <c r="CE742" i="6"/>
  <c r="CD742" i="6"/>
  <c r="CC742" i="6"/>
  <c r="F742" i="6"/>
  <c r="E742" i="6"/>
  <c r="D742" i="6"/>
  <c r="C742" i="6"/>
  <c r="CK741" i="6"/>
  <c r="CJ741" i="6"/>
  <c r="CI741" i="6"/>
  <c r="CH741" i="6"/>
  <c r="CG741" i="6"/>
  <c r="CF741" i="6"/>
  <c r="CE741" i="6"/>
  <c r="CD741" i="6"/>
  <c r="CC741" i="6"/>
  <c r="F741" i="6"/>
  <c r="E741" i="6"/>
  <c r="D741" i="6"/>
  <c r="C741" i="6"/>
  <c r="CL741" i="6" s="1"/>
  <c r="CK740" i="6"/>
  <c r="CJ740" i="6"/>
  <c r="CI740" i="6"/>
  <c r="CH740" i="6"/>
  <c r="CG740" i="6"/>
  <c r="CF740" i="6"/>
  <c r="CE740" i="6"/>
  <c r="CD740" i="6"/>
  <c r="CC740" i="6"/>
  <c r="F740" i="6"/>
  <c r="E740" i="6"/>
  <c r="D740" i="6"/>
  <c r="C740" i="6"/>
  <c r="CK739" i="6"/>
  <c r="CJ739" i="6"/>
  <c r="CI739" i="6"/>
  <c r="CH739" i="6"/>
  <c r="CG739" i="6"/>
  <c r="CF739" i="6"/>
  <c r="CE739" i="6"/>
  <c r="CD739" i="6"/>
  <c r="CC739" i="6"/>
  <c r="F739" i="6"/>
  <c r="E739" i="6"/>
  <c r="D739" i="6"/>
  <c r="C739" i="6"/>
  <c r="CL739" i="6" s="1"/>
  <c r="CK738" i="6"/>
  <c r="CJ738" i="6"/>
  <c r="CI738" i="6"/>
  <c r="CH738" i="6"/>
  <c r="CG738" i="6"/>
  <c r="CF738" i="6"/>
  <c r="CE738" i="6"/>
  <c r="CD738" i="6"/>
  <c r="CC738" i="6"/>
  <c r="F738" i="6"/>
  <c r="E738" i="6"/>
  <c r="D738" i="6"/>
  <c r="C738" i="6"/>
  <c r="CK737" i="6"/>
  <c r="CJ737" i="6"/>
  <c r="CI737" i="6"/>
  <c r="CH737" i="6"/>
  <c r="CG737" i="6"/>
  <c r="CF737" i="6"/>
  <c r="CE737" i="6"/>
  <c r="CD737" i="6"/>
  <c r="CC737" i="6"/>
  <c r="F737" i="6"/>
  <c r="E737" i="6"/>
  <c r="D737" i="6"/>
  <c r="C737" i="6"/>
  <c r="CL737" i="6" s="1"/>
  <c r="CK736" i="6"/>
  <c r="CJ736" i="6"/>
  <c r="CI736" i="6"/>
  <c r="CH736" i="6"/>
  <c r="CG736" i="6"/>
  <c r="CF736" i="6"/>
  <c r="CE736" i="6"/>
  <c r="CD736" i="6"/>
  <c r="CC736" i="6"/>
  <c r="F736" i="6"/>
  <c r="E736" i="6"/>
  <c r="D736" i="6"/>
  <c r="C736" i="6"/>
  <c r="CK735" i="6"/>
  <c r="CJ735" i="6"/>
  <c r="CI735" i="6"/>
  <c r="CH735" i="6"/>
  <c r="CG735" i="6"/>
  <c r="CF735" i="6"/>
  <c r="CE735" i="6"/>
  <c r="CD735" i="6"/>
  <c r="CC735" i="6"/>
  <c r="F735" i="6"/>
  <c r="E735" i="6"/>
  <c r="D735" i="6"/>
  <c r="C735" i="6"/>
  <c r="CL735" i="6" s="1"/>
  <c r="CK734" i="6"/>
  <c r="CJ734" i="6"/>
  <c r="CI734" i="6"/>
  <c r="CH734" i="6"/>
  <c r="CG734" i="6"/>
  <c r="CF734" i="6"/>
  <c r="CE734" i="6"/>
  <c r="CD734" i="6"/>
  <c r="CC734" i="6"/>
  <c r="F734" i="6"/>
  <c r="E734" i="6"/>
  <c r="D734" i="6"/>
  <c r="C734" i="6"/>
  <c r="CK733" i="6"/>
  <c r="CJ733" i="6"/>
  <c r="CI733" i="6"/>
  <c r="CH733" i="6"/>
  <c r="CG733" i="6"/>
  <c r="CF733" i="6"/>
  <c r="CE733" i="6"/>
  <c r="CD733" i="6"/>
  <c r="CC733" i="6"/>
  <c r="F733" i="6"/>
  <c r="E733" i="6"/>
  <c r="D733" i="6"/>
  <c r="C733" i="6"/>
  <c r="CL733" i="6" s="1"/>
  <c r="CK732" i="6"/>
  <c r="CJ732" i="6"/>
  <c r="CI732" i="6"/>
  <c r="CH732" i="6"/>
  <c r="CG732" i="6"/>
  <c r="CF732" i="6"/>
  <c r="CE732" i="6"/>
  <c r="CD732" i="6"/>
  <c r="CC732" i="6"/>
  <c r="F732" i="6"/>
  <c r="E732" i="6"/>
  <c r="D732" i="6"/>
  <c r="C732" i="6"/>
  <c r="CK731" i="6"/>
  <c r="CJ731" i="6"/>
  <c r="CI731" i="6"/>
  <c r="CH731" i="6"/>
  <c r="CG731" i="6"/>
  <c r="CF731" i="6"/>
  <c r="CE731" i="6"/>
  <c r="CD731" i="6"/>
  <c r="CC731" i="6"/>
  <c r="F731" i="6"/>
  <c r="E731" i="6"/>
  <c r="D731" i="6"/>
  <c r="C731" i="6"/>
  <c r="CL731" i="6" s="1"/>
  <c r="CK730" i="6"/>
  <c r="CJ730" i="6"/>
  <c r="CI730" i="6"/>
  <c r="CH730" i="6"/>
  <c r="CG730" i="6"/>
  <c r="CF730" i="6"/>
  <c r="CE730" i="6"/>
  <c r="CD730" i="6"/>
  <c r="CC730" i="6"/>
  <c r="F730" i="6"/>
  <c r="E730" i="6"/>
  <c r="D730" i="6"/>
  <c r="C730" i="6"/>
  <c r="CK729" i="6"/>
  <c r="CJ729" i="6"/>
  <c r="CI729" i="6"/>
  <c r="CH729" i="6"/>
  <c r="CG729" i="6"/>
  <c r="CF729" i="6"/>
  <c r="CE729" i="6"/>
  <c r="CD729" i="6"/>
  <c r="CC729" i="6"/>
  <c r="F729" i="6"/>
  <c r="E729" i="6"/>
  <c r="D729" i="6"/>
  <c r="C729" i="6"/>
  <c r="CL729" i="6" s="1"/>
  <c r="CK728" i="6"/>
  <c r="CJ728" i="6"/>
  <c r="CI728" i="6"/>
  <c r="CH728" i="6"/>
  <c r="CG728" i="6"/>
  <c r="CF728" i="6"/>
  <c r="CE728" i="6"/>
  <c r="CD728" i="6"/>
  <c r="CC728" i="6"/>
  <c r="F728" i="6"/>
  <c r="E728" i="6"/>
  <c r="D728" i="6"/>
  <c r="C728" i="6"/>
  <c r="CK727" i="6"/>
  <c r="CJ727" i="6"/>
  <c r="CI727" i="6"/>
  <c r="CH727" i="6"/>
  <c r="CG727" i="6"/>
  <c r="CF727" i="6"/>
  <c r="CE727" i="6"/>
  <c r="CD727" i="6"/>
  <c r="CC727" i="6"/>
  <c r="F727" i="6"/>
  <c r="E727" i="6"/>
  <c r="D727" i="6"/>
  <c r="C727" i="6"/>
  <c r="CL727" i="6" s="1"/>
  <c r="CK726" i="6"/>
  <c r="CJ726" i="6"/>
  <c r="CI726" i="6"/>
  <c r="CH726" i="6"/>
  <c r="CG726" i="6"/>
  <c r="CF726" i="6"/>
  <c r="CE726" i="6"/>
  <c r="CD726" i="6"/>
  <c r="CC726" i="6"/>
  <c r="F726" i="6"/>
  <c r="E726" i="6"/>
  <c r="D726" i="6"/>
  <c r="C726" i="6"/>
  <c r="CK725" i="6"/>
  <c r="CJ725" i="6"/>
  <c r="CI725" i="6"/>
  <c r="CH725" i="6"/>
  <c r="CG725" i="6"/>
  <c r="CF725" i="6"/>
  <c r="CE725" i="6"/>
  <c r="CD725" i="6"/>
  <c r="CC725" i="6"/>
  <c r="F725" i="6"/>
  <c r="E725" i="6"/>
  <c r="D725" i="6"/>
  <c r="C725" i="6"/>
  <c r="CL725" i="6" s="1"/>
  <c r="CK724" i="6"/>
  <c r="CJ724" i="6"/>
  <c r="CI724" i="6"/>
  <c r="CH724" i="6"/>
  <c r="CG724" i="6"/>
  <c r="CF724" i="6"/>
  <c r="CE724" i="6"/>
  <c r="CD724" i="6"/>
  <c r="CC724" i="6"/>
  <c r="F724" i="6"/>
  <c r="E724" i="6"/>
  <c r="D724" i="6"/>
  <c r="C724" i="6"/>
  <c r="CK723" i="6"/>
  <c r="CJ723" i="6"/>
  <c r="CI723" i="6"/>
  <c r="CH723" i="6"/>
  <c r="CG723" i="6"/>
  <c r="CF723" i="6"/>
  <c r="CE723" i="6"/>
  <c r="CD723" i="6"/>
  <c r="CC723" i="6"/>
  <c r="F723" i="6"/>
  <c r="E723" i="6"/>
  <c r="D723" i="6"/>
  <c r="C723" i="6"/>
  <c r="CL723" i="6" s="1"/>
  <c r="CK722" i="6"/>
  <c r="CJ722" i="6"/>
  <c r="CI722" i="6"/>
  <c r="CH722" i="6"/>
  <c r="CG722" i="6"/>
  <c r="CF722" i="6"/>
  <c r="CE722" i="6"/>
  <c r="CD722" i="6"/>
  <c r="CC722" i="6"/>
  <c r="F722" i="6"/>
  <c r="E722" i="6"/>
  <c r="D722" i="6"/>
  <c r="C722" i="6"/>
  <c r="CK721" i="6"/>
  <c r="CJ721" i="6"/>
  <c r="CI721" i="6"/>
  <c r="CH721" i="6"/>
  <c r="CG721" i="6"/>
  <c r="CF721" i="6"/>
  <c r="CE721" i="6"/>
  <c r="CD721" i="6"/>
  <c r="CC721" i="6"/>
  <c r="F721" i="6"/>
  <c r="E721" i="6"/>
  <c r="D721" i="6"/>
  <c r="C721" i="6"/>
  <c r="CL721" i="6" s="1"/>
  <c r="CK720" i="6"/>
  <c r="CJ720" i="6"/>
  <c r="CI720" i="6"/>
  <c r="CH720" i="6"/>
  <c r="CG720" i="6"/>
  <c r="CF720" i="6"/>
  <c r="CE720" i="6"/>
  <c r="CD720" i="6"/>
  <c r="CC720" i="6"/>
  <c r="F720" i="6"/>
  <c r="E720" i="6"/>
  <c r="D720" i="6"/>
  <c r="C720" i="6"/>
  <c r="CK719" i="6"/>
  <c r="CJ719" i="6"/>
  <c r="CI719" i="6"/>
  <c r="CH719" i="6"/>
  <c r="CG719" i="6"/>
  <c r="CF719" i="6"/>
  <c r="CE719" i="6"/>
  <c r="CD719" i="6"/>
  <c r="CC719" i="6"/>
  <c r="F719" i="6"/>
  <c r="E719" i="6"/>
  <c r="D719" i="6"/>
  <c r="C719" i="6"/>
  <c r="CL719" i="6" s="1"/>
  <c r="CK718" i="6"/>
  <c r="CJ718" i="6"/>
  <c r="CI718" i="6"/>
  <c r="CH718" i="6"/>
  <c r="CG718" i="6"/>
  <c r="CF718" i="6"/>
  <c r="CE718" i="6"/>
  <c r="CD718" i="6"/>
  <c r="CC718" i="6"/>
  <c r="F718" i="6"/>
  <c r="E718" i="6"/>
  <c r="D718" i="6"/>
  <c r="C718" i="6"/>
  <c r="CK717" i="6"/>
  <c r="CJ717" i="6"/>
  <c r="CI717" i="6"/>
  <c r="CH717" i="6"/>
  <c r="CG717" i="6"/>
  <c r="CF717" i="6"/>
  <c r="CE717" i="6"/>
  <c r="CD717" i="6"/>
  <c r="CC717" i="6"/>
  <c r="F717" i="6"/>
  <c r="E717" i="6"/>
  <c r="D717" i="6"/>
  <c r="C717" i="6"/>
  <c r="CL717" i="6" s="1"/>
  <c r="CK716" i="6"/>
  <c r="CJ716" i="6"/>
  <c r="CI716" i="6"/>
  <c r="CH716" i="6"/>
  <c r="CG716" i="6"/>
  <c r="CF716" i="6"/>
  <c r="CE716" i="6"/>
  <c r="CD716" i="6"/>
  <c r="CC716" i="6"/>
  <c r="F716" i="6"/>
  <c r="E716" i="6"/>
  <c r="D716" i="6"/>
  <c r="C716" i="6"/>
  <c r="CK715" i="6"/>
  <c r="CJ715" i="6"/>
  <c r="CI715" i="6"/>
  <c r="CH715" i="6"/>
  <c r="CG715" i="6"/>
  <c r="CF715" i="6"/>
  <c r="CE715" i="6"/>
  <c r="CD715" i="6"/>
  <c r="CC715" i="6"/>
  <c r="F715" i="6"/>
  <c r="E715" i="6"/>
  <c r="D715" i="6"/>
  <c r="C715" i="6"/>
  <c r="CL715" i="6" s="1"/>
  <c r="CK714" i="6"/>
  <c r="CJ714" i="6"/>
  <c r="CI714" i="6"/>
  <c r="CH714" i="6"/>
  <c r="CG714" i="6"/>
  <c r="CF714" i="6"/>
  <c r="CE714" i="6"/>
  <c r="CD714" i="6"/>
  <c r="CC714" i="6"/>
  <c r="F714" i="6"/>
  <c r="E714" i="6"/>
  <c r="D714" i="6"/>
  <c r="C714" i="6"/>
  <c r="CK713" i="6"/>
  <c r="CJ713" i="6"/>
  <c r="CI713" i="6"/>
  <c r="CH713" i="6"/>
  <c r="CG713" i="6"/>
  <c r="CF713" i="6"/>
  <c r="CE713" i="6"/>
  <c r="CD713" i="6"/>
  <c r="CC713" i="6"/>
  <c r="F713" i="6"/>
  <c r="E713" i="6"/>
  <c r="D713" i="6"/>
  <c r="C713" i="6"/>
  <c r="CL713" i="6" s="1"/>
  <c r="CK712" i="6"/>
  <c r="CJ712" i="6"/>
  <c r="CI712" i="6"/>
  <c r="CH712" i="6"/>
  <c r="CG712" i="6"/>
  <c r="CF712" i="6"/>
  <c r="CE712" i="6"/>
  <c r="CD712" i="6"/>
  <c r="CC712" i="6"/>
  <c r="F712" i="6"/>
  <c r="E712" i="6"/>
  <c r="D712" i="6"/>
  <c r="C712" i="6"/>
  <c r="CK711" i="6"/>
  <c r="CJ711" i="6"/>
  <c r="CI711" i="6"/>
  <c r="CH711" i="6"/>
  <c r="CG711" i="6"/>
  <c r="CF711" i="6"/>
  <c r="CE711" i="6"/>
  <c r="CD711" i="6"/>
  <c r="CC711" i="6"/>
  <c r="F711" i="6"/>
  <c r="E711" i="6"/>
  <c r="D711" i="6"/>
  <c r="C711" i="6"/>
  <c r="CL711" i="6" s="1"/>
  <c r="CK710" i="6"/>
  <c r="CJ710" i="6"/>
  <c r="CI710" i="6"/>
  <c r="CH710" i="6"/>
  <c r="CG710" i="6"/>
  <c r="CF710" i="6"/>
  <c r="CE710" i="6"/>
  <c r="CD710" i="6"/>
  <c r="CC710" i="6"/>
  <c r="F710" i="6"/>
  <c r="E710" i="6"/>
  <c r="D710" i="6"/>
  <c r="C710" i="6"/>
  <c r="CK709" i="6"/>
  <c r="CJ709" i="6"/>
  <c r="CI709" i="6"/>
  <c r="CH709" i="6"/>
  <c r="CG709" i="6"/>
  <c r="CF709" i="6"/>
  <c r="CE709" i="6"/>
  <c r="CD709" i="6"/>
  <c r="CC709" i="6"/>
  <c r="F709" i="6"/>
  <c r="E709" i="6"/>
  <c r="D709" i="6"/>
  <c r="C709" i="6"/>
  <c r="CL709" i="6" s="1"/>
  <c r="CK708" i="6"/>
  <c r="CJ708" i="6"/>
  <c r="CI708" i="6"/>
  <c r="CH708" i="6"/>
  <c r="CG708" i="6"/>
  <c r="CF708" i="6"/>
  <c r="CE708" i="6"/>
  <c r="CD708" i="6"/>
  <c r="CC708" i="6"/>
  <c r="F708" i="6"/>
  <c r="E708" i="6"/>
  <c r="D708" i="6"/>
  <c r="C708" i="6"/>
  <c r="CK707" i="6"/>
  <c r="CJ707" i="6"/>
  <c r="CI707" i="6"/>
  <c r="CH707" i="6"/>
  <c r="CG707" i="6"/>
  <c r="CF707" i="6"/>
  <c r="CE707" i="6"/>
  <c r="CD707" i="6"/>
  <c r="CC707" i="6"/>
  <c r="F707" i="6"/>
  <c r="E707" i="6"/>
  <c r="D707" i="6"/>
  <c r="C707" i="6"/>
  <c r="CL707" i="6" s="1"/>
  <c r="CK706" i="6"/>
  <c r="CJ706" i="6"/>
  <c r="CI706" i="6"/>
  <c r="CH706" i="6"/>
  <c r="CG706" i="6"/>
  <c r="CF706" i="6"/>
  <c r="CE706" i="6"/>
  <c r="CD706" i="6"/>
  <c r="CC706" i="6"/>
  <c r="F706" i="6"/>
  <c r="E706" i="6"/>
  <c r="D706" i="6"/>
  <c r="C706" i="6"/>
  <c r="CK705" i="6"/>
  <c r="CJ705" i="6"/>
  <c r="CI705" i="6"/>
  <c r="CH705" i="6"/>
  <c r="CG705" i="6"/>
  <c r="CF705" i="6"/>
  <c r="CE705" i="6"/>
  <c r="CD705" i="6"/>
  <c r="CC705" i="6"/>
  <c r="F705" i="6"/>
  <c r="E705" i="6"/>
  <c r="D705" i="6"/>
  <c r="C705" i="6"/>
  <c r="CL705" i="6" s="1"/>
  <c r="CK704" i="6"/>
  <c r="CJ704" i="6"/>
  <c r="CI704" i="6"/>
  <c r="CH704" i="6"/>
  <c r="CG704" i="6"/>
  <c r="CF704" i="6"/>
  <c r="CE704" i="6"/>
  <c r="CD704" i="6"/>
  <c r="CC704" i="6"/>
  <c r="F704" i="6"/>
  <c r="E704" i="6"/>
  <c r="D704" i="6"/>
  <c r="C704" i="6"/>
  <c r="CK703" i="6"/>
  <c r="CJ703" i="6"/>
  <c r="CI703" i="6"/>
  <c r="CH703" i="6"/>
  <c r="CG703" i="6"/>
  <c r="CF703" i="6"/>
  <c r="CE703" i="6"/>
  <c r="CD703" i="6"/>
  <c r="CC703" i="6"/>
  <c r="F703" i="6"/>
  <c r="E703" i="6"/>
  <c r="D703" i="6"/>
  <c r="C703" i="6"/>
  <c r="CL703" i="6" s="1"/>
  <c r="CK702" i="6"/>
  <c r="CJ702" i="6"/>
  <c r="CI702" i="6"/>
  <c r="CH702" i="6"/>
  <c r="CG702" i="6"/>
  <c r="CF702" i="6"/>
  <c r="CE702" i="6"/>
  <c r="CD702" i="6"/>
  <c r="CC702" i="6"/>
  <c r="F702" i="6"/>
  <c r="E702" i="6"/>
  <c r="D702" i="6"/>
  <c r="C702" i="6"/>
  <c r="CK701" i="6"/>
  <c r="CJ701" i="6"/>
  <c r="CI701" i="6"/>
  <c r="CH701" i="6"/>
  <c r="CG701" i="6"/>
  <c r="CF701" i="6"/>
  <c r="CE701" i="6"/>
  <c r="CD701" i="6"/>
  <c r="CC701" i="6"/>
  <c r="F701" i="6"/>
  <c r="E701" i="6"/>
  <c r="D701" i="6"/>
  <c r="C701" i="6"/>
  <c r="CL701" i="6" s="1"/>
  <c r="CK700" i="6"/>
  <c r="CJ700" i="6"/>
  <c r="CI700" i="6"/>
  <c r="CH700" i="6"/>
  <c r="CG700" i="6"/>
  <c r="CF700" i="6"/>
  <c r="CE700" i="6"/>
  <c r="CD700" i="6"/>
  <c r="CC700" i="6"/>
  <c r="F700" i="6"/>
  <c r="E700" i="6"/>
  <c r="D700" i="6"/>
  <c r="C700" i="6"/>
  <c r="CK699" i="6"/>
  <c r="CJ699" i="6"/>
  <c r="CI699" i="6"/>
  <c r="CH699" i="6"/>
  <c r="CG699" i="6"/>
  <c r="CF699" i="6"/>
  <c r="CE699" i="6"/>
  <c r="CD699" i="6"/>
  <c r="CC699" i="6"/>
  <c r="F699" i="6"/>
  <c r="E699" i="6"/>
  <c r="D699" i="6"/>
  <c r="C699" i="6"/>
  <c r="CL699" i="6" s="1"/>
  <c r="CK698" i="6"/>
  <c r="CJ698" i="6"/>
  <c r="CI698" i="6"/>
  <c r="CH698" i="6"/>
  <c r="CG698" i="6"/>
  <c r="CF698" i="6"/>
  <c r="CE698" i="6"/>
  <c r="CD698" i="6"/>
  <c r="CC698" i="6"/>
  <c r="F698" i="6"/>
  <c r="E698" i="6"/>
  <c r="D698" i="6"/>
  <c r="C698" i="6"/>
  <c r="CK697" i="6"/>
  <c r="CJ697" i="6"/>
  <c r="CI697" i="6"/>
  <c r="CH697" i="6"/>
  <c r="CG697" i="6"/>
  <c r="CF697" i="6"/>
  <c r="CE697" i="6"/>
  <c r="CD697" i="6"/>
  <c r="CC697" i="6"/>
  <c r="F697" i="6"/>
  <c r="E697" i="6"/>
  <c r="D697" i="6"/>
  <c r="C697" i="6"/>
  <c r="CL697" i="6" s="1"/>
  <c r="CK696" i="6"/>
  <c r="CJ696" i="6"/>
  <c r="CI696" i="6"/>
  <c r="CH696" i="6"/>
  <c r="CG696" i="6"/>
  <c r="CF696" i="6"/>
  <c r="CE696" i="6"/>
  <c r="CD696" i="6"/>
  <c r="CC696" i="6"/>
  <c r="F696" i="6"/>
  <c r="E696" i="6"/>
  <c r="D696" i="6"/>
  <c r="C696" i="6"/>
  <c r="CK695" i="6"/>
  <c r="CJ695" i="6"/>
  <c r="CI695" i="6"/>
  <c r="CH695" i="6"/>
  <c r="CG695" i="6"/>
  <c r="CF695" i="6"/>
  <c r="CE695" i="6"/>
  <c r="CD695" i="6"/>
  <c r="CC695" i="6"/>
  <c r="F695" i="6"/>
  <c r="E695" i="6"/>
  <c r="D695" i="6"/>
  <c r="C695" i="6"/>
  <c r="CL695" i="6" s="1"/>
  <c r="CK694" i="6"/>
  <c r="CJ694" i="6"/>
  <c r="CI694" i="6"/>
  <c r="CH694" i="6"/>
  <c r="CG694" i="6"/>
  <c r="CF694" i="6"/>
  <c r="CE694" i="6"/>
  <c r="CD694" i="6"/>
  <c r="CC694" i="6"/>
  <c r="F694" i="6"/>
  <c r="E694" i="6"/>
  <c r="D694" i="6"/>
  <c r="C694" i="6"/>
  <c r="CK693" i="6"/>
  <c r="CJ693" i="6"/>
  <c r="CI693" i="6"/>
  <c r="CH693" i="6"/>
  <c r="CG693" i="6"/>
  <c r="CF693" i="6"/>
  <c r="CE693" i="6"/>
  <c r="CD693" i="6"/>
  <c r="CC693" i="6"/>
  <c r="F693" i="6"/>
  <c r="E693" i="6"/>
  <c r="D693" i="6"/>
  <c r="C693" i="6"/>
  <c r="CL693" i="6" s="1"/>
  <c r="CK692" i="6"/>
  <c r="CJ692" i="6"/>
  <c r="CI692" i="6"/>
  <c r="CH692" i="6"/>
  <c r="CG692" i="6"/>
  <c r="CF692" i="6"/>
  <c r="CE692" i="6"/>
  <c r="CD692" i="6"/>
  <c r="CC692" i="6"/>
  <c r="F692" i="6"/>
  <c r="E692" i="6"/>
  <c r="D692" i="6"/>
  <c r="C692" i="6"/>
  <c r="CK691" i="6"/>
  <c r="CJ691" i="6"/>
  <c r="CI691" i="6"/>
  <c r="CH691" i="6"/>
  <c r="CG691" i="6"/>
  <c r="CF691" i="6"/>
  <c r="CE691" i="6"/>
  <c r="CD691" i="6"/>
  <c r="CC691" i="6"/>
  <c r="F691" i="6"/>
  <c r="E691" i="6"/>
  <c r="D691" i="6"/>
  <c r="C691" i="6"/>
  <c r="CL691" i="6" s="1"/>
  <c r="CK690" i="6"/>
  <c r="CJ690" i="6"/>
  <c r="CI690" i="6"/>
  <c r="CH690" i="6"/>
  <c r="CG690" i="6"/>
  <c r="CF690" i="6"/>
  <c r="CE690" i="6"/>
  <c r="CD690" i="6"/>
  <c r="CC690" i="6"/>
  <c r="F690" i="6"/>
  <c r="E690" i="6"/>
  <c r="D690" i="6"/>
  <c r="C690" i="6"/>
  <c r="CK689" i="6"/>
  <c r="CJ689" i="6"/>
  <c r="CI689" i="6"/>
  <c r="CH689" i="6"/>
  <c r="CG689" i="6"/>
  <c r="CF689" i="6"/>
  <c r="CE689" i="6"/>
  <c r="CD689" i="6"/>
  <c r="CC689" i="6"/>
  <c r="F689" i="6"/>
  <c r="E689" i="6"/>
  <c r="D689" i="6"/>
  <c r="C689" i="6"/>
  <c r="CL689" i="6" s="1"/>
  <c r="CK688" i="6"/>
  <c r="CJ688" i="6"/>
  <c r="CI688" i="6"/>
  <c r="CH688" i="6"/>
  <c r="CG688" i="6"/>
  <c r="CF688" i="6"/>
  <c r="CE688" i="6"/>
  <c r="CD688" i="6"/>
  <c r="CC688" i="6"/>
  <c r="F688" i="6"/>
  <c r="E688" i="6"/>
  <c r="D688" i="6"/>
  <c r="C688" i="6"/>
  <c r="CK687" i="6"/>
  <c r="CJ687" i="6"/>
  <c r="CI687" i="6"/>
  <c r="CH687" i="6"/>
  <c r="CG687" i="6"/>
  <c r="CF687" i="6"/>
  <c r="CE687" i="6"/>
  <c r="CD687" i="6"/>
  <c r="CC687" i="6"/>
  <c r="F687" i="6"/>
  <c r="E687" i="6"/>
  <c r="D687" i="6"/>
  <c r="C687" i="6"/>
  <c r="CL687" i="6" s="1"/>
  <c r="CK686" i="6"/>
  <c r="CJ686" i="6"/>
  <c r="CI686" i="6"/>
  <c r="CH686" i="6"/>
  <c r="CG686" i="6"/>
  <c r="CF686" i="6"/>
  <c r="CE686" i="6"/>
  <c r="CD686" i="6"/>
  <c r="CC686" i="6"/>
  <c r="F686" i="6"/>
  <c r="E686" i="6"/>
  <c r="D686" i="6"/>
  <c r="C686" i="6"/>
  <c r="CK685" i="6"/>
  <c r="CJ685" i="6"/>
  <c r="CI685" i="6"/>
  <c r="CH685" i="6"/>
  <c r="CG685" i="6"/>
  <c r="CF685" i="6"/>
  <c r="CE685" i="6"/>
  <c r="CD685" i="6"/>
  <c r="CC685" i="6"/>
  <c r="F685" i="6"/>
  <c r="E685" i="6"/>
  <c r="D685" i="6"/>
  <c r="C685" i="6"/>
  <c r="CL685" i="6" s="1"/>
  <c r="CK684" i="6"/>
  <c r="CJ684" i="6"/>
  <c r="CI684" i="6"/>
  <c r="CH684" i="6"/>
  <c r="CG684" i="6"/>
  <c r="CF684" i="6"/>
  <c r="CE684" i="6"/>
  <c r="CD684" i="6"/>
  <c r="CC684" i="6"/>
  <c r="F684" i="6"/>
  <c r="E684" i="6"/>
  <c r="D684" i="6"/>
  <c r="C684" i="6"/>
  <c r="CK683" i="6"/>
  <c r="CJ683" i="6"/>
  <c r="CI683" i="6"/>
  <c r="CH683" i="6"/>
  <c r="CG683" i="6"/>
  <c r="CF683" i="6"/>
  <c r="CE683" i="6"/>
  <c r="CD683" i="6"/>
  <c r="CC683" i="6"/>
  <c r="F683" i="6"/>
  <c r="E683" i="6"/>
  <c r="D683" i="6"/>
  <c r="C683" i="6"/>
  <c r="CL683" i="6" s="1"/>
  <c r="CK682" i="6"/>
  <c r="CJ682" i="6"/>
  <c r="CI682" i="6"/>
  <c r="CH682" i="6"/>
  <c r="CG682" i="6"/>
  <c r="CF682" i="6"/>
  <c r="CE682" i="6"/>
  <c r="CD682" i="6"/>
  <c r="CC682" i="6"/>
  <c r="F682" i="6"/>
  <c r="E682" i="6"/>
  <c r="D682" i="6"/>
  <c r="C682" i="6"/>
  <c r="CK681" i="6"/>
  <c r="CJ681" i="6"/>
  <c r="CI681" i="6"/>
  <c r="CH681" i="6"/>
  <c r="CG681" i="6"/>
  <c r="CF681" i="6"/>
  <c r="CE681" i="6"/>
  <c r="CD681" i="6"/>
  <c r="CC681" i="6"/>
  <c r="F681" i="6"/>
  <c r="E681" i="6"/>
  <c r="D681" i="6"/>
  <c r="C681" i="6"/>
  <c r="CL681" i="6" s="1"/>
  <c r="CK680" i="6"/>
  <c r="CJ680" i="6"/>
  <c r="CI680" i="6"/>
  <c r="CH680" i="6"/>
  <c r="CG680" i="6"/>
  <c r="CF680" i="6"/>
  <c r="CE680" i="6"/>
  <c r="CD680" i="6"/>
  <c r="CC680" i="6"/>
  <c r="F680" i="6"/>
  <c r="E680" i="6"/>
  <c r="D680" i="6"/>
  <c r="C680" i="6"/>
  <c r="CK679" i="6"/>
  <c r="CJ679" i="6"/>
  <c r="CI679" i="6"/>
  <c r="CH679" i="6"/>
  <c r="CG679" i="6"/>
  <c r="CF679" i="6"/>
  <c r="CE679" i="6"/>
  <c r="CD679" i="6"/>
  <c r="CC679" i="6"/>
  <c r="F679" i="6"/>
  <c r="E679" i="6"/>
  <c r="D679" i="6"/>
  <c r="C679" i="6"/>
  <c r="CL679" i="6" s="1"/>
  <c r="CK678" i="6"/>
  <c r="CJ678" i="6"/>
  <c r="CI678" i="6"/>
  <c r="CH678" i="6"/>
  <c r="CG678" i="6"/>
  <c r="CF678" i="6"/>
  <c r="CE678" i="6"/>
  <c r="CD678" i="6"/>
  <c r="CC678" i="6"/>
  <c r="F678" i="6"/>
  <c r="E678" i="6"/>
  <c r="D678" i="6"/>
  <c r="C678" i="6"/>
  <c r="CK677" i="6"/>
  <c r="CJ677" i="6"/>
  <c r="CI677" i="6"/>
  <c r="CH677" i="6"/>
  <c r="CG677" i="6"/>
  <c r="CF677" i="6"/>
  <c r="CE677" i="6"/>
  <c r="CD677" i="6"/>
  <c r="CC677" i="6"/>
  <c r="F677" i="6"/>
  <c r="E677" i="6"/>
  <c r="D677" i="6"/>
  <c r="C677" i="6"/>
  <c r="CL677" i="6" s="1"/>
  <c r="CK676" i="6"/>
  <c r="CJ676" i="6"/>
  <c r="CI676" i="6"/>
  <c r="CH676" i="6"/>
  <c r="CG676" i="6"/>
  <c r="CF676" i="6"/>
  <c r="CE676" i="6"/>
  <c r="CD676" i="6"/>
  <c r="CC676" i="6"/>
  <c r="F676" i="6"/>
  <c r="E676" i="6"/>
  <c r="D676" i="6"/>
  <c r="C676" i="6"/>
  <c r="CK675" i="6"/>
  <c r="CJ675" i="6"/>
  <c r="CI675" i="6"/>
  <c r="CH675" i="6"/>
  <c r="CG675" i="6"/>
  <c r="CF675" i="6"/>
  <c r="CE675" i="6"/>
  <c r="CD675" i="6"/>
  <c r="CC675" i="6"/>
  <c r="F675" i="6"/>
  <c r="E675" i="6"/>
  <c r="D675" i="6"/>
  <c r="C675" i="6"/>
  <c r="CL675" i="6" s="1"/>
  <c r="CK674" i="6"/>
  <c r="CJ674" i="6"/>
  <c r="CI674" i="6"/>
  <c r="CH674" i="6"/>
  <c r="CG674" i="6"/>
  <c r="CF674" i="6"/>
  <c r="CE674" i="6"/>
  <c r="CD674" i="6"/>
  <c r="CC674" i="6"/>
  <c r="F674" i="6"/>
  <c r="E674" i="6"/>
  <c r="D674" i="6"/>
  <c r="C674" i="6"/>
  <c r="CK673" i="6"/>
  <c r="CJ673" i="6"/>
  <c r="CI673" i="6"/>
  <c r="CH673" i="6"/>
  <c r="CG673" i="6"/>
  <c r="CF673" i="6"/>
  <c r="CE673" i="6"/>
  <c r="CD673" i="6"/>
  <c r="CC673" i="6"/>
  <c r="F673" i="6"/>
  <c r="E673" i="6"/>
  <c r="D673" i="6"/>
  <c r="C673" i="6"/>
  <c r="CL673" i="6" s="1"/>
  <c r="CK672" i="6"/>
  <c r="CJ672" i="6"/>
  <c r="CI672" i="6"/>
  <c r="CH672" i="6"/>
  <c r="CG672" i="6"/>
  <c r="CF672" i="6"/>
  <c r="CE672" i="6"/>
  <c r="CD672" i="6"/>
  <c r="CC672" i="6"/>
  <c r="F672" i="6"/>
  <c r="E672" i="6"/>
  <c r="D672" i="6"/>
  <c r="C672" i="6"/>
  <c r="CK671" i="6"/>
  <c r="CJ671" i="6"/>
  <c r="CI671" i="6"/>
  <c r="CH671" i="6"/>
  <c r="CG671" i="6"/>
  <c r="CF671" i="6"/>
  <c r="CE671" i="6"/>
  <c r="CD671" i="6"/>
  <c r="CC671" i="6"/>
  <c r="F671" i="6"/>
  <c r="E671" i="6"/>
  <c r="D671" i="6"/>
  <c r="C671" i="6"/>
  <c r="CL671" i="6" s="1"/>
  <c r="CK670" i="6"/>
  <c r="CJ670" i="6"/>
  <c r="CI670" i="6"/>
  <c r="CH670" i="6"/>
  <c r="CG670" i="6"/>
  <c r="CF670" i="6"/>
  <c r="CE670" i="6"/>
  <c r="CD670" i="6"/>
  <c r="CC670" i="6"/>
  <c r="F670" i="6"/>
  <c r="E670" i="6"/>
  <c r="D670" i="6"/>
  <c r="C670" i="6"/>
  <c r="CK669" i="6"/>
  <c r="CJ669" i="6"/>
  <c r="CI669" i="6"/>
  <c r="CH669" i="6"/>
  <c r="CG669" i="6"/>
  <c r="CF669" i="6"/>
  <c r="CE669" i="6"/>
  <c r="CD669" i="6"/>
  <c r="CC669" i="6"/>
  <c r="F669" i="6"/>
  <c r="E669" i="6"/>
  <c r="D669" i="6"/>
  <c r="C669" i="6"/>
  <c r="CL669" i="6" s="1"/>
  <c r="CK668" i="6"/>
  <c r="CJ668" i="6"/>
  <c r="CI668" i="6"/>
  <c r="CH668" i="6"/>
  <c r="CG668" i="6"/>
  <c r="CF668" i="6"/>
  <c r="CE668" i="6"/>
  <c r="CD668" i="6"/>
  <c r="CC668" i="6"/>
  <c r="F668" i="6"/>
  <c r="E668" i="6"/>
  <c r="D668" i="6"/>
  <c r="C668" i="6"/>
  <c r="CK667" i="6"/>
  <c r="CJ667" i="6"/>
  <c r="CI667" i="6"/>
  <c r="CH667" i="6"/>
  <c r="CG667" i="6"/>
  <c r="CF667" i="6"/>
  <c r="CE667" i="6"/>
  <c r="CD667" i="6"/>
  <c r="CC667" i="6"/>
  <c r="F667" i="6"/>
  <c r="E667" i="6"/>
  <c r="D667" i="6"/>
  <c r="C667" i="6"/>
  <c r="CL667" i="6" s="1"/>
  <c r="CK666" i="6"/>
  <c r="CJ666" i="6"/>
  <c r="CI666" i="6"/>
  <c r="CH666" i="6"/>
  <c r="CG666" i="6"/>
  <c r="CF666" i="6"/>
  <c r="CE666" i="6"/>
  <c r="CD666" i="6"/>
  <c r="CC666" i="6"/>
  <c r="F666" i="6"/>
  <c r="E666" i="6"/>
  <c r="D666" i="6"/>
  <c r="C666" i="6"/>
  <c r="CK665" i="6"/>
  <c r="CJ665" i="6"/>
  <c r="CI665" i="6"/>
  <c r="CH665" i="6"/>
  <c r="CG665" i="6"/>
  <c r="CF665" i="6"/>
  <c r="CE665" i="6"/>
  <c r="CD665" i="6"/>
  <c r="CC665" i="6"/>
  <c r="F665" i="6"/>
  <c r="E665" i="6"/>
  <c r="D665" i="6"/>
  <c r="C665" i="6"/>
  <c r="CL665" i="6" s="1"/>
  <c r="CK664" i="6"/>
  <c r="CJ664" i="6"/>
  <c r="CI664" i="6"/>
  <c r="CH664" i="6"/>
  <c r="CG664" i="6"/>
  <c r="CF664" i="6"/>
  <c r="CE664" i="6"/>
  <c r="CD664" i="6"/>
  <c r="CC664" i="6"/>
  <c r="F664" i="6"/>
  <c r="E664" i="6"/>
  <c r="D664" i="6"/>
  <c r="C664" i="6"/>
  <c r="CK663" i="6"/>
  <c r="CJ663" i="6"/>
  <c r="CI663" i="6"/>
  <c r="CH663" i="6"/>
  <c r="CG663" i="6"/>
  <c r="CF663" i="6"/>
  <c r="CE663" i="6"/>
  <c r="CD663" i="6"/>
  <c r="CC663" i="6"/>
  <c r="F663" i="6"/>
  <c r="E663" i="6"/>
  <c r="D663" i="6"/>
  <c r="C663" i="6"/>
  <c r="CL663" i="6" s="1"/>
  <c r="CK662" i="6"/>
  <c r="CJ662" i="6"/>
  <c r="CI662" i="6"/>
  <c r="CH662" i="6"/>
  <c r="CG662" i="6"/>
  <c r="CF662" i="6"/>
  <c r="CE662" i="6"/>
  <c r="CD662" i="6"/>
  <c r="CC662" i="6"/>
  <c r="F662" i="6"/>
  <c r="E662" i="6"/>
  <c r="D662" i="6"/>
  <c r="C662" i="6"/>
  <c r="CK661" i="6"/>
  <c r="CJ661" i="6"/>
  <c r="CI661" i="6"/>
  <c r="CH661" i="6"/>
  <c r="CG661" i="6"/>
  <c r="CF661" i="6"/>
  <c r="CE661" i="6"/>
  <c r="CD661" i="6"/>
  <c r="CC661" i="6"/>
  <c r="F661" i="6"/>
  <c r="E661" i="6"/>
  <c r="D661" i="6"/>
  <c r="C661" i="6"/>
  <c r="CL661" i="6" s="1"/>
  <c r="CK660" i="6"/>
  <c r="CJ660" i="6"/>
  <c r="CI660" i="6"/>
  <c r="CH660" i="6"/>
  <c r="CG660" i="6"/>
  <c r="CF660" i="6"/>
  <c r="CE660" i="6"/>
  <c r="CD660" i="6"/>
  <c r="CC660" i="6"/>
  <c r="F660" i="6"/>
  <c r="E660" i="6"/>
  <c r="D660" i="6"/>
  <c r="C660" i="6"/>
  <c r="CK659" i="6"/>
  <c r="CJ659" i="6"/>
  <c r="CI659" i="6"/>
  <c r="CH659" i="6"/>
  <c r="CG659" i="6"/>
  <c r="CF659" i="6"/>
  <c r="CE659" i="6"/>
  <c r="CD659" i="6"/>
  <c r="CC659" i="6"/>
  <c r="F659" i="6"/>
  <c r="E659" i="6"/>
  <c r="D659" i="6"/>
  <c r="C659" i="6"/>
  <c r="CL659" i="6" s="1"/>
  <c r="CK658" i="6"/>
  <c r="CJ658" i="6"/>
  <c r="CI658" i="6"/>
  <c r="CH658" i="6"/>
  <c r="CG658" i="6"/>
  <c r="CF658" i="6"/>
  <c r="CE658" i="6"/>
  <c r="CD658" i="6"/>
  <c r="CC658" i="6"/>
  <c r="F658" i="6"/>
  <c r="E658" i="6"/>
  <c r="D658" i="6"/>
  <c r="C658" i="6"/>
  <c r="CK657" i="6"/>
  <c r="CJ657" i="6"/>
  <c r="CI657" i="6"/>
  <c r="CH657" i="6"/>
  <c r="CG657" i="6"/>
  <c r="CF657" i="6"/>
  <c r="CE657" i="6"/>
  <c r="CD657" i="6"/>
  <c r="CC657" i="6"/>
  <c r="F657" i="6"/>
  <c r="E657" i="6"/>
  <c r="D657" i="6"/>
  <c r="C657" i="6"/>
  <c r="CL657" i="6" s="1"/>
  <c r="CK656" i="6"/>
  <c r="CJ656" i="6"/>
  <c r="CI656" i="6"/>
  <c r="CH656" i="6"/>
  <c r="CG656" i="6"/>
  <c r="CF656" i="6"/>
  <c r="CE656" i="6"/>
  <c r="CD656" i="6"/>
  <c r="CC656" i="6"/>
  <c r="F656" i="6"/>
  <c r="E656" i="6"/>
  <c r="D656" i="6"/>
  <c r="C656" i="6"/>
  <c r="CK655" i="6"/>
  <c r="CJ655" i="6"/>
  <c r="CI655" i="6"/>
  <c r="CH655" i="6"/>
  <c r="CG655" i="6"/>
  <c r="CF655" i="6"/>
  <c r="CE655" i="6"/>
  <c r="CD655" i="6"/>
  <c r="CC655" i="6"/>
  <c r="F655" i="6"/>
  <c r="E655" i="6"/>
  <c r="D655" i="6"/>
  <c r="C655" i="6"/>
  <c r="CL655" i="6" s="1"/>
  <c r="CK654" i="6"/>
  <c r="CJ654" i="6"/>
  <c r="CI654" i="6"/>
  <c r="CH654" i="6"/>
  <c r="CG654" i="6"/>
  <c r="CF654" i="6"/>
  <c r="CE654" i="6"/>
  <c r="CD654" i="6"/>
  <c r="CC654" i="6"/>
  <c r="F654" i="6"/>
  <c r="E654" i="6"/>
  <c r="D654" i="6"/>
  <c r="C654" i="6"/>
  <c r="CK653" i="6"/>
  <c r="CJ653" i="6"/>
  <c r="CI653" i="6"/>
  <c r="CH653" i="6"/>
  <c r="CG653" i="6"/>
  <c r="CF653" i="6"/>
  <c r="CE653" i="6"/>
  <c r="CD653" i="6"/>
  <c r="CC653" i="6"/>
  <c r="F653" i="6"/>
  <c r="E653" i="6"/>
  <c r="D653" i="6"/>
  <c r="C653" i="6"/>
  <c r="CL653" i="6" s="1"/>
  <c r="CK652" i="6"/>
  <c r="CJ652" i="6"/>
  <c r="CI652" i="6"/>
  <c r="CH652" i="6"/>
  <c r="CG652" i="6"/>
  <c r="CF652" i="6"/>
  <c r="CE652" i="6"/>
  <c r="CD652" i="6"/>
  <c r="CC652" i="6"/>
  <c r="F652" i="6"/>
  <c r="E652" i="6"/>
  <c r="D652" i="6"/>
  <c r="C652" i="6"/>
  <c r="CK651" i="6"/>
  <c r="CJ651" i="6"/>
  <c r="CI651" i="6"/>
  <c r="CH651" i="6"/>
  <c r="CG651" i="6"/>
  <c r="CF651" i="6"/>
  <c r="CE651" i="6"/>
  <c r="CD651" i="6"/>
  <c r="CC651" i="6"/>
  <c r="F651" i="6"/>
  <c r="E651" i="6"/>
  <c r="D651" i="6"/>
  <c r="C651" i="6"/>
  <c r="CL651" i="6" s="1"/>
  <c r="CK650" i="6"/>
  <c r="CJ650" i="6"/>
  <c r="CI650" i="6"/>
  <c r="CH650" i="6"/>
  <c r="CG650" i="6"/>
  <c r="CF650" i="6"/>
  <c r="CE650" i="6"/>
  <c r="CD650" i="6"/>
  <c r="CC650" i="6"/>
  <c r="F650" i="6"/>
  <c r="E650" i="6"/>
  <c r="D650" i="6"/>
  <c r="C650" i="6"/>
  <c r="CK649" i="6"/>
  <c r="CJ649" i="6"/>
  <c r="CI649" i="6"/>
  <c r="CH649" i="6"/>
  <c r="CG649" i="6"/>
  <c r="CF649" i="6"/>
  <c r="CE649" i="6"/>
  <c r="CD649" i="6"/>
  <c r="CC649" i="6"/>
  <c r="F649" i="6"/>
  <c r="E649" i="6"/>
  <c r="D649" i="6"/>
  <c r="C649" i="6"/>
  <c r="CL649" i="6" s="1"/>
  <c r="CK648" i="6"/>
  <c r="CJ648" i="6"/>
  <c r="CI648" i="6"/>
  <c r="CH648" i="6"/>
  <c r="CG648" i="6"/>
  <c r="CF648" i="6"/>
  <c r="CE648" i="6"/>
  <c r="CD648" i="6"/>
  <c r="CC648" i="6"/>
  <c r="F648" i="6"/>
  <c r="E648" i="6"/>
  <c r="D648" i="6"/>
  <c r="C648" i="6"/>
  <c r="CK647" i="6"/>
  <c r="CJ647" i="6"/>
  <c r="CI647" i="6"/>
  <c r="CH647" i="6"/>
  <c r="CG647" i="6"/>
  <c r="CF647" i="6"/>
  <c r="CE647" i="6"/>
  <c r="CD647" i="6"/>
  <c r="CC647" i="6"/>
  <c r="F647" i="6"/>
  <c r="E647" i="6"/>
  <c r="D647" i="6"/>
  <c r="C647" i="6"/>
  <c r="CL647" i="6" s="1"/>
  <c r="CK646" i="6"/>
  <c r="CJ646" i="6"/>
  <c r="CI646" i="6"/>
  <c r="CH646" i="6"/>
  <c r="CG646" i="6"/>
  <c r="CF646" i="6"/>
  <c r="CE646" i="6"/>
  <c r="CD646" i="6"/>
  <c r="CC646" i="6"/>
  <c r="F646" i="6"/>
  <c r="E646" i="6"/>
  <c r="D646" i="6"/>
  <c r="C646" i="6"/>
  <c r="CK645" i="6"/>
  <c r="CJ645" i="6"/>
  <c r="CI645" i="6"/>
  <c r="CH645" i="6"/>
  <c r="CG645" i="6"/>
  <c r="CF645" i="6"/>
  <c r="CE645" i="6"/>
  <c r="CD645" i="6"/>
  <c r="CC645" i="6"/>
  <c r="F645" i="6"/>
  <c r="E645" i="6"/>
  <c r="D645" i="6"/>
  <c r="C645" i="6"/>
  <c r="CL645" i="6" s="1"/>
  <c r="CK644" i="6"/>
  <c r="CJ644" i="6"/>
  <c r="CI644" i="6"/>
  <c r="CH644" i="6"/>
  <c r="CG644" i="6"/>
  <c r="CF644" i="6"/>
  <c r="CE644" i="6"/>
  <c r="CD644" i="6"/>
  <c r="CC644" i="6"/>
  <c r="F644" i="6"/>
  <c r="E644" i="6"/>
  <c r="D644" i="6"/>
  <c r="C644" i="6"/>
  <c r="CK643" i="6"/>
  <c r="CJ643" i="6"/>
  <c r="CI643" i="6"/>
  <c r="CH643" i="6"/>
  <c r="CG643" i="6"/>
  <c r="CF643" i="6"/>
  <c r="CE643" i="6"/>
  <c r="CD643" i="6"/>
  <c r="CC643" i="6"/>
  <c r="F643" i="6"/>
  <c r="E643" i="6"/>
  <c r="D643" i="6"/>
  <c r="C643" i="6"/>
  <c r="CK642" i="6"/>
  <c r="CJ642" i="6"/>
  <c r="CI642" i="6"/>
  <c r="CH642" i="6"/>
  <c r="CG642" i="6"/>
  <c r="CF642" i="6"/>
  <c r="CE642" i="6"/>
  <c r="CD642" i="6"/>
  <c r="CC642" i="6"/>
  <c r="F642" i="6"/>
  <c r="E642" i="6"/>
  <c r="D642" i="6"/>
  <c r="C642" i="6"/>
  <c r="CK641" i="6"/>
  <c r="CJ641" i="6"/>
  <c r="CI641" i="6"/>
  <c r="CH641" i="6"/>
  <c r="CG641" i="6"/>
  <c r="CF641" i="6"/>
  <c r="CE641" i="6"/>
  <c r="CD641" i="6"/>
  <c r="CC641" i="6"/>
  <c r="F641" i="6"/>
  <c r="E641" i="6"/>
  <c r="D641" i="6"/>
  <c r="C641" i="6"/>
  <c r="CK640" i="6"/>
  <c r="CJ640" i="6"/>
  <c r="CI640" i="6"/>
  <c r="CH640" i="6"/>
  <c r="CG640" i="6"/>
  <c r="CF640" i="6"/>
  <c r="CE640" i="6"/>
  <c r="CD640" i="6"/>
  <c r="CC640" i="6"/>
  <c r="F640" i="6"/>
  <c r="E640" i="6"/>
  <c r="D640" i="6"/>
  <c r="C640" i="6"/>
  <c r="CK639" i="6"/>
  <c r="CJ639" i="6"/>
  <c r="CI639" i="6"/>
  <c r="CH639" i="6"/>
  <c r="CG639" i="6"/>
  <c r="CF639" i="6"/>
  <c r="CE639" i="6"/>
  <c r="CD639" i="6"/>
  <c r="CC639" i="6"/>
  <c r="F639" i="6"/>
  <c r="E639" i="6"/>
  <c r="D639" i="6"/>
  <c r="C639" i="6"/>
  <c r="CK638" i="6"/>
  <c r="CJ638" i="6"/>
  <c r="CI638" i="6"/>
  <c r="CH638" i="6"/>
  <c r="CG638" i="6"/>
  <c r="CF638" i="6"/>
  <c r="CE638" i="6"/>
  <c r="CD638" i="6"/>
  <c r="CC638" i="6"/>
  <c r="F638" i="6"/>
  <c r="E638" i="6"/>
  <c r="D638" i="6"/>
  <c r="C638" i="6"/>
  <c r="CK637" i="6"/>
  <c r="CJ637" i="6"/>
  <c r="CI637" i="6"/>
  <c r="CH637" i="6"/>
  <c r="CG637" i="6"/>
  <c r="CF637" i="6"/>
  <c r="CE637" i="6"/>
  <c r="CD637" i="6"/>
  <c r="CC637" i="6"/>
  <c r="F637" i="6"/>
  <c r="E637" i="6"/>
  <c r="D637" i="6"/>
  <c r="C637" i="6"/>
  <c r="CK636" i="6"/>
  <c r="CJ636" i="6"/>
  <c r="CI636" i="6"/>
  <c r="CH636" i="6"/>
  <c r="CG636" i="6"/>
  <c r="CF636" i="6"/>
  <c r="CE636" i="6"/>
  <c r="CD636" i="6"/>
  <c r="CC636" i="6"/>
  <c r="F636" i="6"/>
  <c r="E636" i="6"/>
  <c r="D636" i="6"/>
  <c r="C636" i="6"/>
  <c r="CK635" i="6"/>
  <c r="CJ635" i="6"/>
  <c r="CI635" i="6"/>
  <c r="CH635" i="6"/>
  <c r="CG635" i="6"/>
  <c r="CF635" i="6"/>
  <c r="CE635" i="6"/>
  <c r="CD635" i="6"/>
  <c r="CC635" i="6"/>
  <c r="F635" i="6"/>
  <c r="E635" i="6"/>
  <c r="D635" i="6"/>
  <c r="C635" i="6"/>
  <c r="CK634" i="6"/>
  <c r="CJ634" i="6"/>
  <c r="CI634" i="6"/>
  <c r="CH634" i="6"/>
  <c r="CG634" i="6"/>
  <c r="CF634" i="6"/>
  <c r="CE634" i="6"/>
  <c r="CD634" i="6"/>
  <c r="CC634" i="6"/>
  <c r="F634" i="6"/>
  <c r="E634" i="6"/>
  <c r="D634" i="6"/>
  <c r="C634" i="6"/>
  <c r="CK633" i="6"/>
  <c r="CJ633" i="6"/>
  <c r="CI633" i="6"/>
  <c r="CH633" i="6"/>
  <c r="CG633" i="6"/>
  <c r="CF633" i="6"/>
  <c r="CE633" i="6"/>
  <c r="CD633" i="6"/>
  <c r="CC633" i="6"/>
  <c r="F633" i="6"/>
  <c r="E633" i="6"/>
  <c r="D633" i="6"/>
  <c r="C633" i="6"/>
  <c r="CK632" i="6"/>
  <c r="CJ632" i="6"/>
  <c r="CI632" i="6"/>
  <c r="CH632" i="6"/>
  <c r="CG632" i="6"/>
  <c r="CF632" i="6"/>
  <c r="CE632" i="6"/>
  <c r="CD632" i="6"/>
  <c r="CC632" i="6"/>
  <c r="F632" i="6"/>
  <c r="E632" i="6"/>
  <c r="D632" i="6"/>
  <c r="C632" i="6"/>
  <c r="CK631" i="6"/>
  <c r="CJ631" i="6"/>
  <c r="CI631" i="6"/>
  <c r="CH631" i="6"/>
  <c r="CG631" i="6"/>
  <c r="CF631" i="6"/>
  <c r="CE631" i="6"/>
  <c r="CD631" i="6"/>
  <c r="CC631" i="6"/>
  <c r="F631" i="6"/>
  <c r="E631" i="6"/>
  <c r="D631" i="6"/>
  <c r="C631" i="6"/>
  <c r="CK630" i="6"/>
  <c r="CJ630" i="6"/>
  <c r="CI630" i="6"/>
  <c r="CH630" i="6"/>
  <c r="CG630" i="6"/>
  <c r="CF630" i="6"/>
  <c r="CE630" i="6"/>
  <c r="CD630" i="6"/>
  <c r="CC630" i="6"/>
  <c r="F630" i="6"/>
  <c r="E630" i="6"/>
  <c r="D630" i="6"/>
  <c r="C630" i="6"/>
  <c r="CK629" i="6"/>
  <c r="CJ629" i="6"/>
  <c r="CI629" i="6"/>
  <c r="CH629" i="6"/>
  <c r="CG629" i="6"/>
  <c r="CF629" i="6"/>
  <c r="CE629" i="6"/>
  <c r="CD629" i="6"/>
  <c r="CC629" i="6"/>
  <c r="F629" i="6"/>
  <c r="E629" i="6"/>
  <c r="D629" i="6"/>
  <c r="C629" i="6"/>
  <c r="CK628" i="6"/>
  <c r="CJ628" i="6"/>
  <c r="CI628" i="6"/>
  <c r="CH628" i="6"/>
  <c r="CG628" i="6"/>
  <c r="CF628" i="6"/>
  <c r="CE628" i="6"/>
  <c r="CD628" i="6"/>
  <c r="CC628" i="6"/>
  <c r="F628" i="6"/>
  <c r="E628" i="6"/>
  <c r="D628" i="6"/>
  <c r="C628" i="6"/>
  <c r="CK627" i="6"/>
  <c r="CJ627" i="6"/>
  <c r="CI627" i="6"/>
  <c r="CH627" i="6"/>
  <c r="CG627" i="6"/>
  <c r="CF627" i="6"/>
  <c r="CE627" i="6"/>
  <c r="CD627" i="6"/>
  <c r="CC627" i="6"/>
  <c r="F627" i="6"/>
  <c r="E627" i="6"/>
  <c r="D627" i="6"/>
  <c r="C627" i="6"/>
  <c r="CK626" i="6"/>
  <c r="CJ626" i="6"/>
  <c r="CI626" i="6"/>
  <c r="CH626" i="6"/>
  <c r="CG626" i="6"/>
  <c r="CF626" i="6"/>
  <c r="CE626" i="6"/>
  <c r="CD626" i="6"/>
  <c r="CC626" i="6"/>
  <c r="F626" i="6"/>
  <c r="E626" i="6"/>
  <c r="D626" i="6"/>
  <c r="C626" i="6"/>
  <c r="CK625" i="6"/>
  <c r="CJ625" i="6"/>
  <c r="CI625" i="6"/>
  <c r="CH625" i="6"/>
  <c r="CG625" i="6"/>
  <c r="CF625" i="6"/>
  <c r="CE625" i="6"/>
  <c r="CD625" i="6"/>
  <c r="CC625" i="6"/>
  <c r="F625" i="6"/>
  <c r="E625" i="6"/>
  <c r="D625" i="6"/>
  <c r="C625" i="6"/>
  <c r="CK624" i="6"/>
  <c r="CJ624" i="6"/>
  <c r="CI624" i="6"/>
  <c r="CH624" i="6"/>
  <c r="CG624" i="6"/>
  <c r="CF624" i="6"/>
  <c r="CE624" i="6"/>
  <c r="CD624" i="6"/>
  <c r="CC624" i="6"/>
  <c r="F624" i="6"/>
  <c r="E624" i="6"/>
  <c r="D624" i="6"/>
  <c r="C624" i="6"/>
  <c r="CK623" i="6"/>
  <c r="CJ623" i="6"/>
  <c r="CI623" i="6"/>
  <c r="CH623" i="6"/>
  <c r="CG623" i="6"/>
  <c r="CF623" i="6"/>
  <c r="CE623" i="6"/>
  <c r="CD623" i="6"/>
  <c r="CC623" i="6"/>
  <c r="F623" i="6"/>
  <c r="E623" i="6"/>
  <c r="D623" i="6"/>
  <c r="C623" i="6"/>
  <c r="CK622" i="6"/>
  <c r="CJ622" i="6"/>
  <c r="CI622" i="6"/>
  <c r="CH622" i="6"/>
  <c r="CG622" i="6"/>
  <c r="CF622" i="6"/>
  <c r="CE622" i="6"/>
  <c r="CD622" i="6"/>
  <c r="CC622" i="6"/>
  <c r="F622" i="6"/>
  <c r="E622" i="6"/>
  <c r="D622" i="6"/>
  <c r="C622" i="6"/>
  <c r="CM621" i="6"/>
  <c r="CK621" i="6"/>
  <c r="CJ621" i="6"/>
  <c r="CI621" i="6"/>
  <c r="CH621" i="6"/>
  <c r="CG621" i="6"/>
  <c r="CF621" i="6"/>
  <c r="CE621" i="6"/>
  <c r="CD621" i="6"/>
  <c r="CC621" i="6"/>
  <c r="F621" i="6"/>
  <c r="E621" i="6"/>
  <c r="D621" i="6"/>
  <c r="C621" i="6"/>
  <c r="CL621" i="6" s="1"/>
  <c r="CM620" i="6"/>
  <c r="CK620" i="6"/>
  <c r="CJ620" i="6"/>
  <c r="CI620" i="6"/>
  <c r="CH620" i="6"/>
  <c r="CG620" i="6"/>
  <c r="CF620" i="6"/>
  <c r="CE620" i="6"/>
  <c r="CD620" i="6"/>
  <c r="CC620" i="6"/>
  <c r="F620" i="6"/>
  <c r="E620" i="6"/>
  <c r="D620" i="6"/>
  <c r="C620" i="6"/>
  <c r="CL620" i="6" s="1"/>
  <c r="CM619" i="6"/>
  <c r="CK619" i="6"/>
  <c r="CJ619" i="6"/>
  <c r="CI619" i="6"/>
  <c r="CH619" i="6"/>
  <c r="CG619" i="6"/>
  <c r="CF619" i="6"/>
  <c r="CE619" i="6"/>
  <c r="CD619" i="6"/>
  <c r="CC619" i="6"/>
  <c r="F619" i="6"/>
  <c r="E619" i="6"/>
  <c r="D619" i="6"/>
  <c r="C619" i="6"/>
  <c r="CL619" i="6" s="1"/>
  <c r="CM618" i="6"/>
  <c r="CK618" i="6"/>
  <c r="CJ618" i="6"/>
  <c r="CI618" i="6"/>
  <c r="CH618" i="6"/>
  <c r="CG618" i="6"/>
  <c r="CF618" i="6"/>
  <c r="CE618" i="6"/>
  <c r="CD618" i="6"/>
  <c r="CC618" i="6"/>
  <c r="F618" i="6"/>
  <c r="E618" i="6"/>
  <c r="D618" i="6"/>
  <c r="C618" i="6"/>
  <c r="CL618" i="6" s="1"/>
  <c r="CM617" i="6"/>
  <c r="CK617" i="6"/>
  <c r="CJ617" i="6"/>
  <c r="CI617" i="6"/>
  <c r="CH617" i="6"/>
  <c r="CG617" i="6"/>
  <c r="CF617" i="6"/>
  <c r="CE617" i="6"/>
  <c r="CD617" i="6"/>
  <c r="CC617" i="6"/>
  <c r="F617" i="6"/>
  <c r="E617" i="6"/>
  <c r="D617" i="6"/>
  <c r="C617" i="6"/>
  <c r="CL617" i="6" s="1"/>
  <c r="CM616" i="6"/>
  <c r="CK616" i="6"/>
  <c r="CJ616" i="6"/>
  <c r="CI616" i="6"/>
  <c r="CH616" i="6"/>
  <c r="CG616" i="6"/>
  <c r="CF616" i="6"/>
  <c r="CE616" i="6"/>
  <c r="CD616" i="6"/>
  <c r="CC616" i="6"/>
  <c r="F616" i="6"/>
  <c r="E616" i="6"/>
  <c r="D616" i="6"/>
  <c r="C616" i="6"/>
  <c r="CL616" i="6" s="1"/>
  <c r="CM615" i="6"/>
  <c r="CK615" i="6"/>
  <c r="CJ615" i="6"/>
  <c r="CI615" i="6"/>
  <c r="CH615" i="6"/>
  <c r="CG615" i="6"/>
  <c r="CF615" i="6"/>
  <c r="CE615" i="6"/>
  <c r="CD615" i="6"/>
  <c r="CC615" i="6"/>
  <c r="F615" i="6"/>
  <c r="E615" i="6"/>
  <c r="D615" i="6"/>
  <c r="C615" i="6"/>
  <c r="CL615" i="6" s="1"/>
  <c r="CM614" i="6"/>
  <c r="CK614" i="6"/>
  <c r="CJ614" i="6"/>
  <c r="CI614" i="6"/>
  <c r="CH614" i="6"/>
  <c r="CG614" i="6"/>
  <c r="CF614" i="6"/>
  <c r="CE614" i="6"/>
  <c r="CD614" i="6"/>
  <c r="CC614" i="6"/>
  <c r="F614" i="6"/>
  <c r="E614" i="6"/>
  <c r="D614" i="6"/>
  <c r="C614" i="6"/>
  <c r="CL614" i="6" s="1"/>
  <c r="CM613" i="6"/>
  <c r="CK613" i="6"/>
  <c r="CJ613" i="6"/>
  <c r="CI613" i="6"/>
  <c r="CH613" i="6"/>
  <c r="CG613" i="6"/>
  <c r="CF613" i="6"/>
  <c r="CE613" i="6"/>
  <c r="CD613" i="6"/>
  <c r="CC613" i="6"/>
  <c r="F613" i="6"/>
  <c r="E613" i="6"/>
  <c r="D613" i="6"/>
  <c r="C613" i="6"/>
  <c r="CL613" i="6" s="1"/>
  <c r="CM612" i="6"/>
  <c r="CK612" i="6"/>
  <c r="CJ612" i="6"/>
  <c r="CI612" i="6"/>
  <c r="CH612" i="6"/>
  <c r="CG612" i="6"/>
  <c r="CF612" i="6"/>
  <c r="CE612" i="6"/>
  <c r="CD612" i="6"/>
  <c r="CC612" i="6"/>
  <c r="F612" i="6"/>
  <c r="E612" i="6"/>
  <c r="D612" i="6"/>
  <c r="C612" i="6"/>
  <c r="CL612" i="6" s="1"/>
  <c r="CM611" i="6"/>
  <c r="CK611" i="6"/>
  <c r="CJ611" i="6"/>
  <c r="CI611" i="6"/>
  <c r="CH611" i="6"/>
  <c r="CG611" i="6"/>
  <c r="CF611" i="6"/>
  <c r="CE611" i="6"/>
  <c r="CD611" i="6"/>
  <c r="CC611" i="6"/>
  <c r="F611" i="6"/>
  <c r="E611" i="6"/>
  <c r="D611" i="6"/>
  <c r="C611" i="6"/>
  <c r="CL611" i="6" s="1"/>
  <c r="CM610" i="6"/>
  <c r="CK610" i="6"/>
  <c r="CJ610" i="6"/>
  <c r="CI610" i="6"/>
  <c r="CH610" i="6"/>
  <c r="CG610" i="6"/>
  <c r="CF610" i="6"/>
  <c r="CE610" i="6"/>
  <c r="CD610" i="6"/>
  <c r="CC610" i="6"/>
  <c r="F610" i="6"/>
  <c r="E610" i="6"/>
  <c r="D610" i="6"/>
  <c r="C610" i="6"/>
  <c r="CL610" i="6" s="1"/>
  <c r="CM609" i="6"/>
  <c r="CK609" i="6"/>
  <c r="CJ609" i="6"/>
  <c r="CI609" i="6"/>
  <c r="CH609" i="6"/>
  <c r="CG609" i="6"/>
  <c r="CF609" i="6"/>
  <c r="CE609" i="6"/>
  <c r="CD609" i="6"/>
  <c r="CC609" i="6"/>
  <c r="F609" i="6"/>
  <c r="E609" i="6"/>
  <c r="D609" i="6"/>
  <c r="C609" i="6"/>
  <c r="CL609" i="6" s="1"/>
  <c r="CM608" i="6"/>
  <c r="CK608" i="6"/>
  <c r="CJ608" i="6"/>
  <c r="CI608" i="6"/>
  <c r="CH608" i="6"/>
  <c r="CG608" i="6"/>
  <c r="CF608" i="6"/>
  <c r="CE608" i="6"/>
  <c r="CD608" i="6"/>
  <c r="CC608" i="6"/>
  <c r="F608" i="6"/>
  <c r="E608" i="6"/>
  <c r="D608" i="6"/>
  <c r="C608" i="6"/>
  <c r="CL608" i="6" s="1"/>
  <c r="CM607" i="6"/>
  <c r="CK607" i="6"/>
  <c r="CJ607" i="6"/>
  <c r="CI607" i="6"/>
  <c r="CH607" i="6"/>
  <c r="CG607" i="6"/>
  <c r="CF607" i="6"/>
  <c r="CE607" i="6"/>
  <c r="CD607" i="6"/>
  <c r="CC607" i="6"/>
  <c r="F607" i="6"/>
  <c r="E607" i="6"/>
  <c r="D607" i="6"/>
  <c r="C607" i="6"/>
  <c r="CL607" i="6" s="1"/>
  <c r="CM606" i="6"/>
  <c r="CK606" i="6"/>
  <c r="CJ606" i="6"/>
  <c r="CI606" i="6"/>
  <c r="CH606" i="6"/>
  <c r="CG606" i="6"/>
  <c r="CF606" i="6"/>
  <c r="CE606" i="6"/>
  <c r="CD606" i="6"/>
  <c r="CC606" i="6"/>
  <c r="F606" i="6"/>
  <c r="E606" i="6"/>
  <c r="D606" i="6"/>
  <c r="C606" i="6"/>
  <c r="CL606" i="6" s="1"/>
  <c r="CM605" i="6"/>
  <c r="CK605" i="6"/>
  <c r="CJ605" i="6"/>
  <c r="CI605" i="6"/>
  <c r="CH605" i="6"/>
  <c r="CG605" i="6"/>
  <c r="CF605" i="6"/>
  <c r="CE605" i="6"/>
  <c r="CD605" i="6"/>
  <c r="CC605" i="6"/>
  <c r="F605" i="6"/>
  <c r="E605" i="6"/>
  <c r="D605" i="6"/>
  <c r="C605" i="6"/>
  <c r="CL605" i="6" s="1"/>
  <c r="CM604" i="6"/>
  <c r="CK604" i="6"/>
  <c r="CJ604" i="6"/>
  <c r="CI604" i="6"/>
  <c r="CH604" i="6"/>
  <c r="CG604" i="6"/>
  <c r="CF604" i="6"/>
  <c r="CE604" i="6"/>
  <c r="CD604" i="6"/>
  <c r="CC604" i="6"/>
  <c r="F604" i="6"/>
  <c r="E604" i="6"/>
  <c r="D604" i="6"/>
  <c r="C604" i="6"/>
  <c r="CL604" i="6" s="1"/>
  <c r="CM603" i="6"/>
  <c r="CK603" i="6"/>
  <c r="CJ603" i="6"/>
  <c r="CI603" i="6"/>
  <c r="CH603" i="6"/>
  <c r="CG603" i="6"/>
  <c r="CF603" i="6"/>
  <c r="CE603" i="6"/>
  <c r="CD603" i="6"/>
  <c r="CC603" i="6"/>
  <c r="F603" i="6"/>
  <c r="E603" i="6"/>
  <c r="D603" i="6"/>
  <c r="C603" i="6"/>
  <c r="CL603" i="6" s="1"/>
  <c r="CM602" i="6"/>
  <c r="CK602" i="6"/>
  <c r="CJ602" i="6"/>
  <c r="CI602" i="6"/>
  <c r="CH602" i="6"/>
  <c r="CG602" i="6"/>
  <c r="CF602" i="6"/>
  <c r="CE602" i="6"/>
  <c r="CD602" i="6"/>
  <c r="CC602" i="6"/>
  <c r="F602" i="6"/>
  <c r="E602" i="6"/>
  <c r="D602" i="6"/>
  <c r="C602" i="6"/>
  <c r="CL602" i="6" s="1"/>
  <c r="CM601" i="6"/>
  <c r="CK601" i="6"/>
  <c r="CJ601" i="6"/>
  <c r="CI601" i="6"/>
  <c r="CH601" i="6"/>
  <c r="CG601" i="6"/>
  <c r="CF601" i="6"/>
  <c r="CE601" i="6"/>
  <c r="CD601" i="6"/>
  <c r="CC601" i="6"/>
  <c r="F601" i="6"/>
  <c r="E601" i="6"/>
  <c r="D601" i="6"/>
  <c r="C601" i="6"/>
  <c r="CL601" i="6" s="1"/>
  <c r="CM600" i="6"/>
  <c r="CK600" i="6"/>
  <c r="CJ600" i="6"/>
  <c r="CI600" i="6"/>
  <c r="CH600" i="6"/>
  <c r="CG600" i="6"/>
  <c r="CF600" i="6"/>
  <c r="CE600" i="6"/>
  <c r="CD600" i="6"/>
  <c r="CC600" i="6"/>
  <c r="F600" i="6"/>
  <c r="E600" i="6"/>
  <c r="D600" i="6"/>
  <c r="C600" i="6"/>
  <c r="CL600" i="6" s="1"/>
  <c r="CM599" i="6"/>
  <c r="CK599" i="6"/>
  <c r="CJ599" i="6"/>
  <c r="CI599" i="6"/>
  <c r="CH599" i="6"/>
  <c r="CG599" i="6"/>
  <c r="CF599" i="6"/>
  <c r="CE599" i="6"/>
  <c r="CD599" i="6"/>
  <c r="CC599" i="6"/>
  <c r="F599" i="6"/>
  <c r="E599" i="6"/>
  <c r="D599" i="6"/>
  <c r="C599" i="6"/>
  <c r="CL599" i="6" s="1"/>
  <c r="CM598" i="6"/>
  <c r="CK598" i="6"/>
  <c r="CJ598" i="6"/>
  <c r="CI598" i="6"/>
  <c r="CH598" i="6"/>
  <c r="CG598" i="6"/>
  <c r="CF598" i="6"/>
  <c r="CE598" i="6"/>
  <c r="CD598" i="6"/>
  <c r="CC598" i="6"/>
  <c r="F598" i="6"/>
  <c r="E598" i="6"/>
  <c r="D598" i="6"/>
  <c r="C598" i="6"/>
  <c r="CL598" i="6" s="1"/>
  <c r="CM597" i="6"/>
  <c r="CK597" i="6"/>
  <c r="CJ597" i="6"/>
  <c r="CI597" i="6"/>
  <c r="CH597" i="6"/>
  <c r="CG597" i="6"/>
  <c r="CF597" i="6"/>
  <c r="CE597" i="6"/>
  <c r="CD597" i="6"/>
  <c r="CC597" i="6"/>
  <c r="F597" i="6"/>
  <c r="E597" i="6"/>
  <c r="D597" i="6"/>
  <c r="C597" i="6"/>
  <c r="CL597" i="6" s="1"/>
  <c r="CM596" i="6"/>
  <c r="CK596" i="6"/>
  <c r="CJ596" i="6"/>
  <c r="CI596" i="6"/>
  <c r="CH596" i="6"/>
  <c r="CG596" i="6"/>
  <c r="CF596" i="6"/>
  <c r="CE596" i="6"/>
  <c r="CD596" i="6"/>
  <c r="CC596" i="6"/>
  <c r="F596" i="6"/>
  <c r="E596" i="6"/>
  <c r="D596" i="6"/>
  <c r="C596" i="6"/>
  <c r="CL596" i="6" s="1"/>
  <c r="CM595" i="6"/>
  <c r="CK595" i="6"/>
  <c r="CJ595" i="6"/>
  <c r="CI595" i="6"/>
  <c r="CH595" i="6"/>
  <c r="CG595" i="6"/>
  <c r="CF595" i="6"/>
  <c r="CE595" i="6"/>
  <c r="CD595" i="6"/>
  <c r="CC595" i="6"/>
  <c r="F595" i="6"/>
  <c r="E595" i="6"/>
  <c r="D595" i="6"/>
  <c r="C595" i="6"/>
  <c r="CL595" i="6" s="1"/>
  <c r="CM594" i="6"/>
  <c r="CK594" i="6"/>
  <c r="CJ594" i="6"/>
  <c r="CI594" i="6"/>
  <c r="CH594" i="6"/>
  <c r="CG594" i="6"/>
  <c r="CF594" i="6"/>
  <c r="CE594" i="6"/>
  <c r="CD594" i="6"/>
  <c r="CC594" i="6"/>
  <c r="F594" i="6"/>
  <c r="E594" i="6"/>
  <c r="D594" i="6"/>
  <c r="C594" i="6"/>
  <c r="CL594" i="6" s="1"/>
  <c r="CM593" i="6"/>
  <c r="CK593" i="6"/>
  <c r="CJ593" i="6"/>
  <c r="CI593" i="6"/>
  <c r="CH593" i="6"/>
  <c r="CG593" i="6"/>
  <c r="CF593" i="6"/>
  <c r="CE593" i="6"/>
  <c r="CD593" i="6"/>
  <c r="CC593" i="6"/>
  <c r="F593" i="6"/>
  <c r="E593" i="6"/>
  <c r="D593" i="6"/>
  <c r="C593" i="6"/>
  <c r="CL593" i="6" s="1"/>
  <c r="CM592" i="6"/>
  <c r="CK592" i="6"/>
  <c r="CJ592" i="6"/>
  <c r="CI592" i="6"/>
  <c r="CH592" i="6"/>
  <c r="CG592" i="6"/>
  <c r="CF592" i="6"/>
  <c r="CE592" i="6"/>
  <c r="CD592" i="6"/>
  <c r="CC592" i="6"/>
  <c r="F592" i="6"/>
  <c r="E592" i="6"/>
  <c r="D592" i="6"/>
  <c r="C592" i="6"/>
  <c r="CL592" i="6" s="1"/>
  <c r="CM591" i="6"/>
  <c r="CK591" i="6"/>
  <c r="CJ591" i="6"/>
  <c r="CI591" i="6"/>
  <c r="CH591" i="6"/>
  <c r="CG591" i="6"/>
  <c r="CF591" i="6"/>
  <c r="CE591" i="6"/>
  <c r="CD591" i="6"/>
  <c r="CC591" i="6"/>
  <c r="F591" i="6"/>
  <c r="E591" i="6"/>
  <c r="D591" i="6"/>
  <c r="C591" i="6"/>
  <c r="CL591" i="6" s="1"/>
  <c r="CM590" i="6"/>
  <c r="CK590" i="6"/>
  <c r="CJ590" i="6"/>
  <c r="CI590" i="6"/>
  <c r="CH590" i="6"/>
  <c r="CG590" i="6"/>
  <c r="CF590" i="6"/>
  <c r="CE590" i="6"/>
  <c r="CD590" i="6"/>
  <c r="CC590" i="6"/>
  <c r="F590" i="6"/>
  <c r="E590" i="6"/>
  <c r="D590" i="6"/>
  <c r="C590" i="6"/>
  <c r="CL590" i="6" s="1"/>
  <c r="CK589" i="6"/>
  <c r="CJ589" i="6"/>
  <c r="CI589" i="6"/>
  <c r="CH589" i="6"/>
  <c r="CG589" i="6"/>
  <c r="CF589" i="6"/>
  <c r="CE589" i="6"/>
  <c r="CD589" i="6"/>
  <c r="CC589" i="6"/>
  <c r="F589" i="6"/>
  <c r="E589" i="6"/>
  <c r="D589" i="6"/>
  <c r="C589" i="6"/>
  <c r="CL589" i="6" s="1"/>
  <c r="CM588" i="6"/>
  <c r="CK588" i="6"/>
  <c r="CJ588" i="6"/>
  <c r="CI588" i="6"/>
  <c r="CH588" i="6"/>
  <c r="CG588" i="6"/>
  <c r="CF588" i="6"/>
  <c r="CE588" i="6"/>
  <c r="CD588" i="6"/>
  <c r="CC588" i="6"/>
  <c r="F588" i="6"/>
  <c r="E588" i="6"/>
  <c r="D588" i="6"/>
  <c r="C588" i="6"/>
  <c r="CL588" i="6" s="1"/>
  <c r="CK587" i="6"/>
  <c r="CJ587" i="6"/>
  <c r="CI587" i="6"/>
  <c r="CH587" i="6"/>
  <c r="CG587" i="6"/>
  <c r="CF587" i="6"/>
  <c r="CE587" i="6"/>
  <c r="CD587" i="6"/>
  <c r="CC587" i="6"/>
  <c r="F587" i="6"/>
  <c r="E587" i="6"/>
  <c r="D587" i="6"/>
  <c r="C587" i="6"/>
  <c r="CL587" i="6" s="1"/>
  <c r="CM586" i="6"/>
  <c r="CK586" i="6"/>
  <c r="CJ586" i="6"/>
  <c r="CI586" i="6"/>
  <c r="CH586" i="6"/>
  <c r="CG586" i="6"/>
  <c r="CF586" i="6"/>
  <c r="CE586" i="6"/>
  <c r="CD586" i="6"/>
  <c r="CC586" i="6"/>
  <c r="F586" i="6"/>
  <c r="E586" i="6"/>
  <c r="D586" i="6"/>
  <c r="C586" i="6"/>
  <c r="CL586" i="6" s="1"/>
  <c r="CK585" i="6"/>
  <c r="CJ585" i="6"/>
  <c r="CI585" i="6"/>
  <c r="CH585" i="6"/>
  <c r="CG585" i="6"/>
  <c r="CF585" i="6"/>
  <c r="CE585" i="6"/>
  <c r="CD585" i="6"/>
  <c r="CC585" i="6"/>
  <c r="F585" i="6"/>
  <c r="E585" i="6"/>
  <c r="D585" i="6"/>
  <c r="C585" i="6"/>
  <c r="CL585" i="6" s="1"/>
  <c r="CM584" i="6"/>
  <c r="CK584" i="6"/>
  <c r="CJ584" i="6"/>
  <c r="CI584" i="6"/>
  <c r="CH584" i="6"/>
  <c r="CG584" i="6"/>
  <c r="CF584" i="6"/>
  <c r="CE584" i="6"/>
  <c r="CD584" i="6"/>
  <c r="CC584" i="6"/>
  <c r="F584" i="6"/>
  <c r="E584" i="6"/>
  <c r="D584" i="6"/>
  <c r="C584" i="6"/>
  <c r="CL584" i="6" s="1"/>
  <c r="CK583" i="6"/>
  <c r="CJ583" i="6"/>
  <c r="CI583" i="6"/>
  <c r="CH583" i="6"/>
  <c r="CG583" i="6"/>
  <c r="CF583" i="6"/>
  <c r="CE583" i="6"/>
  <c r="CD583" i="6"/>
  <c r="CC583" i="6"/>
  <c r="F583" i="6"/>
  <c r="E583" i="6"/>
  <c r="D583" i="6"/>
  <c r="C583" i="6"/>
  <c r="CL583" i="6" s="1"/>
  <c r="CM582" i="6"/>
  <c r="CK582" i="6"/>
  <c r="CJ582" i="6"/>
  <c r="CI582" i="6"/>
  <c r="CH582" i="6"/>
  <c r="CG582" i="6"/>
  <c r="CF582" i="6"/>
  <c r="CE582" i="6"/>
  <c r="CD582" i="6"/>
  <c r="CC582" i="6"/>
  <c r="F582" i="6"/>
  <c r="E582" i="6"/>
  <c r="D582" i="6"/>
  <c r="C582" i="6"/>
  <c r="CL582" i="6" s="1"/>
  <c r="CK581" i="6"/>
  <c r="CJ581" i="6"/>
  <c r="CI581" i="6"/>
  <c r="CH581" i="6"/>
  <c r="CG581" i="6"/>
  <c r="CF581" i="6"/>
  <c r="CE581" i="6"/>
  <c r="CD581" i="6"/>
  <c r="CC581" i="6"/>
  <c r="F581" i="6"/>
  <c r="E581" i="6"/>
  <c r="D581" i="6"/>
  <c r="C581" i="6"/>
  <c r="CL581" i="6" s="1"/>
  <c r="CM580" i="6"/>
  <c r="CK580" i="6"/>
  <c r="CJ580" i="6"/>
  <c r="CI580" i="6"/>
  <c r="CH580" i="6"/>
  <c r="CG580" i="6"/>
  <c r="CF580" i="6"/>
  <c r="CE580" i="6"/>
  <c r="CD580" i="6"/>
  <c r="CC580" i="6"/>
  <c r="F580" i="6"/>
  <c r="E580" i="6"/>
  <c r="D580" i="6"/>
  <c r="C580" i="6"/>
  <c r="CL580" i="6" s="1"/>
  <c r="CK579" i="6"/>
  <c r="CJ579" i="6"/>
  <c r="CI579" i="6"/>
  <c r="CH579" i="6"/>
  <c r="CG579" i="6"/>
  <c r="CF579" i="6"/>
  <c r="CE579" i="6"/>
  <c r="CD579" i="6"/>
  <c r="CC579" i="6"/>
  <c r="F579" i="6"/>
  <c r="E579" i="6"/>
  <c r="D579" i="6"/>
  <c r="C579" i="6"/>
  <c r="CL579" i="6" s="1"/>
  <c r="CM578" i="6"/>
  <c r="CK578" i="6"/>
  <c r="CJ578" i="6"/>
  <c r="CI578" i="6"/>
  <c r="CH578" i="6"/>
  <c r="CG578" i="6"/>
  <c r="CF578" i="6"/>
  <c r="CE578" i="6"/>
  <c r="CD578" i="6"/>
  <c r="CC578" i="6"/>
  <c r="F578" i="6"/>
  <c r="E578" i="6"/>
  <c r="D578" i="6"/>
  <c r="C578" i="6"/>
  <c r="CL578" i="6" s="1"/>
  <c r="CK577" i="6"/>
  <c r="CJ577" i="6"/>
  <c r="CI577" i="6"/>
  <c r="CH577" i="6"/>
  <c r="CG577" i="6"/>
  <c r="CF577" i="6"/>
  <c r="CE577" i="6"/>
  <c r="CD577" i="6"/>
  <c r="CC577" i="6"/>
  <c r="F577" i="6"/>
  <c r="E577" i="6"/>
  <c r="D577" i="6"/>
  <c r="C577" i="6"/>
  <c r="CL577" i="6" s="1"/>
  <c r="CM576" i="6"/>
  <c r="CK576" i="6"/>
  <c r="CJ576" i="6"/>
  <c r="CI576" i="6"/>
  <c r="CH576" i="6"/>
  <c r="CG576" i="6"/>
  <c r="CF576" i="6"/>
  <c r="CE576" i="6"/>
  <c r="CD576" i="6"/>
  <c r="CC576" i="6"/>
  <c r="F576" i="6"/>
  <c r="E576" i="6"/>
  <c r="D576" i="6"/>
  <c r="C576" i="6"/>
  <c r="CL576" i="6" s="1"/>
  <c r="CK575" i="6"/>
  <c r="CJ575" i="6"/>
  <c r="CI575" i="6"/>
  <c r="CH575" i="6"/>
  <c r="CG575" i="6"/>
  <c r="CF575" i="6"/>
  <c r="CE575" i="6"/>
  <c r="CD575" i="6"/>
  <c r="CC575" i="6"/>
  <c r="F575" i="6"/>
  <c r="E575" i="6"/>
  <c r="D575" i="6"/>
  <c r="C575" i="6"/>
  <c r="CL575" i="6" s="1"/>
  <c r="CM574" i="6"/>
  <c r="CK574" i="6"/>
  <c r="CJ574" i="6"/>
  <c r="CI574" i="6"/>
  <c r="CH574" i="6"/>
  <c r="CG574" i="6"/>
  <c r="CF574" i="6"/>
  <c r="CE574" i="6"/>
  <c r="CD574" i="6"/>
  <c r="CC574" i="6"/>
  <c r="F574" i="6"/>
  <c r="E574" i="6"/>
  <c r="D574" i="6"/>
  <c r="C574" i="6"/>
  <c r="CL574" i="6" s="1"/>
  <c r="CK573" i="6"/>
  <c r="CJ573" i="6"/>
  <c r="CI573" i="6"/>
  <c r="CH573" i="6"/>
  <c r="CG573" i="6"/>
  <c r="CF573" i="6"/>
  <c r="CE573" i="6"/>
  <c r="CD573" i="6"/>
  <c r="CC573" i="6"/>
  <c r="F573" i="6"/>
  <c r="E573" i="6"/>
  <c r="D573" i="6"/>
  <c r="C573" i="6"/>
  <c r="CL573" i="6" s="1"/>
  <c r="CM572" i="6"/>
  <c r="CK572" i="6"/>
  <c r="CJ572" i="6"/>
  <c r="CI572" i="6"/>
  <c r="CH572" i="6"/>
  <c r="CG572" i="6"/>
  <c r="CF572" i="6"/>
  <c r="CE572" i="6"/>
  <c r="CD572" i="6"/>
  <c r="CC572" i="6"/>
  <c r="F572" i="6"/>
  <c r="E572" i="6"/>
  <c r="D572" i="6"/>
  <c r="C572" i="6"/>
  <c r="CL572" i="6" s="1"/>
  <c r="CK571" i="6"/>
  <c r="CJ571" i="6"/>
  <c r="CI571" i="6"/>
  <c r="CH571" i="6"/>
  <c r="CG571" i="6"/>
  <c r="CF571" i="6"/>
  <c r="CE571" i="6"/>
  <c r="CD571" i="6"/>
  <c r="CC571" i="6"/>
  <c r="F571" i="6"/>
  <c r="E571" i="6"/>
  <c r="D571" i="6"/>
  <c r="C571" i="6"/>
  <c r="CL571" i="6" s="1"/>
  <c r="CM570" i="6"/>
  <c r="CK570" i="6"/>
  <c r="CJ570" i="6"/>
  <c r="CI570" i="6"/>
  <c r="CH570" i="6"/>
  <c r="CG570" i="6"/>
  <c r="CF570" i="6"/>
  <c r="CE570" i="6"/>
  <c r="CD570" i="6"/>
  <c r="CC570" i="6"/>
  <c r="F570" i="6"/>
  <c r="E570" i="6"/>
  <c r="D570" i="6"/>
  <c r="C570" i="6"/>
  <c r="CL570" i="6" s="1"/>
  <c r="CK569" i="6"/>
  <c r="CJ569" i="6"/>
  <c r="CI569" i="6"/>
  <c r="CH569" i="6"/>
  <c r="CG569" i="6"/>
  <c r="CF569" i="6"/>
  <c r="CE569" i="6"/>
  <c r="CD569" i="6"/>
  <c r="CC569" i="6"/>
  <c r="F569" i="6"/>
  <c r="E569" i="6"/>
  <c r="D569" i="6"/>
  <c r="C569" i="6"/>
  <c r="CL569" i="6" s="1"/>
  <c r="CM568" i="6"/>
  <c r="CK568" i="6"/>
  <c r="CJ568" i="6"/>
  <c r="CI568" i="6"/>
  <c r="CH568" i="6"/>
  <c r="CG568" i="6"/>
  <c r="CF568" i="6"/>
  <c r="CE568" i="6"/>
  <c r="CD568" i="6"/>
  <c r="CC568" i="6"/>
  <c r="F568" i="6"/>
  <c r="E568" i="6"/>
  <c r="D568" i="6"/>
  <c r="C568" i="6"/>
  <c r="CL568" i="6" s="1"/>
  <c r="CK567" i="6"/>
  <c r="CJ567" i="6"/>
  <c r="CI567" i="6"/>
  <c r="CH567" i="6"/>
  <c r="CG567" i="6"/>
  <c r="CF567" i="6"/>
  <c r="CE567" i="6"/>
  <c r="CD567" i="6"/>
  <c r="CC567" i="6"/>
  <c r="F567" i="6"/>
  <c r="E567" i="6"/>
  <c r="D567" i="6"/>
  <c r="C567" i="6"/>
  <c r="CL567" i="6" s="1"/>
  <c r="CM566" i="6"/>
  <c r="CK566" i="6"/>
  <c r="CJ566" i="6"/>
  <c r="CI566" i="6"/>
  <c r="CH566" i="6"/>
  <c r="CG566" i="6"/>
  <c r="CF566" i="6"/>
  <c r="CE566" i="6"/>
  <c r="CD566" i="6"/>
  <c r="CC566" i="6"/>
  <c r="F566" i="6"/>
  <c r="E566" i="6"/>
  <c r="D566" i="6"/>
  <c r="C566" i="6"/>
  <c r="CL566" i="6" s="1"/>
  <c r="CK565" i="6"/>
  <c r="CJ565" i="6"/>
  <c r="CI565" i="6"/>
  <c r="CH565" i="6"/>
  <c r="CG565" i="6"/>
  <c r="CF565" i="6"/>
  <c r="CE565" i="6"/>
  <c r="CD565" i="6"/>
  <c r="CC565" i="6"/>
  <c r="F565" i="6"/>
  <c r="E565" i="6"/>
  <c r="D565" i="6"/>
  <c r="C565" i="6"/>
  <c r="CL565" i="6" s="1"/>
  <c r="CM564" i="6"/>
  <c r="CK564" i="6"/>
  <c r="CJ564" i="6"/>
  <c r="CI564" i="6"/>
  <c r="CH564" i="6"/>
  <c r="CG564" i="6"/>
  <c r="CF564" i="6"/>
  <c r="CE564" i="6"/>
  <c r="CD564" i="6"/>
  <c r="CC564" i="6"/>
  <c r="F564" i="6"/>
  <c r="E564" i="6"/>
  <c r="D564" i="6"/>
  <c r="C564" i="6"/>
  <c r="CL564" i="6" s="1"/>
  <c r="CK563" i="6"/>
  <c r="CJ563" i="6"/>
  <c r="CI563" i="6"/>
  <c r="CH563" i="6"/>
  <c r="CG563" i="6"/>
  <c r="CF563" i="6"/>
  <c r="CE563" i="6"/>
  <c r="CD563" i="6"/>
  <c r="CC563" i="6"/>
  <c r="F563" i="6"/>
  <c r="E563" i="6"/>
  <c r="D563" i="6"/>
  <c r="C563" i="6"/>
  <c r="CL563" i="6" s="1"/>
  <c r="CM562" i="6"/>
  <c r="CK562" i="6"/>
  <c r="CJ562" i="6"/>
  <c r="CI562" i="6"/>
  <c r="CH562" i="6"/>
  <c r="CG562" i="6"/>
  <c r="CF562" i="6"/>
  <c r="CE562" i="6"/>
  <c r="CD562" i="6"/>
  <c r="CC562" i="6"/>
  <c r="F562" i="6"/>
  <c r="E562" i="6"/>
  <c r="D562" i="6"/>
  <c r="C562" i="6"/>
  <c r="CL562" i="6" s="1"/>
  <c r="CK561" i="6"/>
  <c r="CJ561" i="6"/>
  <c r="CI561" i="6"/>
  <c r="CH561" i="6"/>
  <c r="CG561" i="6"/>
  <c r="CF561" i="6"/>
  <c r="CE561" i="6"/>
  <c r="CD561" i="6"/>
  <c r="CC561" i="6"/>
  <c r="F561" i="6"/>
  <c r="E561" i="6"/>
  <c r="D561" i="6"/>
  <c r="C561" i="6"/>
  <c r="CL561" i="6" s="1"/>
  <c r="CM560" i="6"/>
  <c r="CK560" i="6"/>
  <c r="CJ560" i="6"/>
  <c r="CI560" i="6"/>
  <c r="CH560" i="6"/>
  <c r="CG560" i="6"/>
  <c r="CF560" i="6"/>
  <c r="CE560" i="6"/>
  <c r="CD560" i="6"/>
  <c r="CC560" i="6"/>
  <c r="F560" i="6"/>
  <c r="E560" i="6"/>
  <c r="D560" i="6"/>
  <c r="C560" i="6"/>
  <c r="CL560" i="6" s="1"/>
  <c r="CK559" i="6"/>
  <c r="CJ559" i="6"/>
  <c r="CI559" i="6"/>
  <c r="CH559" i="6"/>
  <c r="CG559" i="6"/>
  <c r="CF559" i="6"/>
  <c r="CE559" i="6"/>
  <c r="CD559" i="6"/>
  <c r="CC559" i="6"/>
  <c r="F559" i="6"/>
  <c r="E559" i="6"/>
  <c r="D559" i="6"/>
  <c r="C559" i="6"/>
  <c r="CL559" i="6" s="1"/>
  <c r="CM558" i="6"/>
  <c r="CK558" i="6"/>
  <c r="CJ558" i="6"/>
  <c r="CI558" i="6"/>
  <c r="CH558" i="6"/>
  <c r="CG558" i="6"/>
  <c r="CF558" i="6"/>
  <c r="CE558" i="6"/>
  <c r="CD558" i="6"/>
  <c r="CC558" i="6"/>
  <c r="F558" i="6"/>
  <c r="E558" i="6"/>
  <c r="D558" i="6"/>
  <c r="C558" i="6"/>
  <c r="CL558" i="6" s="1"/>
  <c r="CK557" i="6"/>
  <c r="CJ557" i="6"/>
  <c r="CI557" i="6"/>
  <c r="CH557" i="6"/>
  <c r="CG557" i="6"/>
  <c r="CF557" i="6"/>
  <c r="CE557" i="6"/>
  <c r="CD557" i="6"/>
  <c r="CC557" i="6"/>
  <c r="F557" i="6"/>
  <c r="E557" i="6"/>
  <c r="D557" i="6"/>
  <c r="C557" i="6"/>
  <c r="CL557" i="6" s="1"/>
  <c r="CM556" i="6"/>
  <c r="CK556" i="6"/>
  <c r="CJ556" i="6"/>
  <c r="CI556" i="6"/>
  <c r="CH556" i="6"/>
  <c r="CG556" i="6"/>
  <c r="CF556" i="6"/>
  <c r="CE556" i="6"/>
  <c r="CD556" i="6"/>
  <c r="CC556" i="6"/>
  <c r="F556" i="6"/>
  <c r="E556" i="6"/>
  <c r="D556" i="6"/>
  <c r="C556" i="6"/>
  <c r="CL556" i="6" s="1"/>
  <c r="CK555" i="6"/>
  <c r="CJ555" i="6"/>
  <c r="CI555" i="6"/>
  <c r="CH555" i="6"/>
  <c r="CG555" i="6"/>
  <c r="CF555" i="6"/>
  <c r="CE555" i="6"/>
  <c r="CD555" i="6"/>
  <c r="CC555" i="6"/>
  <c r="F555" i="6"/>
  <c r="E555" i="6"/>
  <c r="D555" i="6"/>
  <c r="C555" i="6"/>
  <c r="CL555" i="6" s="1"/>
  <c r="CM554" i="6"/>
  <c r="CK554" i="6"/>
  <c r="CJ554" i="6"/>
  <c r="CI554" i="6"/>
  <c r="CH554" i="6"/>
  <c r="CG554" i="6"/>
  <c r="CF554" i="6"/>
  <c r="CE554" i="6"/>
  <c r="CD554" i="6"/>
  <c r="CC554" i="6"/>
  <c r="F554" i="6"/>
  <c r="E554" i="6"/>
  <c r="D554" i="6"/>
  <c r="C554" i="6"/>
  <c r="CL554" i="6" s="1"/>
  <c r="CK553" i="6"/>
  <c r="CJ553" i="6"/>
  <c r="CI553" i="6"/>
  <c r="CH553" i="6"/>
  <c r="CG553" i="6"/>
  <c r="CF553" i="6"/>
  <c r="CE553" i="6"/>
  <c r="CD553" i="6"/>
  <c r="CC553" i="6"/>
  <c r="F553" i="6"/>
  <c r="E553" i="6"/>
  <c r="D553" i="6"/>
  <c r="C553" i="6"/>
  <c r="CL553" i="6" s="1"/>
  <c r="CM552" i="6"/>
  <c r="CK552" i="6"/>
  <c r="CJ552" i="6"/>
  <c r="CI552" i="6"/>
  <c r="CH552" i="6"/>
  <c r="CG552" i="6"/>
  <c r="CF552" i="6"/>
  <c r="CE552" i="6"/>
  <c r="CD552" i="6"/>
  <c r="CC552" i="6"/>
  <c r="F552" i="6"/>
  <c r="E552" i="6"/>
  <c r="D552" i="6"/>
  <c r="C552" i="6"/>
  <c r="CL552" i="6" s="1"/>
  <c r="CK551" i="6"/>
  <c r="CJ551" i="6"/>
  <c r="CI551" i="6"/>
  <c r="CH551" i="6"/>
  <c r="CG551" i="6"/>
  <c r="CF551" i="6"/>
  <c r="CE551" i="6"/>
  <c r="CD551" i="6"/>
  <c r="CC551" i="6"/>
  <c r="F551" i="6"/>
  <c r="E551" i="6"/>
  <c r="D551" i="6"/>
  <c r="C551" i="6"/>
  <c r="CL551" i="6" s="1"/>
  <c r="CM550" i="6"/>
  <c r="CK550" i="6"/>
  <c r="CJ550" i="6"/>
  <c r="CI550" i="6"/>
  <c r="CH550" i="6"/>
  <c r="CG550" i="6"/>
  <c r="CF550" i="6"/>
  <c r="CE550" i="6"/>
  <c r="CD550" i="6"/>
  <c r="CC550" i="6"/>
  <c r="F550" i="6"/>
  <c r="E550" i="6"/>
  <c r="D550" i="6"/>
  <c r="C550" i="6"/>
  <c r="CL550" i="6" s="1"/>
  <c r="CK549" i="6"/>
  <c r="CJ549" i="6"/>
  <c r="CI549" i="6"/>
  <c r="CH549" i="6"/>
  <c r="CG549" i="6"/>
  <c r="CF549" i="6"/>
  <c r="CE549" i="6"/>
  <c r="CD549" i="6"/>
  <c r="CC549" i="6"/>
  <c r="F549" i="6"/>
  <c r="E549" i="6"/>
  <c r="D549" i="6"/>
  <c r="C549" i="6"/>
  <c r="CL549" i="6" s="1"/>
  <c r="CM548" i="6"/>
  <c r="CK548" i="6"/>
  <c r="CJ548" i="6"/>
  <c r="CI548" i="6"/>
  <c r="CH548" i="6"/>
  <c r="CG548" i="6"/>
  <c r="CF548" i="6"/>
  <c r="CE548" i="6"/>
  <c r="CD548" i="6"/>
  <c r="CC548" i="6"/>
  <c r="F548" i="6"/>
  <c r="E548" i="6"/>
  <c r="D548" i="6"/>
  <c r="C548" i="6"/>
  <c r="CL548" i="6" s="1"/>
  <c r="CK547" i="6"/>
  <c r="CJ547" i="6"/>
  <c r="CI547" i="6"/>
  <c r="CH547" i="6"/>
  <c r="CG547" i="6"/>
  <c r="CF547" i="6"/>
  <c r="CE547" i="6"/>
  <c r="CD547" i="6"/>
  <c r="CC547" i="6"/>
  <c r="F547" i="6"/>
  <c r="E547" i="6"/>
  <c r="D547" i="6"/>
  <c r="C547" i="6"/>
  <c r="CL547" i="6" s="1"/>
  <c r="CM546" i="6"/>
  <c r="CK546" i="6"/>
  <c r="CJ546" i="6"/>
  <c r="CI546" i="6"/>
  <c r="CH546" i="6"/>
  <c r="CG546" i="6"/>
  <c r="CF546" i="6"/>
  <c r="CE546" i="6"/>
  <c r="CD546" i="6"/>
  <c r="CC546" i="6"/>
  <c r="F546" i="6"/>
  <c r="E546" i="6"/>
  <c r="D546" i="6"/>
  <c r="C546" i="6"/>
  <c r="CL546" i="6" s="1"/>
  <c r="CK545" i="6"/>
  <c r="CJ545" i="6"/>
  <c r="CI545" i="6"/>
  <c r="CH545" i="6"/>
  <c r="CG545" i="6"/>
  <c r="CF545" i="6"/>
  <c r="CE545" i="6"/>
  <c r="CD545" i="6"/>
  <c r="CC545" i="6"/>
  <c r="F545" i="6"/>
  <c r="E545" i="6"/>
  <c r="D545" i="6"/>
  <c r="C545" i="6"/>
  <c r="CL545" i="6" s="1"/>
  <c r="CM544" i="6"/>
  <c r="CK544" i="6"/>
  <c r="CJ544" i="6"/>
  <c r="CI544" i="6"/>
  <c r="CH544" i="6"/>
  <c r="CG544" i="6"/>
  <c r="CF544" i="6"/>
  <c r="CE544" i="6"/>
  <c r="CD544" i="6"/>
  <c r="CC544" i="6"/>
  <c r="F544" i="6"/>
  <c r="E544" i="6"/>
  <c r="D544" i="6"/>
  <c r="C544" i="6"/>
  <c r="CL544" i="6" s="1"/>
  <c r="CK543" i="6"/>
  <c r="CJ543" i="6"/>
  <c r="CI543" i="6"/>
  <c r="CH543" i="6"/>
  <c r="CG543" i="6"/>
  <c r="CF543" i="6"/>
  <c r="CE543" i="6"/>
  <c r="CD543" i="6"/>
  <c r="CC543" i="6"/>
  <c r="F543" i="6"/>
  <c r="E543" i="6"/>
  <c r="D543" i="6"/>
  <c r="C543" i="6"/>
  <c r="CL543" i="6" s="1"/>
  <c r="CM542" i="6"/>
  <c r="CK542" i="6"/>
  <c r="CJ542" i="6"/>
  <c r="CI542" i="6"/>
  <c r="CH542" i="6"/>
  <c r="CG542" i="6"/>
  <c r="CF542" i="6"/>
  <c r="CE542" i="6"/>
  <c r="CD542" i="6"/>
  <c r="CC542" i="6"/>
  <c r="F542" i="6"/>
  <c r="E542" i="6"/>
  <c r="D542" i="6"/>
  <c r="C542" i="6"/>
  <c r="CL542" i="6" s="1"/>
  <c r="CK541" i="6"/>
  <c r="CJ541" i="6"/>
  <c r="CI541" i="6"/>
  <c r="CH541" i="6"/>
  <c r="CG541" i="6"/>
  <c r="CF541" i="6"/>
  <c r="CE541" i="6"/>
  <c r="CD541" i="6"/>
  <c r="CC541" i="6"/>
  <c r="F541" i="6"/>
  <c r="E541" i="6"/>
  <c r="D541" i="6"/>
  <c r="C541" i="6"/>
  <c r="CL541" i="6" s="1"/>
  <c r="CM540" i="6"/>
  <c r="CK540" i="6"/>
  <c r="CJ540" i="6"/>
  <c r="CI540" i="6"/>
  <c r="CH540" i="6"/>
  <c r="CG540" i="6"/>
  <c r="CF540" i="6"/>
  <c r="CE540" i="6"/>
  <c r="CD540" i="6"/>
  <c r="CC540" i="6"/>
  <c r="F540" i="6"/>
  <c r="E540" i="6"/>
  <c r="D540" i="6"/>
  <c r="C540" i="6"/>
  <c r="CL540" i="6" s="1"/>
  <c r="CK539" i="6"/>
  <c r="CJ539" i="6"/>
  <c r="CI539" i="6"/>
  <c r="CH539" i="6"/>
  <c r="CG539" i="6"/>
  <c r="CF539" i="6"/>
  <c r="CE539" i="6"/>
  <c r="CD539" i="6"/>
  <c r="CC539" i="6"/>
  <c r="F539" i="6"/>
  <c r="E539" i="6"/>
  <c r="D539" i="6"/>
  <c r="C539" i="6"/>
  <c r="CL539" i="6" s="1"/>
  <c r="CM538" i="6"/>
  <c r="CK538" i="6"/>
  <c r="CJ538" i="6"/>
  <c r="CI538" i="6"/>
  <c r="CH538" i="6"/>
  <c r="CG538" i="6"/>
  <c r="CF538" i="6"/>
  <c r="CE538" i="6"/>
  <c r="CD538" i="6"/>
  <c r="CC538" i="6"/>
  <c r="F538" i="6"/>
  <c r="E538" i="6"/>
  <c r="D538" i="6"/>
  <c r="C538" i="6"/>
  <c r="CL538" i="6" s="1"/>
  <c r="CK537" i="6"/>
  <c r="CJ537" i="6"/>
  <c r="CI537" i="6"/>
  <c r="CH537" i="6"/>
  <c r="CG537" i="6"/>
  <c r="CF537" i="6"/>
  <c r="CE537" i="6"/>
  <c r="CD537" i="6"/>
  <c r="CC537" i="6"/>
  <c r="F537" i="6"/>
  <c r="E537" i="6"/>
  <c r="D537" i="6"/>
  <c r="C537" i="6"/>
  <c r="CL537" i="6" s="1"/>
  <c r="CM536" i="6"/>
  <c r="CK536" i="6"/>
  <c r="CJ536" i="6"/>
  <c r="CI536" i="6"/>
  <c r="CH536" i="6"/>
  <c r="CG536" i="6"/>
  <c r="CF536" i="6"/>
  <c r="CE536" i="6"/>
  <c r="CD536" i="6"/>
  <c r="CC536" i="6"/>
  <c r="F536" i="6"/>
  <c r="E536" i="6"/>
  <c r="D536" i="6"/>
  <c r="C536" i="6"/>
  <c r="CL536" i="6" s="1"/>
  <c r="CK535" i="6"/>
  <c r="CJ535" i="6"/>
  <c r="CI535" i="6"/>
  <c r="CH535" i="6"/>
  <c r="CG535" i="6"/>
  <c r="CF535" i="6"/>
  <c r="CE535" i="6"/>
  <c r="CD535" i="6"/>
  <c r="CC535" i="6"/>
  <c r="F535" i="6"/>
  <c r="E535" i="6"/>
  <c r="D535" i="6"/>
  <c r="C535" i="6"/>
  <c r="CL535" i="6" s="1"/>
  <c r="CM534" i="6"/>
  <c r="CK534" i="6"/>
  <c r="CJ534" i="6"/>
  <c r="CI534" i="6"/>
  <c r="CH534" i="6"/>
  <c r="CG534" i="6"/>
  <c r="CF534" i="6"/>
  <c r="CE534" i="6"/>
  <c r="CD534" i="6"/>
  <c r="CC534" i="6"/>
  <c r="F534" i="6"/>
  <c r="E534" i="6"/>
  <c r="D534" i="6"/>
  <c r="C534" i="6"/>
  <c r="CL534" i="6" s="1"/>
  <c r="CK533" i="6"/>
  <c r="CJ533" i="6"/>
  <c r="CI533" i="6"/>
  <c r="CH533" i="6"/>
  <c r="CG533" i="6"/>
  <c r="CF533" i="6"/>
  <c r="CE533" i="6"/>
  <c r="CD533" i="6"/>
  <c r="CC533" i="6"/>
  <c r="F533" i="6"/>
  <c r="E533" i="6"/>
  <c r="D533" i="6"/>
  <c r="C533" i="6"/>
  <c r="CL533" i="6" s="1"/>
  <c r="CM532" i="6"/>
  <c r="CK532" i="6"/>
  <c r="CJ532" i="6"/>
  <c r="CI532" i="6"/>
  <c r="CH532" i="6"/>
  <c r="CG532" i="6"/>
  <c r="CF532" i="6"/>
  <c r="CE532" i="6"/>
  <c r="CD532" i="6"/>
  <c r="CC532" i="6"/>
  <c r="F532" i="6"/>
  <c r="E532" i="6"/>
  <c r="D532" i="6"/>
  <c r="C532" i="6"/>
  <c r="CL532" i="6" s="1"/>
  <c r="CK531" i="6"/>
  <c r="CJ531" i="6"/>
  <c r="CI531" i="6"/>
  <c r="CH531" i="6"/>
  <c r="CG531" i="6"/>
  <c r="CF531" i="6"/>
  <c r="CE531" i="6"/>
  <c r="CD531" i="6"/>
  <c r="CC531" i="6"/>
  <c r="F531" i="6"/>
  <c r="E531" i="6"/>
  <c r="D531" i="6"/>
  <c r="C531" i="6"/>
  <c r="CL531" i="6" s="1"/>
  <c r="CM530" i="6"/>
  <c r="CK530" i="6"/>
  <c r="CJ530" i="6"/>
  <c r="CI530" i="6"/>
  <c r="CH530" i="6"/>
  <c r="CG530" i="6"/>
  <c r="CF530" i="6"/>
  <c r="CE530" i="6"/>
  <c r="CD530" i="6"/>
  <c r="CC530" i="6"/>
  <c r="F530" i="6"/>
  <c r="E530" i="6"/>
  <c r="D530" i="6"/>
  <c r="C530" i="6"/>
  <c r="CL530" i="6" s="1"/>
  <c r="CK529" i="6"/>
  <c r="CJ529" i="6"/>
  <c r="CI529" i="6"/>
  <c r="CH529" i="6"/>
  <c r="CG529" i="6"/>
  <c r="CF529" i="6"/>
  <c r="CE529" i="6"/>
  <c r="CD529" i="6"/>
  <c r="CC529" i="6"/>
  <c r="F529" i="6"/>
  <c r="E529" i="6"/>
  <c r="D529" i="6"/>
  <c r="C529" i="6"/>
  <c r="CL529" i="6" s="1"/>
  <c r="CM528" i="6"/>
  <c r="CK528" i="6"/>
  <c r="CJ528" i="6"/>
  <c r="CI528" i="6"/>
  <c r="CH528" i="6"/>
  <c r="CG528" i="6"/>
  <c r="CF528" i="6"/>
  <c r="CE528" i="6"/>
  <c r="CD528" i="6"/>
  <c r="CC528" i="6"/>
  <c r="F528" i="6"/>
  <c r="E528" i="6"/>
  <c r="D528" i="6"/>
  <c r="C528" i="6"/>
  <c r="CL528" i="6" s="1"/>
  <c r="CK527" i="6"/>
  <c r="CJ527" i="6"/>
  <c r="CI527" i="6"/>
  <c r="CH527" i="6"/>
  <c r="CG527" i="6"/>
  <c r="CF527" i="6"/>
  <c r="CE527" i="6"/>
  <c r="CD527" i="6"/>
  <c r="CC527" i="6"/>
  <c r="F527" i="6"/>
  <c r="E527" i="6"/>
  <c r="D527" i="6"/>
  <c r="C527" i="6"/>
  <c r="CL527" i="6" s="1"/>
  <c r="CM526" i="6"/>
  <c r="CK526" i="6"/>
  <c r="CJ526" i="6"/>
  <c r="CI526" i="6"/>
  <c r="CH526" i="6"/>
  <c r="CG526" i="6"/>
  <c r="CF526" i="6"/>
  <c r="CE526" i="6"/>
  <c r="CD526" i="6"/>
  <c r="CC526" i="6"/>
  <c r="F526" i="6"/>
  <c r="E526" i="6"/>
  <c r="D526" i="6"/>
  <c r="C526" i="6"/>
  <c r="CL526" i="6" s="1"/>
  <c r="CK525" i="6"/>
  <c r="CJ525" i="6"/>
  <c r="CI525" i="6"/>
  <c r="CH525" i="6"/>
  <c r="CG525" i="6"/>
  <c r="CF525" i="6"/>
  <c r="CE525" i="6"/>
  <c r="CD525" i="6"/>
  <c r="CC525" i="6"/>
  <c r="F525" i="6"/>
  <c r="E525" i="6"/>
  <c r="D525" i="6"/>
  <c r="C525" i="6"/>
  <c r="CL525" i="6" s="1"/>
  <c r="CM524" i="6"/>
  <c r="CK524" i="6"/>
  <c r="CJ524" i="6"/>
  <c r="CI524" i="6"/>
  <c r="CH524" i="6"/>
  <c r="CG524" i="6"/>
  <c r="CF524" i="6"/>
  <c r="CE524" i="6"/>
  <c r="CD524" i="6"/>
  <c r="CC524" i="6"/>
  <c r="F524" i="6"/>
  <c r="E524" i="6"/>
  <c r="D524" i="6"/>
  <c r="C524" i="6"/>
  <c r="CL524" i="6" s="1"/>
  <c r="CK523" i="6"/>
  <c r="CJ523" i="6"/>
  <c r="CI523" i="6"/>
  <c r="CH523" i="6"/>
  <c r="CG523" i="6"/>
  <c r="CF523" i="6"/>
  <c r="CE523" i="6"/>
  <c r="CD523" i="6"/>
  <c r="CC523" i="6"/>
  <c r="F523" i="6"/>
  <c r="E523" i="6"/>
  <c r="D523" i="6"/>
  <c r="C523" i="6"/>
  <c r="CL523" i="6" s="1"/>
  <c r="CM522" i="6"/>
  <c r="CK522" i="6"/>
  <c r="CJ522" i="6"/>
  <c r="CI522" i="6"/>
  <c r="CH522" i="6"/>
  <c r="CG522" i="6"/>
  <c r="CF522" i="6"/>
  <c r="CE522" i="6"/>
  <c r="CD522" i="6"/>
  <c r="CC522" i="6"/>
  <c r="F522" i="6"/>
  <c r="E522" i="6"/>
  <c r="D522" i="6"/>
  <c r="C522" i="6"/>
  <c r="CL522" i="6" s="1"/>
  <c r="CK521" i="6"/>
  <c r="CJ521" i="6"/>
  <c r="CI521" i="6"/>
  <c r="CH521" i="6"/>
  <c r="CG521" i="6"/>
  <c r="CF521" i="6"/>
  <c r="CE521" i="6"/>
  <c r="CD521" i="6"/>
  <c r="CC521" i="6"/>
  <c r="F521" i="6"/>
  <c r="E521" i="6"/>
  <c r="D521" i="6"/>
  <c r="C521" i="6"/>
  <c r="CL521" i="6" s="1"/>
  <c r="CM520" i="6"/>
  <c r="CK520" i="6"/>
  <c r="CJ520" i="6"/>
  <c r="CI520" i="6"/>
  <c r="CH520" i="6"/>
  <c r="CG520" i="6"/>
  <c r="CF520" i="6"/>
  <c r="CE520" i="6"/>
  <c r="CD520" i="6"/>
  <c r="CC520" i="6"/>
  <c r="F520" i="6"/>
  <c r="E520" i="6"/>
  <c r="D520" i="6"/>
  <c r="C520" i="6"/>
  <c r="CL520" i="6" s="1"/>
  <c r="CK519" i="6"/>
  <c r="CJ519" i="6"/>
  <c r="CI519" i="6"/>
  <c r="CH519" i="6"/>
  <c r="CG519" i="6"/>
  <c r="CF519" i="6"/>
  <c r="CE519" i="6"/>
  <c r="CD519" i="6"/>
  <c r="CC519" i="6"/>
  <c r="F519" i="6"/>
  <c r="E519" i="6"/>
  <c r="D519" i="6"/>
  <c r="C519" i="6"/>
  <c r="CL519" i="6" s="1"/>
  <c r="CM518" i="6"/>
  <c r="CK518" i="6"/>
  <c r="CJ518" i="6"/>
  <c r="CI518" i="6"/>
  <c r="CH518" i="6"/>
  <c r="CG518" i="6"/>
  <c r="CF518" i="6"/>
  <c r="CE518" i="6"/>
  <c r="CD518" i="6"/>
  <c r="CC518" i="6"/>
  <c r="F518" i="6"/>
  <c r="E518" i="6"/>
  <c r="D518" i="6"/>
  <c r="C518" i="6"/>
  <c r="CL518" i="6" s="1"/>
  <c r="CK517" i="6"/>
  <c r="CJ517" i="6"/>
  <c r="CI517" i="6"/>
  <c r="CH517" i="6"/>
  <c r="CG517" i="6"/>
  <c r="CF517" i="6"/>
  <c r="CE517" i="6"/>
  <c r="CD517" i="6"/>
  <c r="CC517" i="6"/>
  <c r="F517" i="6"/>
  <c r="E517" i="6"/>
  <c r="D517" i="6"/>
  <c r="C517" i="6"/>
  <c r="CL517" i="6" s="1"/>
  <c r="CM516" i="6"/>
  <c r="CK516" i="6"/>
  <c r="CJ516" i="6"/>
  <c r="CI516" i="6"/>
  <c r="CH516" i="6"/>
  <c r="CG516" i="6"/>
  <c r="CF516" i="6"/>
  <c r="CE516" i="6"/>
  <c r="CD516" i="6"/>
  <c r="CC516" i="6"/>
  <c r="F516" i="6"/>
  <c r="E516" i="6"/>
  <c r="D516" i="6"/>
  <c r="C516" i="6"/>
  <c r="CL516" i="6" s="1"/>
  <c r="CK515" i="6"/>
  <c r="CJ515" i="6"/>
  <c r="CI515" i="6"/>
  <c r="CH515" i="6"/>
  <c r="CG515" i="6"/>
  <c r="CF515" i="6"/>
  <c r="CE515" i="6"/>
  <c r="CD515" i="6"/>
  <c r="CC515" i="6"/>
  <c r="F515" i="6"/>
  <c r="E515" i="6"/>
  <c r="D515" i="6"/>
  <c r="C515" i="6"/>
  <c r="CL515" i="6" s="1"/>
  <c r="CM514" i="6"/>
  <c r="CK514" i="6"/>
  <c r="CJ514" i="6"/>
  <c r="CI514" i="6"/>
  <c r="CH514" i="6"/>
  <c r="CG514" i="6"/>
  <c r="CF514" i="6"/>
  <c r="CE514" i="6"/>
  <c r="CD514" i="6"/>
  <c r="CC514" i="6"/>
  <c r="F514" i="6"/>
  <c r="E514" i="6"/>
  <c r="D514" i="6"/>
  <c r="C514" i="6"/>
  <c r="CL514" i="6" s="1"/>
  <c r="CK513" i="6"/>
  <c r="CJ513" i="6"/>
  <c r="CI513" i="6"/>
  <c r="CH513" i="6"/>
  <c r="CG513" i="6"/>
  <c r="CF513" i="6"/>
  <c r="CE513" i="6"/>
  <c r="CD513" i="6"/>
  <c r="CC513" i="6"/>
  <c r="F513" i="6"/>
  <c r="E513" i="6"/>
  <c r="D513" i="6"/>
  <c r="C513" i="6"/>
  <c r="CL513" i="6" s="1"/>
  <c r="CM512" i="6"/>
  <c r="CK512" i="6"/>
  <c r="CJ512" i="6"/>
  <c r="CI512" i="6"/>
  <c r="CH512" i="6"/>
  <c r="CG512" i="6"/>
  <c r="CF512" i="6"/>
  <c r="CE512" i="6"/>
  <c r="CD512" i="6"/>
  <c r="CC512" i="6"/>
  <c r="F512" i="6"/>
  <c r="E512" i="6"/>
  <c r="D512" i="6"/>
  <c r="C512" i="6"/>
  <c r="CL512" i="6" s="1"/>
  <c r="CK511" i="6"/>
  <c r="CJ511" i="6"/>
  <c r="CI511" i="6"/>
  <c r="CH511" i="6"/>
  <c r="CG511" i="6"/>
  <c r="CF511" i="6"/>
  <c r="CE511" i="6"/>
  <c r="CD511" i="6"/>
  <c r="CC511" i="6"/>
  <c r="F511" i="6"/>
  <c r="E511" i="6"/>
  <c r="D511" i="6"/>
  <c r="C511" i="6"/>
  <c r="CL511" i="6" s="1"/>
  <c r="CM510" i="6"/>
  <c r="CK510" i="6"/>
  <c r="CJ510" i="6"/>
  <c r="CI510" i="6"/>
  <c r="CH510" i="6"/>
  <c r="CG510" i="6"/>
  <c r="CF510" i="6"/>
  <c r="CE510" i="6"/>
  <c r="CD510" i="6"/>
  <c r="CC510" i="6"/>
  <c r="F510" i="6"/>
  <c r="E510" i="6"/>
  <c r="D510" i="6"/>
  <c r="C510" i="6"/>
  <c r="CL510" i="6" s="1"/>
  <c r="CK509" i="6"/>
  <c r="CJ509" i="6"/>
  <c r="CI509" i="6"/>
  <c r="CH509" i="6"/>
  <c r="CG509" i="6"/>
  <c r="CF509" i="6"/>
  <c r="CE509" i="6"/>
  <c r="CD509" i="6"/>
  <c r="CC509" i="6"/>
  <c r="F509" i="6"/>
  <c r="E509" i="6"/>
  <c r="D509" i="6"/>
  <c r="C509" i="6"/>
  <c r="CL509" i="6" s="1"/>
  <c r="CM508" i="6"/>
  <c r="CK508" i="6"/>
  <c r="CJ508" i="6"/>
  <c r="CI508" i="6"/>
  <c r="CH508" i="6"/>
  <c r="CG508" i="6"/>
  <c r="CF508" i="6"/>
  <c r="CE508" i="6"/>
  <c r="CD508" i="6"/>
  <c r="CC508" i="6"/>
  <c r="F508" i="6"/>
  <c r="E508" i="6"/>
  <c r="D508" i="6"/>
  <c r="C508" i="6"/>
  <c r="CL508" i="6" s="1"/>
  <c r="CK507" i="6"/>
  <c r="CJ507" i="6"/>
  <c r="CI507" i="6"/>
  <c r="CH507" i="6"/>
  <c r="CG507" i="6"/>
  <c r="CF507" i="6"/>
  <c r="CE507" i="6"/>
  <c r="CD507" i="6"/>
  <c r="CC507" i="6"/>
  <c r="F507" i="6"/>
  <c r="E507" i="6"/>
  <c r="D507" i="6"/>
  <c r="C507" i="6"/>
  <c r="CL507" i="6" s="1"/>
  <c r="CM506" i="6"/>
  <c r="CK506" i="6"/>
  <c r="CJ506" i="6"/>
  <c r="CI506" i="6"/>
  <c r="CH506" i="6"/>
  <c r="CG506" i="6"/>
  <c r="CF506" i="6"/>
  <c r="CE506" i="6"/>
  <c r="CD506" i="6"/>
  <c r="CC506" i="6"/>
  <c r="F506" i="6"/>
  <c r="E506" i="6"/>
  <c r="D506" i="6"/>
  <c r="C506" i="6"/>
  <c r="CL506" i="6" s="1"/>
  <c r="CK505" i="6"/>
  <c r="CJ505" i="6"/>
  <c r="CI505" i="6"/>
  <c r="CH505" i="6"/>
  <c r="CG505" i="6"/>
  <c r="CF505" i="6"/>
  <c r="CE505" i="6"/>
  <c r="CD505" i="6"/>
  <c r="CC505" i="6"/>
  <c r="F505" i="6"/>
  <c r="E505" i="6"/>
  <c r="D505" i="6"/>
  <c r="C505" i="6"/>
  <c r="CL505" i="6" s="1"/>
  <c r="CM504" i="6"/>
  <c r="CK504" i="6"/>
  <c r="CJ504" i="6"/>
  <c r="CI504" i="6"/>
  <c r="CH504" i="6"/>
  <c r="CG504" i="6"/>
  <c r="CF504" i="6"/>
  <c r="CE504" i="6"/>
  <c r="CD504" i="6"/>
  <c r="CC504" i="6"/>
  <c r="F504" i="6"/>
  <c r="E504" i="6"/>
  <c r="D504" i="6"/>
  <c r="C504" i="6"/>
  <c r="CL504" i="6" s="1"/>
  <c r="CK503" i="6"/>
  <c r="CJ503" i="6"/>
  <c r="CI503" i="6"/>
  <c r="CH503" i="6"/>
  <c r="CG503" i="6"/>
  <c r="CF503" i="6"/>
  <c r="CE503" i="6"/>
  <c r="CD503" i="6"/>
  <c r="CC503" i="6"/>
  <c r="F503" i="6"/>
  <c r="E503" i="6"/>
  <c r="D503" i="6"/>
  <c r="C503" i="6"/>
  <c r="CL503" i="6" s="1"/>
  <c r="CM502" i="6"/>
  <c r="CK502" i="6"/>
  <c r="CJ502" i="6"/>
  <c r="CI502" i="6"/>
  <c r="CH502" i="6"/>
  <c r="CG502" i="6"/>
  <c r="CF502" i="6"/>
  <c r="CE502" i="6"/>
  <c r="CD502" i="6"/>
  <c r="CC502" i="6"/>
  <c r="F502" i="6"/>
  <c r="E502" i="6"/>
  <c r="D502" i="6"/>
  <c r="C502" i="6"/>
  <c r="CL502" i="6" s="1"/>
  <c r="CK501" i="6"/>
  <c r="CJ501" i="6"/>
  <c r="CI501" i="6"/>
  <c r="CH501" i="6"/>
  <c r="CG501" i="6"/>
  <c r="CF501" i="6"/>
  <c r="CE501" i="6"/>
  <c r="CD501" i="6"/>
  <c r="CC501" i="6"/>
  <c r="F501" i="6"/>
  <c r="E501" i="6"/>
  <c r="D501" i="6"/>
  <c r="C501" i="6"/>
  <c r="CL501" i="6" s="1"/>
  <c r="CM500" i="6"/>
  <c r="CK500" i="6"/>
  <c r="CJ500" i="6"/>
  <c r="CI500" i="6"/>
  <c r="CH500" i="6"/>
  <c r="CG500" i="6"/>
  <c r="CF500" i="6"/>
  <c r="CE500" i="6"/>
  <c r="CD500" i="6"/>
  <c r="CC500" i="6"/>
  <c r="F500" i="6"/>
  <c r="E500" i="6"/>
  <c r="D500" i="6"/>
  <c r="C500" i="6"/>
  <c r="CL500" i="6" s="1"/>
  <c r="CK499" i="6"/>
  <c r="CJ499" i="6"/>
  <c r="CI499" i="6"/>
  <c r="CH499" i="6"/>
  <c r="CG499" i="6"/>
  <c r="CF499" i="6"/>
  <c r="CE499" i="6"/>
  <c r="CD499" i="6"/>
  <c r="CC499" i="6"/>
  <c r="F499" i="6"/>
  <c r="E499" i="6"/>
  <c r="D499" i="6"/>
  <c r="C499" i="6"/>
  <c r="CL499" i="6" s="1"/>
  <c r="CM498" i="6"/>
  <c r="CK498" i="6"/>
  <c r="CJ498" i="6"/>
  <c r="CI498" i="6"/>
  <c r="CH498" i="6"/>
  <c r="CG498" i="6"/>
  <c r="CF498" i="6"/>
  <c r="CE498" i="6"/>
  <c r="CD498" i="6"/>
  <c r="CC498" i="6"/>
  <c r="F498" i="6"/>
  <c r="E498" i="6"/>
  <c r="D498" i="6"/>
  <c r="C498" i="6"/>
  <c r="CL498" i="6" s="1"/>
  <c r="CK497" i="6"/>
  <c r="CJ497" i="6"/>
  <c r="CI497" i="6"/>
  <c r="CH497" i="6"/>
  <c r="CG497" i="6"/>
  <c r="CF497" i="6"/>
  <c r="CE497" i="6"/>
  <c r="CD497" i="6"/>
  <c r="CC497" i="6"/>
  <c r="F497" i="6"/>
  <c r="E497" i="6"/>
  <c r="D497" i="6"/>
  <c r="C497" i="6"/>
  <c r="CL497" i="6" s="1"/>
  <c r="CM496" i="6"/>
  <c r="CK496" i="6"/>
  <c r="CJ496" i="6"/>
  <c r="CI496" i="6"/>
  <c r="CH496" i="6"/>
  <c r="CG496" i="6"/>
  <c r="CF496" i="6"/>
  <c r="CE496" i="6"/>
  <c r="CD496" i="6"/>
  <c r="CC496" i="6"/>
  <c r="F496" i="6"/>
  <c r="E496" i="6"/>
  <c r="D496" i="6"/>
  <c r="C496" i="6"/>
  <c r="CL496" i="6" s="1"/>
  <c r="CK495" i="6"/>
  <c r="CJ495" i="6"/>
  <c r="CI495" i="6"/>
  <c r="CH495" i="6"/>
  <c r="CG495" i="6"/>
  <c r="CF495" i="6"/>
  <c r="CE495" i="6"/>
  <c r="CD495" i="6"/>
  <c r="CC495" i="6"/>
  <c r="F495" i="6"/>
  <c r="E495" i="6"/>
  <c r="D495" i="6"/>
  <c r="C495" i="6"/>
  <c r="CL495" i="6" s="1"/>
  <c r="CM494" i="6"/>
  <c r="CK494" i="6"/>
  <c r="CJ494" i="6"/>
  <c r="CI494" i="6"/>
  <c r="CH494" i="6"/>
  <c r="CG494" i="6"/>
  <c r="CF494" i="6"/>
  <c r="CE494" i="6"/>
  <c r="CD494" i="6"/>
  <c r="CC494" i="6"/>
  <c r="F494" i="6"/>
  <c r="E494" i="6"/>
  <c r="D494" i="6"/>
  <c r="C494" i="6"/>
  <c r="CL494" i="6" s="1"/>
  <c r="CK493" i="6"/>
  <c r="CJ493" i="6"/>
  <c r="CI493" i="6"/>
  <c r="CH493" i="6"/>
  <c r="CG493" i="6"/>
  <c r="CF493" i="6"/>
  <c r="CE493" i="6"/>
  <c r="CD493" i="6"/>
  <c r="CC493" i="6"/>
  <c r="F493" i="6"/>
  <c r="E493" i="6"/>
  <c r="D493" i="6"/>
  <c r="C493" i="6"/>
  <c r="CL493" i="6" s="1"/>
  <c r="CM492" i="6"/>
  <c r="CK492" i="6"/>
  <c r="CJ492" i="6"/>
  <c r="CI492" i="6"/>
  <c r="CH492" i="6"/>
  <c r="CG492" i="6"/>
  <c r="CF492" i="6"/>
  <c r="CE492" i="6"/>
  <c r="CD492" i="6"/>
  <c r="CC492" i="6"/>
  <c r="F492" i="6"/>
  <c r="E492" i="6"/>
  <c r="D492" i="6"/>
  <c r="C492" i="6"/>
  <c r="CL492" i="6" s="1"/>
  <c r="CK491" i="6"/>
  <c r="CJ491" i="6"/>
  <c r="CI491" i="6"/>
  <c r="CH491" i="6"/>
  <c r="CG491" i="6"/>
  <c r="CF491" i="6"/>
  <c r="CE491" i="6"/>
  <c r="CD491" i="6"/>
  <c r="CC491" i="6"/>
  <c r="F491" i="6"/>
  <c r="E491" i="6"/>
  <c r="D491" i="6"/>
  <c r="C491" i="6"/>
  <c r="CL491" i="6" s="1"/>
  <c r="CM490" i="6"/>
  <c r="CK490" i="6"/>
  <c r="CJ490" i="6"/>
  <c r="CI490" i="6"/>
  <c r="CH490" i="6"/>
  <c r="CG490" i="6"/>
  <c r="CF490" i="6"/>
  <c r="CE490" i="6"/>
  <c r="CD490" i="6"/>
  <c r="CC490" i="6"/>
  <c r="F490" i="6"/>
  <c r="E490" i="6"/>
  <c r="D490" i="6"/>
  <c r="C490" i="6"/>
  <c r="CL490" i="6" s="1"/>
  <c r="CK489" i="6"/>
  <c r="CJ489" i="6"/>
  <c r="CI489" i="6"/>
  <c r="CH489" i="6"/>
  <c r="CG489" i="6"/>
  <c r="CF489" i="6"/>
  <c r="CE489" i="6"/>
  <c r="CD489" i="6"/>
  <c r="CC489" i="6"/>
  <c r="F489" i="6"/>
  <c r="E489" i="6"/>
  <c r="D489" i="6"/>
  <c r="C489" i="6"/>
  <c r="CL489" i="6" s="1"/>
  <c r="CM488" i="6"/>
  <c r="CK488" i="6"/>
  <c r="CJ488" i="6"/>
  <c r="CI488" i="6"/>
  <c r="CH488" i="6"/>
  <c r="CG488" i="6"/>
  <c r="CF488" i="6"/>
  <c r="CE488" i="6"/>
  <c r="CD488" i="6"/>
  <c r="CC488" i="6"/>
  <c r="F488" i="6"/>
  <c r="E488" i="6"/>
  <c r="D488" i="6"/>
  <c r="C488" i="6"/>
  <c r="CL488" i="6" s="1"/>
  <c r="CK487" i="6"/>
  <c r="CJ487" i="6"/>
  <c r="CI487" i="6"/>
  <c r="CH487" i="6"/>
  <c r="CG487" i="6"/>
  <c r="CF487" i="6"/>
  <c r="CE487" i="6"/>
  <c r="CD487" i="6"/>
  <c r="CC487" i="6"/>
  <c r="F487" i="6"/>
  <c r="E487" i="6"/>
  <c r="D487" i="6"/>
  <c r="C487" i="6"/>
  <c r="CL487" i="6" s="1"/>
  <c r="CM486" i="6"/>
  <c r="CK486" i="6"/>
  <c r="CJ486" i="6"/>
  <c r="CI486" i="6"/>
  <c r="CH486" i="6"/>
  <c r="CG486" i="6"/>
  <c r="CF486" i="6"/>
  <c r="CE486" i="6"/>
  <c r="CD486" i="6"/>
  <c r="CC486" i="6"/>
  <c r="F486" i="6"/>
  <c r="E486" i="6"/>
  <c r="D486" i="6"/>
  <c r="C486" i="6"/>
  <c r="CL486" i="6" s="1"/>
  <c r="CK485" i="6"/>
  <c r="CJ485" i="6"/>
  <c r="CI485" i="6"/>
  <c r="CH485" i="6"/>
  <c r="CG485" i="6"/>
  <c r="CF485" i="6"/>
  <c r="CE485" i="6"/>
  <c r="CD485" i="6"/>
  <c r="CC485" i="6"/>
  <c r="F485" i="6"/>
  <c r="E485" i="6"/>
  <c r="D485" i="6"/>
  <c r="C485" i="6"/>
  <c r="CL485" i="6" s="1"/>
  <c r="CM484" i="6"/>
  <c r="CK484" i="6"/>
  <c r="CJ484" i="6"/>
  <c r="CI484" i="6"/>
  <c r="CH484" i="6"/>
  <c r="CG484" i="6"/>
  <c r="CF484" i="6"/>
  <c r="CE484" i="6"/>
  <c r="CD484" i="6"/>
  <c r="CC484" i="6"/>
  <c r="F484" i="6"/>
  <c r="E484" i="6"/>
  <c r="D484" i="6"/>
  <c r="C484" i="6"/>
  <c r="CL484" i="6" s="1"/>
  <c r="CK483" i="6"/>
  <c r="CJ483" i="6"/>
  <c r="CI483" i="6"/>
  <c r="CH483" i="6"/>
  <c r="CG483" i="6"/>
  <c r="CF483" i="6"/>
  <c r="CE483" i="6"/>
  <c r="CD483" i="6"/>
  <c r="CC483" i="6"/>
  <c r="F483" i="6"/>
  <c r="E483" i="6"/>
  <c r="D483" i="6"/>
  <c r="C483" i="6"/>
  <c r="CL483" i="6" s="1"/>
  <c r="CM482" i="6"/>
  <c r="CK482" i="6"/>
  <c r="CJ482" i="6"/>
  <c r="CI482" i="6"/>
  <c r="CH482" i="6"/>
  <c r="CG482" i="6"/>
  <c r="CF482" i="6"/>
  <c r="CE482" i="6"/>
  <c r="CD482" i="6"/>
  <c r="CC482" i="6"/>
  <c r="F482" i="6"/>
  <c r="E482" i="6"/>
  <c r="D482" i="6"/>
  <c r="C482" i="6"/>
  <c r="CL482" i="6" s="1"/>
  <c r="CK481" i="6"/>
  <c r="CJ481" i="6"/>
  <c r="CI481" i="6"/>
  <c r="CH481" i="6"/>
  <c r="CG481" i="6"/>
  <c r="CF481" i="6"/>
  <c r="CE481" i="6"/>
  <c r="CD481" i="6"/>
  <c r="CC481" i="6"/>
  <c r="F481" i="6"/>
  <c r="E481" i="6"/>
  <c r="D481" i="6"/>
  <c r="C481" i="6"/>
  <c r="CL481" i="6" s="1"/>
  <c r="CM480" i="6"/>
  <c r="CK480" i="6"/>
  <c r="CJ480" i="6"/>
  <c r="CI480" i="6"/>
  <c r="CH480" i="6"/>
  <c r="CG480" i="6"/>
  <c r="CF480" i="6"/>
  <c r="CE480" i="6"/>
  <c r="CD480" i="6"/>
  <c r="CC480" i="6"/>
  <c r="F480" i="6"/>
  <c r="E480" i="6"/>
  <c r="D480" i="6"/>
  <c r="C480" i="6"/>
  <c r="CL480" i="6" s="1"/>
  <c r="CK479" i="6"/>
  <c r="CJ479" i="6"/>
  <c r="CI479" i="6"/>
  <c r="CH479" i="6"/>
  <c r="CG479" i="6"/>
  <c r="CF479" i="6"/>
  <c r="CE479" i="6"/>
  <c r="CD479" i="6"/>
  <c r="CC479" i="6"/>
  <c r="F479" i="6"/>
  <c r="E479" i="6"/>
  <c r="D479" i="6"/>
  <c r="C479" i="6"/>
  <c r="CL479" i="6" s="1"/>
  <c r="CM478" i="6"/>
  <c r="CK478" i="6"/>
  <c r="CJ478" i="6"/>
  <c r="CI478" i="6"/>
  <c r="CH478" i="6"/>
  <c r="CG478" i="6"/>
  <c r="CF478" i="6"/>
  <c r="CE478" i="6"/>
  <c r="CD478" i="6"/>
  <c r="CC478" i="6"/>
  <c r="F478" i="6"/>
  <c r="E478" i="6"/>
  <c r="D478" i="6"/>
  <c r="C478" i="6"/>
  <c r="CL478" i="6" s="1"/>
  <c r="CK477" i="6"/>
  <c r="CJ477" i="6"/>
  <c r="CI477" i="6"/>
  <c r="CH477" i="6"/>
  <c r="CG477" i="6"/>
  <c r="CF477" i="6"/>
  <c r="CE477" i="6"/>
  <c r="CD477" i="6"/>
  <c r="CC477" i="6"/>
  <c r="F477" i="6"/>
  <c r="E477" i="6"/>
  <c r="D477" i="6"/>
  <c r="C477" i="6"/>
  <c r="CL477" i="6" s="1"/>
  <c r="CM476" i="6"/>
  <c r="CK476" i="6"/>
  <c r="CJ476" i="6"/>
  <c r="CI476" i="6"/>
  <c r="CH476" i="6"/>
  <c r="CG476" i="6"/>
  <c r="CF476" i="6"/>
  <c r="CE476" i="6"/>
  <c r="CD476" i="6"/>
  <c r="CC476" i="6"/>
  <c r="F476" i="6"/>
  <c r="E476" i="6"/>
  <c r="D476" i="6"/>
  <c r="C476" i="6"/>
  <c r="CL476" i="6" s="1"/>
  <c r="CK475" i="6"/>
  <c r="CJ475" i="6"/>
  <c r="CI475" i="6"/>
  <c r="CH475" i="6"/>
  <c r="CG475" i="6"/>
  <c r="CF475" i="6"/>
  <c r="CE475" i="6"/>
  <c r="CD475" i="6"/>
  <c r="CC475" i="6"/>
  <c r="F475" i="6"/>
  <c r="E475" i="6"/>
  <c r="D475" i="6"/>
  <c r="C475" i="6"/>
  <c r="CL475" i="6" s="1"/>
  <c r="CM474" i="6"/>
  <c r="CK474" i="6"/>
  <c r="CJ474" i="6"/>
  <c r="CI474" i="6"/>
  <c r="CH474" i="6"/>
  <c r="CG474" i="6"/>
  <c r="CF474" i="6"/>
  <c r="CE474" i="6"/>
  <c r="CD474" i="6"/>
  <c r="CC474" i="6"/>
  <c r="F474" i="6"/>
  <c r="E474" i="6"/>
  <c r="D474" i="6"/>
  <c r="C474" i="6"/>
  <c r="CL474" i="6" s="1"/>
  <c r="CK473" i="6"/>
  <c r="CJ473" i="6"/>
  <c r="CI473" i="6"/>
  <c r="CH473" i="6"/>
  <c r="CG473" i="6"/>
  <c r="CF473" i="6"/>
  <c r="CE473" i="6"/>
  <c r="CD473" i="6"/>
  <c r="CC473" i="6"/>
  <c r="F473" i="6"/>
  <c r="E473" i="6"/>
  <c r="D473" i="6"/>
  <c r="C473" i="6"/>
  <c r="CL473" i="6" s="1"/>
  <c r="CM472" i="6"/>
  <c r="CK472" i="6"/>
  <c r="CJ472" i="6"/>
  <c r="CI472" i="6"/>
  <c r="CH472" i="6"/>
  <c r="CG472" i="6"/>
  <c r="CF472" i="6"/>
  <c r="CE472" i="6"/>
  <c r="CD472" i="6"/>
  <c r="CC472" i="6"/>
  <c r="F472" i="6"/>
  <c r="E472" i="6"/>
  <c r="D472" i="6"/>
  <c r="C472" i="6"/>
  <c r="CL472" i="6" s="1"/>
  <c r="CK471" i="6"/>
  <c r="CJ471" i="6"/>
  <c r="CI471" i="6"/>
  <c r="CH471" i="6"/>
  <c r="CG471" i="6"/>
  <c r="CF471" i="6"/>
  <c r="CE471" i="6"/>
  <c r="CD471" i="6"/>
  <c r="CC471" i="6"/>
  <c r="F471" i="6"/>
  <c r="E471" i="6"/>
  <c r="D471" i="6"/>
  <c r="C471" i="6"/>
  <c r="CL471" i="6" s="1"/>
  <c r="CM470" i="6"/>
  <c r="CK470" i="6"/>
  <c r="CJ470" i="6"/>
  <c r="CI470" i="6"/>
  <c r="CH470" i="6"/>
  <c r="CG470" i="6"/>
  <c r="CF470" i="6"/>
  <c r="CE470" i="6"/>
  <c r="CD470" i="6"/>
  <c r="CC470" i="6"/>
  <c r="F470" i="6"/>
  <c r="E470" i="6"/>
  <c r="D470" i="6"/>
  <c r="C470" i="6"/>
  <c r="CL470" i="6" s="1"/>
  <c r="CK469" i="6"/>
  <c r="CJ469" i="6"/>
  <c r="CI469" i="6"/>
  <c r="CH469" i="6"/>
  <c r="CG469" i="6"/>
  <c r="CF469" i="6"/>
  <c r="CE469" i="6"/>
  <c r="CD469" i="6"/>
  <c r="CC469" i="6"/>
  <c r="F469" i="6"/>
  <c r="E469" i="6"/>
  <c r="D469" i="6"/>
  <c r="C469" i="6"/>
  <c r="CL469" i="6" s="1"/>
  <c r="CM468" i="6"/>
  <c r="CK468" i="6"/>
  <c r="CJ468" i="6"/>
  <c r="CI468" i="6"/>
  <c r="CH468" i="6"/>
  <c r="CG468" i="6"/>
  <c r="CF468" i="6"/>
  <c r="CE468" i="6"/>
  <c r="CD468" i="6"/>
  <c r="CC468" i="6"/>
  <c r="F468" i="6"/>
  <c r="E468" i="6"/>
  <c r="D468" i="6"/>
  <c r="C468" i="6"/>
  <c r="CL468" i="6" s="1"/>
  <c r="CK467" i="6"/>
  <c r="CJ467" i="6"/>
  <c r="CI467" i="6"/>
  <c r="CH467" i="6"/>
  <c r="CG467" i="6"/>
  <c r="CF467" i="6"/>
  <c r="CE467" i="6"/>
  <c r="CD467" i="6"/>
  <c r="CC467" i="6"/>
  <c r="F467" i="6"/>
  <c r="E467" i="6"/>
  <c r="D467" i="6"/>
  <c r="C467" i="6"/>
  <c r="CL467" i="6" s="1"/>
  <c r="CM466" i="6"/>
  <c r="CK466" i="6"/>
  <c r="CJ466" i="6"/>
  <c r="CI466" i="6"/>
  <c r="CH466" i="6"/>
  <c r="CG466" i="6"/>
  <c r="CF466" i="6"/>
  <c r="CE466" i="6"/>
  <c r="CD466" i="6"/>
  <c r="CC466" i="6"/>
  <c r="F466" i="6"/>
  <c r="E466" i="6"/>
  <c r="D466" i="6"/>
  <c r="C466" i="6"/>
  <c r="CL466" i="6" s="1"/>
  <c r="CK465" i="6"/>
  <c r="CJ465" i="6"/>
  <c r="CI465" i="6"/>
  <c r="CH465" i="6"/>
  <c r="CG465" i="6"/>
  <c r="CF465" i="6"/>
  <c r="CE465" i="6"/>
  <c r="CD465" i="6"/>
  <c r="CC465" i="6"/>
  <c r="F465" i="6"/>
  <c r="E465" i="6"/>
  <c r="D465" i="6"/>
  <c r="C465" i="6"/>
  <c r="CL465" i="6" s="1"/>
  <c r="CM464" i="6"/>
  <c r="CK464" i="6"/>
  <c r="CJ464" i="6"/>
  <c r="CI464" i="6"/>
  <c r="CH464" i="6"/>
  <c r="CG464" i="6"/>
  <c r="CF464" i="6"/>
  <c r="CE464" i="6"/>
  <c r="CD464" i="6"/>
  <c r="CC464" i="6"/>
  <c r="F464" i="6"/>
  <c r="E464" i="6"/>
  <c r="D464" i="6"/>
  <c r="C464" i="6"/>
  <c r="CL464" i="6" s="1"/>
  <c r="CK463" i="6"/>
  <c r="CJ463" i="6"/>
  <c r="CI463" i="6"/>
  <c r="CH463" i="6"/>
  <c r="CG463" i="6"/>
  <c r="CF463" i="6"/>
  <c r="CE463" i="6"/>
  <c r="CD463" i="6"/>
  <c r="CC463" i="6"/>
  <c r="F463" i="6"/>
  <c r="E463" i="6"/>
  <c r="D463" i="6"/>
  <c r="C463" i="6"/>
  <c r="CL463" i="6" s="1"/>
  <c r="CM462" i="6"/>
  <c r="CK462" i="6"/>
  <c r="CJ462" i="6"/>
  <c r="CI462" i="6"/>
  <c r="CH462" i="6"/>
  <c r="CG462" i="6"/>
  <c r="CF462" i="6"/>
  <c r="CE462" i="6"/>
  <c r="CD462" i="6"/>
  <c r="CC462" i="6"/>
  <c r="F462" i="6"/>
  <c r="E462" i="6"/>
  <c r="D462" i="6"/>
  <c r="C462" i="6"/>
  <c r="CL462" i="6" s="1"/>
  <c r="CK461" i="6"/>
  <c r="CJ461" i="6"/>
  <c r="CI461" i="6"/>
  <c r="CH461" i="6"/>
  <c r="CG461" i="6"/>
  <c r="CF461" i="6"/>
  <c r="CE461" i="6"/>
  <c r="CD461" i="6"/>
  <c r="CC461" i="6"/>
  <c r="F461" i="6"/>
  <c r="E461" i="6"/>
  <c r="D461" i="6"/>
  <c r="C461" i="6"/>
  <c r="CL461" i="6" s="1"/>
  <c r="CM460" i="6"/>
  <c r="CK460" i="6"/>
  <c r="CJ460" i="6"/>
  <c r="CI460" i="6"/>
  <c r="CH460" i="6"/>
  <c r="CG460" i="6"/>
  <c r="CF460" i="6"/>
  <c r="CE460" i="6"/>
  <c r="CD460" i="6"/>
  <c r="CC460" i="6"/>
  <c r="F460" i="6"/>
  <c r="E460" i="6"/>
  <c r="D460" i="6"/>
  <c r="C460" i="6"/>
  <c r="CL460" i="6" s="1"/>
  <c r="CM459" i="6"/>
  <c r="CK459" i="6"/>
  <c r="CJ459" i="6"/>
  <c r="CI459" i="6"/>
  <c r="CH459" i="6"/>
  <c r="CG459" i="6"/>
  <c r="CF459" i="6"/>
  <c r="CE459" i="6"/>
  <c r="CD459" i="6"/>
  <c r="CC459" i="6"/>
  <c r="F459" i="6"/>
  <c r="E459" i="6"/>
  <c r="D459" i="6"/>
  <c r="C459" i="6"/>
  <c r="CL459" i="6" s="1"/>
  <c r="CM458" i="6"/>
  <c r="CK458" i="6"/>
  <c r="CJ458" i="6"/>
  <c r="CI458" i="6"/>
  <c r="CH458" i="6"/>
  <c r="CG458" i="6"/>
  <c r="CF458" i="6"/>
  <c r="CE458" i="6"/>
  <c r="CD458" i="6"/>
  <c r="CC458" i="6"/>
  <c r="F458" i="6"/>
  <c r="E458" i="6"/>
  <c r="D458" i="6"/>
  <c r="C458" i="6"/>
  <c r="CL458" i="6" s="1"/>
  <c r="CM457" i="6"/>
  <c r="CK457" i="6"/>
  <c r="CJ457" i="6"/>
  <c r="CI457" i="6"/>
  <c r="CH457" i="6"/>
  <c r="CG457" i="6"/>
  <c r="CF457" i="6"/>
  <c r="CE457" i="6"/>
  <c r="CD457" i="6"/>
  <c r="CC457" i="6"/>
  <c r="F457" i="6"/>
  <c r="E457" i="6"/>
  <c r="D457" i="6"/>
  <c r="C457" i="6"/>
  <c r="CL457" i="6" s="1"/>
  <c r="CM456" i="6"/>
  <c r="CK456" i="6"/>
  <c r="CJ456" i="6"/>
  <c r="CI456" i="6"/>
  <c r="CH456" i="6"/>
  <c r="CG456" i="6"/>
  <c r="CF456" i="6"/>
  <c r="CE456" i="6"/>
  <c r="CD456" i="6"/>
  <c r="CC456" i="6"/>
  <c r="F456" i="6"/>
  <c r="E456" i="6"/>
  <c r="D456" i="6"/>
  <c r="C456" i="6"/>
  <c r="CL456" i="6" s="1"/>
  <c r="CM455" i="6"/>
  <c r="CK455" i="6"/>
  <c r="CJ455" i="6"/>
  <c r="CI455" i="6"/>
  <c r="CH455" i="6"/>
  <c r="CG455" i="6"/>
  <c r="CF455" i="6"/>
  <c r="CE455" i="6"/>
  <c r="CD455" i="6"/>
  <c r="CC455" i="6"/>
  <c r="F455" i="6"/>
  <c r="E455" i="6"/>
  <c r="D455" i="6"/>
  <c r="C455" i="6"/>
  <c r="CL455" i="6" s="1"/>
  <c r="CM454" i="6"/>
  <c r="CK454" i="6"/>
  <c r="CJ454" i="6"/>
  <c r="CI454" i="6"/>
  <c r="CH454" i="6"/>
  <c r="CG454" i="6"/>
  <c r="CF454" i="6"/>
  <c r="CE454" i="6"/>
  <c r="CD454" i="6"/>
  <c r="CC454" i="6"/>
  <c r="F454" i="6"/>
  <c r="E454" i="6"/>
  <c r="D454" i="6"/>
  <c r="C454" i="6"/>
  <c r="CL454" i="6" s="1"/>
  <c r="CM453" i="6"/>
  <c r="CK453" i="6"/>
  <c r="CJ453" i="6"/>
  <c r="CI453" i="6"/>
  <c r="CH453" i="6"/>
  <c r="CG453" i="6"/>
  <c r="CF453" i="6"/>
  <c r="CE453" i="6"/>
  <c r="CD453" i="6"/>
  <c r="CC453" i="6"/>
  <c r="F453" i="6"/>
  <c r="E453" i="6"/>
  <c r="D453" i="6"/>
  <c r="C453" i="6"/>
  <c r="CL453" i="6" s="1"/>
  <c r="CM452" i="6"/>
  <c r="CK452" i="6"/>
  <c r="CJ452" i="6"/>
  <c r="CI452" i="6"/>
  <c r="CH452" i="6"/>
  <c r="CG452" i="6"/>
  <c r="CF452" i="6"/>
  <c r="CE452" i="6"/>
  <c r="CD452" i="6"/>
  <c r="CC452" i="6"/>
  <c r="F452" i="6"/>
  <c r="E452" i="6"/>
  <c r="D452" i="6"/>
  <c r="C452" i="6"/>
  <c r="CL452" i="6" s="1"/>
  <c r="CM451" i="6"/>
  <c r="CK451" i="6"/>
  <c r="CJ451" i="6"/>
  <c r="CI451" i="6"/>
  <c r="CH451" i="6"/>
  <c r="CG451" i="6"/>
  <c r="CF451" i="6"/>
  <c r="CE451" i="6"/>
  <c r="CD451" i="6"/>
  <c r="CC451" i="6"/>
  <c r="F451" i="6"/>
  <c r="E451" i="6"/>
  <c r="D451" i="6"/>
  <c r="C451" i="6"/>
  <c r="CL451" i="6" s="1"/>
  <c r="CM450" i="6"/>
  <c r="CK450" i="6"/>
  <c r="CJ450" i="6"/>
  <c r="CI450" i="6"/>
  <c r="CH450" i="6"/>
  <c r="CG450" i="6"/>
  <c r="CF450" i="6"/>
  <c r="CE450" i="6"/>
  <c r="CD450" i="6"/>
  <c r="CC450" i="6"/>
  <c r="F450" i="6"/>
  <c r="E450" i="6"/>
  <c r="D450" i="6"/>
  <c r="C450" i="6"/>
  <c r="CL450" i="6" s="1"/>
  <c r="CM449" i="6"/>
  <c r="CK449" i="6"/>
  <c r="CJ449" i="6"/>
  <c r="CI449" i="6"/>
  <c r="CH449" i="6"/>
  <c r="CG449" i="6"/>
  <c r="CF449" i="6"/>
  <c r="CE449" i="6"/>
  <c r="CD449" i="6"/>
  <c r="CC449" i="6"/>
  <c r="F449" i="6"/>
  <c r="E449" i="6"/>
  <c r="D449" i="6"/>
  <c r="C449" i="6"/>
  <c r="CL449" i="6" s="1"/>
  <c r="CK448" i="6"/>
  <c r="CJ448" i="6"/>
  <c r="CI448" i="6"/>
  <c r="CH448" i="6"/>
  <c r="CG448" i="6"/>
  <c r="CF448" i="6"/>
  <c r="CE448" i="6"/>
  <c r="CD448" i="6"/>
  <c r="CC448" i="6"/>
  <c r="F448" i="6"/>
  <c r="E448" i="6"/>
  <c r="D448" i="6"/>
  <c r="C448" i="6"/>
  <c r="CM448" i="6" s="1"/>
  <c r="CK447" i="6"/>
  <c r="CJ447" i="6"/>
  <c r="CI447" i="6"/>
  <c r="CH447" i="6"/>
  <c r="CG447" i="6"/>
  <c r="CF447" i="6"/>
  <c r="CE447" i="6"/>
  <c r="CD447" i="6"/>
  <c r="CC447" i="6"/>
  <c r="F447" i="6"/>
  <c r="E447" i="6"/>
  <c r="D447" i="6"/>
  <c r="C447" i="6"/>
  <c r="CK446" i="6"/>
  <c r="CJ446" i="6"/>
  <c r="CI446" i="6"/>
  <c r="CH446" i="6"/>
  <c r="CG446" i="6"/>
  <c r="CF446" i="6"/>
  <c r="CE446" i="6"/>
  <c r="CD446" i="6"/>
  <c r="CC446" i="6"/>
  <c r="F446" i="6"/>
  <c r="E446" i="6"/>
  <c r="D446" i="6"/>
  <c r="C446" i="6"/>
  <c r="CM446" i="6" s="1"/>
  <c r="CK445" i="6"/>
  <c r="CJ445" i="6"/>
  <c r="CI445" i="6"/>
  <c r="CH445" i="6"/>
  <c r="CG445" i="6"/>
  <c r="CF445" i="6"/>
  <c r="CE445" i="6"/>
  <c r="CD445" i="6"/>
  <c r="CC445" i="6"/>
  <c r="F445" i="6"/>
  <c r="E445" i="6"/>
  <c r="D445" i="6"/>
  <c r="C445" i="6"/>
  <c r="CK444" i="6"/>
  <c r="CJ444" i="6"/>
  <c r="CI444" i="6"/>
  <c r="CH444" i="6"/>
  <c r="CG444" i="6"/>
  <c r="CF444" i="6"/>
  <c r="CE444" i="6"/>
  <c r="CD444" i="6"/>
  <c r="CC444" i="6"/>
  <c r="F444" i="6"/>
  <c r="E444" i="6"/>
  <c r="D444" i="6"/>
  <c r="C444" i="6"/>
  <c r="CM444" i="6" s="1"/>
  <c r="CK443" i="6"/>
  <c r="CJ443" i="6"/>
  <c r="CI443" i="6"/>
  <c r="CH443" i="6"/>
  <c r="CG443" i="6"/>
  <c r="CF443" i="6"/>
  <c r="CE443" i="6"/>
  <c r="CD443" i="6"/>
  <c r="CC443" i="6"/>
  <c r="F443" i="6"/>
  <c r="E443" i="6"/>
  <c r="D443" i="6"/>
  <c r="C443" i="6"/>
  <c r="CK442" i="6"/>
  <c r="CJ442" i="6"/>
  <c r="CI442" i="6"/>
  <c r="CH442" i="6"/>
  <c r="CG442" i="6"/>
  <c r="CF442" i="6"/>
  <c r="CE442" i="6"/>
  <c r="CD442" i="6"/>
  <c r="CC442" i="6"/>
  <c r="F442" i="6"/>
  <c r="E442" i="6"/>
  <c r="D442" i="6"/>
  <c r="C442" i="6"/>
  <c r="CM442" i="6" s="1"/>
  <c r="CK441" i="6"/>
  <c r="CJ441" i="6"/>
  <c r="CI441" i="6"/>
  <c r="CH441" i="6"/>
  <c r="CG441" i="6"/>
  <c r="CF441" i="6"/>
  <c r="CE441" i="6"/>
  <c r="CD441" i="6"/>
  <c r="CC441" i="6"/>
  <c r="F441" i="6"/>
  <c r="E441" i="6"/>
  <c r="D441" i="6"/>
  <c r="C441" i="6"/>
  <c r="CK440" i="6"/>
  <c r="CJ440" i="6"/>
  <c r="CI440" i="6"/>
  <c r="CH440" i="6"/>
  <c r="CG440" i="6"/>
  <c r="CF440" i="6"/>
  <c r="CE440" i="6"/>
  <c r="CD440" i="6"/>
  <c r="CC440" i="6"/>
  <c r="F440" i="6"/>
  <c r="E440" i="6"/>
  <c r="D440" i="6"/>
  <c r="C440" i="6"/>
  <c r="CM440" i="6" s="1"/>
  <c r="CK439" i="6"/>
  <c r="CJ439" i="6"/>
  <c r="CI439" i="6"/>
  <c r="CH439" i="6"/>
  <c r="CG439" i="6"/>
  <c r="CF439" i="6"/>
  <c r="CE439" i="6"/>
  <c r="CD439" i="6"/>
  <c r="CC439" i="6"/>
  <c r="F439" i="6"/>
  <c r="E439" i="6"/>
  <c r="D439" i="6"/>
  <c r="C439" i="6"/>
  <c r="CK438" i="6"/>
  <c r="CJ438" i="6"/>
  <c r="CI438" i="6"/>
  <c r="CH438" i="6"/>
  <c r="CG438" i="6"/>
  <c r="CF438" i="6"/>
  <c r="CE438" i="6"/>
  <c r="CD438" i="6"/>
  <c r="CC438" i="6"/>
  <c r="F438" i="6"/>
  <c r="E438" i="6"/>
  <c r="D438" i="6"/>
  <c r="C438" i="6"/>
  <c r="CM438" i="6" s="1"/>
  <c r="CK437" i="6"/>
  <c r="CJ437" i="6"/>
  <c r="CI437" i="6"/>
  <c r="CH437" i="6"/>
  <c r="CG437" i="6"/>
  <c r="CF437" i="6"/>
  <c r="CE437" i="6"/>
  <c r="CD437" i="6"/>
  <c r="CC437" i="6"/>
  <c r="F437" i="6"/>
  <c r="E437" i="6"/>
  <c r="D437" i="6"/>
  <c r="C437" i="6"/>
  <c r="CK436" i="6"/>
  <c r="CJ436" i="6"/>
  <c r="CI436" i="6"/>
  <c r="CH436" i="6"/>
  <c r="CG436" i="6"/>
  <c r="CF436" i="6"/>
  <c r="CE436" i="6"/>
  <c r="CD436" i="6"/>
  <c r="CC436" i="6"/>
  <c r="F436" i="6"/>
  <c r="E436" i="6"/>
  <c r="D436" i="6"/>
  <c r="C436" i="6"/>
  <c r="CM436" i="6" s="1"/>
  <c r="CK435" i="6"/>
  <c r="CJ435" i="6"/>
  <c r="CI435" i="6"/>
  <c r="CH435" i="6"/>
  <c r="CG435" i="6"/>
  <c r="CF435" i="6"/>
  <c r="CE435" i="6"/>
  <c r="CD435" i="6"/>
  <c r="CC435" i="6"/>
  <c r="F435" i="6"/>
  <c r="E435" i="6"/>
  <c r="D435" i="6"/>
  <c r="C435" i="6"/>
  <c r="CK434" i="6"/>
  <c r="CJ434" i="6"/>
  <c r="CI434" i="6"/>
  <c r="CH434" i="6"/>
  <c r="CG434" i="6"/>
  <c r="CF434" i="6"/>
  <c r="CE434" i="6"/>
  <c r="CD434" i="6"/>
  <c r="CC434" i="6"/>
  <c r="F434" i="6"/>
  <c r="E434" i="6"/>
  <c r="D434" i="6"/>
  <c r="C434" i="6"/>
  <c r="CM434" i="6" s="1"/>
  <c r="CK433" i="6"/>
  <c r="CJ433" i="6"/>
  <c r="CI433" i="6"/>
  <c r="CH433" i="6"/>
  <c r="CG433" i="6"/>
  <c r="CF433" i="6"/>
  <c r="CE433" i="6"/>
  <c r="CD433" i="6"/>
  <c r="CC433" i="6"/>
  <c r="F433" i="6"/>
  <c r="E433" i="6"/>
  <c r="D433" i="6"/>
  <c r="C433" i="6"/>
  <c r="CK432" i="6"/>
  <c r="CJ432" i="6"/>
  <c r="CI432" i="6"/>
  <c r="CH432" i="6"/>
  <c r="CG432" i="6"/>
  <c r="CF432" i="6"/>
  <c r="CE432" i="6"/>
  <c r="CD432" i="6"/>
  <c r="CC432" i="6"/>
  <c r="F432" i="6"/>
  <c r="E432" i="6"/>
  <c r="D432" i="6"/>
  <c r="C432" i="6"/>
  <c r="CM432" i="6" s="1"/>
  <c r="CK431" i="6"/>
  <c r="CJ431" i="6"/>
  <c r="CI431" i="6"/>
  <c r="CH431" i="6"/>
  <c r="CG431" i="6"/>
  <c r="CF431" i="6"/>
  <c r="CE431" i="6"/>
  <c r="CD431" i="6"/>
  <c r="CC431" i="6"/>
  <c r="F431" i="6"/>
  <c r="E431" i="6"/>
  <c r="D431" i="6"/>
  <c r="C431" i="6"/>
  <c r="CK430" i="6"/>
  <c r="CJ430" i="6"/>
  <c r="CI430" i="6"/>
  <c r="CH430" i="6"/>
  <c r="CG430" i="6"/>
  <c r="CF430" i="6"/>
  <c r="CE430" i="6"/>
  <c r="CD430" i="6"/>
  <c r="CC430" i="6"/>
  <c r="F430" i="6"/>
  <c r="E430" i="6"/>
  <c r="D430" i="6"/>
  <c r="C430" i="6"/>
  <c r="CM430" i="6" s="1"/>
  <c r="CK429" i="6"/>
  <c r="CJ429" i="6"/>
  <c r="CI429" i="6"/>
  <c r="CH429" i="6"/>
  <c r="CG429" i="6"/>
  <c r="CF429" i="6"/>
  <c r="CE429" i="6"/>
  <c r="CD429" i="6"/>
  <c r="CC429" i="6"/>
  <c r="F429" i="6"/>
  <c r="E429" i="6"/>
  <c r="D429" i="6"/>
  <c r="C429" i="6"/>
  <c r="CK428" i="6"/>
  <c r="CJ428" i="6"/>
  <c r="CI428" i="6"/>
  <c r="CH428" i="6"/>
  <c r="CG428" i="6"/>
  <c r="CF428" i="6"/>
  <c r="CE428" i="6"/>
  <c r="CD428" i="6"/>
  <c r="CC428" i="6"/>
  <c r="F428" i="6"/>
  <c r="E428" i="6"/>
  <c r="D428" i="6"/>
  <c r="C428" i="6"/>
  <c r="CM428" i="6" s="1"/>
  <c r="CK427" i="6"/>
  <c r="CJ427" i="6"/>
  <c r="CI427" i="6"/>
  <c r="CH427" i="6"/>
  <c r="CG427" i="6"/>
  <c r="CF427" i="6"/>
  <c r="CE427" i="6"/>
  <c r="CD427" i="6"/>
  <c r="CC427" i="6"/>
  <c r="F427" i="6"/>
  <c r="E427" i="6"/>
  <c r="D427" i="6"/>
  <c r="C427" i="6"/>
  <c r="CK426" i="6"/>
  <c r="CJ426" i="6"/>
  <c r="CI426" i="6"/>
  <c r="CH426" i="6"/>
  <c r="CG426" i="6"/>
  <c r="CF426" i="6"/>
  <c r="CE426" i="6"/>
  <c r="CD426" i="6"/>
  <c r="CC426" i="6"/>
  <c r="F426" i="6"/>
  <c r="E426" i="6"/>
  <c r="D426" i="6"/>
  <c r="C426" i="6"/>
  <c r="CM426" i="6" s="1"/>
  <c r="CK425" i="6"/>
  <c r="CJ425" i="6"/>
  <c r="CI425" i="6"/>
  <c r="CH425" i="6"/>
  <c r="CG425" i="6"/>
  <c r="CF425" i="6"/>
  <c r="CE425" i="6"/>
  <c r="CD425" i="6"/>
  <c r="CC425" i="6"/>
  <c r="F425" i="6"/>
  <c r="E425" i="6"/>
  <c r="D425" i="6"/>
  <c r="C425" i="6"/>
  <c r="CK424" i="6"/>
  <c r="CJ424" i="6"/>
  <c r="CI424" i="6"/>
  <c r="CH424" i="6"/>
  <c r="CG424" i="6"/>
  <c r="CF424" i="6"/>
  <c r="CE424" i="6"/>
  <c r="CD424" i="6"/>
  <c r="CC424" i="6"/>
  <c r="F424" i="6"/>
  <c r="E424" i="6"/>
  <c r="D424" i="6"/>
  <c r="C424" i="6"/>
  <c r="CM424" i="6" s="1"/>
  <c r="CK423" i="6"/>
  <c r="CJ423" i="6"/>
  <c r="CI423" i="6"/>
  <c r="CH423" i="6"/>
  <c r="CG423" i="6"/>
  <c r="CF423" i="6"/>
  <c r="CE423" i="6"/>
  <c r="CD423" i="6"/>
  <c r="CC423" i="6"/>
  <c r="F423" i="6"/>
  <c r="E423" i="6"/>
  <c r="D423" i="6"/>
  <c r="C423" i="6"/>
  <c r="CK422" i="6"/>
  <c r="CJ422" i="6"/>
  <c r="CI422" i="6"/>
  <c r="CH422" i="6"/>
  <c r="CG422" i="6"/>
  <c r="CF422" i="6"/>
  <c r="CE422" i="6"/>
  <c r="CD422" i="6"/>
  <c r="CC422" i="6"/>
  <c r="F422" i="6"/>
  <c r="E422" i="6"/>
  <c r="D422" i="6"/>
  <c r="C422" i="6"/>
  <c r="CM422" i="6" s="1"/>
  <c r="CK421" i="6"/>
  <c r="CJ421" i="6"/>
  <c r="CI421" i="6"/>
  <c r="CH421" i="6"/>
  <c r="CG421" i="6"/>
  <c r="CF421" i="6"/>
  <c r="CE421" i="6"/>
  <c r="CD421" i="6"/>
  <c r="CC421" i="6"/>
  <c r="F421" i="6"/>
  <c r="E421" i="6"/>
  <c r="D421" i="6"/>
  <c r="C421" i="6"/>
  <c r="CK420" i="6"/>
  <c r="CJ420" i="6"/>
  <c r="CI420" i="6"/>
  <c r="CH420" i="6"/>
  <c r="CG420" i="6"/>
  <c r="CF420" i="6"/>
  <c r="CE420" i="6"/>
  <c r="CD420" i="6"/>
  <c r="CC420" i="6"/>
  <c r="F420" i="6"/>
  <c r="E420" i="6"/>
  <c r="D420" i="6"/>
  <c r="C420" i="6"/>
  <c r="CM420" i="6" s="1"/>
  <c r="CK419" i="6"/>
  <c r="CJ419" i="6"/>
  <c r="CI419" i="6"/>
  <c r="CH419" i="6"/>
  <c r="CG419" i="6"/>
  <c r="CF419" i="6"/>
  <c r="CE419" i="6"/>
  <c r="CD419" i="6"/>
  <c r="CC419" i="6"/>
  <c r="F419" i="6"/>
  <c r="E419" i="6"/>
  <c r="D419" i="6"/>
  <c r="C419" i="6"/>
  <c r="CK418" i="6"/>
  <c r="CJ418" i="6"/>
  <c r="CI418" i="6"/>
  <c r="CH418" i="6"/>
  <c r="CG418" i="6"/>
  <c r="CF418" i="6"/>
  <c r="CE418" i="6"/>
  <c r="CD418" i="6"/>
  <c r="CC418" i="6"/>
  <c r="F418" i="6"/>
  <c r="E418" i="6"/>
  <c r="D418" i="6"/>
  <c r="C418" i="6"/>
  <c r="CM418" i="6" s="1"/>
  <c r="CK417" i="6"/>
  <c r="CJ417" i="6"/>
  <c r="CI417" i="6"/>
  <c r="CH417" i="6"/>
  <c r="CG417" i="6"/>
  <c r="CF417" i="6"/>
  <c r="CE417" i="6"/>
  <c r="CD417" i="6"/>
  <c r="CC417" i="6"/>
  <c r="F417" i="6"/>
  <c r="E417" i="6"/>
  <c r="D417" i="6"/>
  <c r="C417" i="6"/>
  <c r="CK416" i="6"/>
  <c r="CJ416" i="6"/>
  <c r="CI416" i="6"/>
  <c r="CH416" i="6"/>
  <c r="CG416" i="6"/>
  <c r="CF416" i="6"/>
  <c r="CE416" i="6"/>
  <c r="CD416" i="6"/>
  <c r="CC416" i="6"/>
  <c r="F416" i="6"/>
  <c r="E416" i="6"/>
  <c r="D416" i="6"/>
  <c r="C416" i="6"/>
  <c r="CM416" i="6" s="1"/>
  <c r="CK415" i="6"/>
  <c r="CJ415" i="6"/>
  <c r="CI415" i="6"/>
  <c r="CH415" i="6"/>
  <c r="CG415" i="6"/>
  <c r="CF415" i="6"/>
  <c r="CE415" i="6"/>
  <c r="CD415" i="6"/>
  <c r="CC415" i="6"/>
  <c r="F415" i="6"/>
  <c r="E415" i="6"/>
  <c r="D415" i="6"/>
  <c r="C415" i="6"/>
  <c r="CK414" i="6"/>
  <c r="CJ414" i="6"/>
  <c r="CI414" i="6"/>
  <c r="CH414" i="6"/>
  <c r="CG414" i="6"/>
  <c r="CF414" i="6"/>
  <c r="CE414" i="6"/>
  <c r="CD414" i="6"/>
  <c r="CC414" i="6"/>
  <c r="F414" i="6"/>
  <c r="E414" i="6"/>
  <c r="D414" i="6"/>
  <c r="C414" i="6"/>
  <c r="CO414" i="6" s="1"/>
  <c r="CK413" i="6"/>
  <c r="CJ413" i="6"/>
  <c r="CI413" i="6"/>
  <c r="CH413" i="6"/>
  <c r="CG413" i="6"/>
  <c r="CF413" i="6"/>
  <c r="CE413" i="6"/>
  <c r="CD413" i="6"/>
  <c r="CC413" i="6"/>
  <c r="F413" i="6"/>
  <c r="E413" i="6"/>
  <c r="D413" i="6"/>
  <c r="C413" i="6"/>
  <c r="CO413" i="6" s="1"/>
  <c r="CK412" i="6"/>
  <c r="CJ412" i="6"/>
  <c r="CI412" i="6"/>
  <c r="CH412" i="6"/>
  <c r="CG412" i="6"/>
  <c r="CF412" i="6"/>
  <c r="CE412" i="6"/>
  <c r="CD412" i="6"/>
  <c r="CC412" i="6"/>
  <c r="F412" i="6"/>
  <c r="E412" i="6"/>
  <c r="D412" i="6"/>
  <c r="C412" i="6"/>
  <c r="CO412" i="6" s="1"/>
  <c r="CK411" i="6"/>
  <c r="CJ411" i="6"/>
  <c r="CI411" i="6"/>
  <c r="CH411" i="6"/>
  <c r="CG411" i="6"/>
  <c r="CF411" i="6"/>
  <c r="CE411" i="6"/>
  <c r="CD411" i="6"/>
  <c r="CC411" i="6"/>
  <c r="F411" i="6"/>
  <c r="E411" i="6"/>
  <c r="D411" i="6"/>
  <c r="C411" i="6"/>
  <c r="CO411" i="6" s="1"/>
  <c r="CK410" i="6"/>
  <c r="CJ410" i="6"/>
  <c r="CI410" i="6"/>
  <c r="CH410" i="6"/>
  <c r="CG410" i="6"/>
  <c r="CF410" i="6"/>
  <c r="CE410" i="6"/>
  <c r="CD410" i="6"/>
  <c r="CC410" i="6"/>
  <c r="F410" i="6"/>
  <c r="E410" i="6"/>
  <c r="D410" i="6"/>
  <c r="C410" i="6"/>
  <c r="CO410" i="6" s="1"/>
  <c r="CK409" i="6"/>
  <c r="CJ409" i="6"/>
  <c r="CI409" i="6"/>
  <c r="CH409" i="6"/>
  <c r="CG409" i="6"/>
  <c r="CF409" i="6"/>
  <c r="CE409" i="6"/>
  <c r="CD409" i="6"/>
  <c r="CC409" i="6"/>
  <c r="F409" i="6"/>
  <c r="E409" i="6"/>
  <c r="D409" i="6"/>
  <c r="C409" i="6"/>
  <c r="CO409" i="6" s="1"/>
  <c r="CK408" i="6"/>
  <c r="CJ408" i="6"/>
  <c r="CI408" i="6"/>
  <c r="CH408" i="6"/>
  <c r="CG408" i="6"/>
  <c r="CF408" i="6"/>
  <c r="CE408" i="6"/>
  <c r="CD408" i="6"/>
  <c r="CC408" i="6"/>
  <c r="F408" i="6"/>
  <c r="E408" i="6"/>
  <c r="D408" i="6"/>
  <c r="C408" i="6"/>
  <c r="CO408" i="6" s="1"/>
  <c r="CK407" i="6"/>
  <c r="CJ407" i="6"/>
  <c r="CI407" i="6"/>
  <c r="CH407" i="6"/>
  <c r="CG407" i="6"/>
  <c r="CF407" i="6"/>
  <c r="CE407" i="6"/>
  <c r="CD407" i="6"/>
  <c r="CC407" i="6"/>
  <c r="F407" i="6"/>
  <c r="E407" i="6"/>
  <c r="D407" i="6"/>
  <c r="C407" i="6"/>
  <c r="CO407" i="6" s="1"/>
  <c r="CK406" i="6"/>
  <c r="CJ406" i="6"/>
  <c r="CI406" i="6"/>
  <c r="CH406" i="6"/>
  <c r="CG406" i="6"/>
  <c r="CF406" i="6"/>
  <c r="CE406" i="6"/>
  <c r="CD406" i="6"/>
  <c r="CC406" i="6"/>
  <c r="F406" i="6"/>
  <c r="E406" i="6"/>
  <c r="D406" i="6"/>
  <c r="C406" i="6"/>
  <c r="CO406" i="6" s="1"/>
  <c r="CK405" i="6"/>
  <c r="CJ405" i="6"/>
  <c r="CI405" i="6"/>
  <c r="CH405" i="6"/>
  <c r="CG405" i="6"/>
  <c r="CF405" i="6"/>
  <c r="CE405" i="6"/>
  <c r="CD405" i="6"/>
  <c r="CC405" i="6"/>
  <c r="F405" i="6"/>
  <c r="E405" i="6"/>
  <c r="D405" i="6"/>
  <c r="C405" i="6"/>
  <c r="CO405" i="6" s="1"/>
  <c r="CK404" i="6"/>
  <c r="CJ404" i="6"/>
  <c r="CI404" i="6"/>
  <c r="CH404" i="6"/>
  <c r="CG404" i="6"/>
  <c r="CF404" i="6"/>
  <c r="CE404" i="6"/>
  <c r="CD404" i="6"/>
  <c r="CC404" i="6"/>
  <c r="F404" i="6"/>
  <c r="E404" i="6"/>
  <c r="D404" i="6"/>
  <c r="C404" i="6"/>
  <c r="CO404" i="6" s="1"/>
  <c r="CK403" i="6"/>
  <c r="CJ403" i="6"/>
  <c r="CI403" i="6"/>
  <c r="CH403" i="6"/>
  <c r="CG403" i="6"/>
  <c r="CF403" i="6"/>
  <c r="CE403" i="6"/>
  <c r="CD403" i="6"/>
  <c r="CC403" i="6"/>
  <c r="F403" i="6"/>
  <c r="E403" i="6"/>
  <c r="D403" i="6"/>
  <c r="C403" i="6"/>
  <c r="CO403" i="6" s="1"/>
  <c r="CK402" i="6"/>
  <c r="CJ402" i="6"/>
  <c r="CI402" i="6"/>
  <c r="CH402" i="6"/>
  <c r="CG402" i="6"/>
  <c r="CF402" i="6"/>
  <c r="CE402" i="6"/>
  <c r="CD402" i="6"/>
  <c r="CC402" i="6"/>
  <c r="F402" i="6"/>
  <c r="E402" i="6"/>
  <c r="D402" i="6"/>
  <c r="C402" i="6"/>
  <c r="CO402" i="6" s="1"/>
  <c r="CK401" i="6"/>
  <c r="CJ401" i="6"/>
  <c r="CI401" i="6"/>
  <c r="CH401" i="6"/>
  <c r="CG401" i="6"/>
  <c r="CF401" i="6"/>
  <c r="CE401" i="6"/>
  <c r="CD401" i="6"/>
  <c r="CC401" i="6"/>
  <c r="F401" i="6"/>
  <c r="E401" i="6"/>
  <c r="D401" i="6"/>
  <c r="C401" i="6"/>
  <c r="CO401" i="6" s="1"/>
  <c r="CK400" i="6"/>
  <c r="CJ400" i="6"/>
  <c r="CI400" i="6"/>
  <c r="CH400" i="6"/>
  <c r="CG400" i="6"/>
  <c r="CF400" i="6"/>
  <c r="CE400" i="6"/>
  <c r="CD400" i="6"/>
  <c r="CC400" i="6"/>
  <c r="F400" i="6"/>
  <c r="E400" i="6"/>
  <c r="D400" i="6"/>
  <c r="C400" i="6"/>
  <c r="CO400" i="6" s="1"/>
  <c r="CK399" i="6"/>
  <c r="CJ399" i="6"/>
  <c r="CI399" i="6"/>
  <c r="CH399" i="6"/>
  <c r="CG399" i="6"/>
  <c r="CF399" i="6"/>
  <c r="CE399" i="6"/>
  <c r="CD399" i="6"/>
  <c r="CC399" i="6"/>
  <c r="F399" i="6"/>
  <c r="E399" i="6"/>
  <c r="D399" i="6"/>
  <c r="C399" i="6"/>
  <c r="CO399" i="6" s="1"/>
  <c r="CK398" i="6"/>
  <c r="CJ398" i="6"/>
  <c r="CI398" i="6"/>
  <c r="CH398" i="6"/>
  <c r="CG398" i="6"/>
  <c r="CF398" i="6"/>
  <c r="CE398" i="6"/>
  <c r="CD398" i="6"/>
  <c r="CC398" i="6"/>
  <c r="F398" i="6"/>
  <c r="E398" i="6"/>
  <c r="D398" i="6"/>
  <c r="C398" i="6"/>
  <c r="CO398" i="6" s="1"/>
  <c r="CK397" i="6"/>
  <c r="CJ397" i="6"/>
  <c r="CI397" i="6"/>
  <c r="CH397" i="6"/>
  <c r="CG397" i="6"/>
  <c r="CF397" i="6"/>
  <c r="CE397" i="6"/>
  <c r="CD397" i="6"/>
  <c r="CC397" i="6"/>
  <c r="F397" i="6"/>
  <c r="E397" i="6"/>
  <c r="D397" i="6"/>
  <c r="C397" i="6"/>
  <c r="CO397" i="6" s="1"/>
  <c r="CK396" i="6"/>
  <c r="CJ396" i="6"/>
  <c r="CI396" i="6"/>
  <c r="CH396" i="6"/>
  <c r="CG396" i="6"/>
  <c r="CF396" i="6"/>
  <c r="CE396" i="6"/>
  <c r="CD396" i="6"/>
  <c r="CC396" i="6"/>
  <c r="F396" i="6"/>
  <c r="E396" i="6"/>
  <c r="D396" i="6"/>
  <c r="C396" i="6"/>
  <c r="CO396" i="6" s="1"/>
  <c r="CK395" i="6"/>
  <c r="CJ395" i="6"/>
  <c r="CI395" i="6"/>
  <c r="CH395" i="6"/>
  <c r="CG395" i="6"/>
  <c r="CF395" i="6"/>
  <c r="CE395" i="6"/>
  <c r="CD395" i="6"/>
  <c r="CC395" i="6"/>
  <c r="F395" i="6"/>
  <c r="E395" i="6"/>
  <c r="D395" i="6"/>
  <c r="C395" i="6"/>
  <c r="CO395" i="6" s="1"/>
  <c r="CK394" i="6"/>
  <c r="CJ394" i="6"/>
  <c r="CI394" i="6"/>
  <c r="CH394" i="6"/>
  <c r="CG394" i="6"/>
  <c r="CF394" i="6"/>
  <c r="CE394" i="6"/>
  <c r="CD394" i="6"/>
  <c r="CC394" i="6"/>
  <c r="F394" i="6"/>
  <c r="E394" i="6"/>
  <c r="D394" i="6"/>
  <c r="C394" i="6"/>
  <c r="CO394" i="6" s="1"/>
  <c r="CK393" i="6"/>
  <c r="CJ393" i="6"/>
  <c r="CI393" i="6"/>
  <c r="CH393" i="6"/>
  <c r="CG393" i="6"/>
  <c r="CF393" i="6"/>
  <c r="CE393" i="6"/>
  <c r="CD393" i="6"/>
  <c r="CC393" i="6"/>
  <c r="F393" i="6"/>
  <c r="E393" i="6"/>
  <c r="D393" i="6"/>
  <c r="C393" i="6"/>
  <c r="CO393" i="6" s="1"/>
  <c r="CK392" i="6"/>
  <c r="CJ392" i="6"/>
  <c r="CI392" i="6"/>
  <c r="CH392" i="6"/>
  <c r="CG392" i="6"/>
  <c r="CF392" i="6"/>
  <c r="CE392" i="6"/>
  <c r="CD392" i="6"/>
  <c r="CC392" i="6"/>
  <c r="F392" i="6"/>
  <c r="E392" i="6"/>
  <c r="D392" i="6"/>
  <c r="C392" i="6"/>
  <c r="CO392" i="6" s="1"/>
  <c r="CK391" i="6"/>
  <c r="CJ391" i="6"/>
  <c r="CI391" i="6"/>
  <c r="CH391" i="6"/>
  <c r="CG391" i="6"/>
  <c r="CF391" i="6"/>
  <c r="CE391" i="6"/>
  <c r="CD391" i="6"/>
  <c r="CC391" i="6"/>
  <c r="F391" i="6"/>
  <c r="E391" i="6"/>
  <c r="D391" i="6"/>
  <c r="C391" i="6"/>
  <c r="CO391" i="6" s="1"/>
  <c r="CK390" i="6"/>
  <c r="CJ390" i="6"/>
  <c r="CI390" i="6"/>
  <c r="CH390" i="6"/>
  <c r="CG390" i="6"/>
  <c r="CF390" i="6"/>
  <c r="CE390" i="6"/>
  <c r="CD390" i="6"/>
  <c r="CC390" i="6"/>
  <c r="F390" i="6"/>
  <c r="E390" i="6"/>
  <c r="D390" i="6"/>
  <c r="C390" i="6"/>
  <c r="CO390" i="6" s="1"/>
  <c r="CK389" i="6"/>
  <c r="CJ389" i="6"/>
  <c r="CI389" i="6"/>
  <c r="CH389" i="6"/>
  <c r="CG389" i="6"/>
  <c r="CF389" i="6"/>
  <c r="CE389" i="6"/>
  <c r="CD389" i="6"/>
  <c r="CC389" i="6"/>
  <c r="F389" i="6"/>
  <c r="E389" i="6"/>
  <c r="D389" i="6"/>
  <c r="C389" i="6"/>
  <c r="CO389" i="6" s="1"/>
  <c r="CK388" i="6"/>
  <c r="CJ388" i="6"/>
  <c r="CI388" i="6"/>
  <c r="CH388" i="6"/>
  <c r="CG388" i="6"/>
  <c r="CF388" i="6"/>
  <c r="CE388" i="6"/>
  <c r="CD388" i="6"/>
  <c r="CC388" i="6"/>
  <c r="F388" i="6"/>
  <c r="E388" i="6"/>
  <c r="D388" i="6"/>
  <c r="C388" i="6"/>
  <c r="CM388" i="6" s="1"/>
  <c r="CK387" i="6"/>
  <c r="CJ387" i="6"/>
  <c r="CI387" i="6"/>
  <c r="CH387" i="6"/>
  <c r="CG387" i="6"/>
  <c r="CF387" i="6"/>
  <c r="CE387" i="6"/>
  <c r="CD387" i="6"/>
  <c r="CC387" i="6"/>
  <c r="F387" i="6"/>
  <c r="E387" i="6"/>
  <c r="D387" i="6"/>
  <c r="C387" i="6"/>
  <c r="CM387" i="6" s="1"/>
  <c r="CK386" i="6"/>
  <c r="CJ386" i="6"/>
  <c r="CI386" i="6"/>
  <c r="CH386" i="6"/>
  <c r="CG386" i="6"/>
  <c r="CF386" i="6"/>
  <c r="CE386" i="6"/>
  <c r="CD386" i="6"/>
  <c r="CC386" i="6"/>
  <c r="F386" i="6"/>
  <c r="E386" i="6"/>
  <c r="D386" i="6"/>
  <c r="C386" i="6"/>
  <c r="CM386" i="6" s="1"/>
  <c r="CK385" i="6"/>
  <c r="CJ385" i="6"/>
  <c r="CI385" i="6"/>
  <c r="CH385" i="6"/>
  <c r="CG385" i="6"/>
  <c r="CF385" i="6"/>
  <c r="CE385" i="6"/>
  <c r="CD385" i="6"/>
  <c r="CC385" i="6"/>
  <c r="F385" i="6"/>
  <c r="E385" i="6"/>
  <c r="D385" i="6"/>
  <c r="C385" i="6"/>
  <c r="CM385" i="6" s="1"/>
  <c r="CK384" i="6"/>
  <c r="CJ384" i="6"/>
  <c r="CI384" i="6"/>
  <c r="CH384" i="6"/>
  <c r="CG384" i="6"/>
  <c r="CF384" i="6"/>
  <c r="CE384" i="6"/>
  <c r="CD384" i="6"/>
  <c r="CC384" i="6"/>
  <c r="F384" i="6"/>
  <c r="E384" i="6"/>
  <c r="D384" i="6"/>
  <c r="C384" i="6"/>
  <c r="CM384" i="6" s="1"/>
  <c r="CK383" i="6"/>
  <c r="CJ383" i="6"/>
  <c r="CI383" i="6"/>
  <c r="CH383" i="6"/>
  <c r="CG383" i="6"/>
  <c r="CF383" i="6"/>
  <c r="CE383" i="6"/>
  <c r="CD383" i="6"/>
  <c r="CC383" i="6"/>
  <c r="F383" i="6"/>
  <c r="E383" i="6"/>
  <c r="D383" i="6"/>
  <c r="C383" i="6"/>
  <c r="CM383" i="6" s="1"/>
  <c r="CK382" i="6"/>
  <c r="CJ382" i="6"/>
  <c r="CI382" i="6"/>
  <c r="CH382" i="6"/>
  <c r="CG382" i="6"/>
  <c r="CF382" i="6"/>
  <c r="CE382" i="6"/>
  <c r="CD382" i="6"/>
  <c r="CC382" i="6"/>
  <c r="F382" i="6"/>
  <c r="E382" i="6"/>
  <c r="D382" i="6"/>
  <c r="C382" i="6"/>
  <c r="CM382" i="6" s="1"/>
  <c r="CK381" i="6"/>
  <c r="CJ381" i="6"/>
  <c r="CI381" i="6"/>
  <c r="CH381" i="6"/>
  <c r="CG381" i="6"/>
  <c r="CF381" i="6"/>
  <c r="CE381" i="6"/>
  <c r="CD381" i="6"/>
  <c r="CC381" i="6"/>
  <c r="F381" i="6"/>
  <c r="E381" i="6"/>
  <c r="D381" i="6"/>
  <c r="C381" i="6"/>
  <c r="CM381" i="6" s="1"/>
  <c r="CK380" i="6"/>
  <c r="CJ380" i="6"/>
  <c r="CI380" i="6"/>
  <c r="CH380" i="6"/>
  <c r="CG380" i="6"/>
  <c r="CF380" i="6"/>
  <c r="CE380" i="6"/>
  <c r="CD380" i="6"/>
  <c r="CC380" i="6"/>
  <c r="F380" i="6"/>
  <c r="E380" i="6"/>
  <c r="D380" i="6"/>
  <c r="C380" i="6"/>
  <c r="CM380" i="6" s="1"/>
  <c r="CK379" i="6"/>
  <c r="CJ379" i="6"/>
  <c r="CI379" i="6"/>
  <c r="CH379" i="6"/>
  <c r="CG379" i="6"/>
  <c r="CF379" i="6"/>
  <c r="CE379" i="6"/>
  <c r="CD379" i="6"/>
  <c r="CC379" i="6"/>
  <c r="F379" i="6"/>
  <c r="E379" i="6"/>
  <c r="D379" i="6"/>
  <c r="C379" i="6"/>
  <c r="CK378" i="6"/>
  <c r="CJ378" i="6"/>
  <c r="CI378" i="6"/>
  <c r="CH378" i="6"/>
  <c r="CG378" i="6"/>
  <c r="CF378" i="6"/>
  <c r="CE378" i="6"/>
  <c r="CD378" i="6"/>
  <c r="CC378" i="6"/>
  <c r="F378" i="6"/>
  <c r="E378" i="6"/>
  <c r="D378" i="6"/>
  <c r="C378" i="6"/>
  <c r="CM378" i="6" s="1"/>
  <c r="CK377" i="6"/>
  <c r="CJ377" i="6"/>
  <c r="CI377" i="6"/>
  <c r="CH377" i="6"/>
  <c r="CG377" i="6"/>
  <c r="CF377" i="6"/>
  <c r="CE377" i="6"/>
  <c r="CD377" i="6"/>
  <c r="CC377" i="6"/>
  <c r="F377" i="6"/>
  <c r="E377" i="6"/>
  <c r="D377" i="6"/>
  <c r="C377" i="6"/>
  <c r="CM377" i="6" s="1"/>
  <c r="CK376" i="6"/>
  <c r="CJ376" i="6"/>
  <c r="CI376" i="6"/>
  <c r="CH376" i="6"/>
  <c r="CG376" i="6"/>
  <c r="CF376" i="6"/>
  <c r="CE376" i="6"/>
  <c r="CD376" i="6"/>
  <c r="CC376" i="6"/>
  <c r="F376" i="6"/>
  <c r="E376" i="6"/>
  <c r="D376" i="6"/>
  <c r="C376" i="6"/>
  <c r="CK375" i="6"/>
  <c r="CJ375" i="6"/>
  <c r="CI375" i="6"/>
  <c r="CH375" i="6"/>
  <c r="CG375" i="6"/>
  <c r="CF375" i="6"/>
  <c r="CE375" i="6"/>
  <c r="CD375" i="6"/>
  <c r="CC375" i="6"/>
  <c r="F375" i="6"/>
  <c r="E375" i="6"/>
  <c r="D375" i="6"/>
  <c r="C375" i="6"/>
  <c r="CK374" i="6"/>
  <c r="CJ374" i="6"/>
  <c r="CI374" i="6"/>
  <c r="CH374" i="6"/>
  <c r="CG374" i="6"/>
  <c r="CF374" i="6"/>
  <c r="CE374" i="6"/>
  <c r="CD374" i="6"/>
  <c r="CC374" i="6"/>
  <c r="F374" i="6"/>
  <c r="E374" i="6"/>
  <c r="D374" i="6"/>
  <c r="C374" i="6"/>
  <c r="CK373" i="6"/>
  <c r="CJ373" i="6"/>
  <c r="CI373" i="6"/>
  <c r="CH373" i="6"/>
  <c r="CG373" i="6"/>
  <c r="CF373" i="6"/>
  <c r="CE373" i="6"/>
  <c r="CD373" i="6"/>
  <c r="CC373" i="6"/>
  <c r="F373" i="6"/>
  <c r="E373" i="6"/>
  <c r="D373" i="6"/>
  <c r="C373" i="6"/>
  <c r="CK372" i="6"/>
  <c r="CJ372" i="6"/>
  <c r="CI372" i="6"/>
  <c r="CH372" i="6"/>
  <c r="CG372" i="6"/>
  <c r="CF372" i="6"/>
  <c r="CE372" i="6"/>
  <c r="CD372" i="6"/>
  <c r="CC372" i="6"/>
  <c r="F372" i="6"/>
  <c r="E372" i="6"/>
  <c r="D372" i="6"/>
  <c r="C372" i="6"/>
  <c r="CK371" i="6"/>
  <c r="CJ371" i="6"/>
  <c r="CI371" i="6"/>
  <c r="CH371" i="6"/>
  <c r="CG371" i="6"/>
  <c r="CF371" i="6"/>
  <c r="CE371" i="6"/>
  <c r="CD371" i="6"/>
  <c r="CC371" i="6"/>
  <c r="F371" i="6"/>
  <c r="E371" i="6"/>
  <c r="D371" i="6"/>
  <c r="C371" i="6"/>
  <c r="CK370" i="6"/>
  <c r="CJ370" i="6"/>
  <c r="CI370" i="6"/>
  <c r="CH370" i="6"/>
  <c r="CG370" i="6"/>
  <c r="CF370" i="6"/>
  <c r="CE370" i="6"/>
  <c r="CD370" i="6"/>
  <c r="CC370" i="6"/>
  <c r="F370" i="6"/>
  <c r="E370" i="6"/>
  <c r="D370" i="6"/>
  <c r="C370" i="6"/>
  <c r="CK369" i="6"/>
  <c r="CJ369" i="6"/>
  <c r="CI369" i="6"/>
  <c r="CH369" i="6"/>
  <c r="CG369" i="6"/>
  <c r="CF369" i="6"/>
  <c r="CE369" i="6"/>
  <c r="CD369" i="6"/>
  <c r="CC369" i="6"/>
  <c r="F369" i="6"/>
  <c r="E369" i="6"/>
  <c r="D369" i="6"/>
  <c r="C369" i="6"/>
  <c r="CK368" i="6"/>
  <c r="CJ368" i="6"/>
  <c r="CI368" i="6"/>
  <c r="CH368" i="6"/>
  <c r="CG368" i="6"/>
  <c r="CF368" i="6"/>
  <c r="CE368" i="6"/>
  <c r="CD368" i="6"/>
  <c r="CC368" i="6"/>
  <c r="F368" i="6"/>
  <c r="E368" i="6"/>
  <c r="D368" i="6"/>
  <c r="C368" i="6"/>
  <c r="CK367" i="6"/>
  <c r="CJ367" i="6"/>
  <c r="CI367" i="6"/>
  <c r="CH367" i="6"/>
  <c r="CG367" i="6"/>
  <c r="CF367" i="6"/>
  <c r="CE367" i="6"/>
  <c r="CD367" i="6"/>
  <c r="CC367" i="6"/>
  <c r="F367" i="6"/>
  <c r="E367" i="6"/>
  <c r="D367" i="6"/>
  <c r="C367" i="6"/>
  <c r="CK366" i="6"/>
  <c r="CJ366" i="6"/>
  <c r="CI366" i="6"/>
  <c r="CH366" i="6"/>
  <c r="CG366" i="6"/>
  <c r="CF366" i="6"/>
  <c r="CE366" i="6"/>
  <c r="CD366" i="6"/>
  <c r="CC366" i="6"/>
  <c r="F366" i="6"/>
  <c r="E366" i="6"/>
  <c r="D366" i="6"/>
  <c r="C366" i="6"/>
  <c r="CK365" i="6"/>
  <c r="CJ365" i="6"/>
  <c r="CI365" i="6"/>
  <c r="CH365" i="6"/>
  <c r="CG365" i="6"/>
  <c r="CF365" i="6"/>
  <c r="CE365" i="6"/>
  <c r="CD365" i="6"/>
  <c r="CC365" i="6"/>
  <c r="F365" i="6"/>
  <c r="E365" i="6"/>
  <c r="D365" i="6"/>
  <c r="C365" i="6"/>
  <c r="CK364" i="6"/>
  <c r="CJ364" i="6"/>
  <c r="CI364" i="6"/>
  <c r="CH364" i="6"/>
  <c r="CG364" i="6"/>
  <c r="CF364" i="6"/>
  <c r="CE364" i="6"/>
  <c r="CD364" i="6"/>
  <c r="CC364" i="6"/>
  <c r="F364" i="6"/>
  <c r="E364" i="6"/>
  <c r="D364" i="6"/>
  <c r="C364" i="6"/>
  <c r="CK363" i="6"/>
  <c r="CJ363" i="6"/>
  <c r="CI363" i="6"/>
  <c r="CH363" i="6"/>
  <c r="CG363" i="6"/>
  <c r="CF363" i="6"/>
  <c r="CE363" i="6"/>
  <c r="CD363" i="6"/>
  <c r="CC363" i="6"/>
  <c r="F363" i="6"/>
  <c r="E363" i="6"/>
  <c r="D363" i="6"/>
  <c r="C363" i="6"/>
  <c r="CK362" i="6"/>
  <c r="CJ362" i="6"/>
  <c r="CI362" i="6"/>
  <c r="CH362" i="6"/>
  <c r="CG362" i="6"/>
  <c r="CF362" i="6"/>
  <c r="CE362" i="6"/>
  <c r="CD362" i="6"/>
  <c r="CC362" i="6"/>
  <c r="F362" i="6"/>
  <c r="E362" i="6"/>
  <c r="D362" i="6"/>
  <c r="C362" i="6"/>
  <c r="CK361" i="6"/>
  <c r="CJ361" i="6"/>
  <c r="CI361" i="6"/>
  <c r="CH361" i="6"/>
  <c r="CG361" i="6"/>
  <c r="CF361" i="6"/>
  <c r="CE361" i="6"/>
  <c r="CD361" i="6"/>
  <c r="CC361" i="6"/>
  <c r="F361" i="6"/>
  <c r="E361" i="6"/>
  <c r="D361" i="6"/>
  <c r="C361" i="6"/>
  <c r="CK360" i="6"/>
  <c r="CJ360" i="6"/>
  <c r="CI360" i="6"/>
  <c r="CH360" i="6"/>
  <c r="CG360" i="6"/>
  <c r="CF360" i="6"/>
  <c r="CE360" i="6"/>
  <c r="CD360" i="6"/>
  <c r="CC360" i="6"/>
  <c r="F360" i="6"/>
  <c r="E360" i="6"/>
  <c r="D360" i="6"/>
  <c r="C360" i="6"/>
  <c r="CK359" i="6"/>
  <c r="CJ359" i="6"/>
  <c r="CI359" i="6"/>
  <c r="CH359" i="6"/>
  <c r="CG359" i="6"/>
  <c r="CF359" i="6"/>
  <c r="CE359" i="6"/>
  <c r="CD359" i="6"/>
  <c r="CC359" i="6"/>
  <c r="F359" i="6"/>
  <c r="E359" i="6"/>
  <c r="D359" i="6"/>
  <c r="C359" i="6"/>
  <c r="CK358" i="6"/>
  <c r="CJ358" i="6"/>
  <c r="CI358" i="6"/>
  <c r="CH358" i="6"/>
  <c r="CG358" i="6"/>
  <c r="CF358" i="6"/>
  <c r="CE358" i="6"/>
  <c r="CD358" i="6"/>
  <c r="CC358" i="6"/>
  <c r="F358" i="6"/>
  <c r="E358" i="6"/>
  <c r="D358" i="6"/>
  <c r="C358" i="6"/>
  <c r="CK357" i="6"/>
  <c r="CJ357" i="6"/>
  <c r="CI357" i="6"/>
  <c r="CH357" i="6"/>
  <c r="CG357" i="6"/>
  <c r="CF357" i="6"/>
  <c r="CE357" i="6"/>
  <c r="CD357" i="6"/>
  <c r="CC357" i="6"/>
  <c r="F357" i="6"/>
  <c r="E357" i="6"/>
  <c r="D357" i="6"/>
  <c r="C357" i="6"/>
  <c r="CK356" i="6"/>
  <c r="CJ356" i="6"/>
  <c r="CI356" i="6"/>
  <c r="CH356" i="6"/>
  <c r="CG356" i="6"/>
  <c r="CF356" i="6"/>
  <c r="CE356" i="6"/>
  <c r="CD356" i="6"/>
  <c r="CC356" i="6"/>
  <c r="F356" i="6"/>
  <c r="E356" i="6"/>
  <c r="D356" i="6"/>
  <c r="C356" i="6"/>
  <c r="CK355" i="6"/>
  <c r="CJ355" i="6"/>
  <c r="CI355" i="6"/>
  <c r="CH355" i="6"/>
  <c r="CG355" i="6"/>
  <c r="CF355" i="6"/>
  <c r="CE355" i="6"/>
  <c r="CD355" i="6"/>
  <c r="CC355" i="6"/>
  <c r="F355" i="6"/>
  <c r="E355" i="6"/>
  <c r="D355" i="6"/>
  <c r="C355" i="6"/>
  <c r="CK354" i="6"/>
  <c r="CJ354" i="6"/>
  <c r="CI354" i="6"/>
  <c r="CH354" i="6"/>
  <c r="CG354" i="6"/>
  <c r="CF354" i="6"/>
  <c r="CE354" i="6"/>
  <c r="CD354" i="6"/>
  <c r="CC354" i="6"/>
  <c r="F354" i="6"/>
  <c r="E354" i="6"/>
  <c r="D354" i="6"/>
  <c r="C354" i="6"/>
  <c r="CK353" i="6"/>
  <c r="CJ353" i="6"/>
  <c r="CI353" i="6"/>
  <c r="CH353" i="6"/>
  <c r="CG353" i="6"/>
  <c r="CF353" i="6"/>
  <c r="CE353" i="6"/>
  <c r="CD353" i="6"/>
  <c r="CC353" i="6"/>
  <c r="F353" i="6"/>
  <c r="E353" i="6"/>
  <c r="D353" i="6"/>
  <c r="C353" i="6"/>
  <c r="CK352" i="6"/>
  <c r="CJ352" i="6"/>
  <c r="CI352" i="6"/>
  <c r="CH352" i="6"/>
  <c r="CG352" i="6"/>
  <c r="CF352" i="6"/>
  <c r="CE352" i="6"/>
  <c r="CD352" i="6"/>
  <c r="CC352" i="6"/>
  <c r="F352" i="6"/>
  <c r="E352" i="6"/>
  <c r="D352" i="6"/>
  <c r="C352" i="6"/>
  <c r="CK351" i="6"/>
  <c r="CJ351" i="6"/>
  <c r="CI351" i="6"/>
  <c r="CH351" i="6"/>
  <c r="CG351" i="6"/>
  <c r="CF351" i="6"/>
  <c r="CE351" i="6"/>
  <c r="CD351" i="6"/>
  <c r="CC351" i="6"/>
  <c r="F351" i="6"/>
  <c r="E351" i="6"/>
  <c r="D351" i="6"/>
  <c r="C351" i="6"/>
  <c r="CK350" i="6"/>
  <c r="CJ350" i="6"/>
  <c r="CI350" i="6"/>
  <c r="CH350" i="6"/>
  <c r="CG350" i="6"/>
  <c r="CF350" i="6"/>
  <c r="CE350" i="6"/>
  <c r="CD350" i="6"/>
  <c r="CC350" i="6"/>
  <c r="F350" i="6"/>
  <c r="E350" i="6"/>
  <c r="D350" i="6"/>
  <c r="C350" i="6"/>
  <c r="CK349" i="6"/>
  <c r="CJ349" i="6"/>
  <c r="CI349" i="6"/>
  <c r="CH349" i="6"/>
  <c r="CG349" i="6"/>
  <c r="CF349" i="6"/>
  <c r="CE349" i="6"/>
  <c r="CD349" i="6"/>
  <c r="CC349" i="6"/>
  <c r="F349" i="6"/>
  <c r="E349" i="6"/>
  <c r="D349" i="6"/>
  <c r="C349" i="6"/>
  <c r="CK348" i="6"/>
  <c r="CJ348" i="6"/>
  <c r="CI348" i="6"/>
  <c r="CH348" i="6"/>
  <c r="CG348" i="6"/>
  <c r="CF348" i="6"/>
  <c r="CE348" i="6"/>
  <c r="CD348" i="6"/>
  <c r="CC348" i="6"/>
  <c r="F348" i="6"/>
  <c r="E348" i="6"/>
  <c r="D348" i="6"/>
  <c r="C348" i="6"/>
  <c r="CK347" i="6"/>
  <c r="CJ347" i="6"/>
  <c r="CI347" i="6"/>
  <c r="CH347" i="6"/>
  <c r="CG347" i="6"/>
  <c r="CF347" i="6"/>
  <c r="CE347" i="6"/>
  <c r="CD347" i="6"/>
  <c r="CC347" i="6"/>
  <c r="F347" i="6"/>
  <c r="E347" i="6"/>
  <c r="D347" i="6"/>
  <c r="C347" i="6"/>
  <c r="CK346" i="6"/>
  <c r="CJ346" i="6"/>
  <c r="CI346" i="6"/>
  <c r="CH346" i="6"/>
  <c r="CG346" i="6"/>
  <c r="CF346" i="6"/>
  <c r="CE346" i="6"/>
  <c r="CD346" i="6"/>
  <c r="CC346" i="6"/>
  <c r="F346" i="6"/>
  <c r="E346" i="6"/>
  <c r="D346" i="6"/>
  <c r="C346" i="6"/>
  <c r="CK345" i="6"/>
  <c r="CJ345" i="6"/>
  <c r="CI345" i="6"/>
  <c r="CH345" i="6"/>
  <c r="CG345" i="6"/>
  <c r="CF345" i="6"/>
  <c r="CE345" i="6"/>
  <c r="CD345" i="6"/>
  <c r="CC345" i="6"/>
  <c r="F345" i="6"/>
  <c r="E345" i="6"/>
  <c r="D345" i="6"/>
  <c r="C345" i="6"/>
  <c r="CK344" i="6"/>
  <c r="CJ344" i="6"/>
  <c r="CI344" i="6"/>
  <c r="CH344" i="6"/>
  <c r="CG344" i="6"/>
  <c r="CF344" i="6"/>
  <c r="CE344" i="6"/>
  <c r="CD344" i="6"/>
  <c r="CC344" i="6"/>
  <c r="F344" i="6"/>
  <c r="E344" i="6"/>
  <c r="D344" i="6"/>
  <c r="C344" i="6"/>
  <c r="CK343" i="6"/>
  <c r="CJ343" i="6"/>
  <c r="CI343" i="6"/>
  <c r="CH343" i="6"/>
  <c r="CG343" i="6"/>
  <c r="CF343" i="6"/>
  <c r="CE343" i="6"/>
  <c r="CD343" i="6"/>
  <c r="CC343" i="6"/>
  <c r="F343" i="6"/>
  <c r="E343" i="6"/>
  <c r="D343" i="6"/>
  <c r="C343" i="6"/>
  <c r="CK342" i="6"/>
  <c r="CJ342" i="6"/>
  <c r="CI342" i="6"/>
  <c r="CH342" i="6"/>
  <c r="CG342" i="6"/>
  <c r="CF342" i="6"/>
  <c r="CE342" i="6"/>
  <c r="CD342" i="6"/>
  <c r="CC342" i="6"/>
  <c r="F342" i="6"/>
  <c r="E342" i="6"/>
  <c r="D342" i="6"/>
  <c r="C342" i="6"/>
  <c r="CK341" i="6"/>
  <c r="CJ341" i="6"/>
  <c r="CI341" i="6"/>
  <c r="CH341" i="6"/>
  <c r="CG341" i="6"/>
  <c r="CF341" i="6"/>
  <c r="CE341" i="6"/>
  <c r="CD341" i="6"/>
  <c r="CC341" i="6"/>
  <c r="F341" i="6"/>
  <c r="E341" i="6"/>
  <c r="D341" i="6"/>
  <c r="C341" i="6"/>
  <c r="CK340" i="6"/>
  <c r="CJ340" i="6"/>
  <c r="CI340" i="6"/>
  <c r="CH340" i="6"/>
  <c r="CG340" i="6"/>
  <c r="CF340" i="6"/>
  <c r="CE340" i="6"/>
  <c r="CD340" i="6"/>
  <c r="CC340" i="6"/>
  <c r="F340" i="6"/>
  <c r="E340" i="6"/>
  <c r="D340" i="6"/>
  <c r="C340" i="6"/>
  <c r="CK339" i="6"/>
  <c r="CJ339" i="6"/>
  <c r="CI339" i="6"/>
  <c r="CH339" i="6"/>
  <c r="CG339" i="6"/>
  <c r="CF339" i="6"/>
  <c r="CE339" i="6"/>
  <c r="CD339" i="6"/>
  <c r="CC339" i="6"/>
  <c r="F339" i="6"/>
  <c r="E339" i="6"/>
  <c r="D339" i="6"/>
  <c r="C339" i="6"/>
  <c r="CK338" i="6"/>
  <c r="CJ338" i="6"/>
  <c r="CI338" i="6"/>
  <c r="CH338" i="6"/>
  <c r="CG338" i="6"/>
  <c r="CF338" i="6"/>
  <c r="CE338" i="6"/>
  <c r="CD338" i="6"/>
  <c r="CC338" i="6"/>
  <c r="F338" i="6"/>
  <c r="E338" i="6"/>
  <c r="D338" i="6"/>
  <c r="C338" i="6"/>
  <c r="CK337" i="6"/>
  <c r="CJ337" i="6"/>
  <c r="CI337" i="6"/>
  <c r="CH337" i="6"/>
  <c r="CG337" i="6"/>
  <c r="CF337" i="6"/>
  <c r="CE337" i="6"/>
  <c r="CD337" i="6"/>
  <c r="CC337" i="6"/>
  <c r="F337" i="6"/>
  <c r="E337" i="6"/>
  <c r="D337" i="6"/>
  <c r="C337" i="6"/>
  <c r="CK336" i="6"/>
  <c r="CJ336" i="6"/>
  <c r="CI336" i="6"/>
  <c r="CH336" i="6"/>
  <c r="CG336" i="6"/>
  <c r="CF336" i="6"/>
  <c r="CE336" i="6"/>
  <c r="CD336" i="6"/>
  <c r="CC336" i="6"/>
  <c r="F336" i="6"/>
  <c r="E336" i="6"/>
  <c r="D336" i="6"/>
  <c r="C336" i="6"/>
  <c r="CK335" i="6"/>
  <c r="CJ335" i="6"/>
  <c r="CI335" i="6"/>
  <c r="CH335" i="6"/>
  <c r="CG335" i="6"/>
  <c r="CF335" i="6"/>
  <c r="CE335" i="6"/>
  <c r="CD335" i="6"/>
  <c r="CC335" i="6"/>
  <c r="F335" i="6"/>
  <c r="E335" i="6"/>
  <c r="D335" i="6"/>
  <c r="C335" i="6"/>
  <c r="CK334" i="6"/>
  <c r="CJ334" i="6"/>
  <c r="CI334" i="6"/>
  <c r="CH334" i="6"/>
  <c r="CG334" i="6"/>
  <c r="CF334" i="6"/>
  <c r="CE334" i="6"/>
  <c r="CD334" i="6"/>
  <c r="CC334" i="6"/>
  <c r="F334" i="6"/>
  <c r="E334" i="6"/>
  <c r="D334" i="6"/>
  <c r="C334" i="6"/>
  <c r="CL333" i="6"/>
  <c r="CK333" i="6"/>
  <c r="CJ333" i="6"/>
  <c r="CI333" i="6"/>
  <c r="CH333" i="6"/>
  <c r="CG333" i="6"/>
  <c r="CF333" i="6"/>
  <c r="CE333" i="6"/>
  <c r="CD333" i="6"/>
  <c r="CC333" i="6"/>
  <c r="F333" i="6"/>
  <c r="E333" i="6"/>
  <c r="D333" i="6"/>
  <c r="C333" i="6"/>
  <c r="CM333" i="6" s="1"/>
  <c r="CK332" i="6"/>
  <c r="CJ332" i="6"/>
  <c r="CI332" i="6"/>
  <c r="CH332" i="6"/>
  <c r="CG332" i="6"/>
  <c r="CF332" i="6"/>
  <c r="CE332" i="6"/>
  <c r="CD332" i="6"/>
  <c r="CC332" i="6"/>
  <c r="F332" i="6"/>
  <c r="E332" i="6"/>
  <c r="D332" i="6"/>
  <c r="C332" i="6"/>
  <c r="CK331" i="6"/>
  <c r="CJ331" i="6"/>
  <c r="CI331" i="6"/>
  <c r="CH331" i="6"/>
  <c r="CG331" i="6"/>
  <c r="CF331" i="6"/>
  <c r="CE331" i="6"/>
  <c r="CD331" i="6"/>
  <c r="CC331" i="6"/>
  <c r="F331" i="6"/>
  <c r="E331" i="6"/>
  <c r="D331" i="6"/>
  <c r="C331" i="6"/>
  <c r="CK330" i="6"/>
  <c r="CJ330" i="6"/>
  <c r="CI330" i="6"/>
  <c r="CH330" i="6"/>
  <c r="CG330" i="6"/>
  <c r="CF330" i="6"/>
  <c r="CE330" i="6"/>
  <c r="CD330" i="6"/>
  <c r="CC330" i="6"/>
  <c r="F330" i="6"/>
  <c r="E330" i="6"/>
  <c r="D330" i="6"/>
  <c r="C330" i="6"/>
  <c r="CK329" i="6"/>
  <c r="CJ329" i="6"/>
  <c r="CI329" i="6"/>
  <c r="CH329" i="6"/>
  <c r="CG329" i="6"/>
  <c r="CF329" i="6"/>
  <c r="CE329" i="6"/>
  <c r="CD329" i="6"/>
  <c r="CC329" i="6"/>
  <c r="F329" i="6"/>
  <c r="E329" i="6"/>
  <c r="D329" i="6"/>
  <c r="C329" i="6"/>
  <c r="CM329" i="6" s="1"/>
  <c r="CK328" i="6"/>
  <c r="CJ328" i="6"/>
  <c r="CI328" i="6"/>
  <c r="CH328" i="6"/>
  <c r="CG328" i="6"/>
  <c r="CF328" i="6"/>
  <c r="CE328" i="6"/>
  <c r="CD328" i="6"/>
  <c r="CC328" i="6"/>
  <c r="F328" i="6"/>
  <c r="E328" i="6"/>
  <c r="D328" i="6"/>
  <c r="C328" i="6"/>
  <c r="CK327" i="6"/>
  <c r="CJ327" i="6"/>
  <c r="CI327" i="6"/>
  <c r="CH327" i="6"/>
  <c r="CG327" i="6"/>
  <c r="CF327" i="6"/>
  <c r="CE327" i="6"/>
  <c r="CD327" i="6"/>
  <c r="CC327" i="6"/>
  <c r="F327" i="6"/>
  <c r="E327" i="6"/>
  <c r="D327" i="6"/>
  <c r="C327" i="6"/>
  <c r="CK326" i="6"/>
  <c r="CJ326" i="6"/>
  <c r="CI326" i="6"/>
  <c r="CH326" i="6"/>
  <c r="CG326" i="6"/>
  <c r="CF326" i="6"/>
  <c r="CE326" i="6"/>
  <c r="CD326" i="6"/>
  <c r="CC326" i="6"/>
  <c r="F326" i="6"/>
  <c r="E326" i="6"/>
  <c r="D326" i="6"/>
  <c r="C326" i="6"/>
  <c r="CK325" i="6"/>
  <c r="CJ325" i="6"/>
  <c r="CI325" i="6"/>
  <c r="CH325" i="6"/>
  <c r="CG325" i="6"/>
  <c r="CF325" i="6"/>
  <c r="CE325" i="6"/>
  <c r="CD325" i="6"/>
  <c r="CC325" i="6"/>
  <c r="F325" i="6"/>
  <c r="E325" i="6"/>
  <c r="D325" i="6"/>
  <c r="C325" i="6"/>
  <c r="CM325" i="6" s="1"/>
  <c r="CK324" i="6"/>
  <c r="CJ324" i="6"/>
  <c r="CI324" i="6"/>
  <c r="CH324" i="6"/>
  <c r="CG324" i="6"/>
  <c r="CF324" i="6"/>
  <c r="CE324" i="6"/>
  <c r="CD324" i="6"/>
  <c r="CC324" i="6"/>
  <c r="F324" i="6"/>
  <c r="E324" i="6"/>
  <c r="D324" i="6"/>
  <c r="C324" i="6"/>
  <c r="CK323" i="6"/>
  <c r="CJ323" i="6"/>
  <c r="CI323" i="6"/>
  <c r="CH323" i="6"/>
  <c r="CG323" i="6"/>
  <c r="CF323" i="6"/>
  <c r="CE323" i="6"/>
  <c r="CD323" i="6"/>
  <c r="CC323" i="6"/>
  <c r="F323" i="6"/>
  <c r="E323" i="6"/>
  <c r="D323" i="6"/>
  <c r="C323" i="6"/>
  <c r="CK322" i="6"/>
  <c r="CJ322" i="6"/>
  <c r="CI322" i="6"/>
  <c r="CH322" i="6"/>
  <c r="CG322" i="6"/>
  <c r="CF322" i="6"/>
  <c r="CE322" i="6"/>
  <c r="CD322" i="6"/>
  <c r="CC322" i="6"/>
  <c r="F322" i="6"/>
  <c r="E322" i="6"/>
  <c r="D322" i="6"/>
  <c r="C322" i="6"/>
  <c r="CK321" i="6"/>
  <c r="CJ321" i="6"/>
  <c r="CI321" i="6"/>
  <c r="CH321" i="6"/>
  <c r="CG321" i="6"/>
  <c r="CF321" i="6"/>
  <c r="CE321" i="6"/>
  <c r="CD321" i="6"/>
  <c r="CC321" i="6"/>
  <c r="F321" i="6"/>
  <c r="E321" i="6"/>
  <c r="D321" i="6"/>
  <c r="C321" i="6"/>
  <c r="CM321" i="6" s="1"/>
  <c r="CK320" i="6"/>
  <c r="CJ320" i="6"/>
  <c r="CI320" i="6"/>
  <c r="CH320" i="6"/>
  <c r="CG320" i="6"/>
  <c r="CF320" i="6"/>
  <c r="CE320" i="6"/>
  <c r="CD320" i="6"/>
  <c r="CC320" i="6"/>
  <c r="F320" i="6"/>
  <c r="E320" i="6"/>
  <c r="D320" i="6"/>
  <c r="C320" i="6"/>
  <c r="CK319" i="6"/>
  <c r="CJ319" i="6"/>
  <c r="CI319" i="6"/>
  <c r="CH319" i="6"/>
  <c r="CG319" i="6"/>
  <c r="CF319" i="6"/>
  <c r="CE319" i="6"/>
  <c r="CD319" i="6"/>
  <c r="CC319" i="6"/>
  <c r="F319" i="6"/>
  <c r="E319" i="6"/>
  <c r="D319" i="6"/>
  <c r="C319" i="6"/>
  <c r="CK318" i="6"/>
  <c r="CJ318" i="6"/>
  <c r="CI318" i="6"/>
  <c r="CH318" i="6"/>
  <c r="CG318" i="6"/>
  <c r="CF318" i="6"/>
  <c r="CE318" i="6"/>
  <c r="CD318" i="6"/>
  <c r="CC318" i="6"/>
  <c r="F318" i="6"/>
  <c r="E318" i="6"/>
  <c r="D318" i="6"/>
  <c r="C318" i="6"/>
  <c r="CL317" i="6"/>
  <c r="CK317" i="6"/>
  <c r="CJ317" i="6"/>
  <c r="CI317" i="6"/>
  <c r="CH317" i="6"/>
  <c r="CG317" i="6"/>
  <c r="CF317" i="6"/>
  <c r="CE317" i="6"/>
  <c r="CD317" i="6"/>
  <c r="CC317" i="6"/>
  <c r="F317" i="6"/>
  <c r="E317" i="6"/>
  <c r="D317" i="6"/>
  <c r="C317" i="6"/>
  <c r="CM317" i="6" s="1"/>
  <c r="CK316" i="6"/>
  <c r="CJ316" i="6"/>
  <c r="CI316" i="6"/>
  <c r="CH316" i="6"/>
  <c r="CG316" i="6"/>
  <c r="CF316" i="6"/>
  <c r="CE316" i="6"/>
  <c r="CD316" i="6"/>
  <c r="CC316" i="6"/>
  <c r="F316" i="6"/>
  <c r="E316" i="6"/>
  <c r="D316" i="6"/>
  <c r="C316" i="6"/>
  <c r="CK315" i="6"/>
  <c r="CJ315" i="6"/>
  <c r="CI315" i="6"/>
  <c r="CH315" i="6"/>
  <c r="CG315" i="6"/>
  <c r="CF315" i="6"/>
  <c r="CE315" i="6"/>
  <c r="CD315" i="6"/>
  <c r="CC315" i="6"/>
  <c r="F315" i="6"/>
  <c r="E315" i="6"/>
  <c r="D315" i="6"/>
  <c r="C315" i="6"/>
  <c r="CK314" i="6"/>
  <c r="CJ314" i="6"/>
  <c r="CI314" i="6"/>
  <c r="CH314" i="6"/>
  <c r="CG314" i="6"/>
  <c r="CF314" i="6"/>
  <c r="CE314" i="6"/>
  <c r="CD314" i="6"/>
  <c r="CC314" i="6"/>
  <c r="F314" i="6"/>
  <c r="E314" i="6"/>
  <c r="D314" i="6"/>
  <c r="C314" i="6"/>
  <c r="CK313" i="6"/>
  <c r="CJ313" i="6"/>
  <c r="CI313" i="6"/>
  <c r="CH313" i="6"/>
  <c r="CG313" i="6"/>
  <c r="CF313" i="6"/>
  <c r="CE313" i="6"/>
  <c r="CD313" i="6"/>
  <c r="CC313" i="6"/>
  <c r="F313" i="6"/>
  <c r="E313" i="6"/>
  <c r="D313" i="6"/>
  <c r="C313" i="6"/>
  <c r="CM313" i="6" s="1"/>
  <c r="CK312" i="6"/>
  <c r="CJ312" i="6"/>
  <c r="CI312" i="6"/>
  <c r="CH312" i="6"/>
  <c r="CG312" i="6"/>
  <c r="CF312" i="6"/>
  <c r="CE312" i="6"/>
  <c r="CD312" i="6"/>
  <c r="CC312" i="6"/>
  <c r="F312" i="6"/>
  <c r="E312" i="6"/>
  <c r="D312" i="6"/>
  <c r="C312" i="6"/>
  <c r="CK311" i="6"/>
  <c r="CJ311" i="6"/>
  <c r="CI311" i="6"/>
  <c r="CH311" i="6"/>
  <c r="CG311" i="6"/>
  <c r="CF311" i="6"/>
  <c r="CE311" i="6"/>
  <c r="CD311" i="6"/>
  <c r="CC311" i="6"/>
  <c r="F311" i="6"/>
  <c r="E311" i="6"/>
  <c r="D311" i="6"/>
  <c r="C311" i="6"/>
  <c r="CK310" i="6"/>
  <c r="CJ310" i="6"/>
  <c r="CI310" i="6"/>
  <c r="CH310" i="6"/>
  <c r="CG310" i="6"/>
  <c r="CF310" i="6"/>
  <c r="CE310" i="6"/>
  <c r="CD310" i="6"/>
  <c r="CC310" i="6"/>
  <c r="F310" i="6"/>
  <c r="E310" i="6"/>
  <c r="D310" i="6"/>
  <c r="C310" i="6"/>
  <c r="CK309" i="6"/>
  <c r="CJ309" i="6"/>
  <c r="CI309" i="6"/>
  <c r="CH309" i="6"/>
  <c r="CG309" i="6"/>
  <c r="CF309" i="6"/>
  <c r="CE309" i="6"/>
  <c r="CD309" i="6"/>
  <c r="CC309" i="6"/>
  <c r="F309" i="6"/>
  <c r="E309" i="6"/>
  <c r="D309" i="6"/>
  <c r="C309" i="6"/>
  <c r="CM309" i="6" s="1"/>
  <c r="CK308" i="6"/>
  <c r="CJ308" i="6"/>
  <c r="CI308" i="6"/>
  <c r="CH308" i="6"/>
  <c r="CG308" i="6"/>
  <c r="CF308" i="6"/>
  <c r="CE308" i="6"/>
  <c r="CD308" i="6"/>
  <c r="CC308" i="6"/>
  <c r="F308" i="6"/>
  <c r="E308" i="6"/>
  <c r="D308" i="6"/>
  <c r="C308" i="6"/>
  <c r="CK307" i="6"/>
  <c r="CJ307" i="6"/>
  <c r="CI307" i="6"/>
  <c r="CH307" i="6"/>
  <c r="CG307" i="6"/>
  <c r="CF307" i="6"/>
  <c r="CE307" i="6"/>
  <c r="CD307" i="6"/>
  <c r="CC307" i="6"/>
  <c r="F307" i="6"/>
  <c r="E307" i="6"/>
  <c r="D307" i="6"/>
  <c r="C307" i="6"/>
  <c r="CK306" i="6"/>
  <c r="CJ306" i="6"/>
  <c r="CI306" i="6"/>
  <c r="CH306" i="6"/>
  <c r="CG306" i="6"/>
  <c r="CF306" i="6"/>
  <c r="CE306" i="6"/>
  <c r="CD306" i="6"/>
  <c r="CC306" i="6"/>
  <c r="F306" i="6"/>
  <c r="E306" i="6"/>
  <c r="D306" i="6"/>
  <c r="C306" i="6"/>
  <c r="CK305" i="6"/>
  <c r="CJ305" i="6"/>
  <c r="CI305" i="6"/>
  <c r="CH305" i="6"/>
  <c r="CG305" i="6"/>
  <c r="CF305" i="6"/>
  <c r="CE305" i="6"/>
  <c r="CD305" i="6"/>
  <c r="CC305" i="6"/>
  <c r="F305" i="6"/>
  <c r="E305" i="6"/>
  <c r="D305" i="6"/>
  <c r="C305" i="6"/>
  <c r="CM305" i="6" s="1"/>
  <c r="CK304" i="6"/>
  <c r="CJ304" i="6"/>
  <c r="CI304" i="6"/>
  <c r="CH304" i="6"/>
  <c r="CG304" i="6"/>
  <c r="CF304" i="6"/>
  <c r="CE304" i="6"/>
  <c r="CD304" i="6"/>
  <c r="CC304" i="6"/>
  <c r="F304" i="6"/>
  <c r="E304" i="6"/>
  <c r="D304" i="6"/>
  <c r="C304" i="6"/>
  <c r="CK303" i="6"/>
  <c r="CJ303" i="6"/>
  <c r="CI303" i="6"/>
  <c r="CH303" i="6"/>
  <c r="CG303" i="6"/>
  <c r="CF303" i="6"/>
  <c r="CE303" i="6"/>
  <c r="CD303" i="6"/>
  <c r="CC303" i="6"/>
  <c r="F303" i="6"/>
  <c r="E303" i="6"/>
  <c r="D303" i="6"/>
  <c r="C303" i="6"/>
  <c r="CK302" i="6"/>
  <c r="CJ302" i="6"/>
  <c r="CI302" i="6"/>
  <c r="CH302" i="6"/>
  <c r="CG302" i="6"/>
  <c r="CF302" i="6"/>
  <c r="CE302" i="6"/>
  <c r="CD302" i="6"/>
  <c r="CC302" i="6"/>
  <c r="F302" i="6"/>
  <c r="E302" i="6"/>
  <c r="D302" i="6"/>
  <c r="C302" i="6"/>
  <c r="CL301" i="6"/>
  <c r="CK301" i="6"/>
  <c r="CJ301" i="6"/>
  <c r="CI301" i="6"/>
  <c r="CH301" i="6"/>
  <c r="CG301" i="6"/>
  <c r="CF301" i="6"/>
  <c r="CE301" i="6"/>
  <c r="CD301" i="6"/>
  <c r="CC301" i="6"/>
  <c r="F301" i="6"/>
  <c r="E301" i="6"/>
  <c r="D301" i="6"/>
  <c r="C301" i="6"/>
  <c r="CM301" i="6" s="1"/>
  <c r="CK300" i="6"/>
  <c r="CJ300" i="6"/>
  <c r="CI300" i="6"/>
  <c r="CH300" i="6"/>
  <c r="CG300" i="6"/>
  <c r="CF300" i="6"/>
  <c r="CE300" i="6"/>
  <c r="CD300" i="6"/>
  <c r="CC300" i="6"/>
  <c r="F300" i="6"/>
  <c r="E300" i="6"/>
  <c r="D300" i="6"/>
  <c r="C300" i="6"/>
  <c r="CK299" i="6"/>
  <c r="CJ299" i="6"/>
  <c r="CI299" i="6"/>
  <c r="CH299" i="6"/>
  <c r="CG299" i="6"/>
  <c r="CF299" i="6"/>
  <c r="CE299" i="6"/>
  <c r="CD299" i="6"/>
  <c r="CC299" i="6"/>
  <c r="F299" i="6"/>
  <c r="E299" i="6"/>
  <c r="D299" i="6"/>
  <c r="C299" i="6"/>
  <c r="CK298" i="6"/>
  <c r="CJ298" i="6"/>
  <c r="CI298" i="6"/>
  <c r="CH298" i="6"/>
  <c r="CG298" i="6"/>
  <c r="CF298" i="6"/>
  <c r="CE298" i="6"/>
  <c r="CD298" i="6"/>
  <c r="CC298" i="6"/>
  <c r="F298" i="6"/>
  <c r="E298" i="6"/>
  <c r="D298" i="6"/>
  <c r="C298" i="6"/>
  <c r="CK297" i="6"/>
  <c r="CJ297" i="6"/>
  <c r="CI297" i="6"/>
  <c r="CH297" i="6"/>
  <c r="CG297" i="6"/>
  <c r="CF297" i="6"/>
  <c r="CE297" i="6"/>
  <c r="CD297" i="6"/>
  <c r="CC297" i="6"/>
  <c r="F297" i="6"/>
  <c r="E297" i="6"/>
  <c r="D297" i="6"/>
  <c r="C297" i="6"/>
  <c r="CM297" i="6" s="1"/>
  <c r="CK296" i="6"/>
  <c r="CJ296" i="6"/>
  <c r="CI296" i="6"/>
  <c r="CH296" i="6"/>
  <c r="CG296" i="6"/>
  <c r="CF296" i="6"/>
  <c r="CE296" i="6"/>
  <c r="CD296" i="6"/>
  <c r="CC296" i="6"/>
  <c r="F296" i="6"/>
  <c r="E296" i="6"/>
  <c r="D296" i="6"/>
  <c r="C296" i="6"/>
  <c r="CK295" i="6"/>
  <c r="CJ295" i="6"/>
  <c r="CI295" i="6"/>
  <c r="CH295" i="6"/>
  <c r="CG295" i="6"/>
  <c r="CF295" i="6"/>
  <c r="CE295" i="6"/>
  <c r="CD295" i="6"/>
  <c r="CC295" i="6"/>
  <c r="F295" i="6"/>
  <c r="E295" i="6"/>
  <c r="D295" i="6"/>
  <c r="C295" i="6"/>
  <c r="CK294" i="6"/>
  <c r="CJ294" i="6"/>
  <c r="CI294" i="6"/>
  <c r="CH294" i="6"/>
  <c r="CG294" i="6"/>
  <c r="CF294" i="6"/>
  <c r="CE294" i="6"/>
  <c r="CD294" i="6"/>
  <c r="CC294" i="6"/>
  <c r="F294" i="6"/>
  <c r="E294" i="6"/>
  <c r="D294" i="6"/>
  <c r="C294" i="6"/>
  <c r="CK293" i="6"/>
  <c r="CJ293" i="6"/>
  <c r="CI293" i="6"/>
  <c r="CH293" i="6"/>
  <c r="CG293" i="6"/>
  <c r="CF293" i="6"/>
  <c r="CE293" i="6"/>
  <c r="CD293" i="6"/>
  <c r="CC293" i="6"/>
  <c r="F293" i="6"/>
  <c r="E293" i="6"/>
  <c r="D293" i="6"/>
  <c r="C293" i="6"/>
  <c r="CM293" i="6" s="1"/>
  <c r="CK292" i="6"/>
  <c r="CJ292" i="6"/>
  <c r="CI292" i="6"/>
  <c r="CH292" i="6"/>
  <c r="CG292" i="6"/>
  <c r="CF292" i="6"/>
  <c r="CE292" i="6"/>
  <c r="CD292" i="6"/>
  <c r="CC292" i="6"/>
  <c r="F292" i="6"/>
  <c r="E292" i="6"/>
  <c r="D292" i="6"/>
  <c r="C292" i="6"/>
  <c r="CK291" i="6"/>
  <c r="CJ291" i="6"/>
  <c r="CI291" i="6"/>
  <c r="CH291" i="6"/>
  <c r="CG291" i="6"/>
  <c r="CF291" i="6"/>
  <c r="CE291" i="6"/>
  <c r="CD291" i="6"/>
  <c r="CC291" i="6"/>
  <c r="F291" i="6"/>
  <c r="E291" i="6"/>
  <c r="D291" i="6"/>
  <c r="C291" i="6"/>
  <c r="CK290" i="6"/>
  <c r="CJ290" i="6"/>
  <c r="CI290" i="6"/>
  <c r="CH290" i="6"/>
  <c r="CG290" i="6"/>
  <c r="CF290" i="6"/>
  <c r="CE290" i="6"/>
  <c r="CD290" i="6"/>
  <c r="CC290" i="6"/>
  <c r="F290" i="6"/>
  <c r="E290" i="6"/>
  <c r="D290" i="6"/>
  <c r="C290" i="6"/>
  <c r="CK289" i="6"/>
  <c r="CJ289" i="6"/>
  <c r="CI289" i="6"/>
  <c r="CH289" i="6"/>
  <c r="CG289" i="6"/>
  <c r="CF289" i="6"/>
  <c r="CE289" i="6"/>
  <c r="CD289" i="6"/>
  <c r="CC289" i="6"/>
  <c r="F289" i="6"/>
  <c r="E289" i="6"/>
  <c r="D289" i="6"/>
  <c r="C289" i="6"/>
  <c r="CM289" i="6" s="1"/>
  <c r="CK288" i="6"/>
  <c r="CJ288" i="6"/>
  <c r="CI288" i="6"/>
  <c r="CH288" i="6"/>
  <c r="CG288" i="6"/>
  <c r="CF288" i="6"/>
  <c r="CE288" i="6"/>
  <c r="CD288" i="6"/>
  <c r="CC288" i="6"/>
  <c r="F288" i="6"/>
  <c r="E288" i="6"/>
  <c r="D288" i="6"/>
  <c r="C288" i="6"/>
  <c r="CK287" i="6"/>
  <c r="CJ287" i="6"/>
  <c r="CI287" i="6"/>
  <c r="CH287" i="6"/>
  <c r="CG287" i="6"/>
  <c r="CF287" i="6"/>
  <c r="CE287" i="6"/>
  <c r="CD287" i="6"/>
  <c r="CC287" i="6"/>
  <c r="F287" i="6"/>
  <c r="E287" i="6"/>
  <c r="D287" i="6"/>
  <c r="C287" i="6"/>
  <c r="CK286" i="6"/>
  <c r="CJ286" i="6"/>
  <c r="CI286" i="6"/>
  <c r="CH286" i="6"/>
  <c r="CG286" i="6"/>
  <c r="CF286" i="6"/>
  <c r="CE286" i="6"/>
  <c r="CD286" i="6"/>
  <c r="CC286" i="6"/>
  <c r="F286" i="6"/>
  <c r="E286" i="6"/>
  <c r="D286" i="6"/>
  <c r="C286" i="6"/>
  <c r="CK285" i="6"/>
  <c r="CJ285" i="6"/>
  <c r="CI285" i="6"/>
  <c r="CH285" i="6"/>
  <c r="CG285" i="6"/>
  <c r="CF285" i="6"/>
  <c r="CE285" i="6"/>
  <c r="CD285" i="6"/>
  <c r="CC285" i="6"/>
  <c r="F285" i="6"/>
  <c r="E285" i="6"/>
  <c r="D285" i="6"/>
  <c r="C285" i="6"/>
  <c r="CM285" i="6" s="1"/>
  <c r="CK284" i="6"/>
  <c r="CJ284" i="6"/>
  <c r="CI284" i="6"/>
  <c r="CH284" i="6"/>
  <c r="CG284" i="6"/>
  <c r="CF284" i="6"/>
  <c r="CE284" i="6"/>
  <c r="CD284" i="6"/>
  <c r="CC284" i="6"/>
  <c r="F284" i="6"/>
  <c r="E284" i="6"/>
  <c r="D284" i="6"/>
  <c r="C284" i="6"/>
  <c r="CK283" i="6"/>
  <c r="CJ283" i="6"/>
  <c r="CI283" i="6"/>
  <c r="CH283" i="6"/>
  <c r="CG283" i="6"/>
  <c r="CF283" i="6"/>
  <c r="CE283" i="6"/>
  <c r="CD283" i="6"/>
  <c r="CC283" i="6"/>
  <c r="F283" i="6"/>
  <c r="E283" i="6"/>
  <c r="D283" i="6"/>
  <c r="C283" i="6"/>
  <c r="CK282" i="6"/>
  <c r="CJ282" i="6"/>
  <c r="CI282" i="6"/>
  <c r="CH282" i="6"/>
  <c r="CG282" i="6"/>
  <c r="CF282" i="6"/>
  <c r="CE282" i="6"/>
  <c r="CD282" i="6"/>
  <c r="CC282" i="6"/>
  <c r="F282" i="6"/>
  <c r="E282" i="6"/>
  <c r="D282" i="6"/>
  <c r="C282" i="6"/>
  <c r="CK281" i="6"/>
  <c r="CJ281" i="6"/>
  <c r="CI281" i="6"/>
  <c r="CH281" i="6"/>
  <c r="CG281" i="6"/>
  <c r="CF281" i="6"/>
  <c r="CE281" i="6"/>
  <c r="CD281" i="6"/>
  <c r="CC281" i="6"/>
  <c r="F281" i="6"/>
  <c r="E281" i="6"/>
  <c r="D281" i="6"/>
  <c r="C281" i="6"/>
  <c r="CM281" i="6" s="1"/>
  <c r="CK280" i="6"/>
  <c r="CJ280" i="6"/>
  <c r="CI280" i="6"/>
  <c r="CH280" i="6"/>
  <c r="CG280" i="6"/>
  <c r="CF280" i="6"/>
  <c r="CE280" i="6"/>
  <c r="CD280" i="6"/>
  <c r="CC280" i="6"/>
  <c r="F280" i="6"/>
  <c r="E280" i="6"/>
  <c r="D280" i="6"/>
  <c r="C280" i="6"/>
  <c r="CK279" i="6"/>
  <c r="CJ279" i="6"/>
  <c r="CI279" i="6"/>
  <c r="CH279" i="6"/>
  <c r="CG279" i="6"/>
  <c r="CF279" i="6"/>
  <c r="CE279" i="6"/>
  <c r="CD279" i="6"/>
  <c r="CC279" i="6"/>
  <c r="F279" i="6"/>
  <c r="E279" i="6"/>
  <c r="D279" i="6"/>
  <c r="C279" i="6"/>
  <c r="CK278" i="6"/>
  <c r="CJ278" i="6"/>
  <c r="CI278" i="6"/>
  <c r="CH278" i="6"/>
  <c r="CG278" i="6"/>
  <c r="CF278" i="6"/>
  <c r="CE278" i="6"/>
  <c r="CD278" i="6"/>
  <c r="CC278" i="6"/>
  <c r="F278" i="6"/>
  <c r="E278" i="6"/>
  <c r="D278" i="6"/>
  <c r="C278" i="6"/>
  <c r="CK277" i="6"/>
  <c r="CJ277" i="6"/>
  <c r="CI277" i="6"/>
  <c r="CH277" i="6"/>
  <c r="CG277" i="6"/>
  <c r="CF277" i="6"/>
  <c r="CE277" i="6"/>
  <c r="CD277" i="6"/>
  <c r="CC277" i="6"/>
  <c r="F277" i="6"/>
  <c r="E277" i="6"/>
  <c r="D277" i="6"/>
  <c r="C277" i="6"/>
  <c r="CM277" i="6" s="1"/>
  <c r="CK276" i="6"/>
  <c r="CJ276" i="6"/>
  <c r="CI276" i="6"/>
  <c r="CH276" i="6"/>
  <c r="CG276" i="6"/>
  <c r="CF276" i="6"/>
  <c r="CE276" i="6"/>
  <c r="CD276" i="6"/>
  <c r="CC276" i="6"/>
  <c r="F276" i="6"/>
  <c r="E276" i="6"/>
  <c r="D276" i="6"/>
  <c r="C276" i="6"/>
  <c r="CK275" i="6"/>
  <c r="CJ275" i="6"/>
  <c r="CI275" i="6"/>
  <c r="CH275" i="6"/>
  <c r="CG275" i="6"/>
  <c r="CF275" i="6"/>
  <c r="CE275" i="6"/>
  <c r="CD275" i="6"/>
  <c r="CC275" i="6"/>
  <c r="F275" i="6"/>
  <c r="E275" i="6"/>
  <c r="D275" i="6"/>
  <c r="C275" i="6"/>
  <c r="CK274" i="6"/>
  <c r="CJ274" i="6"/>
  <c r="CI274" i="6"/>
  <c r="CH274" i="6"/>
  <c r="CG274" i="6"/>
  <c r="CF274" i="6"/>
  <c r="CE274" i="6"/>
  <c r="CD274" i="6"/>
  <c r="CC274" i="6"/>
  <c r="F274" i="6"/>
  <c r="E274" i="6"/>
  <c r="D274" i="6"/>
  <c r="C274" i="6"/>
  <c r="CK273" i="6"/>
  <c r="CJ273" i="6"/>
  <c r="CI273" i="6"/>
  <c r="CH273" i="6"/>
  <c r="CG273" i="6"/>
  <c r="CF273" i="6"/>
  <c r="CE273" i="6"/>
  <c r="CD273" i="6"/>
  <c r="CC273" i="6"/>
  <c r="F273" i="6"/>
  <c r="E273" i="6"/>
  <c r="D273" i="6"/>
  <c r="C273" i="6"/>
  <c r="CM273" i="6" s="1"/>
  <c r="CK272" i="6"/>
  <c r="CJ272" i="6"/>
  <c r="CI272" i="6"/>
  <c r="CH272" i="6"/>
  <c r="CG272" i="6"/>
  <c r="CF272" i="6"/>
  <c r="CE272" i="6"/>
  <c r="CD272" i="6"/>
  <c r="CC272" i="6"/>
  <c r="F272" i="6"/>
  <c r="E272" i="6"/>
  <c r="D272" i="6"/>
  <c r="C272" i="6"/>
  <c r="CK271" i="6"/>
  <c r="CJ271" i="6"/>
  <c r="CI271" i="6"/>
  <c r="CH271" i="6"/>
  <c r="CG271" i="6"/>
  <c r="CF271" i="6"/>
  <c r="CE271" i="6"/>
  <c r="CD271" i="6"/>
  <c r="CC271" i="6"/>
  <c r="F271" i="6"/>
  <c r="E271" i="6"/>
  <c r="D271" i="6"/>
  <c r="C271" i="6"/>
  <c r="CK270" i="6"/>
  <c r="CJ270" i="6"/>
  <c r="CI270" i="6"/>
  <c r="CH270" i="6"/>
  <c r="CG270" i="6"/>
  <c r="CF270" i="6"/>
  <c r="CE270" i="6"/>
  <c r="CD270" i="6"/>
  <c r="CC270" i="6"/>
  <c r="F270" i="6"/>
  <c r="E270" i="6"/>
  <c r="D270" i="6"/>
  <c r="C270" i="6"/>
  <c r="CL269" i="6"/>
  <c r="CK269" i="6"/>
  <c r="CJ269" i="6"/>
  <c r="CI269" i="6"/>
  <c r="CH269" i="6"/>
  <c r="CG269" i="6"/>
  <c r="CF269" i="6"/>
  <c r="CE269" i="6"/>
  <c r="CD269" i="6"/>
  <c r="CC269" i="6"/>
  <c r="F269" i="6"/>
  <c r="E269" i="6"/>
  <c r="D269" i="6"/>
  <c r="C269" i="6"/>
  <c r="CM269" i="6" s="1"/>
  <c r="CK268" i="6"/>
  <c r="CJ268" i="6"/>
  <c r="CI268" i="6"/>
  <c r="CH268" i="6"/>
  <c r="CG268" i="6"/>
  <c r="CF268" i="6"/>
  <c r="CE268" i="6"/>
  <c r="CD268" i="6"/>
  <c r="CC268" i="6"/>
  <c r="F268" i="6"/>
  <c r="E268" i="6"/>
  <c r="D268" i="6"/>
  <c r="C268" i="6"/>
  <c r="CK267" i="6"/>
  <c r="CJ267" i="6"/>
  <c r="CI267" i="6"/>
  <c r="CH267" i="6"/>
  <c r="CG267" i="6"/>
  <c r="CF267" i="6"/>
  <c r="CE267" i="6"/>
  <c r="CD267" i="6"/>
  <c r="CC267" i="6"/>
  <c r="F267" i="6"/>
  <c r="E267" i="6"/>
  <c r="D267" i="6"/>
  <c r="C267" i="6"/>
  <c r="CK266" i="6"/>
  <c r="CJ266" i="6"/>
  <c r="CI266" i="6"/>
  <c r="CH266" i="6"/>
  <c r="CG266" i="6"/>
  <c r="CF266" i="6"/>
  <c r="CE266" i="6"/>
  <c r="CD266" i="6"/>
  <c r="CC266" i="6"/>
  <c r="F266" i="6"/>
  <c r="E266" i="6"/>
  <c r="D266" i="6"/>
  <c r="C266" i="6"/>
  <c r="CK265" i="6"/>
  <c r="CJ265" i="6"/>
  <c r="CI265" i="6"/>
  <c r="CH265" i="6"/>
  <c r="CG265" i="6"/>
  <c r="CF265" i="6"/>
  <c r="CE265" i="6"/>
  <c r="CD265" i="6"/>
  <c r="CC265" i="6"/>
  <c r="F265" i="6"/>
  <c r="E265" i="6"/>
  <c r="D265" i="6"/>
  <c r="C265" i="6"/>
  <c r="CM265" i="6" s="1"/>
  <c r="CK264" i="6"/>
  <c r="CJ264" i="6"/>
  <c r="CI264" i="6"/>
  <c r="CH264" i="6"/>
  <c r="CG264" i="6"/>
  <c r="CF264" i="6"/>
  <c r="CE264" i="6"/>
  <c r="CD264" i="6"/>
  <c r="CC264" i="6"/>
  <c r="F264" i="6"/>
  <c r="E264" i="6"/>
  <c r="D264" i="6"/>
  <c r="C264" i="6"/>
  <c r="CK263" i="6"/>
  <c r="CJ263" i="6"/>
  <c r="CI263" i="6"/>
  <c r="CH263" i="6"/>
  <c r="CG263" i="6"/>
  <c r="CF263" i="6"/>
  <c r="CE263" i="6"/>
  <c r="CD263" i="6"/>
  <c r="CC263" i="6"/>
  <c r="F263" i="6"/>
  <c r="E263" i="6"/>
  <c r="D263" i="6"/>
  <c r="C263" i="6"/>
  <c r="CK262" i="6"/>
  <c r="CJ262" i="6"/>
  <c r="CI262" i="6"/>
  <c r="CH262" i="6"/>
  <c r="CG262" i="6"/>
  <c r="CF262" i="6"/>
  <c r="CE262" i="6"/>
  <c r="CD262" i="6"/>
  <c r="CC262" i="6"/>
  <c r="F262" i="6"/>
  <c r="E262" i="6"/>
  <c r="D262" i="6"/>
  <c r="C262" i="6"/>
  <c r="CK261" i="6"/>
  <c r="CJ261" i="6"/>
  <c r="CI261" i="6"/>
  <c r="CH261" i="6"/>
  <c r="CG261" i="6"/>
  <c r="CF261" i="6"/>
  <c r="CE261" i="6"/>
  <c r="CD261" i="6"/>
  <c r="CC261" i="6"/>
  <c r="F261" i="6"/>
  <c r="E261" i="6"/>
  <c r="D261" i="6"/>
  <c r="C261" i="6"/>
  <c r="CM261" i="6" s="1"/>
  <c r="CK260" i="6"/>
  <c r="CJ260" i="6"/>
  <c r="CI260" i="6"/>
  <c r="CH260" i="6"/>
  <c r="CG260" i="6"/>
  <c r="CF260" i="6"/>
  <c r="CE260" i="6"/>
  <c r="CD260" i="6"/>
  <c r="CC260" i="6"/>
  <c r="F260" i="6"/>
  <c r="E260" i="6"/>
  <c r="D260" i="6"/>
  <c r="C260" i="6"/>
  <c r="CK259" i="6"/>
  <c r="CJ259" i="6"/>
  <c r="CI259" i="6"/>
  <c r="CH259" i="6"/>
  <c r="CG259" i="6"/>
  <c r="CF259" i="6"/>
  <c r="CE259" i="6"/>
  <c r="CD259" i="6"/>
  <c r="CC259" i="6"/>
  <c r="F259" i="6"/>
  <c r="E259" i="6"/>
  <c r="D259" i="6"/>
  <c r="C259" i="6"/>
  <c r="CK258" i="6"/>
  <c r="CJ258" i="6"/>
  <c r="CI258" i="6"/>
  <c r="CH258" i="6"/>
  <c r="CG258" i="6"/>
  <c r="CF258" i="6"/>
  <c r="CE258" i="6"/>
  <c r="CD258" i="6"/>
  <c r="CC258" i="6"/>
  <c r="F258" i="6"/>
  <c r="E258" i="6"/>
  <c r="D258" i="6"/>
  <c r="C258" i="6"/>
  <c r="CK257" i="6"/>
  <c r="CJ257" i="6"/>
  <c r="CI257" i="6"/>
  <c r="CH257" i="6"/>
  <c r="CG257" i="6"/>
  <c r="CF257" i="6"/>
  <c r="CE257" i="6"/>
  <c r="CD257" i="6"/>
  <c r="CC257" i="6"/>
  <c r="F257" i="6"/>
  <c r="E257" i="6"/>
  <c r="D257" i="6"/>
  <c r="C257" i="6"/>
  <c r="CM257" i="6" s="1"/>
  <c r="CK256" i="6"/>
  <c r="CJ256" i="6"/>
  <c r="CI256" i="6"/>
  <c r="CH256" i="6"/>
  <c r="CG256" i="6"/>
  <c r="CF256" i="6"/>
  <c r="CE256" i="6"/>
  <c r="CD256" i="6"/>
  <c r="CC256" i="6"/>
  <c r="F256" i="6"/>
  <c r="E256" i="6"/>
  <c r="D256" i="6"/>
  <c r="C256" i="6"/>
  <c r="CK255" i="6"/>
  <c r="CJ255" i="6"/>
  <c r="CI255" i="6"/>
  <c r="CH255" i="6"/>
  <c r="CG255" i="6"/>
  <c r="CF255" i="6"/>
  <c r="CE255" i="6"/>
  <c r="CD255" i="6"/>
  <c r="CC255" i="6"/>
  <c r="F255" i="6"/>
  <c r="E255" i="6"/>
  <c r="D255" i="6"/>
  <c r="C255" i="6"/>
  <c r="CK254" i="6"/>
  <c r="CJ254" i="6"/>
  <c r="CI254" i="6"/>
  <c r="CH254" i="6"/>
  <c r="CG254" i="6"/>
  <c r="CF254" i="6"/>
  <c r="CE254" i="6"/>
  <c r="CD254" i="6"/>
  <c r="CC254" i="6"/>
  <c r="F254" i="6"/>
  <c r="E254" i="6"/>
  <c r="D254" i="6"/>
  <c r="C254" i="6"/>
  <c r="CK253" i="6"/>
  <c r="CJ253" i="6"/>
  <c r="CI253" i="6"/>
  <c r="CH253" i="6"/>
  <c r="CG253" i="6"/>
  <c r="CF253" i="6"/>
  <c r="CE253" i="6"/>
  <c r="CD253" i="6"/>
  <c r="CC253" i="6"/>
  <c r="F253" i="6"/>
  <c r="E253" i="6"/>
  <c r="D253" i="6"/>
  <c r="C253" i="6"/>
  <c r="CM253" i="6" s="1"/>
  <c r="CK252" i="6"/>
  <c r="CJ252" i="6"/>
  <c r="CI252" i="6"/>
  <c r="CH252" i="6"/>
  <c r="CG252" i="6"/>
  <c r="CF252" i="6"/>
  <c r="CE252" i="6"/>
  <c r="CD252" i="6"/>
  <c r="CC252" i="6"/>
  <c r="F252" i="6"/>
  <c r="E252" i="6"/>
  <c r="D252" i="6"/>
  <c r="C252" i="6"/>
  <c r="CK251" i="6"/>
  <c r="CJ251" i="6"/>
  <c r="CI251" i="6"/>
  <c r="CH251" i="6"/>
  <c r="CG251" i="6"/>
  <c r="CF251" i="6"/>
  <c r="CE251" i="6"/>
  <c r="CD251" i="6"/>
  <c r="CC251" i="6"/>
  <c r="F251" i="6"/>
  <c r="E251" i="6"/>
  <c r="D251" i="6"/>
  <c r="C251" i="6"/>
  <c r="CK250" i="6"/>
  <c r="CJ250" i="6"/>
  <c r="CI250" i="6"/>
  <c r="CH250" i="6"/>
  <c r="CG250" i="6"/>
  <c r="CF250" i="6"/>
  <c r="CE250" i="6"/>
  <c r="CD250" i="6"/>
  <c r="CC250" i="6"/>
  <c r="F250" i="6"/>
  <c r="E250" i="6"/>
  <c r="D250" i="6"/>
  <c r="C250" i="6"/>
  <c r="CK249" i="6"/>
  <c r="CJ249" i="6"/>
  <c r="CI249" i="6"/>
  <c r="CH249" i="6"/>
  <c r="CG249" i="6"/>
  <c r="CF249" i="6"/>
  <c r="CE249" i="6"/>
  <c r="CD249" i="6"/>
  <c r="CC249" i="6"/>
  <c r="F249" i="6"/>
  <c r="E249" i="6"/>
  <c r="D249" i="6"/>
  <c r="C249" i="6"/>
  <c r="CM249" i="6" s="1"/>
  <c r="CK248" i="6"/>
  <c r="CJ248" i="6"/>
  <c r="CI248" i="6"/>
  <c r="CH248" i="6"/>
  <c r="CG248" i="6"/>
  <c r="CF248" i="6"/>
  <c r="CE248" i="6"/>
  <c r="CD248" i="6"/>
  <c r="CC248" i="6"/>
  <c r="F248" i="6"/>
  <c r="E248" i="6"/>
  <c r="D248" i="6"/>
  <c r="C248" i="6"/>
  <c r="CK247" i="6"/>
  <c r="CJ247" i="6"/>
  <c r="CI247" i="6"/>
  <c r="CH247" i="6"/>
  <c r="CG247" i="6"/>
  <c r="CF247" i="6"/>
  <c r="CE247" i="6"/>
  <c r="CD247" i="6"/>
  <c r="CC247" i="6"/>
  <c r="F247" i="6"/>
  <c r="E247" i="6"/>
  <c r="D247" i="6"/>
  <c r="C247" i="6"/>
  <c r="CK246" i="6"/>
  <c r="CJ246" i="6"/>
  <c r="CI246" i="6"/>
  <c r="CH246" i="6"/>
  <c r="CG246" i="6"/>
  <c r="CF246" i="6"/>
  <c r="CE246" i="6"/>
  <c r="CD246" i="6"/>
  <c r="CC246" i="6"/>
  <c r="F246" i="6"/>
  <c r="E246" i="6"/>
  <c r="D246" i="6"/>
  <c r="C246" i="6"/>
  <c r="CK245" i="6"/>
  <c r="CJ245" i="6"/>
  <c r="CI245" i="6"/>
  <c r="CH245" i="6"/>
  <c r="CG245" i="6"/>
  <c r="CF245" i="6"/>
  <c r="CE245" i="6"/>
  <c r="CD245" i="6"/>
  <c r="CC245" i="6"/>
  <c r="F245" i="6"/>
  <c r="E245" i="6"/>
  <c r="D245" i="6"/>
  <c r="C245" i="6"/>
  <c r="CM245" i="6" s="1"/>
  <c r="CK244" i="6"/>
  <c r="CJ244" i="6"/>
  <c r="CI244" i="6"/>
  <c r="CH244" i="6"/>
  <c r="CG244" i="6"/>
  <c r="CF244" i="6"/>
  <c r="CE244" i="6"/>
  <c r="CD244" i="6"/>
  <c r="CC244" i="6"/>
  <c r="F244" i="6"/>
  <c r="E244" i="6"/>
  <c r="D244" i="6"/>
  <c r="C244" i="6"/>
  <c r="CK243" i="6"/>
  <c r="CJ243" i="6"/>
  <c r="CI243" i="6"/>
  <c r="CH243" i="6"/>
  <c r="CG243" i="6"/>
  <c r="CF243" i="6"/>
  <c r="CE243" i="6"/>
  <c r="CD243" i="6"/>
  <c r="CC243" i="6"/>
  <c r="F243" i="6"/>
  <c r="E243" i="6"/>
  <c r="D243" i="6"/>
  <c r="C243" i="6"/>
  <c r="CK242" i="6"/>
  <c r="CJ242" i="6"/>
  <c r="CI242" i="6"/>
  <c r="CH242" i="6"/>
  <c r="CG242" i="6"/>
  <c r="CF242" i="6"/>
  <c r="CE242" i="6"/>
  <c r="CD242" i="6"/>
  <c r="CC242" i="6"/>
  <c r="F242" i="6"/>
  <c r="E242" i="6"/>
  <c r="D242" i="6"/>
  <c r="C242" i="6"/>
  <c r="CK241" i="6"/>
  <c r="CJ241" i="6"/>
  <c r="CI241" i="6"/>
  <c r="CH241" i="6"/>
  <c r="CG241" i="6"/>
  <c r="CF241" i="6"/>
  <c r="CE241" i="6"/>
  <c r="CD241" i="6"/>
  <c r="CC241" i="6"/>
  <c r="F241" i="6"/>
  <c r="E241" i="6"/>
  <c r="D241" i="6"/>
  <c r="C241" i="6"/>
  <c r="CM241" i="6" s="1"/>
  <c r="CK240" i="6"/>
  <c r="CJ240" i="6"/>
  <c r="CI240" i="6"/>
  <c r="CH240" i="6"/>
  <c r="CG240" i="6"/>
  <c r="CF240" i="6"/>
  <c r="CE240" i="6"/>
  <c r="CD240" i="6"/>
  <c r="CC240" i="6"/>
  <c r="F240" i="6"/>
  <c r="E240" i="6"/>
  <c r="D240" i="6"/>
  <c r="C240" i="6"/>
  <c r="CK239" i="6"/>
  <c r="CJ239" i="6"/>
  <c r="CI239" i="6"/>
  <c r="CH239" i="6"/>
  <c r="CG239" i="6"/>
  <c r="CF239" i="6"/>
  <c r="CE239" i="6"/>
  <c r="CD239" i="6"/>
  <c r="CC239" i="6"/>
  <c r="F239" i="6"/>
  <c r="E239" i="6"/>
  <c r="D239" i="6"/>
  <c r="C239" i="6"/>
  <c r="CK238" i="6"/>
  <c r="CJ238" i="6"/>
  <c r="CI238" i="6"/>
  <c r="CH238" i="6"/>
  <c r="CG238" i="6"/>
  <c r="CF238" i="6"/>
  <c r="CE238" i="6"/>
  <c r="CD238" i="6"/>
  <c r="CC238" i="6"/>
  <c r="F238" i="6"/>
  <c r="E238" i="6"/>
  <c r="D238" i="6"/>
  <c r="C238" i="6"/>
  <c r="CL237" i="6"/>
  <c r="CK237" i="6"/>
  <c r="CJ237" i="6"/>
  <c r="CI237" i="6"/>
  <c r="CH237" i="6"/>
  <c r="CG237" i="6"/>
  <c r="CF237" i="6"/>
  <c r="CE237" i="6"/>
  <c r="CD237" i="6"/>
  <c r="CC237" i="6"/>
  <c r="F237" i="6"/>
  <c r="E237" i="6"/>
  <c r="D237" i="6"/>
  <c r="C237" i="6"/>
  <c r="CM237" i="6" s="1"/>
  <c r="CK236" i="6"/>
  <c r="CJ236" i="6"/>
  <c r="CI236" i="6"/>
  <c r="CH236" i="6"/>
  <c r="CG236" i="6"/>
  <c r="CF236" i="6"/>
  <c r="CE236" i="6"/>
  <c r="CD236" i="6"/>
  <c r="CC236" i="6"/>
  <c r="F236" i="6"/>
  <c r="E236" i="6"/>
  <c r="D236" i="6"/>
  <c r="C236" i="6"/>
  <c r="CK235" i="6"/>
  <c r="CJ235" i="6"/>
  <c r="CI235" i="6"/>
  <c r="CH235" i="6"/>
  <c r="CG235" i="6"/>
  <c r="CF235" i="6"/>
  <c r="CE235" i="6"/>
  <c r="CD235" i="6"/>
  <c r="CC235" i="6"/>
  <c r="F235" i="6"/>
  <c r="E235" i="6"/>
  <c r="D235" i="6"/>
  <c r="C235" i="6"/>
  <c r="CK234" i="6"/>
  <c r="CJ234" i="6"/>
  <c r="CI234" i="6"/>
  <c r="CH234" i="6"/>
  <c r="CG234" i="6"/>
  <c r="CF234" i="6"/>
  <c r="CE234" i="6"/>
  <c r="CD234" i="6"/>
  <c r="CC234" i="6"/>
  <c r="F234" i="6"/>
  <c r="E234" i="6"/>
  <c r="D234" i="6"/>
  <c r="C234" i="6"/>
  <c r="CK233" i="6"/>
  <c r="CJ233" i="6"/>
  <c r="CI233" i="6"/>
  <c r="CH233" i="6"/>
  <c r="CG233" i="6"/>
  <c r="CF233" i="6"/>
  <c r="CE233" i="6"/>
  <c r="CD233" i="6"/>
  <c r="CC233" i="6"/>
  <c r="F233" i="6"/>
  <c r="E233" i="6"/>
  <c r="D233" i="6"/>
  <c r="C233" i="6"/>
  <c r="CM233" i="6" s="1"/>
  <c r="CK232" i="6"/>
  <c r="CJ232" i="6"/>
  <c r="CI232" i="6"/>
  <c r="CH232" i="6"/>
  <c r="CG232" i="6"/>
  <c r="CF232" i="6"/>
  <c r="CE232" i="6"/>
  <c r="CD232" i="6"/>
  <c r="CC232" i="6"/>
  <c r="F232" i="6"/>
  <c r="E232" i="6"/>
  <c r="D232" i="6"/>
  <c r="C232" i="6"/>
  <c r="CK231" i="6"/>
  <c r="CJ231" i="6"/>
  <c r="CI231" i="6"/>
  <c r="CH231" i="6"/>
  <c r="CG231" i="6"/>
  <c r="CF231" i="6"/>
  <c r="CE231" i="6"/>
  <c r="CD231" i="6"/>
  <c r="CC231" i="6"/>
  <c r="F231" i="6"/>
  <c r="E231" i="6"/>
  <c r="D231" i="6"/>
  <c r="C231" i="6"/>
  <c r="CK230" i="6"/>
  <c r="CJ230" i="6"/>
  <c r="CI230" i="6"/>
  <c r="CH230" i="6"/>
  <c r="CG230" i="6"/>
  <c r="CF230" i="6"/>
  <c r="CE230" i="6"/>
  <c r="CD230" i="6"/>
  <c r="CC230" i="6"/>
  <c r="F230" i="6"/>
  <c r="E230" i="6"/>
  <c r="D230" i="6"/>
  <c r="C230" i="6"/>
  <c r="CK229" i="6"/>
  <c r="CJ229" i="6"/>
  <c r="CI229" i="6"/>
  <c r="CH229" i="6"/>
  <c r="CG229" i="6"/>
  <c r="CF229" i="6"/>
  <c r="CE229" i="6"/>
  <c r="CD229" i="6"/>
  <c r="CC229" i="6"/>
  <c r="F229" i="6"/>
  <c r="E229" i="6"/>
  <c r="D229" i="6"/>
  <c r="C229" i="6"/>
  <c r="CM229" i="6" s="1"/>
  <c r="CK228" i="6"/>
  <c r="CJ228" i="6"/>
  <c r="CI228" i="6"/>
  <c r="CH228" i="6"/>
  <c r="CG228" i="6"/>
  <c r="CF228" i="6"/>
  <c r="CE228" i="6"/>
  <c r="CD228" i="6"/>
  <c r="CC228" i="6"/>
  <c r="F228" i="6"/>
  <c r="E228" i="6"/>
  <c r="D228" i="6"/>
  <c r="C228" i="6"/>
  <c r="CK227" i="6"/>
  <c r="CJ227" i="6"/>
  <c r="CI227" i="6"/>
  <c r="CH227" i="6"/>
  <c r="CG227" i="6"/>
  <c r="CF227" i="6"/>
  <c r="CE227" i="6"/>
  <c r="CD227" i="6"/>
  <c r="CC227" i="6"/>
  <c r="F227" i="6"/>
  <c r="E227" i="6"/>
  <c r="D227" i="6"/>
  <c r="C227" i="6"/>
  <c r="CK226" i="6"/>
  <c r="CJ226" i="6"/>
  <c r="CI226" i="6"/>
  <c r="CH226" i="6"/>
  <c r="CG226" i="6"/>
  <c r="CF226" i="6"/>
  <c r="CE226" i="6"/>
  <c r="CD226" i="6"/>
  <c r="CC226" i="6"/>
  <c r="F226" i="6"/>
  <c r="E226" i="6"/>
  <c r="D226" i="6"/>
  <c r="C226" i="6"/>
  <c r="CK225" i="6"/>
  <c r="CJ225" i="6"/>
  <c r="CI225" i="6"/>
  <c r="CH225" i="6"/>
  <c r="CG225" i="6"/>
  <c r="CF225" i="6"/>
  <c r="CE225" i="6"/>
  <c r="CD225" i="6"/>
  <c r="CC225" i="6"/>
  <c r="F225" i="6"/>
  <c r="E225" i="6"/>
  <c r="D225" i="6"/>
  <c r="C225" i="6"/>
  <c r="CM225" i="6" s="1"/>
  <c r="CK224" i="6"/>
  <c r="CJ224" i="6"/>
  <c r="CI224" i="6"/>
  <c r="CH224" i="6"/>
  <c r="CG224" i="6"/>
  <c r="CF224" i="6"/>
  <c r="CE224" i="6"/>
  <c r="CD224" i="6"/>
  <c r="CC224" i="6"/>
  <c r="F224" i="6"/>
  <c r="E224" i="6"/>
  <c r="D224" i="6"/>
  <c r="C224" i="6"/>
  <c r="CK223" i="6"/>
  <c r="CJ223" i="6"/>
  <c r="CI223" i="6"/>
  <c r="CH223" i="6"/>
  <c r="CG223" i="6"/>
  <c r="CF223" i="6"/>
  <c r="CE223" i="6"/>
  <c r="CD223" i="6"/>
  <c r="CC223" i="6"/>
  <c r="F223" i="6"/>
  <c r="E223" i="6"/>
  <c r="D223" i="6"/>
  <c r="C223" i="6"/>
  <c r="CK222" i="6"/>
  <c r="CJ222" i="6"/>
  <c r="CI222" i="6"/>
  <c r="CH222" i="6"/>
  <c r="CG222" i="6"/>
  <c r="CF222" i="6"/>
  <c r="CE222" i="6"/>
  <c r="CD222" i="6"/>
  <c r="CC222" i="6"/>
  <c r="F222" i="6"/>
  <c r="E222" i="6"/>
  <c r="D222" i="6"/>
  <c r="C222" i="6"/>
  <c r="CM222" i="6" s="1"/>
  <c r="CK221" i="6"/>
  <c r="CJ221" i="6"/>
  <c r="CI221" i="6"/>
  <c r="CH221" i="6"/>
  <c r="CG221" i="6"/>
  <c r="CF221" i="6"/>
  <c r="CE221" i="6"/>
  <c r="CD221" i="6"/>
  <c r="CC221" i="6"/>
  <c r="F221" i="6"/>
  <c r="E221" i="6"/>
  <c r="D221" i="6"/>
  <c r="C221" i="6"/>
  <c r="CM221" i="6" s="1"/>
  <c r="CK220" i="6"/>
  <c r="CJ220" i="6"/>
  <c r="CI220" i="6"/>
  <c r="CH220" i="6"/>
  <c r="CG220" i="6"/>
  <c r="CF220" i="6"/>
  <c r="CE220" i="6"/>
  <c r="CD220" i="6"/>
  <c r="CC220" i="6"/>
  <c r="F220" i="6"/>
  <c r="E220" i="6"/>
  <c r="D220" i="6"/>
  <c r="C220" i="6"/>
  <c r="CK219" i="6"/>
  <c r="CJ219" i="6"/>
  <c r="CI219" i="6"/>
  <c r="CH219" i="6"/>
  <c r="CG219" i="6"/>
  <c r="CF219" i="6"/>
  <c r="CE219" i="6"/>
  <c r="CD219" i="6"/>
  <c r="CC219" i="6"/>
  <c r="F219" i="6"/>
  <c r="E219" i="6"/>
  <c r="D219" i="6"/>
  <c r="C219" i="6"/>
  <c r="CM219" i="6" s="1"/>
  <c r="CK218" i="6"/>
  <c r="CJ218" i="6"/>
  <c r="CI218" i="6"/>
  <c r="CH218" i="6"/>
  <c r="CG218" i="6"/>
  <c r="CF218" i="6"/>
  <c r="CE218" i="6"/>
  <c r="CD218" i="6"/>
  <c r="CC218" i="6"/>
  <c r="F218" i="6"/>
  <c r="E218" i="6"/>
  <c r="D218" i="6"/>
  <c r="C218" i="6"/>
  <c r="CM218" i="6" s="1"/>
  <c r="CK217" i="6"/>
  <c r="CJ217" i="6"/>
  <c r="CI217" i="6"/>
  <c r="CH217" i="6"/>
  <c r="CG217" i="6"/>
  <c r="CF217" i="6"/>
  <c r="CE217" i="6"/>
  <c r="CD217" i="6"/>
  <c r="CC217" i="6"/>
  <c r="F217" i="6"/>
  <c r="E217" i="6"/>
  <c r="D217" i="6"/>
  <c r="C217" i="6"/>
  <c r="CM217" i="6" s="1"/>
  <c r="CK216" i="6"/>
  <c r="CJ216" i="6"/>
  <c r="CI216" i="6"/>
  <c r="CH216" i="6"/>
  <c r="CG216" i="6"/>
  <c r="CF216" i="6"/>
  <c r="CE216" i="6"/>
  <c r="CD216" i="6"/>
  <c r="CC216" i="6"/>
  <c r="F216" i="6"/>
  <c r="E216" i="6"/>
  <c r="D216" i="6"/>
  <c r="C216" i="6"/>
  <c r="CK215" i="6"/>
  <c r="CJ215" i="6"/>
  <c r="CI215" i="6"/>
  <c r="CH215" i="6"/>
  <c r="CG215" i="6"/>
  <c r="CF215" i="6"/>
  <c r="CE215" i="6"/>
  <c r="CD215" i="6"/>
  <c r="CC215" i="6"/>
  <c r="F215" i="6"/>
  <c r="E215" i="6"/>
  <c r="D215" i="6"/>
  <c r="C215" i="6"/>
  <c r="CM215" i="6" s="1"/>
  <c r="CK214" i="6"/>
  <c r="CJ214" i="6"/>
  <c r="CI214" i="6"/>
  <c r="CH214" i="6"/>
  <c r="CG214" i="6"/>
  <c r="CF214" i="6"/>
  <c r="CE214" i="6"/>
  <c r="CD214" i="6"/>
  <c r="CC214" i="6"/>
  <c r="F214" i="6"/>
  <c r="E214" i="6"/>
  <c r="D214" i="6"/>
  <c r="C214" i="6"/>
  <c r="CM214" i="6" s="1"/>
  <c r="CK213" i="6"/>
  <c r="CJ213" i="6"/>
  <c r="CI213" i="6"/>
  <c r="CH213" i="6"/>
  <c r="CG213" i="6"/>
  <c r="CF213" i="6"/>
  <c r="CE213" i="6"/>
  <c r="CD213" i="6"/>
  <c r="CC213" i="6"/>
  <c r="F213" i="6"/>
  <c r="E213" i="6"/>
  <c r="D213" i="6"/>
  <c r="C213" i="6"/>
  <c r="CM213" i="6" s="1"/>
  <c r="CK212" i="6"/>
  <c r="CJ212" i="6"/>
  <c r="CI212" i="6"/>
  <c r="CH212" i="6"/>
  <c r="CG212" i="6"/>
  <c r="CF212" i="6"/>
  <c r="CE212" i="6"/>
  <c r="CD212" i="6"/>
  <c r="CC212" i="6"/>
  <c r="F212" i="6"/>
  <c r="E212" i="6"/>
  <c r="D212" i="6"/>
  <c r="C212" i="6"/>
  <c r="CK211" i="6"/>
  <c r="CJ211" i="6"/>
  <c r="CI211" i="6"/>
  <c r="CH211" i="6"/>
  <c r="CG211" i="6"/>
  <c r="CF211" i="6"/>
  <c r="CE211" i="6"/>
  <c r="CD211" i="6"/>
  <c r="CC211" i="6"/>
  <c r="F211" i="6"/>
  <c r="E211" i="6"/>
  <c r="D211" i="6"/>
  <c r="C211" i="6"/>
  <c r="CK210" i="6"/>
  <c r="CJ210" i="6"/>
  <c r="CI210" i="6"/>
  <c r="CH210" i="6"/>
  <c r="CG210" i="6"/>
  <c r="CF210" i="6"/>
  <c r="CE210" i="6"/>
  <c r="CD210" i="6"/>
  <c r="CC210" i="6"/>
  <c r="F210" i="6"/>
  <c r="E210" i="6"/>
  <c r="D210" i="6"/>
  <c r="C210" i="6"/>
  <c r="CM210" i="6" s="1"/>
  <c r="CK209" i="6"/>
  <c r="CJ209" i="6"/>
  <c r="CI209" i="6"/>
  <c r="CH209" i="6"/>
  <c r="CG209" i="6"/>
  <c r="CF209" i="6"/>
  <c r="CE209" i="6"/>
  <c r="CD209" i="6"/>
  <c r="CC209" i="6"/>
  <c r="F209" i="6"/>
  <c r="E209" i="6"/>
  <c r="D209" i="6"/>
  <c r="C209" i="6"/>
  <c r="CM209" i="6" s="1"/>
  <c r="CK208" i="6"/>
  <c r="CJ208" i="6"/>
  <c r="CI208" i="6"/>
  <c r="CH208" i="6"/>
  <c r="CG208" i="6"/>
  <c r="CF208" i="6"/>
  <c r="CE208" i="6"/>
  <c r="CD208" i="6"/>
  <c r="CC208" i="6"/>
  <c r="F208" i="6"/>
  <c r="E208" i="6"/>
  <c r="D208" i="6"/>
  <c r="C208" i="6"/>
  <c r="CK207" i="6"/>
  <c r="CJ207" i="6"/>
  <c r="CI207" i="6"/>
  <c r="CH207" i="6"/>
  <c r="CG207" i="6"/>
  <c r="CF207" i="6"/>
  <c r="CE207" i="6"/>
  <c r="CD207" i="6"/>
  <c r="CC207" i="6"/>
  <c r="F207" i="6"/>
  <c r="E207" i="6"/>
  <c r="D207" i="6"/>
  <c r="C207" i="6"/>
  <c r="CK206" i="6"/>
  <c r="CJ206" i="6"/>
  <c r="CI206" i="6"/>
  <c r="CH206" i="6"/>
  <c r="CG206" i="6"/>
  <c r="CF206" i="6"/>
  <c r="CE206" i="6"/>
  <c r="CD206" i="6"/>
  <c r="CC206" i="6"/>
  <c r="F206" i="6"/>
  <c r="E206" i="6"/>
  <c r="D206" i="6"/>
  <c r="C206" i="6"/>
  <c r="CM206" i="6" s="1"/>
  <c r="CL205" i="6"/>
  <c r="CK205" i="6"/>
  <c r="CJ205" i="6"/>
  <c r="CI205" i="6"/>
  <c r="CH205" i="6"/>
  <c r="CG205" i="6"/>
  <c r="CF205" i="6"/>
  <c r="CE205" i="6"/>
  <c r="CD205" i="6"/>
  <c r="CC205" i="6"/>
  <c r="F205" i="6"/>
  <c r="E205" i="6"/>
  <c r="D205" i="6"/>
  <c r="C205" i="6"/>
  <c r="CM205" i="6" s="1"/>
  <c r="CK204" i="6"/>
  <c r="CJ204" i="6"/>
  <c r="CI204" i="6"/>
  <c r="CH204" i="6"/>
  <c r="CG204" i="6"/>
  <c r="CF204" i="6"/>
  <c r="CE204" i="6"/>
  <c r="CD204" i="6"/>
  <c r="CC204" i="6"/>
  <c r="F204" i="6"/>
  <c r="E204" i="6"/>
  <c r="D204" i="6"/>
  <c r="C204" i="6"/>
  <c r="CM204" i="6" s="1"/>
  <c r="CK203" i="6"/>
  <c r="CJ203" i="6"/>
  <c r="CI203" i="6"/>
  <c r="CH203" i="6"/>
  <c r="CG203" i="6"/>
  <c r="CF203" i="6"/>
  <c r="CE203" i="6"/>
  <c r="CD203" i="6"/>
  <c r="CC203" i="6"/>
  <c r="F203" i="6"/>
  <c r="E203" i="6"/>
  <c r="D203" i="6"/>
  <c r="C203" i="6"/>
  <c r="CK202" i="6"/>
  <c r="CJ202" i="6"/>
  <c r="CI202" i="6"/>
  <c r="CH202" i="6"/>
  <c r="CG202" i="6"/>
  <c r="CF202" i="6"/>
  <c r="CE202" i="6"/>
  <c r="CD202" i="6"/>
  <c r="CC202" i="6"/>
  <c r="F202" i="6"/>
  <c r="E202" i="6"/>
  <c r="D202" i="6"/>
  <c r="C202" i="6"/>
  <c r="CM202" i="6" s="1"/>
  <c r="CK201" i="6"/>
  <c r="CJ201" i="6"/>
  <c r="CI201" i="6"/>
  <c r="CH201" i="6"/>
  <c r="CG201" i="6"/>
  <c r="CF201" i="6"/>
  <c r="CE201" i="6"/>
  <c r="CD201" i="6"/>
  <c r="CC201" i="6"/>
  <c r="F201" i="6"/>
  <c r="E201" i="6"/>
  <c r="D201" i="6"/>
  <c r="C201" i="6"/>
  <c r="CM201" i="6" s="1"/>
  <c r="CK200" i="6"/>
  <c r="CJ200" i="6"/>
  <c r="CI200" i="6"/>
  <c r="CH200" i="6"/>
  <c r="CG200" i="6"/>
  <c r="CF200" i="6"/>
  <c r="CE200" i="6"/>
  <c r="CD200" i="6"/>
  <c r="CC200" i="6"/>
  <c r="F200" i="6"/>
  <c r="E200" i="6"/>
  <c r="D200" i="6"/>
  <c r="C200" i="6"/>
  <c r="CM200" i="6" s="1"/>
  <c r="CK199" i="6"/>
  <c r="CJ199" i="6"/>
  <c r="CI199" i="6"/>
  <c r="CH199" i="6"/>
  <c r="CG199" i="6"/>
  <c r="CF199" i="6"/>
  <c r="CE199" i="6"/>
  <c r="CD199" i="6"/>
  <c r="CC199" i="6"/>
  <c r="F199" i="6"/>
  <c r="E199" i="6"/>
  <c r="D199" i="6"/>
  <c r="C199" i="6"/>
  <c r="CK198" i="6"/>
  <c r="CJ198" i="6"/>
  <c r="CI198" i="6"/>
  <c r="CH198" i="6"/>
  <c r="CG198" i="6"/>
  <c r="CF198" i="6"/>
  <c r="CE198" i="6"/>
  <c r="CD198" i="6"/>
  <c r="CC198" i="6"/>
  <c r="F198" i="6"/>
  <c r="E198" i="6"/>
  <c r="D198" i="6"/>
  <c r="C198" i="6"/>
  <c r="CM198" i="6" s="1"/>
  <c r="CK197" i="6"/>
  <c r="CJ197" i="6"/>
  <c r="CI197" i="6"/>
  <c r="CH197" i="6"/>
  <c r="CG197" i="6"/>
  <c r="CF197" i="6"/>
  <c r="CE197" i="6"/>
  <c r="CD197" i="6"/>
  <c r="CC197" i="6"/>
  <c r="F197" i="6"/>
  <c r="E197" i="6"/>
  <c r="D197" i="6"/>
  <c r="C197" i="6"/>
  <c r="CM197" i="6" s="1"/>
  <c r="CK196" i="6"/>
  <c r="CJ196" i="6"/>
  <c r="CI196" i="6"/>
  <c r="CH196" i="6"/>
  <c r="CG196" i="6"/>
  <c r="CF196" i="6"/>
  <c r="CE196" i="6"/>
  <c r="CD196" i="6"/>
  <c r="CC196" i="6"/>
  <c r="F196" i="6"/>
  <c r="E196" i="6"/>
  <c r="D196" i="6"/>
  <c r="C196" i="6"/>
  <c r="CM196" i="6" s="1"/>
  <c r="CK195" i="6"/>
  <c r="CJ195" i="6"/>
  <c r="CI195" i="6"/>
  <c r="CH195" i="6"/>
  <c r="CG195" i="6"/>
  <c r="CF195" i="6"/>
  <c r="CE195" i="6"/>
  <c r="CD195" i="6"/>
  <c r="CC195" i="6"/>
  <c r="F195" i="6"/>
  <c r="E195" i="6"/>
  <c r="D195" i="6"/>
  <c r="C195" i="6"/>
  <c r="CK194" i="6"/>
  <c r="CJ194" i="6"/>
  <c r="CI194" i="6"/>
  <c r="CH194" i="6"/>
  <c r="CG194" i="6"/>
  <c r="CF194" i="6"/>
  <c r="CE194" i="6"/>
  <c r="CD194" i="6"/>
  <c r="CC194" i="6"/>
  <c r="F194" i="6"/>
  <c r="E194" i="6"/>
  <c r="D194" i="6"/>
  <c r="C194" i="6"/>
  <c r="CM194" i="6" s="1"/>
  <c r="CK193" i="6"/>
  <c r="CJ193" i="6"/>
  <c r="CI193" i="6"/>
  <c r="CH193" i="6"/>
  <c r="CG193" i="6"/>
  <c r="CF193" i="6"/>
  <c r="CE193" i="6"/>
  <c r="CD193" i="6"/>
  <c r="CC193" i="6"/>
  <c r="F193" i="6"/>
  <c r="E193" i="6"/>
  <c r="D193" i="6"/>
  <c r="C193" i="6"/>
  <c r="CM193" i="6" s="1"/>
  <c r="CK192" i="6"/>
  <c r="CJ192" i="6"/>
  <c r="CI192" i="6"/>
  <c r="CH192" i="6"/>
  <c r="CG192" i="6"/>
  <c r="CF192" i="6"/>
  <c r="CE192" i="6"/>
  <c r="CD192" i="6"/>
  <c r="CC192" i="6"/>
  <c r="F192" i="6"/>
  <c r="E192" i="6"/>
  <c r="D192" i="6"/>
  <c r="C192" i="6"/>
  <c r="CM192" i="6" s="1"/>
  <c r="CK191" i="6"/>
  <c r="CJ191" i="6"/>
  <c r="CI191" i="6"/>
  <c r="CH191" i="6"/>
  <c r="CG191" i="6"/>
  <c r="CF191" i="6"/>
  <c r="CE191" i="6"/>
  <c r="CD191" i="6"/>
  <c r="CC191" i="6"/>
  <c r="F191" i="6"/>
  <c r="E191" i="6"/>
  <c r="D191" i="6"/>
  <c r="C191" i="6"/>
  <c r="CK190" i="6"/>
  <c r="CJ190" i="6"/>
  <c r="CI190" i="6"/>
  <c r="CH190" i="6"/>
  <c r="CG190" i="6"/>
  <c r="CF190" i="6"/>
  <c r="CE190" i="6"/>
  <c r="CD190" i="6"/>
  <c r="CC190" i="6"/>
  <c r="F190" i="6"/>
  <c r="E190" i="6"/>
  <c r="D190" i="6"/>
  <c r="C190" i="6"/>
  <c r="CM190" i="6" s="1"/>
  <c r="CK189" i="6"/>
  <c r="CJ189" i="6"/>
  <c r="CI189" i="6"/>
  <c r="CH189" i="6"/>
  <c r="CG189" i="6"/>
  <c r="CF189" i="6"/>
  <c r="CE189" i="6"/>
  <c r="CD189" i="6"/>
  <c r="CC189" i="6"/>
  <c r="F189" i="6"/>
  <c r="E189" i="6"/>
  <c r="D189" i="6"/>
  <c r="C189" i="6"/>
  <c r="CM189" i="6" s="1"/>
  <c r="CK188" i="6"/>
  <c r="CJ188" i="6"/>
  <c r="CI188" i="6"/>
  <c r="CH188" i="6"/>
  <c r="CG188" i="6"/>
  <c r="CF188" i="6"/>
  <c r="CE188" i="6"/>
  <c r="CD188" i="6"/>
  <c r="CC188" i="6"/>
  <c r="F188" i="6"/>
  <c r="E188" i="6"/>
  <c r="D188" i="6"/>
  <c r="C188" i="6"/>
  <c r="CM188" i="6" s="1"/>
  <c r="CK187" i="6"/>
  <c r="CJ187" i="6"/>
  <c r="CI187" i="6"/>
  <c r="CH187" i="6"/>
  <c r="CG187" i="6"/>
  <c r="CF187" i="6"/>
  <c r="CE187" i="6"/>
  <c r="CD187" i="6"/>
  <c r="CC187" i="6"/>
  <c r="F187" i="6"/>
  <c r="E187" i="6"/>
  <c r="D187" i="6"/>
  <c r="C187" i="6"/>
  <c r="CK186" i="6"/>
  <c r="CJ186" i="6"/>
  <c r="CI186" i="6"/>
  <c r="CH186" i="6"/>
  <c r="CG186" i="6"/>
  <c r="CF186" i="6"/>
  <c r="CE186" i="6"/>
  <c r="CD186" i="6"/>
  <c r="CC186" i="6"/>
  <c r="F186" i="6"/>
  <c r="E186" i="6"/>
  <c r="D186" i="6"/>
  <c r="C186" i="6"/>
  <c r="CM186" i="6" s="1"/>
  <c r="CK185" i="6"/>
  <c r="CJ185" i="6"/>
  <c r="CI185" i="6"/>
  <c r="CH185" i="6"/>
  <c r="CG185" i="6"/>
  <c r="CF185" i="6"/>
  <c r="CE185" i="6"/>
  <c r="CD185" i="6"/>
  <c r="CC185" i="6"/>
  <c r="F185" i="6"/>
  <c r="E185" i="6"/>
  <c r="D185" i="6"/>
  <c r="C185" i="6"/>
  <c r="CM185" i="6" s="1"/>
  <c r="CK184" i="6"/>
  <c r="CJ184" i="6"/>
  <c r="CI184" i="6"/>
  <c r="CH184" i="6"/>
  <c r="CG184" i="6"/>
  <c r="CF184" i="6"/>
  <c r="CE184" i="6"/>
  <c r="CD184" i="6"/>
  <c r="CC184" i="6"/>
  <c r="F184" i="6"/>
  <c r="E184" i="6"/>
  <c r="D184" i="6"/>
  <c r="C184" i="6"/>
  <c r="CM184" i="6" s="1"/>
  <c r="CK183" i="6"/>
  <c r="CJ183" i="6"/>
  <c r="CI183" i="6"/>
  <c r="CH183" i="6"/>
  <c r="CG183" i="6"/>
  <c r="CF183" i="6"/>
  <c r="CE183" i="6"/>
  <c r="CD183" i="6"/>
  <c r="CC183" i="6"/>
  <c r="F183" i="6"/>
  <c r="E183" i="6"/>
  <c r="D183" i="6"/>
  <c r="C183" i="6"/>
  <c r="CK182" i="6"/>
  <c r="CJ182" i="6"/>
  <c r="CI182" i="6"/>
  <c r="CH182" i="6"/>
  <c r="CG182" i="6"/>
  <c r="CF182" i="6"/>
  <c r="CE182" i="6"/>
  <c r="CD182" i="6"/>
  <c r="CC182" i="6"/>
  <c r="F182" i="6"/>
  <c r="E182" i="6"/>
  <c r="D182" i="6"/>
  <c r="C182" i="6"/>
  <c r="CM182" i="6" s="1"/>
  <c r="CK181" i="6"/>
  <c r="CJ181" i="6"/>
  <c r="CI181" i="6"/>
  <c r="CH181" i="6"/>
  <c r="CG181" i="6"/>
  <c r="CF181" i="6"/>
  <c r="CE181" i="6"/>
  <c r="CD181" i="6"/>
  <c r="CC181" i="6"/>
  <c r="F181" i="6"/>
  <c r="E181" i="6"/>
  <c r="D181" i="6"/>
  <c r="C181" i="6"/>
  <c r="CM181" i="6" s="1"/>
  <c r="CK180" i="6"/>
  <c r="CJ180" i="6"/>
  <c r="CI180" i="6"/>
  <c r="CH180" i="6"/>
  <c r="CG180" i="6"/>
  <c r="CF180" i="6"/>
  <c r="CE180" i="6"/>
  <c r="CD180" i="6"/>
  <c r="CC180" i="6"/>
  <c r="F180" i="6"/>
  <c r="E180" i="6"/>
  <c r="D180" i="6"/>
  <c r="C180" i="6"/>
  <c r="CM180" i="6" s="1"/>
  <c r="CK179" i="6"/>
  <c r="CJ179" i="6"/>
  <c r="CI179" i="6"/>
  <c r="CH179" i="6"/>
  <c r="CG179" i="6"/>
  <c r="CF179" i="6"/>
  <c r="CE179" i="6"/>
  <c r="CD179" i="6"/>
  <c r="CC179" i="6"/>
  <c r="F179" i="6"/>
  <c r="E179" i="6"/>
  <c r="D179" i="6"/>
  <c r="C179" i="6"/>
  <c r="CK178" i="6"/>
  <c r="CJ178" i="6"/>
  <c r="CI178" i="6"/>
  <c r="CH178" i="6"/>
  <c r="CG178" i="6"/>
  <c r="CF178" i="6"/>
  <c r="CE178" i="6"/>
  <c r="CD178" i="6"/>
  <c r="CC178" i="6"/>
  <c r="F178" i="6"/>
  <c r="E178" i="6"/>
  <c r="D178" i="6"/>
  <c r="C178" i="6"/>
  <c r="CM178" i="6" s="1"/>
  <c r="CK177" i="6"/>
  <c r="CJ177" i="6"/>
  <c r="CI177" i="6"/>
  <c r="CH177" i="6"/>
  <c r="CG177" i="6"/>
  <c r="CF177" i="6"/>
  <c r="CE177" i="6"/>
  <c r="CD177" i="6"/>
  <c r="CC177" i="6"/>
  <c r="F177" i="6"/>
  <c r="E177" i="6"/>
  <c r="D177" i="6"/>
  <c r="C177" i="6"/>
  <c r="CM177" i="6" s="1"/>
  <c r="CK176" i="6"/>
  <c r="CJ176" i="6"/>
  <c r="CI176" i="6"/>
  <c r="CH176" i="6"/>
  <c r="CG176" i="6"/>
  <c r="CF176" i="6"/>
  <c r="CE176" i="6"/>
  <c r="CD176" i="6"/>
  <c r="CC176" i="6"/>
  <c r="F176" i="6"/>
  <c r="E176" i="6"/>
  <c r="D176" i="6"/>
  <c r="C176" i="6"/>
  <c r="CK175" i="6"/>
  <c r="CJ175" i="6"/>
  <c r="CI175" i="6"/>
  <c r="CH175" i="6"/>
  <c r="CG175" i="6"/>
  <c r="CF175" i="6"/>
  <c r="CE175" i="6"/>
  <c r="CD175" i="6"/>
  <c r="CC175" i="6"/>
  <c r="F175" i="6"/>
  <c r="E175" i="6"/>
  <c r="D175" i="6"/>
  <c r="C175" i="6"/>
  <c r="CK174" i="6"/>
  <c r="CJ174" i="6"/>
  <c r="CI174" i="6"/>
  <c r="CH174" i="6"/>
  <c r="CG174" i="6"/>
  <c r="CF174" i="6"/>
  <c r="CE174" i="6"/>
  <c r="CD174" i="6"/>
  <c r="CC174" i="6"/>
  <c r="F174" i="6"/>
  <c r="E174" i="6"/>
  <c r="D174" i="6"/>
  <c r="C174" i="6"/>
  <c r="CO174" i="6" s="1"/>
  <c r="CK173" i="6"/>
  <c r="CJ173" i="6"/>
  <c r="CI173" i="6"/>
  <c r="CH173" i="6"/>
  <c r="CG173" i="6"/>
  <c r="CF173" i="6"/>
  <c r="CE173" i="6"/>
  <c r="CD173" i="6"/>
  <c r="CC173" i="6"/>
  <c r="F173" i="6"/>
  <c r="E173" i="6"/>
  <c r="D173" i="6"/>
  <c r="C173" i="6"/>
  <c r="CK172" i="6"/>
  <c r="CJ172" i="6"/>
  <c r="CI172" i="6"/>
  <c r="CH172" i="6"/>
  <c r="CG172" i="6"/>
  <c r="CF172" i="6"/>
  <c r="CE172" i="6"/>
  <c r="CD172" i="6"/>
  <c r="CC172" i="6"/>
  <c r="F172" i="6"/>
  <c r="E172" i="6"/>
  <c r="D172" i="6"/>
  <c r="C172" i="6"/>
  <c r="CO172" i="6" s="1"/>
  <c r="CK171" i="6"/>
  <c r="CJ171" i="6"/>
  <c r="CI171" i="6"/>
  <c r="CH171" i="6"/>
  <c r="CG171" i="6"/>
  <c r="CF171" i="6"/>
  <c r="CE171" i="6"/>
  <c r="CD171" i="6"/>
  <c r="CC171" i="6"/>
  <c r="F171" i="6"/>
  <c r="E171" i="6"/>
  <c r="D171" i="6"/>
  <c r="C171" i="6"/>
  <c r="CK170" i="6"/>
  <c r="CJ170" i="6"/>
  <c r="CI170" i="6"/>
  <c r="CH170" i="6"/>
  <c r="CG170" i="6"/>
  <c r="CF170" i="6"/>
  <c r="CE170" i="6"/>
  <c r="CD170" i="6"/>
  <c r="CC170" i="6"/>
  <c r="F170" i="6"/>
  <c r="E170" i="6"/>
  <c r="D170" i="6"/>
  <c r="C170" i="6"/>
  <c r="CO170" i="6" s="1"/>
  <c r="CK169" i="6"/>
  <c r="CJ169" i="6"/>
  <c r="CI169" i="6"/>
  <c r="CH169" i="6"/>
  <c r="CG169" i="6"/>
  <c r="CF169" i="6"/>
  <c r="CE169" i="6"/>
  <c r="CD169" i="6"/>
  <c r="CC169" i="6"/>
  <c r="F169" i="6"/>
  <c r="E169" i="6"/>
  <c r="D169" i="6"/>
  <c r="C169" i="6"/>
  <c r="CK168" i="6"/>
  <c r="CJ168" i="6"/>
  <c r="CI168" i="6"/>
  <c r="CH168" i="6"/>
  <c r="CG168" i="6"/>
  <c r="CF168" i="6"/>
  <c r="CE168" i="6"/>
  <c r="CD168" i="6"/>
  <c r="CC168" i="6"/>
  <c r="F168" i="6"/>
  <c r="E168" i="6"/>
  <c r="D168" i="6"/>
  <c r="C168" i="6"/>
  <c r="CO168" i="6" s="1"/>
  <c r="CK167" i="6"/>
  <c r="CJ167" i="6"/>
  <c r="CI167" i="6"/>
  <c r="CH167" i="6"/>
  <c r="CG167" i="6"/>
  <c r="CF167" i="6"/>
  <c r="CE167" i="6"/>
  <c r="CD167" i="6"/>
  <c r="CC167" i="6"/>
  <c r="F167" i="6"/>
  <c r="E167" i="6"/>
  <c r="D167" i="6"/>
  <c r="C167" i="6"/>
  <c r="CK166" i="6"/>
  <c r="CJ166" i="6"/>
  <c r="CI166" i="6"/>
  <c r="CH166" i="6"/>
  <c r="CG166" i="6"/>
  <c r="CF166" i="6"/>
  <c r="CE166" i="6"/>
  <c r="CD166" i="6"/>
  <c r="CC166" i="6"/>
  <c r="F166" i="6"/>
  <c r="E166" i="6"/>
  <c r="D166" i="6"/>
  <c r="C166" i="6"/>
  <c r="CO166" i="6" s="1"/>
  <c r="CK165" i="6"/>
  <c r="CJ165" i="6"/>
  <c r="CI165" i="6"/>
  <c r="CH165" i="6"/>
  <c r="CG165" i="6"/>
  <c r="CF165" i="6"/>
  <c r="CE165" i="6"/>
  <c r="CD165" i="6"/>
  <c r="CC165" i="6"/>
  <c r="F165" i="6"/>
  <c r="E165" i="6"/>
  <c r="D165" i="6"/>
  <c r="C165" i="6"/>
  <c r="CK164" i="6"/>
  <c r="CJ164" i="6"/>
  <c r="CI164" i="6"/>
  <c r="CH164" i="6"/>
  <c r="CG164" i="6"/>
  <c r="CF164" i="6"/>
  <c r="CE164" i="6"/>
  <c r="CD164" i="6"/>
  <c r="CC164" i="6"/>
  <c r="F164" i="6"/>
  <c r="E164" i="6"/>
  <c r="D164" i="6"/>
  <c r="C164" i="6"/>
  <c r="CO164" i="6" s="1"/>
  <c r="CK163" i="6"/>
  <c r="CJ163" i="6"/>
  <c r="CI163" i="6"/>
  <c r="CH163" i="6"/>
  <c r="CG163" i="6"/>
  <c r="CF163" i="6"/>
  <c r="CE163" i="6"/>
  <c r="CD163" i="6"/>
  <c r="CC163" i="6"/>
  <c r="F163" i="6"/>
  <c r="E163" i="6"/>
  <c r="D163" i="6"/>
  <c r="C163" i="6"/>
  <c r="CK162" i="6"/>
  <c r="CJ162" i="6"/>
  <c r="CI162" i="6"/>
  <c r="CH162" i="6"/>
  <c r="CG162" i="6"/>
  <c r="CF162" i="6"/>
  <c r="CE162" i="6"/>
  <c r="CD162" i="6"/>
  <c r="CC162" i="6"/>
  <c r="F162" i="6"/>
  <c r="E162" i="6"/>
  <c r="D162" i="6"/>
  <c r="C162" i="6"/>
  <c r="CO162" i="6" s="1"/>
  <c r="CK161" i="6"/>
  <c r="CJ161" i="6"/>
  <c r="CI161" i="6"/>
  <c r="CH161" i="6"/>
  <c r="CG161" i="6"/>
  <c r="CF161" i="6"/>
  <c r="CE161" i="6"/>
  <c r="CD161" i="6"/>
  <c r="CC161" i="6"/>
  <c r="F161" i="6"/>
  <c r="E161" i="6"/>
  <c r="D161" i="6"/>
  <c r="C161" i="6"/>
  <c r="CK160" i="6"/>
  <c r="CJ160" i="6"/>
  <c r="CI160" i="6"/>
  <c r="CH160" i="6"/>
  <c r="CG160" i="6"/>
  <c r="CF160" i="6"/>
  <c r="CE160" i="6"/>
  <c r="CD160" i="6"/>
  <c r="CC160" i="6"/>
  <c r="F160" i="6"/>
  <c r="E160" i="6"/>
  <c r="D160" i="6"/>
  <c r="C160" i="6"/>
  <c r="CO160" i="6" s="1"/>
  <c r="CK159" i="6"/>
  <c r="CJ159" i="6"/>
  <c r="CI159" i="6"/>
  <c r="CH159" i="6"/>
  <c r="CG159" i="6"/>
  <c r="CF159" i="6"/>
  <c r="CE159" i="6"/>
  <c r="CD159" i="6"/>
  <c r="CC159" i="6"/>
  <c r="F159" i="6"/>
  <c r="E159" i="6"/>
  <c r="D159" i="6"/>
  <c r="C159" i="6"/>
  <c r="CK158" i="6"/>
  <c r="CJ158" i="6"/>
  <c r="CI158" i="6"/>
  <c r="CH158" i="6"/>
  <c r="CG158" i="6"/>
  <c r="CF158" i="6"/>
  <c r="CE158" i="6"/>
  <c r="CD158" i="6"/>
  <c r="CC158" i="6"/>
  <c r="F158" i="6"/>
  <c r="E158" i="6"/>
  <c r="D158" i="6"/>
  <c r="C158" i="6"/>
  <c r="CO158" i="6" s="1"/>
  <c r="CK157" i="6"/>
  <c r="CJ157" i="6"/>
  <c r="CI157" i="6"/>
  <c r="CH157" i="6"/>
  <c r="CG157" i="6"/>
  <c r="CF157" i="6"/>
  <c r="CE157" i="6"/>
  <c r="CD157" i="6"/>
  <c r="CC157" i="6"/>
  <c r="F157" i="6"/>
  <c r="E157" i="6"/>
  <c r="D157" i="6"/>
  <c r="C157" i="6"/>
  <c r="CK156" i="6"/>
  <c r="CJ156" i="6"/>
  <c r="CI156" i="6"/>
  <c r="CH156" i="6"/>
  <c r="CG156" i="6"/>
  <c r="CF156" i="6"/>
  <c r="CE156" i="6"/>
  <c r="CD156" i="6"/>
  <c r="CC156" i="6"/>
  <c r="F156" i="6"/>
  <c r="E156" i="6"/>
  <c r="D156" i="6"/>
  <c r="C156" i="6"/>
  <c r="CM156" i="6" s="1"/>
  <c r="CK155" i="6"/>
  <c r="CJ155" i="6"/>
  <c r="CI155" i="6"/>
  <c r="CH155" i="6"/>
  <c r="CG155" i="6"/>
  <c r="CF155" i="6"/>
  <c r="CE155" i="6"/>
  <c r="CD155" i="6"/>
  <c r="CC155" i="6"/>
  <c r="F155" i="6"/>
  <c r="E155" i="6"/>
  <c r="D155" i="6"/>
  <c r="C155" i="6"/>
  <c r="CK154" i="6"/>
  <c r="CJ154" i="6"/>
  <c r="CI154" i="6"/>
  <c r="CH154" i="6"/>
  <c r="CG154" i="6"/>
  <c r="CF154" i="6"/>
  <c r="CE154" i="6"/>
  <c r="CD154" i="6"/>
  <c r="CC154" i="6"/>
  <c r="F154" i="6"/>
  <c r="E154" i="6"/>
  <c r="D154" i="6"/>
  <c r="C154" i="6"/>
  <c r="CM154" i="6" s="1"/>
  <c r="CL153" i="6"/>
  <c r="CK153" i="6"/>
  <c r="CJ153" i="6"/>
  <c r="CI153" i="6"/>
  <c r="CH153" i="6"/>
  <c r="CG153" i="6"/>
  <c r="CF153" i="6"/>
  <c r="CE153" i="6"/>
  <c r="CD153" i="6"/>
  <c r="CC153" i="6"/>
  <c r="F153" i="6"/>
  <c r="E153" i="6"/>
  <c r="D153" i="6"/>
  <c r="C153" i="6"/>
  <c r="CM153" i="6" s="1"/>
  <c r="CK152" i="6"/>
  <c r="CJ152" i="6"/>
  <c r="CI152" i="6"/>
  <c r="CH152" i="6"/>
  <c r="CG152" i="6"/>
  <c r="CF152" i="6"/>
  <c r="CE152" i="6"/>
  <c r="CD152" i="6"/>
  <c r="CC152" i="6"/>
  <c r="F152" i="6"/>
  <c r="E152" i="6"/>
  <c r="D152" i="6"/>
  <c r="C152" i="6"/>
  <c r="CM152" i="6" s="1"/>
  <c r="CK151" i="6"/>
  <c r="CJ151" i="6"/>
  <c r="CI151" i="6"/>
  <c r="CH151" i="6"/>
  <c r="CG151" i="6"/>
  <c r="CF151" i="6"/>
  <c r="CE151" i="6"/>
  <c r="CD151" i="6"/>
  <c r="CC151" i="6"/>
  <c r="F151" i="6"/>
  <c r="E151" i="6"/>
  <c r="D151" i="6"/>
  <c r="C151" i="6"/>
  <c r="CK150" i="6"/>
  <c r="CJ150" i="6"/>
  <c r="CI150" i="6"/>
  <c r="CH150" i="6"/>
  <c r="CG150" i="6"/>
  <c r="CF150" i="6"/>
  <c r="CE150" i="6"/>
  <c r="CD150" i="6"/>
  <c r="CC150" i="6"/>
  <c r="F150" i="6"/>
  <c r="E150" i="6"/>
  <c r="D150" i="6"/>
  <c r="C150" i="6"/>
  <c r="CM150" i="6" s="1"/>
  <c r="CK149" i="6"/>
  <c r="CJ149" i="6"/>
  <c r="CI149" i="6"/>
  <c r="CH149" i="6"/>
  <c r="CG149" i="6"/>
  <c r="CF149" i="6"/>
  <c r="CE149" i="6"/>
  <c r="CD149" i="6"/>
  <c r="CC149" i="6"/>
  <c r="F149" i="6"/>
  <c r="E149" i="6"/>
  <c r="D149" i="6"/>
  <c r="C149" i="6"/>
  <c r="CK148" i="6"/>
  <c r="CJ148" i="6"/>
  <c r="CI148" i="6"/>
  <c r="CH148" i="6"/>
  <c r="CG148" i="6"/>
  <c r="CF148" i="6"/>
  <c r="CE148" i="6"/>
  <c r="CD148" i="6"/>
  <c r="CC148" i="6"/>
  <c r="F148" i="6"/>
  <c r="E148" i="6"/>
  <c r="D148" i="6"/>
  <c r="C148" i="6"/>
  <c r="CM148" i="6" s="1"/>
  <c r="CK147" i="6"/>
  <c r="CJ147" i="6"/>
  <c r="CI147" i="6"/>
  <c r="CH147" i="6"/>
  <c r="CG147" i="6"/>
  <c r="CF147" i="6"/>
  <c r="CE147" i="6"/>
  <c r="CD147" i="6"/>
  <c r="CC147" i="6"/>
  <c r="F147" i="6"/>
  <c r="E147" i="6"/>
  <c r="D147" i="6"/>
  <c r="C147" i="6"/>
  <c r="CK146" i="6"/>
  <c r="CJ146" i="6"/>
  <c r="CI146" i="6"/>
  <c r="CH146" i="6"/>
  <c r="CG146" i="6"/>
  <c r="CF146" i="6"/>
  <c r="CE146" i="6"/>
  <c r="CD146" i="6"/>
  <c r="CC146" i="6"/>
  <c r="F146" i="6"/>
  <c r="E146" i="6"/>
  <c r="D146" i="6"/>
  <c r="C146" i="6"/>
  <c r="CM146" i="6" s="1"/>
  <c r="CK145" i="6"/>
  <c r="CJ145" i="6"/>
  <c r="CI145" i="6"/>
  <c r="CH145" i="6"/>
  <c r="CG145" i="6"/>
  <c r="CF145" i="6"/>
  <c r="CE145" i="6"/>
  <c r="CD145" i="6"/>
  <c r="CC145" i="6"/>
  <c r="F145" i="6"/>
  <c r="E145" i="6"/>
  <c r="D145" i="6"/>
  <c r="C145" i="6"/>
  <c r="CM145" i="6" s="1"/>
  <c r="CK144" i="6"/>
  <c r="CJ144" i="6"/>
  <c r="CI144" i="6"/>
  <c r="CH144" i="6"/>
  <c r="CG144" i="6"/>
  <c r="CF144" i="6"/>
  <c r="CE144" i="6"/>
  <c r="CD144" i="6"/>
  <c r="CC144" i="6"/>
  <c r="F144" i="6"/>
  <c r="E144" i="6"/>
  <c r="D144" i="6"/>
  <c r="C144" i="6"/>
  <c r="CM144" i="6" s="1"/>
  <c r="CK143" i="6"/>
  <c r="CJ143" i="6"/>
  <c r="CI143" i="6"/>
  <c r="CH143" i="6"/>
  <c r="CG143" i="6"/>
  <c r="CF143" i="6"/>
  <c r="CE143" i="6"/>
  <c r="CD143" i="6"/>
  <c r="CC143" i="6"/>
  <c r="F143" i="6"/>
  <c r="E143" i="6"/>
  <c r="D143" i="6"/>
  <c r="C143" i="6"/>
  <c r="CK142" i="6"/>
  <c r="CJ142" i="6"/>
  <c r="CI142" i="6"/>
  <c r="CH142" i="6"/>
  <c r="CG142" i="6"/>
  <c r="CF142" i="6"/>
  <c r="CE142" i="6"/>
  <c r="CD142" i="6"/>
  <c r="CC142" i="6"/>
  <c r="F142" i="6"/>
  <c r="E142" i="6"/>
  <c r="D142" i="6"/>
  <c r="C142" i="6"/>
  <c r="CM142" i="6" s="1"/>
  <c r="CK141" i="6"/>
  <c r="CJ141" i="6"/>
  <c r="CI141" i="6"/>
  <c r="CH141" i="6"/>
  <c r="CG141" i="6"/>
  <c r="CF141" i="6"/>
  <c r="CE141" i="6"/>
  <c r="CD141" i="6"/>
  <c r="CC141" i="6"/>
  <c r="F141" i="6"/>
  <c r="E141" i="6"/>
  <c r="D141" i="6"/>
  <c r="C141" i="6"/>
  <c r="CK140" i="6"/>
  <c r="CJ140" i="6"/>
  <c r="CI140" i="6"/>
  <c r="CH140" i="6"/>
  <c r="CG140" i="6"/>
  <c r="CF140" i="6"/>
  <c r="CE140" i="6"/>
  <c r="CD140" i="6"/>
  <c r="CC140" i="6"/>
  <c r="F140" i="6"/>
  <c r="E140" i="6"/>
  <c r="D140" i="6"/>
  <c r="C140" i="6"/>
  <c r="CM140" i="6" s="1"/>
  <c r="CK139" i="6"/>
  <c r="CJ139" i="6"/>
  <c r="CI139" i="6"/>
  <c r="CH139" i="6"/>
  <c r="CG139" i="6"/>
  <c r="CF139" i="6"/>
  <c r="CE139" i="6"/>
  <c r="CD139" i="6"/>
  <c r="CC139" i="6"/>
  <c r="F139" i="6"/>
  <c r="E139" i="6"/>
  <c r="D139" i="6"/>
  <c r="C139" i="6"/>
  <c r="CK138" i="6"/>
  <c r="CJ138" i="6"/>
  <c r="CI138" i="6"/>
  <c r="CH138" i="6"/>
  <c r="CG138" i="6"/>
  <c r="CF138" i="6"/>
  <c r="CE138" i="6"/>
  <c r="CD138" i="6"/>
  <c r="CC138" i="6"/>
  <c r="F138" i="6"/>
  <c r="E138" i="6"/>
  <c r="D138" i="6"/>
  <c r="C138" i="6"/>
  <c r="CM138" i="6" s="1"/>
  <c r="CL137" i="6"/>
  <c r="CK137" i="6"/>
  <c r="CJ137" i="6"/>
  <c r="CI137" i="6"/>
  <c r="CH137" i="6"/>
  <c r="CG137" i="6"/>
  <c r="CF137" i="6"/>
  <c r="CE137" i="6"/>
  <c r="CD137" i="6"/>
  <c r="CC137" i="6"/>
  <c r="F137" i="6"/>
  <c r="E137" i="6"/>
  <c r="D137" i="6"/>
  <c r="C137" i="6"/>
  <c r="CM137" i="6" s="1"/>
  <c r="CK136" i="6"/>
  <c r="CJ136" i="6"/>
  <c r="CI136" i="6"/>
  <c r="CH136" i="6"/>
  <c r="CG136" i="6"/>
  <c r="CF136" i="6"/>
  <c r="CE136" i="6"/>
  <c r="CD136" i="6"/>
  <c r="CC136" i="6"/>
  <c r="F136" i="6"/>
  <c r="E136" i="6"/>
  <c r="D136" i="6"/>
  <c r="C136" i="6"/>
  <c r="CM136" i="6" s="1"/>
  <c r="CK135" i="6"/>
  <c r="CJ135" i="6"/>
  <c r="CI135" i="6"/>
  <c r="CH135" i="6"/>
  <c r="CG135" i="6"/>
  <c r="CF135" i="6"/>
  <c r="CE135" i="6"/>
  <c r="CD135" i="6"/>
  <c r="CC135" i="6"/>
  <c r="F135" i="6"/>
  <c r="E135" i="6"/>
  <c r="D135" i="6"/>
  <c r="C135" i="6"/>
  <c r="CK134" i="6"/>
  <c r="CJ134" i="6"/>
  <c r="CI134" i="6"/>
  <c r="CH134" i="6"/>
  <c r="CG134" i="6"/>
  <c r="CF134" i="6"/>
  <c r="CE134" i="6"/>
  <c r="CD134" i="6"/>
  <c r="CC134" i="6"/>
  <c r="F134" i="6"/>
  <c r="E134" i="6"/>
  <c r="D134" i="6"/>
  <c r="C134" i="6"/>
  <c r="CM134" i="6" s="1"/>
  <c r="CK133" i="6"/>
  <c r="CJ133" i="6"/>
  <c r="CI133" i="6"/>
  <c r="CH133" i="6"/>
  <c r="CG133" i="6"/>
  <c r="CF133" i="6"/>
  <c r="CE133" i="6"/>
  <c r="CD133" i="6"/>
  <c r="CC133" i="6"/>
  <c r="F133" i="6"/>
  <c r="E133" i="6"/>
  <c r="D133" i="6"/>
  <c r="C133" i="6"/>
  <c r="CK132" i="6"/>
  <c r="CJ132" i="6"/>
  <c r="CI132" i="6"/>
  <c r="CH132" i="6"/>
  <c r="CG132" i="6"/>
  <c r="CF132" i="6"/>
  <c r="CE132" i="6"/>
  <c r="CD132" i="6"/>
  <c r="CC132" i="6"/>
  <c r="F132" i="6"/>
  <c r="E132" i="6"/>
  <c r="D132" i="6"/>
  <c r="C132" i="6"/>
  <c r="CM132" i="6" s="1"/>
  <c r="CK131" i="6"/>
  <c r="CJ131" i="6"/>
  <c r="CI131" i="6"/>
  <c r="CH131" i="6"/>
  <c r="CG131" i="6"/>
  <c r="CF131" i="6"/>
  <c r="CE131" i="6"/>
  <c r="CD131" i="6"/>
  <c r="CC131" i="6"/>
  <c r="F131" i="6"/>
  <c r="E131" i="6"/>
  <c r="D131" i="6"/>
  <c r="C131" i="6"/>
  <c r="CK130" i="6"/>
  <c r="CJ130" i="6"/>
  <c r="CI130" i="6"/>
  <c r="CH130" i="6"/>
  <c r="CG130" i="6"/>
  <c r="CF130" i="6"/>
  <c r="CE130" i="6"/>
  <c r="CD130" i="6"/>
  <c r="CC130" i="6"/>
  <c r="F130" i="6"/>
  <c r="E130" i="6"/>
  <c r="D130" i="6"/>
  <c r="C130" i="6"/>
  <c r="CM130" i="6" s="1"/>
  <c r="CK129" i="6"/>
  <c r="CJ129" i="6"/>
  <c r="CI129" i="6"/>
  <c r="CH129" i="6"/>
  <c r="CG129" i="6"/>
  <c r="CF129" i="6"/>
  <c r="CE129" i="6"/>
  <c r="CD129" i="6"/>
  <c r="CC129" i="6"/>
  <c r="F129" i="6"/>
  <c r="E129" i="6"/>
  <c r="D129" i="6"/>
  <c r="C129" i="6"/>
  <c r="CM129" i="6" s="1"/>
  <c r="CK128" i="6"/>
  <c r="CJ128" i="6"/>
  <c r="CI128" i="6"/>
  <c r="CH128" i="6"/>
  <c r="CG128" i="6"/>
  <c r="CF128" i="6"/>
  <c r="CE128" i="6"/>
  <c r="CD128" i="6"/>
  <c r="CC128" i="6"/>
  <c r="F128" i="6"/>
  <c r="E128" i="6"/>
  <c r="D128" i="6"/>
  <c r="C128" i="6"/>
  <c r="CM128" i="6" s="1"/>
  <c r="CK127" i="6"/>
  <c r="CJ127" i="6"/>
  <c r="CI127" i="6"/>
  <c r="CH127" i="6"/>
  <c r="CG127" i="6"/>
  <c r="CF127" i="6"/>
  <c r="CE127" i="6"/>
  <c r="CD127" i="6"/>
  <c r="CC127" i="6"/>
  <c r="F127" i="6"/>
  <c r="E127" i="6"/>
  <c r="D127" i="6"/>
  <c r="C127" i="6"/>
  <c r="CK126" i="6"/>
  <c r="CJ126" i="6"/>
  <c r="CI126" i="6"/>
  <c r="CH126" i="6"/>
  <c r="CG126" i="6"/>
  <c r="CF126" i="6"/>
  <c r="CE126" i="6"/>
  <c r="CD126" i="6"/>
  <c r="CC126" i="6"/>
  <c r="F126" i="6"/>
  <c r="E126" i="6"/>
  <c r="D126" i="6"/>
  <c r="C126" i="6"/>
  <c r="CM126" i="6" s="1"/>
  <c r="CK125" i="6"/>
  <c r="CJ125" i="6"/>
  <c r="CI125" i="6"/>
  <c r="CH125" i="6"/>
  <c r="CG125" i="6"/>
  <c r="CF125" i="6"/>
  <c r="CE125" i="6"/>
  <c r="CD125" i="6"/>
  <c r="CC125" i="6"/>
  <c r="F125" i="6"/>
  <c r="E125" i="6"/>
  <c r="D125" i="6"/>
  <c r="C125" i="6"/>
  <c r="CK124" i="6"/>
  <c r="CJ124" i="6"/>
  <c r="CI124" i="6"/>
  <c r="CH124" i="6"/>
  <c r="CG124" i="6"/>
  <c r="CF124" i="6"/>
  <c r="CE124" i="6"/>
  <c r="CD124" i="6"/>
  <c r="CC124" i="6"/>
  <c r="F124" i="6"/>
  <c r="E124" i="6"/>
  <c r="D124" i="6"/>
  <c r="C124" i="6"/>
  <c r="CM124" i="6" s="1"/>
  <c r="CK123" i="6"/>
  <c r="CJ123" i="6"/>
  <c r="CI123" i="6"/>
  <c r="CH123" i="6"/>
  <c r="CG123" i="6"/>
  <c r="CF123" i="6"/>
  <c r="CE123" i="6"/>
  <c r="CD123" i="6"/>
  <c r="CC123" i="6"/>
  <c r="F123" i="6"/>
  <c r="E123" i="6"/>
  <c r="D123" i="6"/>
  <c r="C123" i="6"/>
  <c r="CK122" i="6"/>
  <c r="CJ122" i="6"/>
  <c r="CI122" i="6"/>
  <c r="CH122" i="6"/>
  <c r="CG122" i="6"/>
  <c r="CF122" i="6"/>
  <c r="CE122" i="6"/>
  <c r="CD122" i="6"/>
  <c r="CC122" i="6"/>
  <c r="F122" i="6"/>
  <c r="E122" i="6"/>
  <c r="D122" i="6"/>
  <c r="C122" i="6"/>
  <c r="CM122" i="6" s="1"/>
  <c r="CK121" i="6"/>
  <c r="CJ121" i="6"/>
  <c r="CI121" i="6"/>
  <c r="CH121" i="6"/>
  <c r="CG121" i="6"/>
  <c r="CF121" i="6"/>
  <c r="CE121" i="6"/>
  <c r="CD121" i="6"/>
  <c r="CC121" i="6"/>
  <c r="F121" i="6"/>
  <c r="E121" i="6"/>
  <c r="D121" i="6"/>
  <c r="C121" i="6"/>
  <c r="CM121" i="6" s="1"/>
  <c r="CK120" i="6"/>
  <c r="CJ120" i="6"/>
  <c r="CI120" i="6"/>
  <c r="CH120" i="6"/>
  <c r="CG120" i="6"/>
  <c r="CF120" i="6"/>
  <c r="CE120" i="6"/>
  <c r="CD120" i="6"/>
  <c r="CC120" i="6"/>
  <c r="F120" i="6"/>
  <c r="E120" i="6"/>
  <c r="D120" i="6"/>
  <c r="C120" i="6"/>
  <c r="CM120" i="6" s="1"/>
  <c r="CK119" i="6"/>
  <c r="CJ119" i="6"/>
  <c r="CI119" i="6"/>
  <c r="CH119" i="6"/>
  <c r="CG119" i="6"/>
  <c r="CF119" i="6"/>
  <c r="CE119" i="6"/>
  <c r="CD119" i="6"/>
  <c r="CC119" i="6"/>
  <c r="F119" i="6"/>
  <c r="E119" i="6"/>
  <c r="D119" i="6"/>
  <c r="C119" i="6"/>
  <c r="CK118" i="6"/>
  <c r="CJ118" i="6"/>
  <c r="CI118" i="6"/>
  <c r="CH118" i="6"/>
  <c r="CG118" i="6"/>
  <c r="CF118" i="6"/>
  <c r="CE118" i="6"/>
  <c r="CD118" i="6"/>
  <c r="CC118" i="6"/>
  <c r="F118" i="6"/>
  <c r="E118" i="6"/>
  <c r="D118" i="6"/>
  <c r="C118" i="6"/>
  <c r="CM118" i="6" s="1"/>
  <c r="CK117" i="6"/>
  <c r="CJ117" i="6"/>
  <c r="CI117" i="6"/>
  <c r="CH117" i="6"/>
  <c r="CG117" i="6"/>
  <c r="CF117" i="6"/>
  <c r="CE117" i="6"/>
  <c r="CD117" i="6"/>
  <c r="CC117" i="6"/>
  <c r="F117" i="6"/>
  <c r="E117" i="6"/>
  <c r="D117" i="6"/>
  <c r="C117" i="6"/>
  <c r="CK116" i="6"/>
  <c r="CJ116" i="6"/>
  <c r="CI116" i="6"/>
  <c r="CH116" i="6"/>
  <c r="CG116" i="6"/>
  <c r="CF116" i="6"/>
  <c r="CE116" i="6"/>
  <c r="CD116" i="6"/>
  <c r="CC116" i="6"/>
  <c r="F116" i="6"/>
  <c r="E116" i="6"/>
  <c r="D116" i="6"/>
  <c r="C116" i="6"/>
  <c r="CM116" i="6" s="1"/>
  <c r="CK115" i="6"/>
  <c r="CJ115" i="6"/>
  <c r="CI115" i="6"/>
  <c r="CH115" i="6"/>
  <c r="CG115" i="6"/>
  <c r="CF115" i="6"/>
  <c r="CE115" i="6"/>
  <c r="CD115" i="6"/>
  <c r="CC115" i="6"/>
  <c r="F115" i="6"/>
  <c r="E115" i="6"/>
  <c r="D115" i="6"/>
  <c r="C115" i="6"/>
  <c r="CK114" i="6"/>
  <c r="CJ114" i="6"/>
  <c r="CI114" i="6"/>
  <c r="CH114" i="6"/>
  <c r="CG114" i="6"/>
  <c r="CF114" i="6"/>
  <c r="CE114" i="6"/>
  <c r="CD114" i="6"/>
  <c r="CC114" i="6"/>
  <c r="F114" i="6"/>
  <c r="E114" i="6"/>
  <c r="D114" i="6"/>
  <c r="C114" i="6"/>
  <c r="CM114" i="6" s="1"/>
  <c r="CK113" i="6"/>
  <c r="CJ113" i="6"/>
  <c r="CI113" i="6"/>
  <c r="CH113" i="6"/>
  <c r="CG113" i="6"/>
  <c r="CF113" i="6"/>
  <c r="CE113" i="6"/>
  <c r="CD113" i="6"/>
  <c r="CC113" i="6"/>
  <c r="F113" i="6"/>
  <c r="E113" i="6"/>
  <c r="D113" i="6"/>
  <c r="C113" i="6"/>
  <c r="CM113" i="6" s="1"/>
  <c r="CK112" i="6"/>
  <c r="CJ112" i="6"/>
  <c r="CI112" i="6"/>
  <c r="CH112" i="6"/>
  <c r="CG112" i="6"/>
  <c r="CF112" i="6"/>
  <c r="CE112" i="6"/>
  <c r="CD112" i="6"/>
  <c r="CC112" i="6"/>
  <c r="F112" i="6"/>
  <c r="E112" i="6"/>
  <c r="D112" i="6"/>
  <c r="C112" i="6"/>
  <c r="CM112" i="6" s="1"/>
  <c r="CK111" i="6"/>
  <c r="CJ111" i="6"/>
  <c r="CI111" i="6"/>
  <c r="CH111" i="6"/>
  <c r="CG111" i="6"/>
  <c r="CF111" i="6"/>
  <c r="CE111" i="6"/>
  <c r="CD111" i="6"/>
  <c r="CC111" i="6"/>
  <c r="F111" i="6"/>
  <c r="E111" i="6"/>
  <c r="D111" i="6"/>
  <c r="C111" i="6"/>
  <c r="CK110" i="6"/>
  <c r="CJ110" i="6"/>
  <c r="CI110" i="6"/>
  <c r="CH110" i="6"/>
  <c r="CG110" i="6"/>
  <c r="CF110" i="6"/>
  <c r="CE110" i="6"/>
  <c r="CD110" i="6"/>
  <c r="CC110" i="6"/>
  <c r="F110" i="6"/>
  <c r="E110" i="6"/>
  <c r="D110" i="6"/>
  <c r="C110" i="6"/>
  <c r="CM110" i="6" s="1"/>
  <c r="CK109" i="6"/>
  <c r="CJ109" i="6"/>
  <c r="CI109" i="6"/>
  <c r="CH109" i="6"/>
  <c r="CG109" i="6"/>
  <c r="CF109" i="6"/>
  <c r="CE109" i="6"/>
  <c r="CD109" i="6"/>
  <c r="CC109" i="6"/>
  <c r="F109" i="6"/>
  <c r="E109" i="6"/>
  <c r="D109" i="6"/>
  <c r="C109" i="6"/>
  <c r="CK108" i="6"/>
  <c r="CJ108" i="6"/>
  <c r="CI108" i="6"/>
  <c r="CH108" i="6"/>
  <c r="CG108" i="6"/>
  <c r="CF108" i="6"/>
  <c r="CE108" i="6"/>
  <c r="CD108" i="6"/>
  <c r="CC108" i="6"/>
  <c r="F108" i="6"/>
  <c r="E108" i="6"/>
  <c r="D108" i="6"/>
  <c r="C108" i="6"/>
  <c r="CM108" i="6" s="1"/>
  <c r="CK107" i="6"/>
  <c r="CJ107" i="6"/>
  <c r="CI107" i="6"/>
  <c r="CH107" i="6"/>
  <c r="CG107" i="6"/>
  <c r="CF107" i="6"/>
  <c r="CE107" i="6"/>
  <c r="CD107" i="6"/>
  <c r="CC107" i="6"/>
  <c r="F107" i="6"/>
  <c r="E107" i="6"/>
  <c r="D107" i="6"/>
  <c r="C107" i="6"/>
  <c r="CK106" i="6"/>
  <c r="CJ106" i="6"/>
  <c r="CI106" i="6"/>
  <c r="CH106" i="6"/>
  <c r="CG106" i="6"/>
  <c r="CF106" i="6"/>
  <c r="CE106" i="6"/>
  <c r="CD106" i="6"/>
  <c r="CC106" i="6"/>
  <c r="F106" i="6"/>
  <c r="E106" i="6"/>
  <c r="D106" i="6"/>
  <c r="C106" i="6"/>
  <c r="CM106" i="6" s="1"/>
  <c r="CK105" i="6"/>
  <c r="CJ105" i="6"/>
  <c r="CI105" i="6"/>
  <c r="CH105" i="6"/>
  <c r="CG105" i="6"/>
  <c r="CF105" i="6"/>
  <c r="CE105" i="6"/>
  <c r="CD105" i="6"/>
  <c r="CC105" i="6"/>
  <c r="F105" i="6"/>
  <c r="E105" i="6"/>
  <c r="D105" i="6"/>
  <c r="C105" i="6"/>
  <c r="CM105" i="6" s="1"/>
  <c r="CK104" i="6"/>
  <c r="CJ104" i="6"/>
  <c r="CI104" i="6"/>
  <c r="CH104" i="6"/>
  <c r="CG104" i="6"/>
  <c r="CF104" i="6"/>
  <c r="CE104" i="6"/>
  <c r="CD104" i="6"/>
  <c r="CC104" i="6"/>
  <c r="F104" i="6"/>
  <c r="E104" i="6"/>
  <c r="D104" i="6"/>
  <c r="C104" i="6"/>
  <c r="CM104" i="6" s="1"/>
  <c r="CK103" i="6"/>
  <c r="CJ103" i="6"/>
  <c r="CI103" i="6"/>
  <c r="CH103" i="6"/>
  <c r="CG103" i="6"/>
  <c r="CF103" i="6"/>
  <c r="CE103" i="6"/>
  <c r="CD103" i="6"/>
  <c r="CC103" i="6"/>
  <c r="F103" i="6"/>
  <c r="E103" i="6"/>
  <c r="D103" i="6"/>
  <c r="C103" i="6"/>
  <c r="CK102" i="6"/>
  <c r="CJ102" i="6"/>
  <c r="CI102" i="6"/>
  <c r="CH102" i="6"/>
  <c r="CG102" i="6"/>
  <c r="CF102" i="6"/>
  <c r="CE102" i="6"/>
  <c r="CD102" i="6"/>
  <c r="CC102" i="6"/>
  <c r="F102" i="6"/>
  <c r="E102" i="6"/>
  <c r="D102" i="6"/>
  <c r="C102" i="6"/>
  <c r="CM102" i="6" s="1"/>
  <c r="CK101" i="6"/>
  <c r="CJ101" i="6"/>
  <c r="CI101" i="6"/>
  <c r="CH101" i="6"/>
  <c r="CG101" i="6"/>
  <c r="CF101" i="6"/>
  <c r="CE101" i="6"/>
  <c r="CD101" i="6"/>
  <c r="CC101" i="6"/>
  <c r="F101" i="6"/>
  <c r="E101" i="6"/>
  <c r="D101" i="6"/>
  <c r="C101" i="6"/>
  <c r="CK100" i="6"/>
  <c r="CJ100" i="6"/>
  <c r="CI100" i="6"/>
  <c r="CH100" i="6"/>
  <c r="CG100" i="6"/>
  <c r="CF100" i="6"/>
  <c r="CE100" i="6"/>
  <c r="CD100" i="6"/>
  <c r="CC100" i="6"/>
  <c r="F100" i="6"/>
  <c r="E100" i="6"/>
  <c r="D100" i="6"/>
  <c r="C100" i="6"/>
  <c r="CM100" i="6" s="1"/>
  <c r="CK99" i="6"/>
  <c r="CJ99" i="6"/>
  <c r="CI99" i="6"/>
  <c r="CH99" i="6"/>
  <c r="CG99" i="6"/>
  <c r="CF99" i="6"/>
  <c r="CE99" i="6"/>
  <c r="CD99" i="6"/>
  <c r="CC99" i="6"/>
  <c r="F99" i="6"/>
  <c r="E99" i="6"/>
  <c r="D99" i="6"/>
  <c r="C99" i="6"/>
  <c r="CK98" i="6"/>
  <c r="CJ98" i="6"/>
  <c r="CI98" i="6"/>
  <c r="CH98" i="6"/>
  <c r="CG98" i="6"/>
  <c r="CF98" i="6"/>
  <c r="CE98" i="6"/>
  <c r="CD98" i="6"/>
  <c r="CC98" i="6"/>
  <c r="F98" i="6"/>
  <c r="E98" i="6"/>
  <c r="D98" i="6"/>
  <c r="C98" i="6"/>
  <c r="CM98" i="6" s="1"/>
  <c r="CK97" i="6"/>
  <c r="CJ97" i="6"/>
  <c r="CI97" i="6"/>
  <c r="CH97" i="6"/>
  <c r="CG97" i="6"/>
  <c r="CF97" i="6"/>
  <c r="CE97" i="6"/>
  <c r="CD97" i="6"/>
  <c r="CC97" i="6"/>
  <c r="F97" i="6"/>
  <c r="E97" i="6"/>
  <c r="D97" i="6"/>
  <c r="C97" i="6"/>
  <c r="CM97" i="6" s="1"/>
  <c r="CK96" i="6"/>
  <c r="CJ96" i="6"/>
  <c r="CI96" i="6"/>
  <c r="CH96" i="6"/>
  <c r="CG96" i="6"/>
  <c r="CF96" i="6"/>
  <c r="CE96" i="6"/>
  <c r="CD96" i="6"/>
  <c r="CC96" i="6"/>
  <c r="F96" i="6"/>
  <c r="E96" i="6"/>
  <c r="D96" i="6"/>
  <c r="C96" i="6"/>
  <c r="CM96" i="6" s="1"/>
  <c r="CK95" i="6"/>
  <c r="CJ95" i="6"/>
  <c r="CI95" i="6"/>
  <c r="CH95" i="6"/>
  <c r="CG95" i="6"/>
  <c r="CF95" i="6"/>
  <c r="CE95" i="6"/>
  <c r="CD95" i="6"/>
  <c r="CC95" i="6"/>
  <c r="F95" i="6"/>
  <c r="E95" i="6"/>
  <c r="D95" i="6"/>
  <c r="C95" i="6"/>
  <c r="CK94" i="6"/>
  <c r="CJ94" i="6"/>
  <c r="CI94" i="6"/>
  <c r="CH94" i="6"/>
  <c r="CG94" i="6"/>
  <c r="CF94" i="6"/>
  <c r="CE94" i="6"/>
  <c r="CD94" i="6"/>
  <c r="CC94" i="6"/>
  <c r="F94" i="6"/>
  <c r="E94" i="6"/>
  <c r="D94" i="6"/>
  <c r="C94" i="6"/>
  <c r="CM94" i="6" s="1"/>
  <c r="CK93" i="6"/>
  <c r="CJ93" i="6"/>
  <c r="CI93" i="6"/>
  <c r="CH93" i="6"/>
  <c r="CG93" i="6"/>
  <c r="CF93" i="6"/>
  <c r="CE93" i="6"/>
  <c r="CD93" i="6"/>
  <c r="CC93" i="6"/>
  <c r="F93" i="6"/>
  <c r="E93" i="6"/>
  <c r="D93" i="6"/>
  <c r="C93" i="6"/>
  <c r="CK92" i="6"/>
  <c r="CJ92" i="6"/>
  <c r="CI92" i="6"/>
  <c r="CH92" i="6"/>
  <c r="CG92" i="6"/>
  <c r="CF92" i="6"/>
  <c r="CE92" i="6"/>
  <c r="CD92" i="6"/>
  <c r="CC92" i="6"/>
  <c r="F92" i="6"/>
  <c r="E92" i="6"/>
  <c r="D92" i="6"/>
  <c r="C92" i="6"/>
  <c r="CM92" i="6" s="1"/>
  <c r="CK91" i="6"/>
  <c r="CJ91" i="6"/>
  <c r="CI91" i="6"/>
  <c r="CH91" i="6"/>
  <c r="CG91" i="6"/>
  <c r="CF91" i="6"/>
  <c r="CE91" i="6"/>
  <c r="CD91" i="6"/>
  <c r="CC91" i="6"/>
  <c r="F91" i="6"/>
  <c r="E91" i="6"/>
  <c r="D91" i="6"/>
  <c r="C91" i="6"/>
  <c r="CK90" i="6"/>
  <c r="CJ90" i="6"/>
  <c r="CI90" i="6"/>
  <c r="CH90" i="6"/>
  <c r="CG90" i="6"/>
  <c r="CF90" i="6"/>
  <c r="CE90" i="6"/>
  <c r="CD90" i="6"/>
  <c r="CC90" i="6"/>
  <c r="F90" i="6"/>
  <c r="E90" i="6"/>
  <c r="D90" i="6"/>
  <c r="C90" i="6"/>
  <c r="CM90" i="6" s="1"/>
  <c r="CL89" i="6"/>
  <c r="CK89" i="6"/>
  <c r="CJ89" i="6"/>
  <c r="CI89" i="6"/>
  <c r="CH89" i="6"/>
  <c r="CG89" i="6"/>
  <c r="CF89" i="6"/>
  <c r="CE89" i="6"/>
  <c r="CD89" i="6"/>
  <c r="CC89" i="6"/>
  <c r="F89" i="6"/>
  <c r="E89" i="6"/>
  <c r="D89" i="6"/>
  <c r="C89" i="6"/>
  <c r="CM89" i="6" s="1"/>
  <c r="CK88" i="6"/>
  <c r="CJ88" i="6"/>
  <c r="CI88" i="6"/>
  <c r="CH88" i="6"/>
  <c r="CG88" i="6"/>
  <c r="CF88" i="6"/>
  <c r="CE88" i="6"/>
  <c r="CD88" i="6"/>
  <c r="CC88" i="6"/>
  <c r="F88" i="6"/>
  <c r="E88" i="6"/>
  <c r="D88" i="6"/>
  <c r="C88" i="6"/>
  <c r="CM88" i="6" s="1"/>
  <c r="CK87" i="6"/>
  <c r="CJ87" i="6"/>
  <c r="CI87" i="6"/>
  <c r="CH87" i="6"/>
  <c r="CG87" i="6"/>
  <c r="CF87" i="6"/>
  <c r="CE87" i="6"/>
  <c r="CD87" i="6"/>
  <c r="CC87" i="6"/>
  <c r="F87" i="6"/>
  <c r="E87" i="6"/>
  <c r="D87" i="6"/>
  <c r="C87" i="6"/>
  <c r="CK86" i="6"/>
  <c r="CJ86" i="6"/>
  <c r="CI86" i="6"/>
  <c r="CH86" i="6"/>
  <c r="CG86" i="6"/>
  <c r="CF86" i="6"/>
  <c r="CE86" i="6"/>
  <c r="CD86" i="6"/>
  <c r="CC86" i="6"/>
  <c r="F86" i="6"/>
  <c r="E86" i="6"/>
  <c r="D86" i="6"/>
  <c r="C86" i="6"/>
  <c r="CM86" i="6" s="1"/>
  <c r="CK85" i="6"/>
  <c r="CJ85" i="6"/>
  <c r="CI85" i="6"/>
  <c r="CH85" i="6"/>
  <c r="CG85" i="6"/>
  <c r="CF85" i="6"/>
  <c r="CE85" i="6"/>
  <c r="CD85" i="6"/>
  <c r="CC85" i="6"/>
  <c r="F85" i="6"/>
  <c r="E85" i="6"/>
  <c r="D85" i="6"/>
  <c r="C85" i="6"/>
  <c r="CK84" i="6"/>
  <c r="CJ84" i="6"/>
  <c r="CI84" i="6"/>
  <c r="CH84" i="6"/>
  <c r="CG84" i="6"/>
  <c r="CF84" i="6"/>
  <c r="CE84" i="6"/>
  <c r="CD84" i="6"/>
  <c r="CC84" i="6"/>
  <c r="F84" i="6"/>
  <c r="E84" i="6"/>
  <c r="D84" i="6"/>
  <c r="C84" i="6"/>
  <c r="CM84" i="6" s="1"/>
  <c r="CK83" i="6"/>
  <c r="CJ83" i="6"/>
  <c r="CI83" i="6"/>
  <c r="CH83" i="6"/>
  <c r="CG83" i="6"/>
  <c r="CF83" i="6"/>
  <c r="CE83" i="6"/>
  <c r="CD83" i="6"/>
  <c r="CC83" i="6"/>
  <c r="F83" i="6"/>
  <c r="E83" i="6"/>
  <c r="D83" i="6"/>
  <c r="C83" i="6"/>
  <c r="CK82" i="6"/>
  <c r="CJ82" i="6"/>
  <c r="CI82" i="6"/>
  <c r="CH82" i="6"/>
  <c r="CG82" i="6"/>
  <c r="CF82" i="6"/>
  <c r="CE82" i="6"/>
  <c r="CD82" i="6"/>
  <c r="CC82" i="6"/>
  <c r="F82" i="6"/>
  <c r="E82" i="6"/>
  <c r="D82" i="6"/>
  <c r="C82" i="6"/>
  <c r="CM82" i="6" s="1"/>
  <c r="CK81" i="6"/>
  <c r="CJ81" i="6"/>
  <c r="CI81" i="6"/>
  <c r="CH81" i="6"/>
  <c r="CG81" i="6"/>
  <c r="CF81" i="6"/>
  <c r="CE81" i="6"/>
  <c r="CD81" i="6"/>
  <c r="CC81" i="6"/>
  <c r="F81" i="6"/>
  <c r="E81" i="6"/>
  <c r="D81" i="6"/>
  <c r="C81" i="6"/>
  <c r="CM81" i="6" s="1"/>
  <c r="CK80" i="6"/>
  <c r="CJ80" i="6"/>
  <c r="CI80" i="6"/>
  <c r="CH80" i="6"/>
  <c r="CG80" i="6"/>
  <c r="CF80" i="6"/>
  <c r="CE80" i="6"/>
  <c r="CD80" i="6"/>
  <c r="CC80" i="6"/>
  <c r="F80" i="6"/>
  <c r="E80" i="6"/>
  <c r="D80" i="6"/>
  <c r="C80" i="6"/>
  <c r="CM80" i="6" s="1"/>
  <c r="CK79" i="6"/>
  <c r="CJ79" i="6"/>
  <c r="CI79" i="6"/>
  <c r="CH79" i="6"/>
  <c r="CG79" i="6"/>
  <c r="CF79" i="6"/>
  <c r="CE79" i="6"/>
  <c r="CD79" i="6"/>
  <c r="CC79" i="6"/>
  <c r="F79" i="6"/>
  <c r="E79" i="6"/>
  <c r="D79" i="6"/>
  <c r="C79" i="6"/>
  <c r="CK78" i="6"/>
  <c r="CJ78" i="6"/>
  <c r="CI78" i="6"/>
  <c r="CH78" i="6"/>
  <c r="CG78" i="6"/>
  <c r="CF78" i="6"/>
  <c r="CE78" i="6"/>
  <c r="CD78" i="6"/>
  <c r="CC78" i="6"/>
  <c r="F78" i="6"/>
  <c r="E78" i="6"/>
  <c r="D78" i="6"/>
  <c r="C78" i="6"/>
  <c r="CM78" i="6" s="1"/>
  <c r="CK77" i="6"/>
  <c r="CJ77" i="6"/>
  <c r="CI77" i="6"/>
  <c r="CH77" i="6"/>
  <c r="CG77" i="6"/>
  <c r="CF77" i="6"/>
  <c r="CE77" i="6"/>
  <c r="CD77" i="6"/>
  <c r="CC77" i="6"/>
  <c r="F77" i="6"/>
  <c r="E77" i="6"/>
  <c r="D77" i="6"/>
  <c r="C77" i="6"/>
  <c r="CK76" i="6"/>
  <c r="CJ76" i="6"/>
  <c r="CI76" i="6"/>
  <c r="CH76" i="6"/>
  <c r="CG76" i="6"/>
  <c r="CF76" i="6"/>
  <c r="CE76" i="6"/>
  <c r="CD76" i="6"/>
  <c r="CC76" i="6"/>
  <c r="F76" i="6"/>
  <c r="E76" i="6"/>
  <c r="D76" i="6"/>
  <c r="C76" i="6"/>
  <c r="CM76" i="6" s="1"/>
  <c r="CK75" i="6"/>
  <c r="CJ75" i="6"/>
  <c r="CI75" i="6"/>
  <c r="CH75" i="6"/>
  <c r="CG75" i="6"/>
  <c r="CF75" i="6"/>
  <c r="CE75" i="6"/>
  <c r="CD75" i="6"/>
  <c r="CC75" i="6"/>
  <c r="F75" i="6"/>
  <c r="E75" i="6"/>
  <c r="D75" i="6"/>
  <c r="C75" i="6"/>
  <c r="CK74" i="6"/>
  <c r="CJ74" i="6"/>
  <c r="CI74" i="6"/>
  <c r="CH74" i="6"/>
  <c r="CG74" i="6"/>
  <c r="CF74" i="6"/>
  <c r="CE74" i="6"/>
  <c r="CD74" i="6"/>
  <c r="CC74" i="6"/>
  <c r="F74" i="6"/>
  <c r="E74" i="6"/>
  <c r="D74" i="6"/>
  <c r="C74" i="6"/>
  <c r="CM74" i="6" s="1"/>
  <c r="CK73" i="6"/>
  <c r="CJ73" i="6"/>
  <c r="CI73" i="6"/>
  <c r="CH73" i="6"/>
  <c r="CG73" i="6"/>
  <c r="CF73" i="6"/>
  <c r="CE73" i="6"/>
  <c r="CD73" i="6"/>
  <c r="CC73" i="6"/>
  <c r="F73" i="6"/>
  <c r="E73" i="6"/>
  <c r="D73" i="6"/>
  <c r="C73" i="6"/>
  <c r="CM73" i="6" s="1"/>
  <c r="CK72" i="6"/>
  <c r="CJ72" i="6"/>
  <c r="CI72" i="6"/>
  <c r="CH72" i="6"/>
  <c r="CG72" i="6"/>
  <c r="CF72" i="6"/>
  <c r="CE72" i="6"/>
  <c r="CD72" i="6"/>
  <c r="CC72" i="6"/>
  <c r="F72" i="6"/>
  <c r="E72" i="6"/>
  <c r="D72" i="6"/>
  <c r="C72" i="6"/>
  <c r="CM72" i="6" s="1"/>
  <c r="CK71" i="6"/>
  <c r="CJ71" i="6"/>
  <c r="CI71" i="6"/>
  <c r="CH71" i="6"/>
  <c r="CG71" i="6"/>
  <c r="CF71" i="6"/>
  <c r="CE71" i="6"/>
  <c r="CD71" i="6"/>
  <c r="CC71" i="6"/>
  <c r="F71" i="6"/>
  <c r="E71" i="6"/>
  <c r="D71" i="6"/>
  <c r="C71" i="6"/>
  <c r="CK70" i="6"/>
  <c r="CJ70" i="6"/>
  <c r="CI70" i="6"/>
  <c r="CH70" i="6"/>
  <c r="CG70" i="6"/>
  <c r="CF70" i="6"/>
  <c r="CE70" i="6"/>
  <c r="CD70" i="6"/>
  <c r="CC70" i="6"/>
  <c r="F70" i="6"/>
  <c r="E70" i="6"/>
  <c r="D70" i="6"/>
  <c r="C70" i="6"/>
  <c r="CM70" i="6" s="1"/>
  <c r="CK69" i="6"/>
  <c r="CJ69" i="6"/>
  <c r="CI69" i="6"/>
  <c r="CH69" i="6"/>
  <c r="CG69" i="6"/>
  <c r="CF69" i="6"/>
  <c r="CE69" i="6"/>
  <c r="CD69" i="6"/>
  <c r="CC69" i="6"/>
  <c r="F69" i="6"/>
  <c r="E69" i="6"/>
  <c r="D69" i="6"/>
  <c r="C69" i="6"/>
  <c r="CK68" i="6"/>
  <c r="CJ68" i="6"/>
  <c r="CI68" i="6"/>
  <c r="CH68" i="6"/>
  <c r="CG68" i="6"/>
  <c r="CF68" i="6"/>
  <c r="CE68" i="6"/>
  <c r="CD68" i="6"/>
  <c r="CC68" i="6"/>
  <c r="F68" i="6"/>
  <c r="E68" i="6"/>
  <c r="D68" i="6"/>
  <c r="C68" i="6"/>
  <c r="CM68" i="6" s="1"/>
  <c r="CK67" i="6"/>
  <c r="CJ67" i="6"/>
  <c r="CI67" i="6"/>
  <c r="CH67" i="6"/>
  <c r="CG67" i="6"/>
  <c r="CF67" i="6"/>
  <c r="CE67" i="6"/>
  <c r="CD67" i="6"/>
  <c r="CC67" i="6"/>
  <c r="F67" i="6"/>
  <c r="E67" i="6"/>
  <c r="D67" i="6"/>
  <c r="C67" i="6"/>
  <c r="CK66" i="6"/>
  <c r="CJ66" i="6"/>
  <c r="CI66" i="6"/>
  <c r="CH66" i="6"/>
  <c r="CG66" i="6"/>
  <c r="CF66" i="6"/>
  <c r="CE66" i="6"/>
  <c r="CD66" i="6"/>
  <c r="CC66" i="6"/>
  <c r="F66" i="6"/>
  <c r="E66" i="6"/>
  <c r="D66" i="6"/>
  <c r="C66" i="6"/>
  <c r="CM66" i="6" s="1"/>
  <c r="CK65" i="6"/>
  <c r="CJ65" i="6"/>
  <c r="CI65" i="6"/>
  <c r="CH65" i="6"/>
  <c r="CG65" i="6"/>
  <c r="CF65" i="6"/>
  <c r="CE65" i="6"/>
  <c r="CD65" i="6"/>
  <c r="CC65" i="6"/>
  <c r="F65" i="6"/>
  <c r="E65" i="6"/>
  <c r="D65" i="6"/>
  <c r="C65" i="6"/>
  <c r="CM65" i="6" s="1"/>
  <c r="CK64" i="6"/>
  <c r="CJ64" i="6"/>
  <c r="CI64" i="6"/>
  <c r="CH64" i="6"/>
  <c r="CG64" i="6"/>
  <c r="CF64" i="6"/>
  <c r="CE64" i="6"/>
  <c r="CD64" i="6"/>
  <c r="CC64" i="6"/>
  <c r="F64" i="6"/>
  <c r="E64" i="6"/>
  <c r="D64" i="6"/>
  <c r="C64" i="6"/>
  <c r="CM64" i="6" s="1"/>
  <c r="CK63" i="6"/>
  <c r="CJ63" i="6"/>
  <c r="CI63" i="6"/>
  <c r="CH63" i="6"/>
  <c r="CG63" i="6"/>
  <c r="CF63" i="6"/>
  <c r="CE63" i="6"/>
  <c r="CD63" i="6"/>
  <c r="CC63" i="6"/>
  <c r="F63" i="6"/>
  <c r="E63" i="6"/>
  <c r="D63" i="6"/>
  <c r="C63" i="6"/>
  <c r="CK62" i="6"/>
  <c r="CJ62" i="6"/>
  <c r="CI62" i="6"/>
  <c r="CH62" i="6"/>
  <c r="CG62" i="6"/>
  <c r="CF62" i="6"/>
  <c r="CE62" i="6"/>
  <c r="CD62" i="6"/>
  <c r="CC62" i="6"/>
  <c r="F62" i="6"/>
  <c r="E62" i="6"/>
  <c r="D62" i="6"/>
  <c r="C62" i="6"/>
  <c r="CM62" i="6" s="1"/>
  <c r="CK61" i="6"/>
  <c r="CJ61" i="6"/>
  <c r="CI61" i="6"/>
  <c r="CH61" i="6"/>
  <c r="CG61" i="6"/>
  <c r="CF61" i="6"/>
  <c r="CE61" i="6"/>
  <c r="CD61" i="6"/>
  <c r="CC61" i="6"/>
  <c r="F61" i="6"/>
  <c r="E61" i="6"/>
  <c r="D61" i="6"/>
  <c r="C61" i="6"/>
  <c r="CK60" i="6"/>
  <c r="CJ60" i="6"/>
  <c r="CI60" i="6"/>
  <c r="CH60" i="6"/>
  <c r="CG60" i="6"/>
  <c r="CF60" i="6"/>
  <c r="CE60" i="6"/>
  <c r="CD60" i="6"/>
  <c r="CC60" i="6"/>
  <c r="F60" i="6"/>
  <c r="E60" i="6"/>
  <c r="D60" i="6"/>
  <c r="C60" i="6"/>
  <c r="CM60" i="6" s="1"/>
  <c r="CK59" i="6"/>
  <c r="CJ59" i="6"/>
  <c r="CI59" i="6"/>
  <c r="CH59" i="6"/>
  <c r="CG59" i="6"/>
  <c r="CF59" i="6"/>
  <c r="CE59" i="6"/>
  <c r="CD59" i="6"/>
  <c r="CC59" i="6"/>
  <c r="F59" i="6"/>
  <c r="E59" i="6"/>
  <c r="D59" i="6"/>
  <c r="C59" i="6"/>
  <c r="CK58" i="6"/>
  <c r="CJ58" i="6"/>
  <c r="CI58" i="6"/>
  <c r="CH58" i="6"/>
  <c r="CG58" i="6"/>
  <c r="CF58" i="6"/>
  <c r="CE58" i="6"/>
  <c r="CD58" i="6"/>
  <c r="CC58" i="6"/>
  <c r="F58" i="6"/>
  <c r="E58" i="6"/>
  <c r="D58" i="6"/>
  <c r="C58" i="6"/>
  <c r="CM58" i="6" s="1"/>
  <c r="CK57" i="6"/>
  <c r="CJ57" i="6"/>
  <c r="CI57" i="6"/>
  <c r="CH57" i="6"/>
  <c r="CG57" i="6"/>
  <c r="CF57" i="6"/>
  <c r="CE57" i="6"/>
  <c r="CD57" i="6"/>
  <c r="CC57" i="6"/>
  <c r="F57" i="6"/>
  <c r="E57" i="6"/>
  <c r="D57" i="6"/>
  <c r="C57" i="6"/>
  <c r="CM57" i="6" s="1"/>
  <c r="CK56" i="6"/>
  <c r="CJ56" i="6"/>
  <c r="CI56" i="6"/>
  <c r="CH56" i="6"/>
  <c r="CG56" i="6"/>
  <c r="CF56" i="6"/>
  <c r="CE56" i="6"/>
  <c r="CD56" i="6"/>
  <c r="CC56" i="6"/>
  <c r="F56" i="6"/>
  <c r="E56" i="6"/>
  <c r="D56" i="6"/>
  <c r="C56" i="6"/>
  <c r="CM56" i="6" s="1"/>
  <c r="CK55" i="6"/>
  <c r="CJ55" i="6"/>
  <c r="CI55" i="6"/>
  <c r="CH55" i="6"/>
  <c r="CG55" i="6"/>
  <c r="CF55" i="6"/>
  <c r="CE55" i="6"/>
  <c r="CD55" i="6"/>
  <c r="CC55" i="6"/>
  <c r="F55" i="6"/>
  <c r="E55" i="6"/>
  <c r="D55" i="6"/>
  <c r="C55" i="6"/>
  <c r="CK54" i="6"/>
  <c r="CJ54" i="6"/>
  <c r="CI54" i="6"/>
  <c r="CH54" i="6"/>
  <c r="CG54" i="6"/>
  <c r="CF54" i="6"/>
  <c r="CE54" i="6"/>
  <c r="CD54" i="6"/>
  <c r="CC54" i="6"/>
  <c r="F54" i="6"/>
  <c r="E54" i="6"/>
  <c r="D54" i="6"/>
  <c r="C54" i="6"/>
  <c r="CM54" i="6" s="1"/>
  <c r="CK53" i="6"/>
  <c r="CJ53" i="6"/>
  <c r="CI53" i="6"/>
  <c r="CH53" i="6"/>
  <c r="CG53" i="6"/>
  <c r="CF53" i="6"/>
  <c r="CE53" i="6"/>
  <c r="CD53" i="6"/>
  <c r="CC53" i="6"/>
  <c r="F53" i="6"/>
  <c r="E53" i="6"/>
  <c r="D53" i="6"/>
  <c r="C53" i="6"/>
  <c r="CK52" i="6"/>
  <c r="CJ52" i="6"/>
  <c r="CI52" i="6"/>
  <c r="CH52" i="6"/>
  <c r="CG52" i="6"/>
  <c r="CF52" i="6"/>
  <c r="CE52" i="6"/>
  <c r="CD52" i="6"/>
  <c r="CC52" i="6"/>
  <c r="F52" i="6"/>
  <c r="E52" i="6"/>
  <c r="D52" i="6"/>
  <c r="C52" i="6"/>
  <c r="CM52" i="6" s="1"/>
  <c r="CK51" i="6"/>
  <c r="CJ51" i="6"/>
  <c r="CI51" i="6"/>
  <c r="CH51" i="6"/>
  <c r="CG51" i="6"/>
  <c r="CF51" i="6"/>
  <c r="CE51" i="6"/>
  <c r="CD51" i="6"/>
  <c r="CC51" i="6"/>
  <c r="F51" i="6"/>
  <c r="E51" i="6"/>
  <c r="D51" i="6"/>
  <c r="C51" i="6"/>
  <c r="CK50" i="6"/>
  <c r="CJ50" i="6"/>
  <c r="CI50" i="6"/>
  <c r="CH50" i="6"/>
  <c r="CG50" i="6"/>
  <c r="CF50" i="6"/>
  <c r="CE50" i="6"/>
  <c r="CD50" i="6"/>
  <c r="CC50" i="6"/>
  <c r="F50" i="6"/>
  <c r="E50" i="6"/>
  <c r="D50" i="6"/>
  <c r="C50" i="6"/>
  <c r="CM50" i="6" s="1"/>
  <c r="CK49" i="6"/>
  <c r="CJ49" i="6"/>
  <c r="CI49" i="6"/>
  <c r="CH49" i="6"/>
  <c r="CG49" i="6"/>
  <c r="CF49" i="6"/>
  <c r="CE49" i="6"/>
  <c r="CD49" i="6"/>
  <c r="CC49" i="6"/>
  <c r="F49" i="6"/>
  <c r="E49" i="6"/>
  <c r="D49" i="6"/>
  <c r="C49" i="6"/>
  <c r="CM49" i="6" s="1"/>
  <c r="CK48" i="6"/>
  <c r="CJ48" i="6"/>
  <c r="CI48" i="6"/>
  <c r="CH48" i="6"/>
  <c r="CG48" i="6"/>
  <c r="CF48" i="6"/>
  <c r="CE48" i="6"/>
  <c r="CD48" i="6"/>
  <c r="CC48" i="6"/>
  <c r="F48" i="6"/>
  <c r="E48" i="6"/>
  <c r="D48" i="6"/>
  <c r="C48" i="6"/>
  <c r="CM48" i="6" s="1"/>
  <c r="CK47" i="6"/>
  <c r="CJ47" i="6"/>
  <c r="CI47" i="6"/>
  <c r="CH47" i="6"/>
  <c r="CG47" i="6"/>
  <c r="CF47" i="6"/>
  <c r="CE47" i="6"/>
  <c r="CD47" i="6"/>
  <c r="CC47" i="6"/>
  <c r="F47" i="6"/>
  <c r="E47" i="6"/>
  <c r="D47" i="6"/>
  <c r="C47" i="6"/>
  <c r="CK46" i="6"/>
  <c r="CJ46" i="6"/>
  <c r="CI46" i="6"/>
  <c r="CH46" i="6"/>
  <c r="CG46" i="6"/>
  <c r="CF46" i="6"/>
  <c r="CE46" i="6"/>
  <c r="CD46" i="6"/>
  <c r="CC46" i="6"/>
  <c r="F46" i="6"/>
  <c r="E46" i="6"/>
  <c r="D46" i="6"/>
  <c r="C46" i="6"/>
  <c r="CM46" i="6" s="1"/>
  <c r="CK45" i="6"/>
  <c r="CJ45" i="6"/>
  <c r="CI45" i="6"/>
  <c r="CH45" i="6"/>
  <c r="CG45" i="6"/>
  <c r="CF45" i="6"/>
  <c r="CE45" i="6"/>
  <c r="CD45" i="6"/>
  <c r="CC45" i="6"/>
  <c r="F45" i="6"/>
  <c r="E45" i="6"/>
  <c r="D45" i="6"/>
  <c r="C45" i="6"/>
  <c r="CK44" i="6"/>
  <c r="CJ44" i="6"/>
  <c r="CI44" i="6"/>
  <c r="CH44" i="6"/>
  <c r="CG44" i="6"/>
  <c r="CF44" i="6"/>
  <c r="CE44" i="6"/>
  <c r="CD44" i="6"/>
  <c r="CC44" i="6"/>
  <c r="F44" i="6"/>
  <c r="E44" i="6"/>
  <c r="D44" i="6"/>
  <c r="C44" i="6"/>
  <c r="CM44" i="6" s="1"/>
  <c r="CK43" i="6"/>
  <c r="CJ43" i="6"/>
  <c r="CI43" i="6"/>
  <c r="CH43" i="6"/>
  <c r="CG43" i="6"/>
  <c r="CF43" i="6"/>
  <c r="CE43" i="6"/>
  <c r="CD43" i="6"/>
  <c r="CC43" i="6"/>
  <c r="F43" i="6"/>
  <c r="E43" i="6"/>
  <c r="D43" i="6"/>
  <c r="C43" i="6"/>
  <c r="CK42" i="6"/>
  <c r="CJ42" i="6"/>
  <c r="CI42" i="6"/>
  <c r="CH42" i="6"/>
  <c r="CG42" i="6"/>
  <c r="CF42" i="6"/>
  <c r="CE42" i="6"/>
  <c r="CD42" i="6"/>
  <c r="CC42" i="6"/>
  <c r="F42" i="6"/>
  <c r="E42" i="6"/>
  <c r="D42" i="6"/>
  <c r="C42" i="6"/>
  <c r="CM42" i="6" s="1"/>
  <c r="CK41" i="6"/>
  <c r="CJ41" i="6"/>
  <c r="CI41" i="6"/>
  <c r="CH41" i="6"/>
  <c r="CG41" i="6"/>
  <c r="CF41" i="6"/>
  <c r="CE41" i="6"/>
  <c r="CD41" i="6"/>
  <c r="CC41" i="6"/>
  <c r="F41" i="6"/>
  <c r="E41" i="6"/>
  <c r="D41" i="6"/>
  <c r="C41" i="6"/>
  <c r="CM41" i="6" s="1"/>
  <c r="CK40" i="6"/>
  <c r="CJ40" i="6"/>
  <c r="CI40" i="6"/>
  <c r="CH40" i="6"/>
  <c r="CG40" i="6"/>
  <c r="CF40" i="6"/>
  <c r="CE40" i="6"/>
  <c r="CD40" i="6"/>
  <c r="CC40" i="6"/>
  <c r="F40" i="6"/>
  <c r="E40" i="6"/>
  <c r="D40" i="6"/>
  <c r="C40" i="6"/>
  <c r="CM40" i="6" s="1"/>
  <c r="CK39" i="6"/>
  <c r="CJ39" i="6"/>
  <c r="CI39" i="6"/>
  <c r="CH39" i="6"/>
  <c r="CG39" i="6"/>
  <c r="CF39" i="6"/>
  <c r="CE39" i="6"/>
  <c r="CD39" i="6"/>
  <c r="CC39" i="6"/>
  <c r="F39" i="6"/>
  <c r="E39" i="6"/>
  <c r="D39" i="6"/>
  <c r="C39" i="6"/>
  <c r="CK38" i="6"/>
  <c r="CJ38" i="6"/>
  <c r="CI38" i="6"/>
  <c r="CH38" i="6"/>
  <c r="CG38" i="6"/>
  <c r="CF38" i="6"/>
  <c r="CE38" i="6"/>
  <c r="CD38" i="6"/>
  <c r="CC38" i="6"/>
  <c r="F38" i="6"/>
  <c r="E38" i="6"/>
  <c r="D38" i="6"/>
  <c r="C38" i="6"/>
  <c r="CM38" i="6" s="1"/>
  <c r="CK37" i="6"/>
  <c r="CJ37" i="6"/>
  <c r="CI37" i="6"/>
  <c r="CH37" i="6"/>
  <c r="CG37" i="6"/>
  <c r="CF37" i="6"/>
  <c r="CE37" i="6"/>
  <c r="CD37" i="6"/>
  <c r="CC37" i="6"/>
  <c r="F37" i="6"/>
  <c r="E37" i="6"/>
  <c r="D37" i="6"/>
  <c r="C37" i="6"/>
  <c r="CK36" i="6"/>
  <c r="CJ36" i="6"/>
  <c r="CI36" i="6"/>
  <c r="CH36" i="6"/>
  <c r="CG36" i="6"/>
  <c r="CF36" i="6"/>
  <c r="CE36" i="6"/>
  <c r="CD36" i="6"/>
  <c r="CC36" i="6"/>
  <c r="F36" i="6"/>
  <c r="E36" i="6"/>
  <c r="D36" i="6"/>
  <c r="C36" i="6"/>
  <c r="CM36" i="6" s="1"/>
  <c r="CK35" i="6"/>
  <c r="CJ35" i="6"/>
  <c r="CI35" i="6"/>
  <c r="CH35" i="6"/>
  <c r="CG35" i="6"/>
  <c r="CF35" i="6"/>
  <c r="CE35" i="6"/>
  <c r="CD35" i="6"/>
  <c r="CC35" i="6"/>
  <c r="F35" i="6"/>
  <c r="E35" i="6"/>
  <c r="D35" i="6"/>
  <c r="C35" i="6"/>
  <c r="CK34" i="6"/>
  <c r="CJ34" i="6"/>
  <c r="CI34" i="6"/>
  <c r="CH34" i="6"/>
  <c r="CG34" i="6"/>
  <c r="CF34" i="6"/>
  <c r="CE34" i="6"/>
  <c r="CD34" i="6"/>
  <c r="CC34" i="6"/>
  <c r="F34" i="6"/>
  <c r="E34" i="6"/>
  <c r="D34" i="6"/>
  <c r="C34" i="6"/>
  <c r="CM34" i="6" s="1"/>
  <c r="CK33" i="6"/>
  <c r="CJ33" i="6"/>
  <c r="CI33" i="6"/>
  <c r="CH33" i="6"/>
  <c r="CG33" i="6"/>
  <c r="CF33" i="6"/>
  <c r="CE33" i="6"/>
  <c r="CD33" i="6"/>
  <c r="CC33" i="6"/>
  <c r="F33" i="6"/>
  <c r="E33" i="6"/>
  <c r="D33" i="6"/>
  <c r="C33" i="6"/>
  <c r="CM33" i="6" s="1"/>
  <c r="CK32" i="6"/>
  <c r="CJ32" i="6"/>
  <c r="CI32" i="6"/>
  <c r="CH32" i="6"/>
  <c r="CG32" i="6"/>
  <c r="CF32" i="6"/>
  <c r="CE32" i="6"/>
  <c r="CD32" i="6"/>
  <c r="CC32" i="6"/>
  <c r="F32" i="6"/>
  <c r="E32" i="6"/>
  <c r="D32" i="6"/>
  <c r="C32" i="6"/>
  <c r="CM32" i="6" s="1"/>
  <c r="CK31" i="6"/>
  <c r="CJ31" i="6"/>
  <c r="CI31" i="6"/>
  <c r="CH31" i="6"/>
  <c r="CG31" i="6"/>
  <c r="CF31" i="6"/>
  <c r="CE31" i="6"/>
  <c r="CD31" i="6"/>
  <c r="CC31" i="6"/>
  <c r="F31" i="6"/>
  <c r="E31" i="6"/>
  <c r="D31" i="6"/>
  <c r="C31" i="6"/>
  <c r="CK30" i="6"/>
  <c r="CJ30" i="6"/>
  <c r="CI30" i="6"/>
  <c r="CH30" i="6"/>
  <c r="CG30" i="6"/>
  <c r="CF30" i="6"/>
  <c r="CE30" i="6"/>
  <c r="CD30" i="6"/>
  <c r="CC30" i="6"/>
  <c r="F30" i="6"/>
  <c r="E30" i="6"/>
  <c r="D30" i="6"/>
  <c r="C30" i="6"/>
  <c r="CM30" i="6" s="1"/>
  <c r="CK29" i="6"/>
  <c r="CJ29" i="6"/>
  <c r="CI29" i="6"/>
  <c r="CH29" i="6"/>
  <c r="CG29" i="6"/>
  <c r="CF29" i="6"/>
  <c r="CE29" i="6"/>
  <c r="CD29" i="6"/>
  <c r="CC29" i="6"/>
  <c r="F29" i="6"/>
  <c r="E29" i="6"/>
  <c r="D29" i="6"/>
  <c r="C29" i="6"/>
  <c r="CM29" i="6" s="1"/>
  <c r="CK28" i="6"/>
  <c r="CJ28" i="6"/>
  <c r="CI28" i="6"/>
  <c r="CH28" i="6"/>
  <c r="CG28" i="6"/>
  <c r="CF28" i="6"/>
  <c r="CE28" i="6"/>
  <c r="CD28" i="6"/>
  <c r="CC28" i="6"/>
  <c r="F28" i="6"/>
  <c r="E28" i="6"/>
  <c r="D28" i="6"/>
  <c r="C28" i="6"/>
  <c r="CM28" i="6" s="1"/>
  <c r="CK27" i="6"/>
  <c r="CJ27" i="6"/>
  <c r="CI27" i="6"/>
  <c r="CH27" i="6"/>
  <c r="CG27" i="6"/>
  <c r="CF27" i="6"/>
  <c r="CE27" i="6"/>
  <c r="CD27" i="6"/>
  <c r="CC27" i="6"/>
  <c r="F27" i="6"/>
  <c r="E27" i="6"/>
  <c r="D27" i="6"/>
  <c r="C27" i="6"/>
  <c r="CK26" i="6"/>
  <c r="CJ26" i="6"/>
  <c r="CI26" i="6"/>
  <c r="CH26" i="6"/>
  <c r="CG26" i="6"/>
  <c r="CF26" i="6"/>
  <c r="CE26" i="6"/>
  <c r="CD26" i="6"/>
  <c r="CC26" i="6"/>
  <c r="F26" i="6"/>
  <c r="E26" i="6"/>
  <c r="D26" i="6"/>
  <c r="C26" i="6"/>
  <c r="CM26" i="6" s="1"/>
  <c r="CK25" i="6"/>
  <c r="CJ25" i="6"/>
  <c r="CI25" i="6"/>
  <c r="CH25" i="6"/>
  <c r="CG25" i="6"/>
  <c r="CF25" i="6"/>
  <c r="CE25" i="6"/>
  <c r="CD25" i="6"/>
  <c r="CC25" i="6"/>
  <c r="F25" i="6"/>
  <c r="E25" i="6"/>
  <c r="D25" i="6"/>
  <c r="C25" i="6"/>
  <c r="CM25" i="6" s="1"/>
  <c r="CK24" i="6"/>
  <c r="CJ24" i="6"/>
  <c r="CI24" i="6"/>
  <c r="CH24" i="6"/>
  <c r="CG24" i="6"/>
  <c r="CF24" i="6"/>
  <c r="CE24" i="6"/>
  <c r="CD24" i="6"/>
  <c r="CC24" i="6"/>
  <c r="F24" i="6"/>
  <c r="E24" i="6"/>
  <c r="D24" i="6"/>
  <c r="C24" i="6"/>
  <c r="CM24" i="6" s="1"/>
  <c r="CK23" i="6"/>
  <c r="CJ23" i="6"/>
  <c r="CI23" i="6"/>
  <c r="CH23" i="6"/>
  <c r="CG23" i="6"/>
  <c r="CF23" i="6"/>
  <c r="CE23" i="6"/>
  <c r="CD23" i="6"/>
  <c r="CC23" i="6"/>
  <c r="F23" i="6"/>
  <c r="E23" i="6"/>
  <c r="D23" i="6"/>
  <c r="C23" i="6"/>
  <c r="CK22" i="6"/>
  <c r="CJ22" i="6"/>
  <c r="CI22" i="6"/>
  <c r="CH22" i="6"/>
  <c r="CG22" i="6"/>
  <c r="CF22" i="6"/>
  <c r="CE22" i="6"/>
  <c r="CD22" i="6"/>
  <c r="CC22" i="6"/>
  <c r="F22" i="6"/>
  <c r="E22" i="6"/>
  <c r="D22" i="6"/>
  <c r="C22" i="6"/>
  <c r="CM22" i="6" s="1"/>
  <c r="CL21" i="6"/>
  <c r="CK21" i="6"/>
  <c r="CJ21" i="6"/>
  <c r="CI21" i="6"/>
  <c r="CH21" i="6"/>
  <c r="CG21" i="6"/>
  <c r="CF21" i="6"/>
  <c r="CE21" i="6"/>
  <c r="CD21" i="6"/>
  <c r="CC21" i="6"/>
  <c r="F21" i="6"/>
  <c r="E21" i="6"/>
  <c r="D21" i="6"/>
  <c r="C21" i="6"/>
  <c r="CM21" i="6" s="1"/>
  <c r="CK20" i="6"/>
  <c r="CJ20" i="6"/>
  <c r="CI20" i="6"/>
  <c r="CH20" i="6"/>
  <c r="CG20" i="6"/>
  <c r="CF20" i="6"/>
  <c r="CE20" i="6"/>
  <c r="CD20" i="6"/>
  <c r="CC20" i="6"/>
  <c r="F20" i="6"/>
  <c r="E20" i="6"/>
  <c r="D20" i="6"/>
  <c r="C20" i="6"/>
  <c r="CM20" i="6" s="1"/>
  <c r="CK19" i="6"/>
  <c r="CJ19" i="6"/>
  <c r="CI19" i="6"/>
  <c r="CH19" i="6"/>
  <c r="CG19" i="6"/>
  <c r="CF19" i="6"/>
  <c r="CE19" i="6"/>
  <c r="CD19" i="6"/>
  <c r="CC19" i="6"/>
  <c r="F19" i="6"/>
  <c r="E19" i="6"/>
  <c r="D19" i="6"/>
  <c r="C19" i="6"/>
  <c r="CK18" i="6"/>
  <c r="CJ18" i="6"/>
  <c r="CI18" i="6"/>
  <c r="CH18" i="6"/>
  <c r="CG18" i="6"/>
  <c r="CF18" i="6"/>
  <c r="CE18" i="6"/>
  <c r="CD18" i="6"/>
  <c r="CC18" i="6"/>
  <c r="F18" i="6"/>
  <c r="E18" i="6"/>
  <c r="D18" i="6"/>
  <c r="C18" i="6"/>
  <c r="CM18" i="6" s="1"/>
  <c r="CK17" i="6"/>
  <c r="CJ17" i="6"/>
  <c r="CI17" i="6"/>
  <c r="CH17" i="6"/>
  <c r="CG17" i="6"/>
  <c r="CF17" i="6"/>
  <c r="CE17" i="6"/>
  <c r="CD17" i="6"/>
  <c r="CC17" i="6"/>
  <c r="F17" i="6"/>
  <c r="E17" i="6"/>
  <c r="D17" i="6"/>
  <c r="C17" i="6"/>
  <c r="CM17" i="6" s="1"/>
  <c r="CK16" i="6"/>
  <c r="CJ16" i="6"/>
  <c r="CI16" i="6"/>
  <c r="CH16" i="6"/>
  <c r="CG16" i="6"/>
  <c r="CF16" i="6"/>
  <c r="CE16" i="6"/>
  <c r="CD16" i="6"/>
  <c r="CC16" i="6"/>
  <c r="F16" i="6"/>
  <c r="E16" i="6"/>
  <c r="D16" i="6"/>
  <c r="C16" i="6"/>
  <c r="CK15" i="6"/>
  <c r="CJ15" i="6"/>
  <c r="CI15" i="6"/>
  <c r="CH15" i="6"/>
  <c r="CG15" i="6"/>
  <c r="CF15" i="6"/>
  <c r="CE15" i="6"/>
  <c r="CD15" i="6"/>
  <c r="CC15" i="6"/>
  <c r="F15" i="6"/>
  <c r="E15" i="6"/>
  <c r="D15" i="6"/>
  <c r="C15" i="6"/>
  <c r="CK14" i="6"/>
  <c r="CJ14" i="6"/>
  <c r="CI14" i="6"/>
  <c r="CH14" i="6"/>
  <c r="CG14" i="6"/>
  <c r="CF14" i="6"/>
  <c r="CE14" i="6"/>
  <c r="CD14" i="6"/>
  <c r="CC14" i="6"/>
  <c r="F14" i="6"/>
  <c r="E14" i="6"/>
  <c r="D14" i="6"/>
  <c r="C14" i="6"/>
  <c r="CM14" i="6" s="1"/>
  <c r="CK13" i="6"/>
  <c r="CJ13" i="6"/>
  <c r="CI13" i="6"/>
  <c r="CH13" i="6"/>
  <c r="CG13" i="6"/>
  <c r="CF13" i="6"/>
  <c r="CE13" i="6"/>
  <c r="CD13" i="6"/>
  <c r="CC13" i="6"/>
  <c r="F13" i="6"/>
  <c r="E13" i="6"/>
  <c r="D13" i="6"/>
  <c r="C13" i="6"/>
  <c r="CL13" i="6" s="1"/>
  <c r="CK12" i="6"/>
  <c r="CJ12" i="6"/>
  <c r="CI12" i="6"/>
  <c r="CH12" i="6"/>
  <c r="CG12" i="6"/>
  <c r="CF12" i="6"/>
  <c r="CE12" i="6"/>
  <c r="CD12" i="6"/>
  <c r="CC12" i="6"/>
  <c r="F12" i="6"/>
  <c r="E12" i="6"/>
  <c r="D12" i="6"/>
  <c r="C12" i="6"/>
  <c r="CM12" i="6" s="1"/>
  <c r="CK11" i="6"/>
  <c r="CJ11" i="6"/>
  <c r="CI11" i="6"/>
  <c r="CH11" i="6"/>
  <c r="CG11" i="6"/>
  <c r="CF11" i="6"/>
  <c r="CE11" i="6"/>
  <c r="CD11" i="6"/>
  <c r="CC11" i="6"/>
  <c r="F11" i="6"/>
  <c r="E11" i="6"/>
  <c r="D11" i="6"/>
  <c r="C11" i="6"/>
  <c r="CK10" i="6"/>
  <c r="CJ10" i="6"/>
  <c r="CI10" i="6"/>
  <c r="CH10" i="6"/>
  <c r="CG10" i="6"/>
  <c r="CF10" i="6"/>
  <c r="CE10" i="6"/>
  <c r="CD10" i="6"/>
  <c r="CC10" i="6"/>
  <c r="F10" i="6"/>
  <c r="E10" i="6"/>
  <c r="D10" i="6"/>
  <c r="C10" i="6"/>
  <c r="CM10" i="6" s="1"/>
  <c r="CK9" i="6"/>
  <c r="CJ9" i="6"/>
  <c r="CI9" i="6"/>
  <c r="CH9" i="6"/>
  <c r="CG9" i="6"/>
  <c r="CF9" i="6"/>
  <c r="CE9" i="6"/>
  <c r="CD9" i="6"/>
  <c r="CC9" i="6"/>
  <c r="F9" i="6"/>
  <c r="E9" i="6"/>
  <c r="D9" i="6"/>
  <c r="C9" i="6"/>
  <c r="CL9" i="6" s="1"/>
  <c r="CK8" i="6"/>
  <c r="CJ8" i="6"/>
  <c r="CI8" i="6"/>
  <c r="CH8" i="6"/>
  <c r="CG8" i="6"/>
  <c r="CF8" i="6"/>
  <c r="CE8" i="6"/>
  <c r="CD8" i="6"/>
  <c r="CC8" i="6"/>
  <c r="F8" i="6"/>
  <c r="E8" i="6"/>
  <c r="D8" i="6"/>
  <c r="C8" i="6"/>
  <c r="CO8" i="6" s="1"/>
  <c r="CK7" i="6"/>
  <c r="CJ7" i="6"/>
  <c r="CI7" i="6"/>
  <c r="CH7" i="6"/>
  <c r="CG7" i="6"/>
  <c r="CF7" i="6"/>
  <c r="CE7" i="6"/>
  <c r="CD7" i="6"/>
  <c r="CC7" i="6"/>
  <c r="F7" i="6"/>
  <c r="E7" i="6"/>
  <c r="D7" i="6"/>
  <c r="C7" i="6"/>
  <c r="CO7" i="6" s="1"/>
  <c r="CK6" i="6"/>
  <c r="CJ6" i="6"/>
  <c r="CI6" i="6"/>
  <c r="CH6" i="6"/>
  <c r="CG6" i="6"/>
  <c r="CF6" i="6"/>
  <c r="CE6" i="6"/>
  <c r="CD6" i="6"/>
  <c r="CC6" i="6"/>
  <c r="F6" i="6"/>
  <c r="E6" i="6"/>
  <c r="D6" i="6"/>
  <c r="C6" i="6"/>
  <c r="CO6" i="6" s="1"/>
  <c r="CK5" i="6"/>
  <c r="CJ5" i="6"/>
  <c r="CI5" i="6"/>
  <c r="CH5" i="6"/>
  <c r="CG5" i="6"/>
  <c r="CF5" i="6"/>
  <c r="CE5" i="6"/>
  <c r="CD5" i="6"/>
  <c r="CC5" i="6"/>
  <c r="F5" i="6"/>
  <c r="E5" i="6"/>
  <c r="D5" i="6"/>
  <c r="C5" i="6"/>
  <c r="CO5" i="6" s="1"/>
  <c r="C15" i="4"/>
  <c r="L104" i="3"/>
  <c r="A104" i="7" s="1"/>
  <c r="K104" i="3"/>
  <c r="J104" i="3"/>
  <c r="L103" i="3"/>
  <c r="A103" i="7" s="1"/>
  <c r="K103" i="3"/>
  <c r="J103" i="3"/>
  <c r="L102" i="3"/>
  <c r="A102" i="7" s="1"/>
  <c r="K102" i="3"/>
  <c r="J102" i="3"/>
  <c r="L101" i="3"/>
  <c r="A101" i="7" s="1"/>
  <c r="K101" i="3"/>
  <c r="J101" i="3"/>
  <c r="L100" i="3"/>
  <c r="A100" i="7" s="1"/>
  <c r="K100" i="3"/>
  <c r="J100" i="3"/>
  <c r="L99" i="3"/>
  <c r="A99" i="7" s="1"/>
  <c r="K99" i="3"/>
  <c r="J99" i="3"/>
  <c r="L98" i="3"/>
  <c r="A98" i="7" s="1"/>
  <c r="K98" i="3"/>
  <c r="J98" i="3"/>
  <c r="L97" i="3"/>
  <c r="A97" i="7" s="1"/>
  <c r="K97" i="3"/>
  <c r="J97" i="3"/>
  <c r="L96" i="3"/>
  <c r="A96" i="7" s="1"/>
  <c r="K96" i="3"/>
  <c r="J96" i="3"/>
  <c r="L95" i="3"/>
  <c r="A95" i="7" s="1"/>
  <c r="K95" i="3"/>
  <c r="J95" i="3"/>
  <c r="L94" i="3"/>
  <c r="A94" i="7" s="1"/>
  <c r="K94" i="3"/>
  <c r="J94" i="3"/>
  <c r="L93" i="3"/>
  <c r="A93" i="7" s="1"/>
  <c r="K93" i="3"/>
  <c r="J93" i="3"/>
  <c r="L92" i="3"/>
  <c r="A92" i="7" s="1"/>
  <c r="K92" i="3"/>
  <c r="J92" i="3"/>
  <c r="L91" i="3"/>
  <c r="A91" i="7" s="1"/>
  <c r="K91" i="3"/>
  <c r="J91" i="3"/>
  <c r="L90" i="3"/>
  <c r="A90" i="7" s="1"/>
  <c r="K90" i="3"/>
  <c r="J90" i="3"/>
  <c r="L89" i="3"/>
  <c r="A89" i="7" s="1"/>
  <c r="K89" i="3"/>
  <c r="J89" i="3"/>
  <c r="L88" i="3"/>
  <c r="A88" i="7" s="1"/>
  <c r="K88" i="3"/>
  <c r="J88" i="3"/>
  <c r="L87" i="3"/>
  <c r="A87" i="7" s="1"/>
  <c r="K87" i="3"/>
  <c r="J87" i="3"/>
  <c r="L86" i="3"/>
  <c r="A86" i="7" s="1"/>
  <c r="K86" i="3"/>
  <c r="J86" i="3"/>
  <c r="L85" i="3"/>
  <c r="A85" i="7" s="1"/>
  <c r="K85" i="3"/>
  <c r="J85" i="3"/>
  <c r="L84" i="3"/>
  <c r="A84" i="7" s="1"/>
  <c r="K84" i="3"/>
  <c r="J84" i="3"/>
  <c r="L83" i="3"/>
  <c r="A83" i="7" s="1"/>
  <c r="K83" i="3"/>
  <c r="J83" i="3"/>
  <c r="L82" i="3"/>
  <c r="A82" i="7" s="1"/>
  <c r="K82" i="3"/>
  <c r="J82" i="3"/>
  <c r="L81" i="3"/>
  <c r="A81" i="7" s="1"/>
  <c r="K81" i="3"/>
  <c r="J81" i="3"/>
  <c r="L80" i="3"/>
  <c r="A80" i="7" s="1"/>
  <c r="K80" i="3"/>
  <c r="J80" i="3"/>
  <c r="L79" i="3"/>
  <c r="A79" i="7" s="1"/>
  <c r="K79" i="3"/>
  <c r="J79" i="3"/>
  <c r="L78" i="3"/>
  <c r="A78" i="7" s="1"/>
  <c r="K78" i="3"/>
  <c r="J78" i="3"/>
  <c r="L77" i="3"/>
  <c r="A77" i="7" s="1"/>
  <c r="K77" i="3"/>
  <c r="J77" i="3"/>
  <c r="L76" i="3"/>
  <c r="A76" i="7" s="1"/>
  <c r="K76" i="3"/>
  <c r="J76" i="3"/>
  <c r="L75" i="3"/>
  <c r="A75" i="7" s="1"/>
  <c r="K75" i="3"/>
  <c r="J75" i="3"/>
  <c r="L74" i="3"/>
  <c r="A74" i="7" s="1"/>
  <c r="K74" i="3"/>
  <c r="J74" i="3"/>
  <c r="L73" i="3"/>
  <c r="A73" i="7" s="1"/>
  <c r="K73" i="3"/>
  <c r="J73" i="3"/>
  <c r="L72" i="3"/>
  <c r="A72" i="7" s="1"/>
  <c r="K72" i="3"/>
  <c r="J72" i="3"/>
  <c r="L71" i="3"/>
  <c r="A71" i="7" s="1"/>
  <c r="K71" i="3"/>
  <c r="J71" i="3"/>
  <c r="L70" i="3"/>
  <c r="A70" i="7" s="1"/>
  <c r="K70" i="3"/>
  <c r="J70" i="3"/>
  <c r="L69" i="3"/>
  <c r="A69" i="7" s="1"/>
  <c r="K69" i="3"/>
  <c r="J69" i="3"/>
  <c r="L68" i="3"/>
  <c r="A68" i="7" s="1"/>
  <c r="K68" i="3"/>
  <c r="J68" i="3"/>
  <c r="L67" i="3"/>
  <c r="A67" i="7" s="1"/>
  <c r="K67" i="3"/>
  <c r="J67" i="3"/>
  <c r="L66" i="3"/>
  <c r="A66" i="7" s="1"/>
  <c r="K66" i="3"/>
  <c r="J66" i="3"/>
  <c r="L65" i="3"/>
  <c r="A65" i="7" s="1"/>
  <c r="K65" i="3"/>
  <c r="J65" i="3"/>
  <c r="L64" i="3"/>
  <c r="A64" i="7" s="1"/>
  <c r="K64" i="3"/>
  <c r="J64" i="3"/>
  <c r="L63" i="3"/>
  <c r="A63" i="7" s="1"/>
  <c r="K63" i="3"/>
  <c r="J63" i="3"/>
  <c r="L62" i="3"/>
  <c r="A62" i="7" s="1"/>
  <c r="K62" i="3"/>
  <c r="J62" i="3"/>
  <c r="L61" i="3"/>
  <c r="A61" i="7" s="1"/>
  <c r="K61" i="3"/>
  <c r="J61" i="3"/>
  <c r="L60" i="3"/>
  <c r="A60" i="7" s="1"/>
  <c r="K60" i="3"/>
  <c r="J60" i="3"/>
  <c r="L59" i="3"/>
  <c r="A59" i="7" s="1"/>
  <c r="K59" i="3"/>
  <c r="J59" i="3"/>
  <c r="L58" i="3"/>
  <c r="A58" i="7" s="1"/>
  <c r="K58" i="3"/>
  <c r="J58" i="3"/>
  <c r="L57" i="3"/>
  <c r="A57" i="7" s="1"/>
  <c r="K57" i="3"/>
  <c r="J57" i="3"/>
  <c r="L56" i="3"/>
  <c r="A56" i="7" s="1"/>
  <c r="K56" i="3"/>
  <c r="J56" i="3"/>
  <c r="L55" i="3"/>
  <c r="A55" i="7" s="1"/>
  <c r="K55" i="3"/>
  <c r="J55" i="3"/>
  <c r="L54" i="3"/>
  <c r="A54" i="7" s="1"/>
  <c r="K54" i="3"/>
  <c r="J54" i="3"/>
  <c r="L53" i="3"/>
  <c r="A53" i="7" s="1"/>
  <c r="K53" i="3"/>
  <c r="J53" i="3"/>
  <c r="L52" i="3"/>
  <c r="A52" i="7" s="1"/>
  <c r="K52" i="3"/>
  <c r="J52" i="3"/>
  <c r="L51" i="3"/>
  <c r="A51" i="7" s="1"/>
  <c r="K51" i="3"/>
  <c r="J51" i="3"/>
  <c r="L50" i="3"/>
  <c r="A50" i="7" s="1"/>
  <c r="K50" i="3"/>
  <c r="J50" i="3"/>
  <c r="L49" i="3"/>
  <c r="A49" i="7" s="1"/>
  <c r="K49" i="3"/>
  <c r="J49" i="3"/>
  <c r="L48" i="3"/>
  <c r="A48" i="7" s="1"/>
  <c r="K48" i="3"/>
  <c r="J48" i="3"/>
  <c r="L47" i="3"/>
  <c r="A47" i="7" s="1"/>
  <c r="K47" i="3"/>
  <c r="J47" i="3"/>
  <c r="L46" i="3"/>
  <c r="A46" i="7" s="1"/>
  <c r="K46" i="3"/>
  <c r="J46" i="3"/>
  <c r="L45" i="3"/>
  <c r="A45" i="7" s="1"/>
  <c r="K45" i="3"/>
  <c r="J45" i="3"/>
  <c r="L44" i="3"/>
  <c r="A44" i="7" s="1"/>
  <c r="K44" i="3"/>
  <c r="J44" i="3"/>
  <c r="L43" i="3"/>
  <c r="A43" i="7" s="1"/>
  <c r="K43" i="3"/>
  <c r="J43" i="3"/>
  <c r="L42" i="3"/>
  <c r="A42" i="7" s="1"/>
  <c r="K42" i="3"/>
  <c r="J42" i="3"/>
  <c r="L41" i="3"/>
  <c r="A41" i="7" s="1"/>
  <c r="K41" i="3"/>
  <c r="J41" i="3"/>
  <c r="L40" i="3"/>
  <c r="A40" i="7" s="1"/>
  <c r="K40" i="3"/>
  <c r="J40" i="3"/>
  <c r="L39" i="3"/>
  <c r="A39" i="7" s="1"/>
  <c r="K39" i="3"/>
  <c r="J39" i="3"/>
  <c r="L38" i="3"/>
  <c r="A38" i="7" s="1"/>
  <c r="K38" i="3"/>
  <c r="J38" i="3"/>
  <c r="L37" i="3"/>
  <c r="A37" i="7" s="1"/>
  <c r="K37" i="3"/>
  <c r="J37" i="3"/>
  <c r="L36" i="3"/>
  <c r="A36" i="7" s="1"/>
  <c r="K36" i="3"/>
  <c r="L35" i="3"/>
  <c r="A35" i="7" s="1"/>
  <c r="K35" i="3"/>
  <c r="L34" i="3"/>
  <c r="A34" i="7" s="1"/>
  <c r="K34" i="3"/>
  <c r="L33" i="3"/>
  <c r="A33" i="7" s="1"/>
  <c r="K33" i="3"/>
  <c r="L32" i="3"/>
  <c r="A32" i="7" s="1"/>
  <c r="K32" i="3"/>
  <c r="L31" i="3"/>
  <c r="A31" i="7" s="1"/>
  <c r="K31" i="3"/>
  <c r="L30" i="3"/>
  <c r="A30" i="7" s="1"/>
  <c r="K30" i="3"/>
  <c r="L29" i="3"/>
  <c r="A29" i="7" s="1"/>
  <c r="K29" i="3"/>
  <c r="L28" i="3"/>
  <c r="A28" i="7" s="1"/>
  <c r="K28" i="3"/>
  <c r="L27" i="3"/>
  <c r="A27" i="7" s="1"/>
  <c r="K27" i="3"/>
  <c r="L26" i="3"/>
  <c r="A26" i="7" s="1"/>
  <c r="K26" i="3"/>
  <c r="L25" i="3"/>
  <c r="A25" i="7" s="1"/>
  <c r="K25" i="3"/>
  <c r="L24" i="3"/>
  <c r="A24" i="7" s="1"/>
  <c r="K24" i="3"/>
  <c r="L23" i="3"/>
  <c r="A23" i="7" s="1"/>
  <c r="K23" i="3"/>
  <c r="L22" i="3"/>
  <c r="A22" i="7" s="1"/>
  <c r="K22" i="3"/>
  <c r="L21" i="3"/>
  <c r="A21" i="7" s="1"/>
  <c r="K21" i="3"/>
  <c r="L20" i="3"/>
  <c r="A20" i="7" s="1"/>
  <c r="K20" i="3"/>
  <c r="L19" i="3"/>
  <c r="A19" i="7" s="1"/>
  <c r="K19" i="3"/>
  <c r="L18" i="3"/>
  <c r="A18" i="7" s="1"/>
  <c r="K18" i="3"/>
  <c r="L17" i="3"/>
  <c r="A17" i="7" s="1"/>
  <c r="K17" i="3"/>
  <c r="L16" i="3"/>
  <c r="A16" i="7" s="1"/>
  <c r="K16" i="3"/>
  <c r="L15" i="3"/>
  <c r="A15" i="7" s="1"/>
  <c r="K15" i="3"/>
  <c r="L14" i="3"/>
  <c r="A14" i="7" s="1"/>
  <c r="K14" i="3"/>
  <c r="L13" i="3"/>
  <c r="A13" i="7" s="1"/>
  <c r="K13" i="3"/>
  <c r="L12" i="3"/>
  <c r="A12" i="7" s="1"/>
  <c r="K12" i="3"/>
  <c r="L11" i="3"/>
  <c r="A11" i="7" s="1"/>
  <c r="K11" i="3"/>
  <c r="L10" i="3"/>
  <c r="A10" i="7" s="1"/>
  <c r="K10" i="3"/>
  <c r="L9" i="3"/>
  <c r="A9" i="7" s="1"/>
  <c r="K9" i="3"/>
  <c r="L8" i="3"/>
  <c r="A8" i="7" s="1"/>
  <c r="K8" i="3"/>
  <c r="L7" i="3"/>
  <c r="A7" i="7" s="1"/>
  <c r="K7" i="3"/>
  <c r="L6" i="3"/>
  <c r="A6" i="7" s="1"/>
  <c r="K6" i="3"/>
  <c r="L5" i="3"/>
  <c r="A5" i="7" s="1"/>
  <c r="K5" i="3"/>
  <c r="H5" i="2"/>
  <c r="I5" i="2" s="1"/>
  <c r="CL623" i="6" l="1"/>
  <c r="CM623" i="6"/>
  <c r="CL627" i="6"/>
  <c r="CM627" i="6"/>
  <c r="CL631" i="6"/>
  <c r="CM631" i="6"/>
  <c r="CL635" i="6"/>
  <c r="CM635" i="6"/>
  <c r="CL639" i="6"/>
  <c r="CM639" i="6"/>
  <c r="CL643" i="6"/>
  <c r="CM643" i="6"/>
  <c r="CO797" i="6"/>
  <c r="CM797" i="6"/>
  <c r="CO805" i="6"/>
  <c r="CM805" i="6"/>
  <c r="CO813" i="6"/>
  <c r="CM813" i="6"/>
  <c r="CO821" i="6"/>
  <c r="CM821" i="6"/>
  <c r="CO829" i="6"/>
  <c r="CM829" i="6"/>
  <c r="CO837" i="6"/>
  <c r="CM837" i="6"/>
  <c r="CO845" i="6"/>
  <c r="CM845" i="6"/>
  <c r="CO853" i="6"/>
  <c r="CM853" i="6"/>
  <c r="CO861" i="6"/>
  <c r="CM861" i="6"/>
  <c r="CO869" i="6"/>
  <c r="CM869" i="6"/>
  <c r="CL41" i="6"/>
  <c r="CL105" i="6"/>
  <c r="CL181" i="6"/>
  <c r="CL245" i="6"/>
  <c r="CL277" i="6"/>
  <c r="CL309" i="6"/>
  <c r="CL389" i="6"/>
  <c r="CL390" i="6"/>
  <c r="CL391" i="6"/>
  <c r="CL392" i="6"/>
  <c r="CL393" i="6"/>
  <c r="CL394" i="6"/>
  <c r="CL395" i="6"/>
  <c r="CL396" i="6"/>
  <c r="CL397" i="6"/>
  <c r="CL398" i="6"/>
  <c r="CL399" i="6"/>
  <c r="CL400" i="6"/>
  <c r="CL401" i="6"/>
  <c r="CL402" i="6"/>
  <c r="CL403" i="6"/>
  <c r="CL404" i="6"/>
  <c r="CL405" i="6"/>
  <c r="CL406" i="6"/>
  <c r="CL407" i="6"/>
  <c r="CL408" i="6"/>
  <c r="CL409" i="6"/>
  <c r="CL410" i="6"/>
  <c r="CL411" i="6"/>
  <c r="CL412" i="6"/>
  <c r="CL413" i="6"/>
  <c r="CL414" i="6"/>
  <c r="CL624" i="6"/>
  <c r="CM624" i="6"/>
  <c r="CL628" i="6"/>
  <c r="CM628" i="6"/>
  <c r="CL632" i="6"/>
  <c r="CM632" i="6"/>
  <c r="CL636" i="6"/>
  <c r="CM636" i="6"/>
  <c r="CL640" i="6"/>
  <c r="CM640" i="6"/>
  <c r="CL644" i="6"/>
  <c r="CM644" i="6"/>
  <c r="CL648" i="6"/>
  <c r="CM648" i="6"/>
  <c r="CL652" i="6"/>
  <c r="CM652" i="6"/>
  <c r="CL656" i="6"/>
  <c r="CM656" i="6"/>
  <c r="CL660" i="6"/>
  <c r="CM660" i="6"/>
  <c r="CL664" i="6"/>
  <c r="CM664" i="6"/>
  <c r="CL668" i="6"/>
  <c r="CM668" i="6"/>
  <c r="CL672" i="6"/>
  <c r="CM672" i="6"/>
  <c r="CL676" i="6"/>
  <c r="CM676" i="6"/>
  <c r="CL680" i="6"/>
  <c r="CM680" i="6"/>
  <c r="CL684" i="6"/>
  <c r="CM684" i="6"/>
  <c r="CL688" i="6"/>
  <c r="CM688" i="6"/>
  <c r="CL692" i="6"/>
  <c r="CM692" i="6"/>
  <c r="CL696" i="6"/>
  <c r="CM696" i="6"/>
  <c r="CL700" i="6"/>
  <c r="CM700" i="6"/>
  <c r="CL704" i="6"/>
  <c r="CM704" i="6"/>
  <c r="CL708" i="6"/>
  <c r="CM708" i="6"/>
  <c r="CL712" i="6"/>
  <c r="CM712" i="6"/>
  <c r="CL716" i="6"/>
  <c r="CM716" i="6"/>
  <c r="CL720" i="6"/>
  <c r="CM720" i="6"/>
  <c r="CL724" i="6"/>
  <c r="CM724" i="6"/>
  <c r="CL728" i="6"/>
  <c r="CM728" i="6"/>
  <c r="CL732" i="6"/>
  <c r="CM732" i="6"/>
  <c r="CL736" i="6"/>
  <c r="CM736" i="6"/>
  <c r="CL740" i="6"/>
  <c r="CM740" i="6"/>
  <c r="CL744" i="6"/>
  <c r="CM744" i="6"/>
  <c r="CL748" i="6"/>
  <c r="CM748" i="6"/>
  <c r="CO760" i="6"/>
  <c r="CM760" i="6"/>
  <c r="CO764" i="6"/>
  <c r="CM764" i="6"/>
  <c r="CO768" i="6"/>
  <c r="CM768" i="6"/>
  <c r="CO772" i="6"/>
  <c r="CM772" i="6"/>
  <c r="CO776" i="6"/>
  <c r="CM776" i="6"/>
  <c r="CO780" i="6"/>
  <c r="CM780" i="6"/>
  <c r="CO784" i="6"/>
  <c r="CM784" i="6"/>
  <c r="CO788" i="6"/>
  <c r="CM788" i="6"/>
  <c r="CO792" i="6"/>
  <c r="CM792" i="6"/>
  <c r="CL57" i="6"/>
  <c r="CL121" i="6"/>
  <c r="CL189" i="6"/>
  <c r="CL210" i="6"/>
  <c r="CL253" i="6"/>
  <c r="CL285" i="6"/>
  <c r="CM389" i="6"/>
  <c r="CM390" i="6"/>
  <c r="CM391" i="6"/>
  <c r="CM392" i="6"/>
  <c r="CM393" i="6"/>
  <c r="CM394" i="6"/>
  <c r="CM395" i="6"/>
  <c r="CM396" i="6"/>
  <c r="CM397" i="6"/>
  <c r="CM398" i="6"/>
  <c r="CM399" i="6"/>
  <c r="CM400" i="6"/>
  <c r="CM401" i="6"/>
  <c r="CM402" i="6"/>
  <c r="CM403" i="6"/>
  <c r="CM404" i="6"/>
  <c r="CM405" i="6"/>
  <c r="CM406" i="6"/>
  <c r="CM407" i="6"/>
  <c r="CM408" i="6"/>
  <c r="CM409" i="6"/>
  <c r="CM410" i="6"/>
  <c r="CM411" i="6"/>
  <c r="CM412" i="6"/>
  <c r="CM413" i="6"/>
  <c r="CM414" i="6"/>
  <c r="CM461" i="6"/>
  <c r="CM463" i="6"/>
  <c r="CM465" i="6"/>
  <c r="CM467" i="6"/>
  <c r="CM469" i="6"/>
  <c r="CM471" i="6"/>
  <c r="CM473" i="6"/>
  <c r="CM475" i="6"/>
  <c r="CM477" i="6"/>
  <c r="CM479" i="6"/>
  <c r="CM481" i="6"/>
  <c r="CM483" i="6"/>
  <c r="CM485" i="6"/>
  <c r="CM487" i="6"/>
  <c r="CM489" i="6"/>
  <c r="CM491" i="6"/>
  <c r="CM493" i="6"/>
  <c r="CM495" i="6"/>
  <c r="CM497" i="6"/>
  <c r="CM499" i="6"/>
  <c r="CM501" i="6"/>
  <c r="CM503" i="6"/>
  <c r="CM505" i="6"/>
  <c r="CM507" i="6"/>
  <c r="CM509" i="6"/>
  <c r="CM511" i="6"/>
  <c r="CM513" i="6"/>
  <c r="CM515" i="6"/>
  <c r="CM517" i="6"/>
  <c r="CM519" i="6"/>
  <c r="CM521" i="6"/>
  <c r="CM523" i="6"/>
  <c r="CM525" i="6"/>
  <c r="CM527" i="6"/>
  <c r="CM529" i="6"/>
  <c r="CM531" i="6"/>
  <c r="CM533" i="6"/>
  <c r="CM535" i="6"/>
  <c r="CM537" i="6"/>
  <c r="CM539" i="6"/>
  <c r="CM541" i="6"/>
  <c r="CM543" i="6"/>
  <c r="CM545" i="6"/>
  <c r="CM547" i="6"/>
  <c r="CM549" i="6"/>
  <c r="CM551" i="6"/>
  <c r="CM553" i="6"/>
  <c r="CM555" i="6"/>
  <c r="CM557" i="6"/>
  <c r="CM559" i="6"/>
  <c r="CM561" i="6"/>
  <c r="CM563" i="6"/>
  <c r="CM565" i="6"/>
  <c r="CM567" i="6"/>
  <c r="CM569" i="6"/>
  <c r="CM571" i="6"/>
  <c r="CM573" i="6"/>
  <c r="CM575" i="6"/>
  <c r="CM577" i="6"/>
  <c r="CM579" i="6"/>
  <c r="CM581" i="6"/>
  <c r="CM583" i="6"/>
  <c r="CM585" i="6"/>
  <c r="CM587" i="6"/>
  <c r="CM589" i="6"/>
  <c r="CL625" i="6"/>
  <c r="CM625" i="6"/>
  <c r="CL629" i="6"/>
  <c r="CM629" i="6"/>
  <c r="CL633" i="6"/>
  <c r="CM633" i="6"/>
  <c r="CL637" i="6"/>
  <c r="CM637" i="6"/>
  <c r="CL641" i="6"/>
  <c r="CM641" i="6"/>
  <c r="CL73" i="6"/>
  <c r="CL197" i="6"/>
  <c r="CL218" i="6"/>
  <c r="CL229" i="6"/>
  <c r="CL261" i="6"/>
  <c r="CL293" i="6"/>
  <c r="CL325" i="6"/>
  <c r="CL622" i="6"/>
  <c r="CM622" i="6"/>
  <c r="CL626" i="6"/>
  <c r="CM626" i="6"/>
  <c r="CL630" i="6"/>
  <c r="CM630" i="6"/>
  <c r="CL634" i="6"/>
  <c r="CM634" i="6"/>
  <c r="CL638" i="6"/>
  <c r="CM638" i="6"/>
  <c r="CL642" i="6"/>
  <c r="CM642" i="6"/>
  <c r="CL646" i="6"/>
  <c r="CM646" i="6"/>
  <c r="CL650" i="6"/>
  <c r="CM650" i="6"/>
  <c r="CL654" i="6"/>
  <c r="CM654" i="6"/>
  <c r="CL658" i="6"/>
  <c r="CM658" i="6"/>
  <c r="CL662" i="6"/>
  <c r="CM662" i="6"/>
  <c r="CL666" i="6"/>
  <c r="CM666" i="6"/>
  <c r="CL670" i="6"/>
  <c r="CM670" i="6"/>
  <c r="CL674" i="6"/>
  <c r="CM674" i="6"/>
  <c r="CL678" i="6"/>
  <c r="CM678" i="6"/>
  <c r="CL682" i="6"/>
  <c r="CM682" i="6"/>
  <c r="CL686" i="6"/>
  <c r="CM686" i="6"/>
  <c r="CL690" i="6"/>
  <c r="CM690" i="6"/>
  <c r="CL694" i="6"/>
  <c r="CM694" i="6"/>
  <c r="CL698" i="6"/>
  <c r="CM698" i="6"/>
  <c r="CL702" i="6"/>
  <c r="CM702" i="6"/>
  <c r="CL706" i="6"/>
  <c r="CM706" i="6"/>
  <c r="CL710" i="6"/>
  <c r="CM710" i="6"/>
  <c r="CL714" i="6"/>
  <c r="CM714" i="6"/>
  <c r="CL718" i="6"/>
  <c r="CM718" i="6"/>
  <c r="CL722" i="6"/>
  <c r="CM722" i="6"/>
  <c r="CL726" i="6"/>
  <c r="CM726" i="6"/>
  <c r="CL730" i="6"/>
  <c r="CM730" i="6"/>
  <c r="CL734" i="6"/>
  <c r="CM734" i="6"/>
  <c r="CL738" i="6"/>
  <c r="CM738" i="6"/>
  <c r="CL742" i="6"/>
  <c r="CM742" i="6"/>
  <c r="CL746" i="6"/>
  <c r="CM746" i="6"/>
  <c r="CL750" i="6"/>
  <c r="CM750" i="6"/>
  <c r="CO762" i="6"/>
  <c r="CM762" i="6"/>
  <c r="CO766" i="6"/>
  <c r="CM766" i="6"/>
  <c r="CO770" i="6"/>
  <c r="CM770" i="6"/>
  <c r="CO774" i="6"/>
  <c r="CM774" i="6"/>
  <c r="CO778" i="6"/>
  <c r="CM778" i="6"/>
  <c r="CO782" i="6"/>
  <c r="CM782" i="6"/>
  <c r="CO786" i="6"/>
  <c r="CM786" i="6"/>
  <c r="CO790" i="6"/>
  <c r="CM790" i="6"/>
  <c r="CO795" i="6"/>
  <c r="CM795" i="6"/>
  <c r="CO803" i="6"/>
  <c r="CM803" i="6"/>
  <c r="CO811" i="6"/>
  <c r="CM811" i="6"/>
  <c r="CO819" i="6"/>
  <c r="CM819" i="6"/>
  <c r="CO827" i="6"/>
  <c r="CM827" i="6"/>
  <c r="CO835" i="6"/>
  <c r="CM835" i="6"/>
  <c r="CO843" i="6"/>
  <c r="CM843" i="6"/>
  <c r="CO851" i="6"/>
  <c r="CM851" i="6"/>
  <c r="CO859" i="6"/>
  <c r="CM859" i="6"/>
  <c r="CO867" i="6"/>
  <c r="CM867" i="6"/>
  <c r="CO793" i="6"/>
  <c r="CM793" i="6"/>
  <c r="CO801" i="6"/>
  <c r="CM801" i="6"/>
  <c r="CO809" i="6"/>
  <c r="CM809" i="6"/>
  <c r="CO817" i="6"/>
  <c r="CM817" i="6"/>
  <c r="CO825" i="6"/>
  <c r="CM825" i="6"/>
  <c r="CO833" i="6"/>
  <c r="CM833" i="6"/>
  <c r="CO841" i="6"/>
  <c r="CM841" i="6"/>
  <c r="CO849" i="6"/>
  <c r="CM849" i="6"/>
  <c r="CO857" i="6"/>
  <c r="CM857" i="6"/>
  <c r="CO865" i="6"/>
  <c r="CM865" i="6"/>
  <c r="CM645" i="6"/>
  <c r="CM647" i="6"/>
  <c r="CM649" i="6"/>
  <c r="CM651" i="6"/>
  <c r="CM653" i="6"/>
  <c r="CM655" i="6"/>
  <c r="CM657" i="6"/>
  <c r="CM659" i="6"/>
  <c r="CM661" i="6"/>
  <c r="CM663" i="6"/>
  <c r="CM665" i="6"/>
  <c r="CM667" i="6"/>
  <c r="CM669" i="6"/>
  <c r="CM671" i="6"/>
  <c r="CM673" i="6"/>
  <c r="CM675" i="6"/>
  <c r="CM677" i="6"/>
  <c r="CM679" i="6"/>
  <c r="CM681" i="6"/>
  <c r="CM683" i="6"/>
  <c r="CM685" i="6"/>
  <c r="CM687" i="6"/>
  <c r="CM689" i="6"/>
  <c r="CM691" i="6"/>
  <c r="CM693" i="6"/>
  <c r="CM695" i="6"/>
  <c r="CM697" i="6"/>
  <c r="CM699" i="6"/>
  <c r="CM701" i="6"/>
  <c r="CM703" i="6"/>
  <c r="CM705" i="6"/>
  <c r="CM707" i="6"/>
  <c r="CM709" i="6"/>
  <c r="CM711" i="6"/>
  <c r="CM713" i="6"/>
  <c r="CM715" i="6"/>
  <c r="CM717" i="6"/>
  <c r="CM719" i="6"/>
  <c r="CM721" i="6"/>
  <c r="CM723" i="6"/>
  <c r="CM725" i="6"/>
  <c r="CM727" i="6"/>
  <c r="CM729" i="6"/>
  <c r="CM731" i="6"/>
  <c r="CM733" i="6"/>
  <c r="CM735" i="6"/>
  <c r="CM737" i="6"/>
  <c r="CM739" i="6"/>
  <c r="CM741" i="6"/>
  <c r="CM743" i="6"/>
  <c r="CM745" i="6"/>
  <c r="CM747" i="6"/>
  <c r="CM749" i="6"/>
  <c r="CM759" i="6"/>
  <c r="CM761" i="6"/>
  <c r="CM763" i="6"/>
  <c r="CM765" i="6"/>
  <c r="CM767" i="6"/>
  <c r="CM769" i="6"/>
  <c r="CM771" i="6"/>
  <c r="CM773" i="6"/>
  <c r="CM775" i="6"/>
  <c r="CM777" i="6"/>
  <c r="CM779" i="6"/>
  <c r="CM781" i="6"/>
  <c r="CM783" i="6"/>
  <c r="CM785" i="6"/>
  <c r="CM787" i="6"/>
  <c r="CM789" i="6"/>
  <c r="CM791" i="6"/>
  <c r="CO799" i="6"/>
  <c r="CM799" i="6"/>
  <c r="CO807" i="6"/>
  <c r="CM807" i="6"/>
  <c r="CO815" i="6"/>
  <c r="CM815" i="6"/>
  <c r="CO823" i="6"/>
  <c r="CM823" i="6"/>
  <c r="CO831" i="6"/>
  <c r="CM831" i="6"/>
  <c r="CO839" i="6"/>
  <c r="CM839" i="6"/>
  <c r="CO847" i="6"/>
  <c r="CM847" i="6"/>
  <c r="CO855" i="6"/>
  <c r="CM855" i="6"/>
  <c r="CO863" i="6"/>
  <c r="CM863" i="6"/>
  <c r="CO871" i="6"/>
  <c r="CM871" i="6"/>
  <c r="CM873" i="6"/>
  <c r="CM875" i="6"/>
  <c r="CM877" i="6"/>
  <c r="CM879" i="6"/>
  <c r="CM881" i="6"/>
  <c r="CM883" i="6"/>
  <c r="CM885" i="6"/>
  <c r="CM887" i="6"/>
  <c r="CM889" i="6"/>
  <c r="CM891" i="6"/>
  <c r="CM893" i="6"/>
  <c r="CM895" i="6"/>
  <c r="CM897" i="6"/>
  <c r="CM899" i="6"/>
  <c r="CM901" i="6"/>
  <c r="CM903" i="6"/>
  <c r="CM905" i="6"/>
  <c r="CM907" i="6"/>
  <c r="CM909" i="6"/>
  <c r="CM911" i="6"/>
  <c r="CM913" i="6"/>
  <c r="CM915" i="6"/>
  <c r="CM917" i="6"/>
  <c r="CM919" i="6"/>
  <c r="CM921" i="6"/>
  <c r="CM923" i="6"/>
  <c r="CM925" i="6"/>
  <c r="CM927" i="6"/>
  <c r="CM929" i="6"/>
  <c r="CM931" i="6"/>
  <c r="CM933" i="6"/>
  <c r="CM935" i="6"/>
  <c r="CM937" i="6"/>
  <c r="CM939" i="6"/>
  <c r="CM941" i="6"/>
  <c r="CM943" i="6"/>
  <c r="CM945" i="6"/>
  <c r="CM947" i="6"/>
  <c r="CM949" i="6"/>
  <c r="CM951" i="6"/>
  <c r="CM953" i="6"/>
  <c r="CM955" i="6"/>
  <c r="CM957" i="6"/>
  <c r="CM959" i="6"/>
  <c r="CM961" i="6"/>
  <c r="E14" i="9"/>
  <c r="E16" i="9"/>
  <c r="E12" i="9"/>
  <c r="E10" i="9"/>
  <c r="E15" i="9"/>
  <c r="E17" i="9"/>
  <c r="E13" i="9"/>
  <c r="E11" i="9"/>
  <c r="E9" i="9"/>
  <c r="CL29" i="6"/>
  <c r="CL49" i="6"/>
  <c r="CL65" i="6"/>
  <c r="CL81" i="6"/>
  <c r="CL97" i="6"/>
  <c r="CL113" i="6"/>
  <c r="CL129" i="6"/>
  <c r="CL145" i="6"/>
  <c r="CL177" i="6"/>
  <c r="CL185" i="6"/>
  <c r="CL193" i="6"/>
  <c r="CL201" i="6"/>
  <c r="CL214" i="6"/>
  <c r="CL222" i="6"/>
  <c r="CL225" i="6"/>
  <c r="CL233" i="6"/>
  <c r="CL241" i="6"/>
  <c r="CL249" i="6"/>
  <c r="CL257" i="6"/>
  <c r="CL265" i="6"/>
  <c r="CL273" i="6"/>
  <c r="CL281" i="6"/>
  <c r="CL289" i="6"/>
  <c r="CL297" i="6"/>
  <c r="CL305" i="6"/>
  <c r="CL313" i="6"/>
  <c r="CL321" i="6"/>
  <c r="CL329" i="6"/>
  <c r="CM45" i="6"/>
  <c r="CL45" i="6"/>
  <c r="CM77" i="6"/>
  <c r="CL77" i="6"/>
  <c r="CM109" i="6"/>
  <c r="CL109" i="6"/>
  <c r="CM125" i="6"/>
  <c r="CL125" i="6"/>
  <c r="CM159" i="6"/>
  <c r="CL159" i="6"/>
  <c r="CM161" i="6"/>
  <c r="CL161" i="6"/>
  <c r="CM165" i="6"/>
  <c r="CL165" i="6"/>
  <c r="CM167" i="6"/>
  <c r="CL167" i="6"/>
  <c r="CM169" i="6"/>
  <c r="CL169" i="6"/>
  <c r="CM173" i="6"/>
  <c r="CL173" i="6"/>
  <c r="CL175" i="6"/>
  <c r="CM183" i="6"/>
  <c r="CL183" i="6"/>
  <c r="CM191" i="6"/>
  <c r="CL191" i="6"/>
  <c r="CL199" i="6"/>
  <c r="CM199" i="6" s="1"/>
  <c r="CM207" i="6"/>
  <c r="CL207" i="6"/>
  <c r="CM212" i="6"/>
  <c r="CL212" i="6"/>
  <c r="CM220" i="6"/>
  <c r="CL220" i="6"/>
  <c r="CM231" i="6"/>
  <c r="CL231" i="6"/>
  <c r="CM239" i="6"/>
  <c r="CL239" i="6"/>
  <c r="CL247" i="6"/>
  <c r="CM247" i="6" s="1"/>
  <c r="CM255" i="6"/>
  <c r="CL255" i="6"/>
  <c r="CM263" i="6"/>
  <c r="CL263" i="6"/>
  <c r="CL271" i="6"/>
  <c r="CM271" i="6" s="1"/>
  <c r="CM279" i="6"/>
  <c r="CL279" i="6"/>
  <c r="CM287" i="6"/>
  <c r="CL287" i="6"/>
  <c r="CM295" i="6"/>
  <c r="CL295" i="6"/>
  <c r="CM303" i="6"/>
  <c r="CL303" i="6"/>
  <c r="CM311" i="6"/>
  <c r="CL311" i="6"/>
  <c r="CL319" i="6"/>
  <c r="CM327" i="6"/>
  <c r="CL327" i="6"/>
  <c r="CM61" i="6"/>
  <c r="CL61" i="6"/>
  <c r="CM93" i="6"/>
  <c r="CL93" i="6"/>
  <c r="CM141" i="6"/>
  <c r="CL141" i="6"/>
  <c r="CM157" i="6"/>
  <c r="CL157" i="6"/>
  <c r="CL163" i="6"/>
  <c r="CM163" i="6" s="1"/>
  <c r="CM171" i="6"/>
  <c r="CL171" i="6"/>
  <c r="CL5" i="6"/>
  <c r="CL6" i="6"/>
  <c r="CL7" i="6"/>
  <c r="CL8" i="6"/>
  <c r="CL17" i="6"/>
  <c r="CL25" i="6"/>
  <c r="CL33" i="6"/>
  <c r="CM37" i="6"/>
  <c r="CL37" i="6"/>
  <c r="CM53" i="6"/>
  <c r="CL53" i="6"/>
  <c r="CM69" i="6"/>
  <c r="CL69" i="6"/>
  <c r="CM85" i="6"/>
  <c r="CL85" i="6"/>
  <c r="CM101" i="6"/>
  <c r="CL101" i="6"/>
  <c r="CM117" i="6"/>
  <c r="CL117" i="6"/>
  <c r="CM133" i="6"/>
  <c r="CL133" i="6"/>
  <c r="CM149" i="6"/>
  <c r="CL149" i="6"/>
  <c r="CM179" i="6"/>
  <c r="CL179" i="6"/>
  <c r="CL187" i="6"/>
  <c r="CM187" i="6" s="1"/>
  <c r="CM195" i="6"/>
  <c r="CL195" i="6"/>
  <c r="CM203" i="6"/>
  <c r="CL203" i="6"/>
  <c r="CM208" i="6"/>
  <c r="CL208" i="6"/>
  <c r="CM216" i="6"/>
  <c r="CL216" i="6"/>
  <c r="CM227" i="6"/>
  <c r="CL227" i="6"/>
  <c r="CM235" i="6"/>
  <c r="CL235" i="6"/>
  <c r="CM243" i="6"/>
  <c r="CL243" i="6"/>
  <c r="CM251" i="6"/>
  <c r="CL251" i="6"/>
  <c r="CL259" i="6"/>
  <c r="CM259" i="6" s="1"/>
  <c r="CM267" i="6"/>
  <c r="CL267" i="6"/>
  <c r="CM275" i="6"/>
  <c r="CL275" i="6"/>
  <c r="CL283" i="6"/>
  <c r="CM283" i="6" s="1"/>
  <c r="CM291" i="6"/>
  <c r="CL291" i="6"/>
  <c r="CM299" i="6"/>
  <c r="CL299" i="6"/>
  <c r="CL307" i="6"/>
  <c r="CM307" i="6" s="1"/>
  <c r="CM315" i="6"/>
  <c r="CL315" i="6"/>
  <c r="CM323" i="6"/>
  <c r="CL323" i="6"/>
  <c r="CL331" i="6"/>
  <c r="CM331" i="6" s="1"/>
  <c r="CM15" i="6"/>
  <c r="CL15" i="6"/>
  <c r="CM23" i="6"/>
  <c r="CL23" i="6"/>
  <c r="CL31" i="6"/>
  <c r="CM31" i="6" s="1"/>
  <c r="CM39" i="6"/>
  <c r="CL39" i="6"/>
  <c r="CM47" i="6"/>
  <c r="CL47" i="6"/>
  <c r="CL55" i="6"/>
  <c r="CM55" i="6" s="1"/>
  <c r="CM63" i="6"/>
  <c r="CL63" i="6"/>
  <c r="CM71" i="6"/>
  <c r="CL71" i="6"/>
  <c r="CL79" i="6"/>
  <c r="CM87" i="6"/>
  <c r="CL87" i="6"/>
  <c r="CM95" i="6"/>
  <c r="CL95" i="6"/>
  <c r="CL103" i="6"/>
  <c r="CM103" i="6" s="1"/>
  <c r="CM111" i="6"/>
  <c r="CL111" i="6"/>
  <c r="CM119" i="6"/>
  <c r="CL119" i="6"/>
  <c r="CL127" i="6"/>
  <c r="CM135" i="6"/>
  <c r="CL135" i="6"/>
  <c r="CM143" i="6"/>
  <c r="CL143" i="6"/>
  <c r="CM151" i="6"/>
  <c r="CL151" i="6"/>
  <c r="CM11" i="6"/>
  <c r="CL11" i="6"/>
  <c r="CL19" i="6"/>
  <c r="CM19" i="6" s="1"/>
  <c r="CM27" i="6"/>
  <c r="CL27" i="6"/>
  <c r="CM35" i="6"/>
  <c r="CL35" i="6"/>
  <c r="CL43" i="6"/>
  <c r="CM43" i="6" s="1"/>
  <c r="CM51" i="6"/>
  <c r="CL51" i="6"/>
  <c r="CM59" i="6"/>
  <c r="CL59" i="6"/>
  <c r="CL67" i="6"/>
  <c r="CM75" i="6"/>
  <c r="CL75" i="6"/>
  <c r="CM83" i="6"/>
  <c r="CL83" i="6"/>
  <c r="CM91" i="6"/>
  <c r="CL91" i="6"/>
  <c r="CM99" i="6"/>
  <c r="CL99" i="6"/>
  <c r="CM107" i="6"/>
  <c r="CL107" i="6"/>
  <c r="CL115" i="6"/>
  <c r="CM115" i="6" s="1"/>
  <c r="CM123" i="6"/>
  <c r="CL123" i="6"/>
  <c r="CM131" i="6"/>
  <c r="CL131" i="6"/>
  <c r="CL139" i="6"/>
  <c r="CM139" i="6" s="1"/>
  <c r="CM147" i="6"/>
  <c r="CL147" i="6"/>
  <c r="CM155" i="6"/>
  <c r="CL155" i="6"/>
  <c r="CM158" i="6"/>
  <c r="CL158" i="6"/>
  <c r="CM160" i="6"/>
  <c r="CL160" i="6"/>
  <c r="CM162" i="6"/>
  <c r="CL162" i="6"/>
  <c r="CM164" i="6"/>
  <c r="CL164" i="6"/>
  <c r="CM166" i="6"/>
  <c r="CL166" i="6"/>
  <c r="CM168" i="6"/>
  <c r="CL168" i="6"/>
  <c r="CM170" i="6"/>
  <c r="CL170" i="6"/>
  <c r="CM172" i="6"/>
  <c r="CL172" i="6"/>
  <c r="CM174" i="6"/>
  <c r="CL174" i="6"/>
  <c r="CM176" i="6"/>
  <c r="CL176" i="6"/>
  <c r="CO176" i="6"/>
  <c r="CO178" i="6"/>
  <c r="CO180" i="6"/>
  <c r="CO182" i="6"/>
  <c r="CO184" i="6"/>
  <c r="CO186" i="6"/>
  <c r="CO188" i="6"/>
  <c r="CO190" i="6"/>
  <c r="CO192" i="6"/>
  <c r="CO194" i="6"/>
  <c r="CO196" i="6"/>
  <c r="CO198" i="6"/>
  <c r="CO200" i="6"/>
  <c r="CO202" i="6"/>
  <c r="CO204" i="6"/>
  <c r="CO206" i="6"/>
  <c r="CO209" i="6"/>
  <c r="CO211" i="6"/>
  <c r="CO213" i="6"/>
  <c r="CO215" i="6"/>
  <c r="CO217" i="6"/>
  <c r="CO219" i="6"/>
  <c r="CO221" i="6"/>
  <c r="CO223" i="6"/>
  <c r="CM224" i="6"/>
  <c r="CL224" i="6"/>
  <c r="CM226" i="6"/>
  <c r="CL226" i="6"/>
  <c r="CM228" i="6"/>
  <c r="CL228" i="6"/>
  <c r="CM230" i="6"/>
  <c r="CL230" i="6"/>
  <c r="CM232" i="6"/>
  <c r="CL232" i="6"/>
  <c r="CM234" i="6"/>
  <c r="CL234" i="6"/>
  <c r="CM236" i="6"/>
  <c r="CL236" i="6"/>
  <c r="CM238" i="6"/>
  <c r="CL238" i="6"/>
  <c r="CM240" i="6"/>
  <c r="CL240" i="6"/>
  <c r="CM242" i="6"/>
  <c r="CL242" i="6"/>
  <c r="CM244" i="6"/>
  <c r="CL244" i="6"/>
  <c r="CM246" i="6"/>
  <c r="CL246" i="6"/>
  <c r="CM248" i="6"/>
  <c r="CL248" i="6"/>
  <c r="CM250" i="6"/>
  <c r="CL250" i="6"/>
  <c r="CM252" i="6"/>
  <c r="CL252" i="6"/>
  <c r="CM254" i="6"/>
  <c r="CL254" i="6"/>
  <c r="CM256" i="6"/>
  <c r="CL256" i="6"/>
  <c r="CM258" i="6"/>
  <c r="CL258" i="6"/>
  <c r="CM260" i="6"/>
  <c r="CL260" i="6"/>
  <c r="CM262" i="6"/>
  <c r="CL262" i="6"/>
  <c r="CM264" i="6"/>
  <c r="CL264" i="6"/>
  <c r="CM266" i="6"/>
  <c r="CL266" i="6"/>
  <c r="CM268" i="6"/>
  <c r="CL268" i="6"/>
  <c r="CM270" i="6"/>
  <c r="CL270" i="6"/>
  <c r="CM272" i="6"/>
  <c r="CL272" i="6"/>
  <c r="CM274" i="6"/>
  <c r="CL274" i="6"/>
  <c r="CO274" i="6"/>
  <c r="CM278" i="6"/>
  <c r="CL278" i="6"/>
  <c r="CO278" i="6"/>
  <c r="CM282" i="6"/>
  <c r="CL282" i="6"/>
  <c r="CO282" i="6"/>
  <c r="CM286" i="6"/>
  <c r="CL286" i="6"/>
  <c r="CO286" i="6"/>
  <c r="CM290" i="6"/>
  <c r="CL290" i="6"/>
  <c r="CO290" i="6"/>
  <c r="CM294" i="6"/>
  <c r="CL294" i="6"/>
  <c r="CO294" i="6"/>
  <c r="CM298" i="6"/>
  <c r="CL298" i="6"/>
  <c r="CO298" i="6"/>
  <c r="CM302" i="6"/>
  <c r="CL302" i="6"/>
  <c r="CO302" i="6"/>
  <c r="CM306" i="6"/>
  <c r="CL306" i="6"/>
  <c r="CO306" i="6"/>
  <c r="CM310" i="6"/>
  <c r="CL310" i="6"/>
  <c r="CO310" i="6"/>
  <c r="CM314" i="6"/>
  <c r="CL314" i="6"/>
  <c r="CO314" i="6"/>
  <c r="CM318" i="6"/>
  <c r="CL318" i="6"/>
  <c r="CO318" i="6"/>
  <c r="CM322" i="6"/>
  <c r="CL322" i="6"/>
  <c r="CO322" i="6"/>
  <c r="CM326" i="6"/>
  <c r="CL326" i="6"/>
  <c r="CO326" i="6"/>
  <c r="CM330" i="6"/>
  <c r="CL330" i="6"/>
  <c r="CO330" i="6"/>
  <c r="CO334" i="6"/>
  <c r="CL334" i="6"/>
  <c r="CO157" i="6"/>
  <c r="CO159" i="6"/>
  <c r="CO161" i="6"/>
  <c r="CO163" i="6"/>
  <c r="CO165" i="6"/>
  <c r="CO167" i="6"/>
  <c r="CO169" i="6"/>
  <c r="CO171" i="6"/>
  <c r="CO173" i="6"/>
  <c r="CO175" i="6"/>
  <c r="CO177" i="6"/>
  <c r="CL178" i="6"/>
  <c r="CO179" i="6"/>
  <c r="CL180" i="6"/>
  <c r="CO181" i="6"/>
  <c r="CL182" i="6"/>
  <c r="CO183" i="6"/>
  <c r="CL184" i="6"/>
  <c r="CO185" i="6"/>
  <c r="CL186" i="6"/>
  <c r="CO187" i="6"/>
  <c r="CL188" i="6"/>
  <c r="CO189" i="6"/>
  <c r="CL190" i="6"/>
  <c r="CO191" i="6"/>
  <c r="CL192" i="6"/>
  <c r="CO193" i="6"/>
  <c r="CL194" i="6"/>
  <c r="CO195" i="6"/>
  <c r="CL196" i="6"/>
  <c r="CO197" i="6"/>
  <c r="CL198" i="6"/>
  <c r="CO199" i="6"/>
  <c r="CL200" i="6"/>
  <c r="CO201" i="6"/>
  <c r="CL202" i="6"/>
  <c r="CO203" i="6"/>
  <c r="CL204" i="6"/>
  <c r="CO205" i="6"/>
  <c r="CL206" i="6"/>
  <c r="CO208" i="6"/>
  <c r="CL209" i="6"/>
  <c r="CO210" i="6"/>
  <c r="CL211" i="6"/>
  <c r="CM211" i="6" s="1"/>
  <c r="CO212" i="6"/>
  <c r="CL213" i="6"/>
  <c r="CO214" i="6"/>
  <c r="CL215" i="6"/>
  <c r="CO216" i="6"/>
  <c r="CL217" i="6"/>
  <c r="CO218" i="6"/>
  <c r="CL219" i="6"/>
  <c r="CO220" i="6"/>
  <c r="CL221" i="6"/>
  <c r="CO222" i="6"/>
  <c r="CL223" i="6"/>
  <c r="CM223" i="6" s="1"/>
  <c r="CO224" i="6"/>
  <c r="CO226" i="6"/>
  <c r="CO228" i="6"/>
  <c r="CO230" i="6"/>
  <c r="CO232" i="6"/>
  <c r="CO234" i="6"/>
  <c r="CO236" i="6"/>
  <c r="CO238" i="6"/>
  <c r="CO240" i="6"/>
  <c r="CO242" i="6"/>
  <c r="CO244" i="6"/>
  <c r="CO246" i="6"/>
  <c r="CO248" i="6"/>
  <c r="CO250" i="6"/>
  <c r="CO252" i="6"/>
  <c r="CO254" i="6"/>
  <c r="CO256" i="6"/>
  <c r="CO258" i="6"/>
  <c r="CO260" i="6"/>
  <c r="CO262" i="6"/>
  <c r="CO264" i="6"/>
  <c r="CO266" i="6"/>
  <c r="CO268" i="6"/>
  <c r="CO270" i="6"/>
  <c r="CO272" i="6"/>
  <c r="CM276" i="6"/>
  <c r="CL276" i="6"/>
  <c r="CO276" i="6"/>
  <c r="CM280" i="6"/>
  <c r="CL280" i="6"/>
  <c r="CO280" i="6"/>
  <c r="CM284" i="6"/>
  <c r="CL284" i="6"/>
  <c r="CO284" i="6"/>
  <c r="CM288" i="6"/>
  <c r="CL288" i="6"/>
  <c r="CO288" i="6"/>
  <c r="CM292" i="6"/>
  <c r="CL292" i="6"/>
  <c r="CO292" i="6"/>
  <c r="CM296" i="6"/>
  <c r="CL296" i="6"/>
  <c r="CO296" i="6"/>
  <c r="CM300" i="6"/>
  <c r="CL300" i="6"/>
  <c r="CO300" i="6"/>
  <c r="CM304" i="6"/>
  <c r="CL304" i="6"/>
  <c r="CO304" i="6"/>
  <c r="CM308" i="6"/>
  <c r="CL308" i="6"/>
  <c r="CO308" i="6"/>
  <c r="CM312" i="6"/>
  <c r="CL312" i="6"/>
  <c r="CO312" i="6"/>
  <c r="CM316" i="6"/>
  <c r="CL316" i="6"/>
  <c r="CO316" i="6"/>
  <c r="CM320" i="6"/>
  <c r="CL320" i="6"/>
  <c r="CO320" i="6"/>
  <c r="CM324" i="6"/>
  <c r="CL324" i="6"/>
  <c r="CO324" i="6"/>
  <c r="CM328" i="6"/>
  <c r="CL328" i="6"/>
  <c r="CO328" i="6"/>
  <c r="CM332" i="6"/>
  <c r="CL332" i="6"/>
  <c r="CO332" i="6"/>
  <c r="CO225" i="6"/>
  <c r="CO227" i="6"/>
  <c r="CO229" i="6"/>
  <c r="CO231" i="6"/>
  <c r="CO233" i="6"/>
  <c r="CO235" i="6"/>
  <c r="CO237" i="6"/>
  <c r="CO239" i="6"/>
  <c r="CO241" i="6"/>
  <c r="CO243" i="6"/>
  <c r="CO245" i="6"/>
  <c r="CO247" i="6"/>
  <c r="CO249" i="6"/>
  <c r="CO251" i="6"/>
  <c r="CO253" i="6"/>
  <c r="CO255" i="6"/>
  <c r="CO257" i="6"/>
  <c r="CO259" i="6"/>
  <c r="CO261" i="6"/>
  <c r="CO263" i="6"/>
  <c r="CO265" i="6"/>
  <c r="CO267" i="6"/>
  <c r="CO269" i="6"/>
  <c r="CO271" i="6"/>
  <c r="CO273" i="6"/>
  <c r="CO377" i="6"/>
  <c r="CL377" i="6"/>
  <c r="CO378" i="6"/>
  <c r="CL378" i="6"/>
  <c r="CO379" i="6"/>
  <c r="CL379" i="6"/>
  <c r="CM379" i="6" s="1"/>
  <c r="CO380" i="6"/>
  <c r="CL380" i="6"/>
  <c r="CO381" i="6"/>
  <c r="CL381" i="6"/>
  <c r="CO382" i="6"/>
  <c r="CL382" i="6"/>
  <c r="CO383" i="6"/>
  <c r="CL383" i="6"/>
  <c r="CO384" i="6"/>
  <c r="CL384" i="6"/>
  <c r="CO385" i="6"/>
  <c r="CL385" i="6"/>
  <c r="CO386" i="6"/>
  <c r="CL386" i="6"/>
  <c r="CO387" i="6"/>
  <c r="CL387" i="6"/>
  <c r="CO388" i="6"/>
  <c r="CL388" i="6"/>
  <c r="CO275" i="6"/>
  <c r="CO277" i="6"/>
  <c r="CO279" i="6"/>
  <c r="CO281" i="6"/>
  <c r="CO283" i="6"/>
  <c r="CO285" i="6"/>
  <c r="CO287" i="6"/>
  <c r="CO289" i="6"/>
  <c r="CO291" i="6"/>
  <c r="CO293" i="6"/>
  <c r="CO295" i="6"/>
  <c r="CO297" i="6"/>
  <c r="CO299" i="6"/>
  <c r="CO301" i="6"/>
  <c r="CO303" i="6"/>
  <c r="CO305" i="6"/>
  <c r="CO307" i="6"/>
  <c r="CO309" i="6"/>
  <c r="CO311" i="6"/>
  <c r="CO313" i="6"/>
  <c r="CO315" i="6"/>
  <c r="CO317" i="6"/>
  <c r="CO319" i="6"/>
  <c r="CO321" i="6"/>
  <c r="CO323" i="6"/>
  <c r="CO325" i="6"/>
  <c r="CO327" i="6"/>
  <c r="CO329" i="6"/>
  <c r="CO331" i="6"/>
  <c r="CO333" i="6"/>
  <c r="CO10" i="6"/>
  <c r="CO12" i="6"/>
  <c r="CO14" i="6"/>
  <c r="CO16" i="6"/>
  <c r="CO18" i="6"/>
  <c r="CO20" i="6"/>
  <c r="CO22" i="6"/>
  <c r="CO24" i="6"/>
  <c r="CO26" i="6"/>
  <c r="CO28" i="6"/>
  <c r="CO30" i="6"/>
  <c r="CO32" i="6"/>
  <c r="CO34" i="6"/>
  <c r="CO36" i="6"/>
  <c r="CO38" i="6"/>
  <c r="CO40" i="6"/>
  <c r="CO42" i="6"/>
  <c r="CO44" i="6"/>
  <c r="CO46" i="6"/>
  <c r="CO48" i="6"/>
  <c r="CO50" i="6"/>
  <c r="CO52" i="6"/>
  <c r="CO54" i="6"/>
  <c r="CO56" i="6"/>
  <c r="CO58" i="6"/>
  <c r="CO60" i="6"/>
  <c r="CO62" i="6"/>
  <c r="CO64" i="6"/>
  <c r="CO66" i="6"/>
  <c r="CO68" i="6"/>
  <c r="CO70" i="6"/>
  <c r="CO72" i="6"/>
  <c r="CO74" i="6"/>
  <c r="CO76" i="6"/>
  <c r="CO78" i="6"/>
  <c r="CO80" i="6"/>
  <c r="CO82" i="6"/>
  <c r="CO84" i="6"/>
  <c r="CO86" i="6"/>
  <c r="CO88" i="6"/>
  <c r="CO90" i="6"/>
  <c r="CO92" i="6"/>
  <c r="CO94" i="6"/>
  <c r="CO96" i="6"/>
  <c r="CO98" i="6"/>
  <c r="CO100" i="6"/>
  <c r="CO102" i="6"/>
  <c r="CO104" i="6"/>
  <c r="CO106" i="6"/>
  <c r="CO108" i="6"/>
  <c r="CO110" i="6"/>
  <c r="CO112" i="6"/>
  <c r="CO114" i="6"/>
  <c r="CO116" i="6"/>
  <c r="CO118" i="6"/>
  <c r="CO120" i="6"/>
  <c r="CO122" i="6"/>
  <c r="CO124" i="6"/>
  <c r="CO126" i="6"/>
  <c r="CO128" i="6"/>
  <c r="CO130" i="6"/>
  <c r="CO132" i="6"/>
  <c r="CO134" i="6"/>
  <c r="CO136" i="6"/>
  <c r="CO138" i="6"/>
  <c r="CO140" i="6"/>
  <c r="CO142" i="6"/>
  <c r="CO144" i="6"/>
  <c r="CO146" i="6"/>
  <c r="CO148" i="6"/>
  <c r="CO150" i="6"/>
  <c r="CO152" i="6"/>
  <c r="CO154" i="6"/>
  <c r="CO156" i="6"/>
  <c r="CO335" i="6"/>
  <c r="CL335" i="6"/>
  <c r="CM335" i="6"/>
  <c r="CO337" i="6"/>
  <c r="CL337" i="6"/>
  <c r="CM337" i="6"/>
  <c r="CO339" i="6"/>
  <c r="CL339" i="6"/>
  <c r="CM339" i="6"/>
  <c r="CO341" i="6"/>
  <c r="CL341" i="6"/>
  <c r="CM341" i="6"/>
  <c r="CO343" i="6"/>
  <c r="CL343" i="6"/>
  <c r="CM343" i="6" s="1"/>
  <c r="CO345" i="6"/>
  <c r="CL345" i="6"/>
  <c r="CM345" i="6"/>
  <c r="CO347" i="6"/>
  <c r="CL347" i="6"/>
  <c r="CM347" i="6"/>
  <c r="CO349" i="6"/>
  <c r="CL349" i="6"/>
  <c r="CM349" i="6"/>
  <c r="CO351" i="6"/>
  <c r="CL351" i="6"/>
  <c r="CM351" i="6"/>
  <c r="CO353" i="6"/>
  <c r="CL353" i="6"/>
  <c r="CM353" i="6"/>
  <c r="CO355" i="6"/>
  <c r="CL355" i="6"/>
  <c r="CM355" i="6" s="1"/>
  <c r="CO357" i="6"/>
  <c r="CL357" i="6"/>
  <c r="CM357" i="6"/>
  <c r="CO359" i="6"/>
  <c r="CL359" i="6"/>
  <c r="CM359" i="6"/>
  <c r="CO361" i="6"/>
  <c r="CL361" i="6"/>
  <c r="CM361" i="6"/>
  <c r="CO363" i="6"/>
  <c r="CL363" i="6"/>
  <c r="CM363" i="6"/>
  <c r="CO365" i="6"/>
  <c r="CL365" i="6"/>
  <c r="CM365" i="6"/>
  <c r="CO367" i="6"/>
  <c r="CL367" i="6"/>
  <c r="CM367" i="6" s="1"/>
  <c r="CO369" i="6"/>
  <c r="CL369" i="6"/>
  <c r="CM369" i="6"/>
  <c r="CO371" i="6"/>
  <c r="CL371" i="6"/>
  <c r="CM371" i="6"/>
  <c r="CO373" i="6"/>
  <c r="CL373" i="6"/>
  <c r="CM373" i="6"/>
  <c r="CO375" i="6"/>
  <c r="CL375" i="6"/>
  <c r="CM375" i="6"/>
  <c r="H12" i="8"/>
  <c r="CO9" i="6"/>
  <c r="CL10" i="6"/>
  <c r="CO11" i="6"/>
  <c r="CL12" i="6"/>
  <c r="H16" i="8"/>
  <c r="CO13" i="6"/>
  <c r="CL14" i="6"/>
  <c r="CO15" i="6"/>
  <c r="CL16" i="6"/>
  <c r="H19" i="8" s="1"/>
  <c r="CO17" i="6"/>
  <c r="CL18" i="6"/>
  <c r="CO19" i="6"/>
  <c r="CL20" i="6"/>
  <c r="CO21" i="6"/>
  <c r="CL22" i="6"/>
  <c r="CO23" i="6"/>
  <c r="CL24" i="6"/>
  <c r="CO25" i="6"/>
  <c r="CL26" i="6"/>
  <c r="CO27" i="6"/>
  <c r="CL28" i="6"/>
  <c r="CO29" i="6"/>
  <c r="CL30" i="6"/>
  <c r="CO31" i="6"/>
  <c r="CL32" i="6"/>
  <c r="M7" i="7" s="1"/>
  <c r="CO33" i="6"/>
  <c r="CL34" i="6"/>
  <c r="CO35" i="6"/>
  <c r="CL36" i="6"/>
  <c r="CO37" i="6"/>
  <c r="CL38" i="6"/>
  <c r="CO39" i="6"/>
  <c r="CL40" i="6"/>
  <c r="CO41" i="6"/>
  <c r="CL42" i="6"/>
  <c r="CO43" i="6"/>
  <c r="CL44" i="6"/>
  <c r="CO45" i="6"/>
  <c r="CL46" i="6"/>
  <c r="CO47" i="6"/>
  <c r="CL48" i="6"/>
  <c r="CO49" i="6"/>
  <c r="CL50" i="6"/>
  <c r="CO51" i="6"/>
  <c r="CL52" i="6"/>
  <c r="CO53" i="6"/>
  <c r="CL54" i="6"/>
  <c r="CO55" i="6"/>
  <c r="CL56" i="6"/>
  <c r="CO57" i="6"/>
  <c r="CL58" i="6"/>
  <c r="CO59" i="6"/>
  <c r="CL60" i="6"/>
  <c r="CO61" i="6"/>
  <c r="CL62" i="6"/>
  <c r="CO63" i="6"/>
  <c r="CL64" i="6"/>
  <c r="CO65" i="6"/>
  <c r="CL66" i="6"/>
  <c r="CO67" i="6"/>
  <c r="CL68" i="6"/>
  <c r="CO69" i="6"/>
  <c r="CL70" i="6"/>
  <c r="CO71" i="6"/>
  <c r="CL72" i="6"/>
  <c r="CO73" i="6"/>
  <c r="CL74" i="6"/>
  <c r="CO75" i="6"/>
  <c r="CL76" i="6"/>
  <c r="CO77" i="6"/>
  <c r="CL78" i="6"/>
  <c r="CO79" i="6"/>
  <c r="CL80" i="6"/>
  <c r="CO81" i="6"/>
  <c r="CL82" i="6"/>
  <c r="CO83" i="6"/>
  <c r="CL84" i="6"/>
  <c r="CO85" i="6"/>
  <c r="CL86" i="6"/>
  <c r="CO87" i="6"/>
  <c r="CL88" i="6"/>
  <c r="CO89" i="6"/>
  <c r="CL90" i="6"/>
  <c r="CO91" i="6"/>
  <c r="CL92" i="6"/>
  <c r="CO93" i="6"/>
  <c r="CL94" i="6"/>
  <c r="CO95" i="6"/>
  <c r="CL96" i="6"/>
  <c r="CO97" i="6"/>
  <c r="CL98" i="6"/>
  <c r="CO99" i="6"/>
  <c r="CL100" i="6"/>
  <c r="CO101" i="6"/>
  <c r="CL102" i="6"/>
  <c r="CO103" i="6"/>
  <c r="CL104" i="6"/>
  <c r="CO105" i="6"/>
  <c r="CL106" i="6"/>
  <c r="CO107" i="6"/>
  <c r="CL108" i="6"/>
  <c r="CO109" i="6"/>
  <c r="CL110" i="6"/>
  <c r="CO111" i="6"/>
  <c r="CL112" i="6"/>
  <c r="CO113" i="6"/>
  <c r="CL114" i="6"/>
  <c r="CO115" i="6"/>
  <c r="CL116" i="6"/>
  <c r="CO117" i="6"/>
  <c r="CL118" i="6"/>
  <c r="CO119" i="6"/>
  <c r="CL120" i="6"/>
  <c r="CO121" i="6"/>
  <c r="CL122" i="6"/>
  <c r="CO123" i="6"/>
  <c r="CL124" i="6"/>
  <c r="CO125" i="6"/>
  <c r="CL126" i="6"/>
  <c r="CO127" i="6"/>
  <c r="CL128" i="6"/>
  <c r="CO129" i="6"/>
  <c r="CL130" i="6"/>
  <c r="CO131" i="6"/>
  <c r="CL132" i="6"/>
  <c r="CO133" i="6"/>
  <c r="CL134" i="6"/>
  <c r="CO135" i="6"/>
  <c r="CL136" i="6"/>
  <c r="CO137" i="6"/>
  <c r="CL138" i="6"/>
  <c r="CO139" i="6"/>
  <c r="CL140" i="6"/>
  <c r="CO141" i="6"/>
  <c r="CL142" i="6"/>
  <c r="CO143" i="6"/>
  <c r="CL144" i="6"/>
  <c r="CO145" i="6"/>
  <c r="CL146" i="6"/>
  <c r="CO147" i="6"/>
  <c r="CL148" i="6"/>
  <c r="CO149" i="6"/>
  <c r="CL150" i="6"/>
  <c r="CO151" i="6"/>
  <c r="CL152" i="6"/>
  <c r="CO153" i="6"/>
  <c r="CL154" i="6"/>
  <c r="CO155" i="6"/>
  <c r="CL156" i="6"/>
  <c r="CO207" i="6"/>
  <c r="CO336" i="6"/>
  <c r="CL336" i="6"/>
  <c r="CM336" i="6"/>
  <c r="CO338" i="6"/>
  <c r="CL338" i="6"/>
  <c r="CM338" i="6"/>
  <c r="CO340" i="6"/>
  <c r="CL340" i="6"/>
  <c r="CM340" i="6"/>
  <c r="CO342" i="6"/>
  <c r="CL342" i="6"/>
  <c r="CM342" i="6"/>
  <c r="CO344" i="6"/>
  <c r="CL344" i="6"/>
  <c r="CM344" i="6"/>
  <c r="CO346" i="6"/>
  <c r="CL346" i="6"/>
  <c r="CM346" i="6"/>
  <c r="CO348" i="6"/>
  <c r="CL348" i="6"/>
  <c r="CM348" i="6"/>
  <c r="CO350" i="6"/>
  <c r="CL350" i="6"/>
  <c r="CM350" i="6"/>
  <c r="CO352" i="6"/>
  <c r="CL352" i="6"/>
  <c r="CM352" i="6"/>
  <c r="CO354" i="6"/>
  <c r="CL354" i="6"/>
  <c r="CM354" i="6"/>
  <c r="CO356" i="6"/>
  <c r="CL356" i="6"/>
  <c r="CM356" i="6"/>
  <c r="CO358" i="6"/>
  <c r="CL358" i="6"/>
  <c r="CM358" i="6"/>
  <c r="CO360" i="6"/>
  <c r="CL360" i="6"/>
  <c r="CM360" i="6"/>
  <c r="CO362" i="6"/>
  <c r="CL362" i="6"/>
  <c r="CM362" i="6"/>
  <c r="CO364" i="6"/>
  <c r="CL364" i="6"/>
  <c r="CM364" i="6"/>
  <c r="CO366" i="6"/>
  <c r="CL366" i="6"/>
  <c r="CM366" i="6"/>
  <c r="CO368" i="6"/>
  <c r="CL368" i="6"/>
  <c r="CM368" i="6"/>
  <c r="CO370" i="6"/>
  <c r="CL370" i="6"/>
  <c r="CM370" i="6"/>
  <c r="CO372" i="6"/>
  <c r="CL372" i="6"/>
  <c r="CM372" i="6"/>
  <c r="CO374" i="6"/>
  <c r="CL374" i="6"/>
  <c r="CM374" i="6"/>
  <c r="CO376" i="6"/>
  <c r="CL376" i="6"/>
  <c r="CM376" i="6"/>
  <c r="CM334" i="6"/>
  <c r="C5" i="7"/>
  <c r="C5" i="8" s="1"/>
  <c r="B5" i="7"/>
  <c r="B8" i="8" s="1"/>
  <c r="D5" i="7"/>
  <c r="B9" i="8" s="1"/>
  <c r="L25" i="7"/>
  <c r="D25" i="7"/>
  <c r="J25" i="7"/>
  <c r="B25" i="7"/>
  <c r="G25" i="7"/>
  <c r="C25" i="7"/>
  <c r="D33" i="7"/>
  <c r="B33" i="7"/>
  <c r="M33" i="7"/>
  <c r="C33" i="7"/>
  <c r="M53" i="7"/>
  <c r="I53" i="7"/>
  <c r="E53" i="7"/>
  <c r="O53" i="7"/>
  <c r="J53" i="7"/>
  <c r="D53" i="7"/>
  <c r="K53" i="7"/>
  <c r="F53" i="7"/>
  <c r="L53" i="7"/>
  <c r="B53" i="7"/>
  <c r="S53" i="7"/>
  <c r="H53" i="7"/>
  <c r="G53" i="7"/>
  <c r="N53" i="7"/>
  <c r="C53" i="7"/>
  <c r="M61" i="7"/>
  <c r="I61" i="7"/>
  <c r="E61" i="7"/>
  <c r="L61" i="7"/>
  <c r="H61" i="7"/>
  <c r="D61" i="7"/>
  <c r="S61" i="7"/>
  <c r="O61" i="7"/>
  <c r="K61" i="7"/>
  <c r="G61" i="7"/>
  <c r="C61" i="7"/>
  <c r="N61" i="7"/>
  <c r="B61" i="7"/>
  <c r="J61" i="7"/>
  <c r="F61" i="7"/>
  <c r="M69" i="7"/>
  <c r="I69" i="7"/>
  <c r="E69" i="7"/>
  <c r="L69" i="7"/>
  <c r="H69" i="7"/>
  <c r="D69" i="7"/>
  <c r="S69" i="7"/>
  <c r="O69" i="7"/>
  <c r="K69" i="7"/>
  <c r="G69" i="7"/>
  <c r="C69" i="7"/>
  <c r="F69" i="7"/>
  <c r="J69" i="7"/>
  <c r="N69" i="7"/>
  <c r="B69" i="7"/>
  <c r="N77" i="7"/>
  <c r="J77" i="7"/>
  <c r="F77" i="7"/>
  <c r="B77" i="7"/>
  <c r="M77" i="7"/>
  <c r="I77" i="7"/>
  <c r="E77" i="7"/>
  <c r="L77" i="7"/>
  <c r="D77" i="7"/>
  <c r="S77" i="7"/>
  <c r="K77" i="7"/>
  <c r="C77" i="7"/>
  <c r="H77" i="7"/>
  <c r="O77" i="7"/>
  <c r="G77" i="7"/>
  <c r="D8" i="7"/>
  <c r="C8" i="7"/>
  <c r="B8" i="7"/>
  <c r="D12" i="7"/>
  <c r="C12" i="7"/>
  <c r="B12" i="7"/>
  <c r="D16" i="7"/>
  <c r="C16" i="7"/>
  <c r="B16" i="7"/>
  <c r="D20" i="7"/>
  <c r="C20" i="7"/>
  <c r="B20" i="7"/>
  <c r="C24" i="7"/>
  <c r="D24" i="7"/>
  <c r="B24" i="7"/>
  <c r="C28" i="7"/>
  <c r="D28" i="7"/>
  <c r="B28" i="7"/>
  <c r="C32" i="7"/>
  <c r="D32" i="7"/>
  <c r="B32" i="7"/>
  <c r="C36" i="7"/>
  <c r="D36" i="7"/>
  <c r="B36" i="7"/>
  <c r="M40" i="7"/>
  <c r="I40" i="7"/>
  <c r="E40" i="7"/>
  <c r="L40" i="7"/>
  <c r="H40" i="7"/>
  <c r="D40" i="7"/>
  <c r="S40" i="7"/>
  <c r="O40" i="7"/>
  <c r="K40" i="7"/>
  <c r="G40" i="7"/>
  <c r="C40" i="7"/>
  <c r="N40" i="7"/>
  <c r="J40" i="7"/>
  <c r="F40" i="7"/>
  <c r="B40" i="7"/>
  <c r="S44" i="7"/>
  <c r="O44" i="7"/>
  <c r="K44" i="7"/>
  <c r="G44" i="7"/>
  <c r="C44" i="7"/>
  <c r="N44" i="7"/>
  <c r="I44" i="7"/>
  <c r="D44" i="7"/>
  <c r="M44" i="7"/>
  <c r="H44" i="7"/>
  <c r="B44" i="7"/>
  <c r="L44" i="7"/>
  <c r="F44" i="7"/>
  <c r="E44" i="7"/>
  <c r="J44" i="7"/>
  <c r="S48" i="7"/>
  <c r="O48" i="7"/>
  <c r="K48" i="7"/>
  <c r="G48" i="7"/>
  <c r="C48" i="7"/>
  <c r="L48" i="7"/>
  <c r="H48" i="7"/>
  <c r="D48" i="7"/>
  <c r="M48" i="7"/>
  <c r="E48" i="7"/>
  <c r="J48" i="7"/>
  <c r="B48" i="7"/>
  <c r="I48" i="7"/>
  <c r="N48" i="7"/>
  <c r="F48" i="7"/>
  <c r="S52" i="7"/>
  <c r="O52" i="7"/>
  <c r="K52" i="7"/>
  <c r="G52" i="7"/>
  <c r="C52" i="7"/>
  <c r="L52" i="7"/>
  <c r="H52" i="7"/>
  <c r="D52" i="7"/>
  <c r="I52" i="7"/>
  <c r="N52" i="7"/>
  <c r="F52" i="7"/>
  <c r="M52" i="7"/>
  <c r="E52" i="7"/>
  <c r="J52" i="7"/>
  <c r="B52" i="7"/>
  <c r="N56" i="7"/>
  <c r="J56" i="7"/>
  <c r="F56" i="7"/>
  <c r="B56" i="7"/>
  <c r="M56" i="7"/>
  <c r="I56" i="7"/>
  <c r="E56" i="7"/>
  <c r="L56" i="7"/>
  <c r="H56" i="7"/>
  <c r="D56" i="7"/>
  <c r="K56" i="7"/>
  <c r="O56" i="7"/>
  <c r="S56" i="7"/>
  <c r="G56" i="7"/>
  <c r="C56" i="7"/>
  <c r="N60" i="7"/>
  <c r="J60" i="7"/>
  <c r="F60" i="7"/>
  <c r="B60" i="7"/>
  <c r="M60" i="7"/>
  <c r="I60" i="7"/>
  <c r="E60" i="7"/>
  <c r="L60" i="7"/>
  <c r="H60" i="7"/>
  <c r="D60" i="7"/>
  <c r="G60" i="7"/>
  <c r="K60" i="7"/>
  <c r="O60" i="7"/>
  <c r="C60" i="7"/>
  <c r="S60" i="7"/>
  <c r="N64" i="7"/>
  <c r="J64" i="7"/>
  <c r="F64" i="7"/>
  <c r="B64" i="7"/>
  <c r="M64" i="7"/>
  <c r="I64" i="7"/>
  <c r="E64" i="7"/>
  <c r="L64" i="7"/>
  <c r="H64" i="7"/>
  <c r="D64" i="7"/>
  <c r="S64" i="7"/>
  <c r="C64" i="7"/>
  <c r="G64" i="7"/>
  <c r="K64" i="7"/>
  <c r="O64" i="7"/>
  <c r="N68" i="7"/>
  <c r="J68" i="7"/>
  <c r="F68" i="7"/>
  <c r="B68" i="7"/>
  <c r="M68" i="7"/>
  <c r="I68" i="7"/>
  <c r="E68" i="7"/>
  <c r="L68" i="7"/>
  <c r="H68" i="7"/>
  <c r="D68" i="7"/>
  <c r="O68" i="7"/>
  <c r="S68" i="7"/>
  <c r="C68" i="7"/>
  <c r="G68" i="7"/>
  <c r="K68" i="7"/>
  <c r="N72" i="7"/>
  <c r="J72" i="7"/>
  <c r="F72" i="7"/>
  <c r="B72" i="7"/>
  <c r="M72" i="7"/>
  <c r="I72" i="7"/>
  <c r="E72" i="7"/>
  <c r="L72" i="7"/>
  <c r="H72" i="7"/>
  <c r="D72" i="7"/>
  <c r="K72" i="7"/>
  <c r="O72" i="7"/>
  <c r="C72" i="7"/>
  <c r="S72" i="7"/>
  <c r="G72" i="7"/>
  <c r="S76" i="7"/>
  <c r="O76" i="7"/>
  <c r="K76" i="7"/>
  <c r="G76" i="7"/>
  <c r="C76" i="7"/>
  <c r="N76" i="7"/>
  <c r="M76" i="7"/>
  <c r="H76" i="7"/>
  <c r="B76" i="7"/>
  <c r="L76" i="7"/>
  <c r="F76" i="7"/>
  <c r="J76" i="7"/>
  <c r="E76" i="7"/>
  <c r="I76" i="7"/>
  <c r="D76" i="7"/>
  <c r="S80" i="7"/>
  <c r="O80" i="7"/>
  <c r="K80" i="7"/>
  <c r="G80" i="7"/>
  <c r="C80" i="7"/>
  <c r="N80" i="7"/>
  <c r="J80" i="7"/>
  <c r="F80" i="7"/>
  <c r="B80" i="7"/>
  <c r="I80" i="7"/>
  <c r="H80" i="7"/>
  <c r="M80" i="7"/>
  <c r="E80" i="7"/>
  <c r="L80" i="7"/>
  <c r="D80" i="7"/>
  <c r="N84" i="7"/>
  <c r="K84" i="7"/>
  <c r="G84" i="7"/>
  <c r="C84" i="7"/>
  <c r="O84" i="7"/>
  <c r="J84" i="7"/>
  <c r="F84" i="7"/>
  <c r="B84" i="7"/>
  <c r="S84" i="7"/>
  <c r="M84" i="7"/>
  <c r="I84" i="7"/>
  <c r="E84" i="7"/>
  <c r="L84" i="7"/>
  <c r="H84" i="7"/>
  <c r="D84" i="7"/>
  <c r="N88" i="7"/>
  <c r="J88" i="7"/>
  <c r="F88" i="7"/>
  <c r="B88" i="7"/>
  <c r="L88" i="7"/>
  <c r="H88" i="7"/>
  <c r="D88" i="7"/>
  <c r="M88" i="7"/>
  <c r="E88" i="7"/>
  <c r="S88" i="7"/>
  <c r="K88" i="7"/>
  <c r="C88" i="7"/>
  <c r="I88" i="7"/>
  <c r="O88" i="7"/>
  <c r="G88" i="7"/>
  <c r="N92" i="7"/>
  <c r="J92" i="7"/>
  <c r="F92" i="7"/>
  <c r="B92" i="7"/>
  <c r="L92" i="7"/>
  <c r="H92" i="7"/>
  <c r="D92" i="7"/>
  <c r="I92" i="7"/>
  <c r="O92" i="7"/>
  <c r="G92" i="7"/>
  <c r="M92" i="7"/>
  <c r="E92" i="7"/>
  <c r="S92" i="7"/>
  <c r="K92" i="7"/>
  <c r="C92" i="7"/>
  <c r="N96" i="7"/>
  <c r="L96" i="7"/>
  <c r="H96" i="7"/>
  <c r="D96" i="7"/>
  <c r="S96" i="7"/>
  <c r="O96" i="7"/>
  <c r="K96" i="7"/>
  <c r="G96" i="7"/>
  <c r="C96" i="7"/>
  <c r="M96" i="7"/>
  <c r="E96" i="7"/>
  <c r="I96" i="7"/>
  <c r="F96" i="7"/>
  <c r="J96" i="7"/>
  <c r="B96" i="7"/>
  <c r="N100" i="7"/>
  <c r="J100" i="7"/>
  <c r="F100" i="7"/>
  <c r="B100" i="7"/>
  <c r="L100" i="7"/>
  <c r="H100" i="7"/>
  <c r="D100" i="7"/>
  <c r="S100" i="7"/>
  <c r="O100" i="7"/>
  <c r="K100" i="7"/>
  <c r="G100" i="7"/>
  <c r="C100" i="7"/>
  <c r="I100" i="7"/>
  <c r="M100" i="7"/>
  <c r="E100" i="7"/>
  <c r="N104" i="7"/>
  <c r="J104" i="7"/>
  <c r="F104" i="7"/>
  <c r="B104" i="7"/>
  <c r="L104" i="7"/>
  <c r="H104" i="7"/>
  <c r="D104" i="7"/>
  <c r="S104" i="7"/>
  <c r="O104" i="7"/>
  <c r="K104" i="7"/>
  <c r="G104" i="7"/>
  <c r="C104" i="7"/>
  <c r="E104" i="7"/>
  <c r="M104" i="7"/>
  <c r="I104" i="7"/>
  <c r="CM5" i="6"/>
  <c r="CM6" i="6"/>
  <c r="CM7" i="6"/>
  <c r="CM8" i="6"/>
  <c r="CM9" i="6"/>
  <c r="CM13" i="6"/>
  <c r="CM16" i="6"/>
  <c r="D29" i="7"/>
  <c r="B29" i="7"/>
  <c r="C29" i="7"/>
  <c r="N81" i="7"/>
  <c r="J81" i="7"/>
  <c r="F81" i="7"/>
  <c r="B81" i="7"/>
  <c r="M81" i="7"/>
  <c r="I81" i="7"/>
  <c r="E81" i="7"/>
  <c r="L81" i="7"/>
  <c r="H81" i="7"/>
  <c r="D81" i="7"/>
  <c r="K81" i="7"/>
  <c r="G81" i="7"/>
  <c r="S81" i="7"/>
  <c r="C81" i="7"/>
  <c r="O81" i="7"/>
  <c r="M93" i="7"/>
  <c r="I93" i="7"/>
  <c r="E93" i="7"/>
  <c r="S93" i="7"/>
  <c r="O93" i="7"/>
  <c r="K93" i="7"/>
  <c r="G93" i="7"/>
  <c r="C93" i="7"/>
  <c r="N93" i="7"/>
  <c r="J93" i="7"/>
  <c r="F93" i="7"/>
  <c r="B93" i="7"/>
  <c r="D93" i="7"/>
  <c r="L93" i="7"/>
  <c r="H93" i="7"/>
  <c r="I7" i="7"/>
  <c r="E7" i="7"/>
  <c r="L7" i="7"/>
  <c r="D7" i="7"/>
  <c r="O7" i="7"/>
  <c r="K7" i="7"/>
  <c r="C7" i="7"/>
  <c r="F7" i="7"/>
  <c r="B7" i="7"/>
  <c r="N7" i="7"/>
  <c r="J7" i="7"/>
  <c r="D11" i="7"/>
  <c r="C11" i="7"/>
  <c r="B11" i="7"/>
  <c r="M15" i="7"/>
  <c r="D15" i="7"/>
  <c r="C15" i="7"/>
  <c r="B15" i="7"/>
  <c r="H19" i="7"/>
  <c r="D19" i="7"/>
  <c r="O19" i="7"/>
  <c r="C19" i="7"/>
  <c r="B19" i="7"/>
  <c r="I23" i="7"/>
  <c r="D23" i="7"/>
  <c r="C23" i="7"/>
  <c r="B23" i="7"/>
  <c r="J23" i="7"/>
  <c r="B27" i="7"/>
  <c r="D27" i="7"/>
  <c r="K27" i="7"/>
  <c r="C27" i="7"/>
  <c r="I27" i="7"/>
  <c r="B31" i="7"/>
  <c r="D31" i="7"/>
  <c r="G31" i="7"/>
  <c r="C31" i="7"/>
  <c r="B35" i="7"/>
  <c r="D35" i="7"/>
  <c r="K35" i="7"/>
  <c r="C35" i="7"/>
  <c r="I35" i="7"/>
  <c r="N39" i="7"/>
  <c r="J39" i="7"/>
  <c r="F39" i="7"/>
  <c r="B39" i="7"/>
  <c r="M39" i="7"/>
  <c r="I39" i="7"/>
  <c r="E39" i="7"/>
  <c r="L39" i="7"/>
  <c r="H39" i="7"/>
  <c r="D39" i="7"/>
  <c r="G39" i="7"/>
  <c r="S39" i="7"/>
  <c r="C39" i="7"/>
  <c r="O39" i="7"/>
  <c r="K39" i="7"/>
  <c r="L43" i="7"/>
  <c r="H43" i="7"/>
  <c r="D43" i="7"/>
  <c r="M43" i="7"/>
  <c r="G43" i="7"/>
  <c r="B43" i="7"/>
  <c r="K43" i="7"/>
  <c r="F43" i="7"/>
  <c r="O43" i="7"/>
  <c r="J43" i="7"/>
  <c r="E43" i="7"/>
  <c r="I43" i="7"/>
  <c r="C43" i="7"/>
  <c r="S43" i="7"/>
  <c r="N43" i="7"/>
  <c r="L47" i="7"/>
  <c r="H47" i="7"/>
  <c r="D47" i="7"/>
  <c r="M47" i="7"/>
  <c r="I47" i="7"/>
  <c r="E47" i="7"/>
  <c r="N47" i="7"/>
  <c r="F47" i="7"/>
  <c r="S47" i="7"/>
  <c r="K47" i="7"/>
  <c r="C47" i="7"/>
  <c r="J47" i="7"/>
  <c r="B47" i="7"/>
  <c r="O47" i="7"/>
  <c r="G47" i="7"/>
  <c r="L51" i="7"/>
  <c r="H51" i="7"/>
  <c r="D51" i="7"/>
  <c r="M51" i="7"/>
  <c r="I51" i="7"/>
  <c r="E51" i="7"/>
  <c r="J51" i="7"/>
  <c r="B51" i="7"/>
  <c r="O51" i="7"/>
  <c r="G51" i="7"/>
  <c r="N51" i="7"/>
  <c r="F51" i="7"/>
  <c r="K51" i="7"/>
  <c r="C51" i="7"/>
  <c r="S51" i="7"/>
  <c r="S55" i="7"/>
  <c r="O55" i="7"/>
  <c r="K55" i="7"/>
  <c r="G55" i="7"/>
  <c r="C55" i="7"/>
  <c r="N55" i="7"/>
  <c r="J55" i="7"/>
  <c r="F55" i="7"/>
  <c r="B55" i="7"/>
  <c r="M55" i="7"/>
  <c r="I55" i="7"/>
  <c r="E55" i="7"/>
  <c r="D55" i="7"/>
  <c r="H55" i="7"/>
  <c r="L55" i="7"/>
  <c r="S59" i="7"/>
  <c r="O59" i="7"/>
  <c r="K59" i="7"/>
  <c r="G59" i="7"/>
  <c r="C59" i="7"/>
  <c r="N59" i="7"/>
  <c r="J59" i="7"/>
  <c r="F59" i="7"/>
  <c r="B59" i="7"/>
  <c r="M59" i="7"/>
  <c r="I59" i="7"/>
  <c r="E59" i="7"/>
  <c r="D59" i="7"/>
  <c r="H59" i="7"/>
  <c r="L59" i="7"/>
  <c r="S63" i="7"/>
  <c r="O63" i="7"/>
  <c r="K63" i="7"/>
  <c r="G63" i="7"/>
  <c r="C63" i="7"/>
  <c r="N63" i="7"/>
  <c r="J63" i="7"/>
  <c r="F63" i="7"/>
  <c r="B63" i="7"/>
  <c r="M63" i="7"/>
  <c r="I63" i="7"/>
  <c r="E63" i="7"/>
  <c r="L63" i="7"/>
  <c r="D63" i="7"/>
  <c r="H63" i="7"/>
  <c r="S67" i="7"/>
  <c r="O67" i="7"/>
  <c r="K67" i="7"/>
  <c r="G67" i="7"/>
  <c r="C67" i="7"/>
  <c r="N67" i="7"/>
  <c r="J67" i="7"/>
  <c r="F67" i="7"/>
  <c r="B67" i="7"/>
  <c r="M67" i="7"/>
  <c r="I67" i="7"/>
  <c r="E67" i="7"/>
  <c r="H67" i="7"/>
  <c r="L67" i="7"/>
  <c r="D67" i="7"/>
  <c r="S71" i="7"/>
  <c r="O71" i="7"/>
  <c r="K71" i="7"/>
  <c r="G71" i="7"/>
  <c r="C71" i="7"/>
  <c r="N71" i="7"/>
  <c r="J71" i="7"/>
  <c r="F71" i="7"/>
  <c r="B71" i="7"/>
  <c r="M71" i="7"/>
  <c r="I71" i="7"/>
  <c r="E71" i="7"/>
  <c r="D71" i="7"/>
  <c r="H71" i="7"/>
  <c r="L71" i="7"/>
  <c r="L75" i="7"/>
  <c r="H75" i="7"/>
  <c r="D75" i="7"/>
  <c r="K75" i="7"/>
  <c r="F75" i="7"/>
  <c r="O75" i="7"/>
  <c r="J75" i="7"/>
  <c r="E75" i="7"/>
  <c r="S75" i="7"/>
  <c r="N75" i="7"/>
  <c r="I75" i="7"/>
  <c r="C75" i="7"/>
  <c r="M75" i="7"/>
  <c r="G75" i="7"/>
  <c r="B75" i="7"/>
  <c r="L79" i="7"/>
  <c r="H79" i="7"/>
  <c r="D79" i="7"/>
  <c r="S79" i="7"/>
  <c r="O79" i="7"/>
  <c r="K79" i="7"/>
  <c r="G79" i="7"/>
  <c r="C79" i="7"/>
  <c r="J79" i="7"/>
  <c r="B79" i="7"/>
  <c r="I79" i="7"/>
  <c r="N79" i="7"/>
  <c r="F79" i="7"/>
  <c r="M79" i="7"/>
  <c r="E79" i="7"/>
  <c r="L83" i="7"/>
  <c r="H83" i="7"/>
  <c r="D83" i="7"/>
  <c r="S83" i="7"/>
  <c r="O83" i="7"/>
  <c r="K83" i="7"/>
  <c r="G83" i="7"/>
  <c r="C83" i="7"/>
  <c r="N83" i="7"/>
  <c r="J83" i="7"/>
  <c r="F83" i="7"/>
  <c r="B83" i="7"/>
  <c r="I83" i="7"/>
  <c r="E83" i="7"/>
  <c r="M83" i="7"/>
  <c r="S87" i="7"/>
  <c r="O87" i="7"/>
  <c r="K87" i="7"/>
  <c r="G87" i="7"/>
  <c r="C87" i="7"/>
  <c r="M87" i="7"/>
  <c r="I87" i="7"/>
  <c r="E87" i="7"/>
  <c r="N87" i="7"/>
  <c r="F87" i="7"/>
  <c r="L87" i="7"/>
  <c r="D87" i="7"/>
  <c r="J87" i="7"/>
  <c r="B87" i="7"/>
  <c r="H87" i="7"/>
  <c r="S91" i="7"/>
  <c r="O91" i="7"/>
  <c r="K91" i="7"/>
  <c r="G91" i="7"/>
  <c r="C91" i="7"/>
  <c r="M91" i="7"/>
  <c r="I91" i="7"/>
  <c r="E91" i="7"/>
  <c r="J91" i="7"/>
  <c r="B91" i="7"/>
  <c r="H91" i="7"/>
  <c r="N91" i="7"/>
  <c r="F91" i="7"/>
  <c r="L91" i="7"/>
  <c r="D91" i="7"/>
  <c r="M95" i="7"/>
  <c r="I95" i="7"/>
  <c r="E95" i="7"/>
  <c r="L95" i="7"/>
  <c r="H95" i="7"/>
  <c r="D95" i="7"/>
  <c r="N95" i="7"/>
  <c r="F95" i="7"/>
  <c r="J95" i="7"/>
  <c r="B95" i="7"/>
  <c r="O95" i="7"/>
  <c r="G95" i="7"/>
  <c r="S95" i="7"/>
  <c r="K95" i="7"/>
  <c r="C95" i="7"/>
  <c r="S99" i="7"/>
  <c r="O99" i="7"/>
  <c r="K99" i="7"/>
  <c r="G99" i="7"/>
  <c r="C99" i="7"/>
  <c r="M99" i="7"/>
  <c r="I99" i="7"/>
  <c r="E99" i="7"/>
  <c r="L99" i="7"/>
  <c r="H99" i="7"/>
  <c r="D99" i="7"/>
  <c r="B99" i="7"/>
  <c r="J99" i="7"/>
  <c r="F99" i="7"/>
  <c r="N99" i="7"/>
  <c r="S103" i="7"/>
  <c r="O103" i="7"/>
  <c r="K103" i="7"/>
  <c r="G103" i="7"/>
  <c r="C103" i="7"/>
  <c r="M103" i="7"/>
  <c r="I103" i="7"/>
  <c r="E103" i="7"/>
  <c r="L103" i="7"/>
  <c r="H103" i="7"/>
  <c r="D103" i="7"/>
  <c r="N103" i="7"/>
  <c r="F103" i="7"/>
  <c r="B103" i="7"/>
  <c r="J103" i="7"/>
  <c r="CL415" i="6"/>
  <c r="CO415" i="6"/>
  <c r="CL417" i="6"/>
  <c r="CO417" i="6"/>
  <c r="CL419" i="6"/>
  <c r="CO419" i="6"/>
  <c r="CL421" i="6"/>
  <c r="CO421" i="6"/>
  <c r="CL423" i="6"/>
  <c r="CO423" i="6"/>
  <c r="CL425" i="6"/>
  <c r="CO425" i="6"/>
  <c r="CL427" i="6"/>
  <c r="CO427" i="6"/>
  <c r="CL429" i="6"/>
  <c r="CO429" i="6"/>
  <c r="CL431" i="6"/>
  <c r="CO431" i="6"/>
  <c r="CL433" i="6"/>
  <c r="CO433" i="6"/>
  <c r="CL435" i="6"/>
  <c r="CO435" i="6"/>
  <c r="CL437" i="6"/>
  <c r="CO437" i="6"/>
  <c r="CL439" i="6"/>
  <c r="CO439" i="6"/>
  <c r="CL441" i="6"/>
  <c r="CO441" i="6"/>
  <c r="CL443" i="6"/>
  <c r="CO443" i="6"/>
  <c r="CL445" i="6"/>
  <c r="CO445" i="6"/>
  <c r="CL447" i="6"/>
  <c r="CO447" i="6"/>
  <c r="K9" i="7"/>
  <c r="C9" i="7"/>
  <c r="J9" i="7"/>
  <c r="B9" i="7"/>
  <c r="I9" i="7"/>
  <c r="D9" i="7"/>
  <c r="H9" i="7"/>
  <c r="K17" i="7"/>
  <c r="C17" i="7"/>
  <c r="J17" i="7"/>
  <c r="B17" i="7"/>
  <c r="I17" i="7"/>
  <c r="L17" i="7"/>
  <c r="D17" i="7"/>
  <c r="L41" i="7"/>
  <c r="H41" i="7"/>
  <c r="D41" i="7"/>
  <c r="S41" i="7"/>
  <c r="O41" i="7"/>
  <c r="K41" i="7"/>
  <c r="G41" i="7"/>
  <c r="C41" i="7"/>
  <c r="N41" i="7"/>
  <c r="J41" i="7"/>
  <c r="F41" i="7"/>
  <c r="B41" i="7"/>
  <c r="E41" i="7"/>
  <c r="M41" i="7"/>
  <c r="I41" i="7"/>
  <c r="N49" i="7"/>
  <c r="J49" i="7"/>
  <c r="F49" i="7"/>
  <c r="B49" i="7"/>
  <c r="S49" i="7"/>
  <c r="O49" i="7"/>
  <c r="K49" i="7"/>
  <c r="G49" i="7"/>
  <c r="C49" i="7"/>
  <c r="L49" i="7"/>
  <c r="D49" i="7"/>
  <c r="I49" i="7"/>
  <c r="H49" i="7"/>
  <c r="M49" i="7"/>
  <c r="E49" i="7"/>
  <c r="M57" i="7"/>
  <c r="I57" i="7"/>
  <c r="E57" i="7"/>
  <c r="L57" i="7"/>
  <c r="H57" i="7"/>
  <c r="D57" i="7"/>
  <c r="S57" i="7"/>
  <c r="O57" i="7"/>
  <c r="K57" i="7"/>
  <c r="G57" i="7"/>
  <c r="C57" i="7"/>
  <c r="B57" i="7"/>
  <c r="F57" i="7"/>
  <c r="N57" i="7"/>
  <c r="J57" i="7"/>
  <c r="M65" i="7"/>
  <c r="I65" i="7"/>
  <c r="E65" i="7"/>
  <c r="L65" i="7"/>
  <c r="H65" i="7"/>
  <c r="D65" i="7"/>
  <c r="S65" i="7"/>
  <c r="O65" i="7"/>
  <c r="K65" i="7"/>
  <c r="G65" i="7"/>
  <c r="C65" i="7"/>
  <c r="J65" i="7"/>
  <c r="N65" i="7"/>
  <c r="F65" i="7"/>
  <c r="B65" i="7"/>
  <c r="M85" i="7"/>
  <c r="I85" i="7"/>
  <c r="E85" i="7"/>
  <c r="L85" i="7"/>
  <c r="G85" i="7"/>
  <c r="B85" i="7"/>
  <c r="K85" i="7"/>
  <c r="F85" i="7"/>
  <c r="O85" i="7"/>
  <c r="J85" i="7"/>
  <c r="D85" i="7"/>
  <c r="N85" i="7"/>
  <c r="H85" i="7"/>
  <c r="C85" i="7"/>
  <c r="S85" i="7"/>
  <c r="M97" i="7"/>
  <c r="I97" i="7"/>
  <c r="E97" i="7"/>
  <c r="S97" i="7"/>
  <c r="O97" i="7"/>
  <c r="K97" i="7"/>
  <c r="G97" i="7"/>
  <c r="C97" i="7"/>
  <c r="N97" i="7"/>
  <c r="J97" i="7"/>
  <c r="F97" i="7"/>
  <c r="B97" i="7"/>
  <c r="D97" i="7"/>
  <c r="L97" i="7"/>
  <c r="H97" i="7"/>
  <c r="M101" i="7"/>
  <c r="I101" i="7"/>
  <c r="E101" i="7"/>
  <c r="S101" i="7"/>
  <c r="O101" i="7"/>
  <c r="K101" i="7"/>
  <c r="G101" i="7"/>
  <c r="C101" i="7"/>
  <c r="N101" i="7"/>
  <c r="J101" i="7"/>
  <c r="F101" i="7"/>
  <c r="B101" i="7"/>
  <c r="H101" i="7"/>
  <c r="D101" i="7"/>
  <c r="L101" i="7"/>
  <c r="B6" i="7"/>
  <c r="H6" i="7"/>
  <c r="D6" i="7"/>
  <c r="O6" i="7"/>
  <c r="C6" i="7"/>
  <c r="N10" i="7"/>
  <c r="B10" i="7"/>
  <c r="E10" i="7"/>
  <c r="D10" i="7"/>
  <c r="C10" i="7"/>
  <c r="J14" i="7"/>
  <c r="B14" i="7"/>
  <c r="I14" i="7"/>
  <c r="L14" i="7"/>
  <c r="D14" i="7"/>
  <c r="C14" i="7"/>
  <c r="K14" i="7"/>
  <c r="N18" i="7"/>
  <c r="F18" i="7"/>
  <c r="B18" i="7"/>
  <c r="M18" i="7"/>
  <c r="E18" i="7"/>
  <c r="H18" i="7"/>
  <c r="D18" i="7"/>
  <c r="C18" i="7"/>
  <c r="K18" i="7"/>
  <c r="J22" i="7"/>
  <c r="B22" i="7"/>
  <c r="I22" i="7"/>
  <c r="L22" i="7"/>
  <c r="D22" i="7"/>
  <c r="K22" i="7"/>
  <c r="C22" i="7"/>
  <c r="O26" i="7"/>
  <c r="K26" i="7"/>
  <c r="G26" i="7"/>
  <c r="C26" i="7"/>
  <c r="M26" i="7"/>
  <c r="I26" i="7"/>
  <c r="E26" i="7"/>
  <c r="N26" i="7"/>
  <c r="F26" i="7"/>
  <c r="L26" i="7"/>
  <c r="D26" i="7"/>
  <c r="J26" i="7"/>
  <c r="B26" i="7"/>
  <c r="H26" i="7"/>
  <c r="O30" i="7"/>
  <c r="K30" i="7"/>
  <c r="G30" i="7"/>
  <c r="C30" i="7"/>
  <c r="M30" i="7"/>
  <c r="I30" i="7"/>
  <c r="E30" i="7"/>
  <c r="J30" i="7"/>
  <c r="B30" i="7"/>
  <c r="H30" i="7"/>
  <c r="N30" i="7"/>
  <c r="F30" i="7"/>
  <c r="D30" i="7"/>
  <c r="L30" i="7"/>
  <c r="K34" i="7"/>
  <c r="C34" i="7"/>
  <c r="I34" i="7"/>
  <c r="N34" i="7"/>
  <c r="L34" i="7"/>
  <c r="D34" i="7"/>
  <c r="J34" i="7"/>
  <c r="B34" i="7"/>
  <c r="H34" i="7"/>
  <c r="S38" i="7"/>
  <c r="O38" i="7"/>
  <c r="K38" i="7"/>
  <c r="G38" i="7"/>
  <c r="C38" i="7"/>
  <c r="N38" i="7"/>
  <c r="J38" i="7"/>
  <c r="F38" i="7"/>
  <c r="B38" i="7"/>
  <c r="M38" i="7"/>
  <c r="I38" i="7"/>
  <c r="E38" i="7"/>
  <c r="L38" i="7"/>
  <c r="H38" i="7"/>
  <c r="D38" i="7"/>
  <c r="M42" i="7"/>
  <c r="K42" i="7"/>
  <c r="G42" i="7"/>
  <c r="C42" i="7"/>
  <c r="O42" i="7"/>
  <c r="J42" i="7"/>
  <c r="F42" i="7"/>
  <c r="B42" i="7"/>
  <c r="S42" i="7"/>
  <c r="N42" i="7"/>
  <c r="I42" i="7"/>
  <c r="E42" i="7"/>
  <c r="L42" i="7"/>
  <c r="H42" i="7"/>
  <c r="D42" i="7"/>
  <c r="M46" i="7"/>
  <c r="I46" i="7"/>
  <c r="E46" i="7"/>
  <c r="N46" i="7"/>
  <c r="J46" i="7"/>
  <c r="F46" i="7"/>
  <c r="B46" i="7"/>
  <c r="O46" i="7"/>
  <c r="G46" i="7"/>
  <c r="L46" i="7"/>
  <c r="D46" i="7"/>
  <c r="S46" i="7"/>
  <c r="K46" i="7"/>
  <c r="C46" i="7"/>
  <c r="H46" i="7"/>
  <c r="M50" i="7"/>
  <c r="I50" i="7"/>
  <c r="E50" i="7"/>
  <c r="N50" i="7"/>
  <c r="J50" i="7"/>
  <c r="F50" i="7"/>
  <c r="B50" i="7"/>
  <c r="S50" i="7"/>
  <c r="K50" i="7"/>
  <c r="C50" i="7"/>
  <c r="H50" i="7"/>
  <c r="O50" i="7"/>
  <c r="G50" i="7"/>
  <c r="D50" i="7"/>
  <c r="L50" i="7"/>
  <c r="L54" i="7"/>
  <c r="H54" i="7"/>
  <c r="D54" i="7"/>
  <c r="S54" i="7"/>
  <c r="O54" i="7"/>
  <c r="K54" i="7"/>
  <c r="G54" i="7"/>
  <c r="N54" i="7"/>
  <c r="F54" i="7"/>
  <c r="I54" i="7"/>
  <c r="B54" i="7"/>
  <c r="J54" i="7"/>
  <c r="E54" i="7"/>
  <c r="C54" i="7"/>
  <c r="M54" i="7"/>
  <c r="L58" i="7"/>
  <c r="H58" i="7"/>
  <c r="D58" i="7"/>
  <c r="S58" i="7"/>
  <c r="O58" i="7"/>
  <c r="K58" i="7"/>
  <c r="G58" i="7"/>
  <c r="C58" i="7"/>
  <c r="N58" i="7"/>
  <c r="J58" i="7"/>
  <c r="F58" i="7"/>
  <c r="B58" i="7"/>
  <c r="I58" i="7"/>
  <c r="M58" i="7"/>
  <c r="E58" i="7"/>
  <c r="L62" i="7"/>
  <c r="H62" i="7"/>
  <c r="D62" i="7"/>
  <c r="S62" i="7"/>
  <c r="O62" i="7"/>
  <c r="K62" i="7"/>
  <c r="G62" i="7"/>
  <c r="C62" i="7"/>
  <c r="N62" i="7"/>
  <c r="J62" i="7"/>
  <c r="F62" i="7"/>
  <c r="B62" i="7"/>
  <c r="E62" i="7"/>
  <c r="I62" i="7"/>
  <c r="M62" i="7"/>
  <c r="L66" i="7"/>
  <c r="H66" i="7"/>
  <c r="D66" i="7"/>
  <c r="S66" i="7"/>
  <c r="O66" i="7"/>
  <c r="K66" i="7"/>
  <c r="G66" i="7"/>
  <c r="C66" i="7"/>
  <c r="N66" i="7"/>
  <c r="J66" i="7"/>
  <c r="F66" i="7"/>
  <c r="B66" i="7"/>
  <c r="E66" i="7"/>
  <c r="M66" i="7"/>
  <c r="I66" i="7"/>
  <c r="L70" i="7"/>
  <c r="H70" i="7"/>
  <c r="D70" i="7"/>
  <c r="S70" i="7"/>
  <c r="O70" i="7"/>
  <c r="K70" i="7"/>
  <c r="G70" i="7"/>
  <c r="C70" i="7"/>
  <c r="N70" i="7"/>
  <c r="J70" i="7"/>
  <c r="F70" i="7"/>
  <c r="B70" i="7"/>
  <c r="M70" i="7"/>
  <c r="I70" i="7"/>
  <c r="E70" i="7"/>
  <c r="M74" i="7"/>
  <c r="I74" i="7"/>
  <c r="E74" i="7"/>
  <c r="O74" i="7"/>
  <c r="J74" i="7"/>
  <c r="D74" i="7"/>
  <c r="S74" i="7"/>
  <c r="N74" i="7"/>
  <c r="H74" i="7"/>
  <c r="C74" i="7"/>
  <c r="L74" i="7"/>
  <c r="G74" i="7"/>
  <c r="B74" i="7"/>
  <c r="K74" i="7"/>
  <c r="F74" i="7"/>
  <c r="M78" i="7"/>
  <c r="I78" i="7"/>
  <c r="E78" i="7"/>
  <c r="L78" i="7"/>
  <c r="H78" i="7"/>
  <c r="D78" i="7"/>
  <c r="S78" i="7"/>
  <c r="K78" i="7"/>
  <c r="C78" i="7"/>
  <c r="J78" i="7"/>
  <c r="B78" i="7"/>
  <c r="O78" i="7"/>
  <c r="G78" i="7"/>
  <c r="N78" i="7"/>
  <c r="F78" i="7"/>
  <c r="M82" i="7"/>
  <c r="I82" i="7"/>
  <c r="E82" i="7"/>
  <c r="L82" i="7"/>
  <c r="H82" i="7"/>
  <c r="D82" i="7"/>
  <c r="S82" i="7"/>
  <c r="O82" i="7"/>
  <c r="K82" i="7"/>
  <c r="G82" i="7"/>
  <c r="C82" i="7"/>
  <c r="B82" i="7"/>
  <c r="N82" i="7"/>
  <c r="J82" i="7"/>
  <c r="F82" i="7"/>
  <c r="L86" i="7"/>
  <c r="H86" i="7"/>
  <c r="D86" i="7"/>
  <c r="N86" i="7"/>
  <c r="J86" i="7"/>
  <c r="F86" i="7"/>
  <c r="B86" i="7"/>
  <c r="O86" i="7"/>
  <c r="G86" i="7"/>
  <c r="M86" i="7"/>
  <c r="E86" i="7"/>
  <c r="S86" i="7"/>
  <c r="K86" i="7"/>
  <c r="C86" i="7"/>
  <c r="I86" i="7"/>
  <c r="L90" i="7"/>
  <c r="H90" i="7"/>
  <c r="D90" i="7"/>
  <c r="N90" i="7"/>
  <c r="J90" i="7"/>
  <c r="F90" i="7"/>
  <c r="B90" i="7"/>
  <c r="S90" i="7"/>
  <c r="K90" i="7"/>
  <c r="C90" i="7"/>
  <c r="I90" i="7"/>
  <c r="O90" i="7"/>
  <c r="G90" i="7"/>
  <c r="M90" i="7"/>
  <c r="E90" i="7"/>
  <c r="N94" i="7"/>
  <c r="J94" i="7"/>
  <c r="F94" i="7"/>
  <c r="B94" i="7"/>
  <c r="L94" i="7"/>
  <c r="G94" i="7"/>
  <c r="O94" i="7"/>
  <c r="I94" i="7"/>
  <c r="D94" i="7"/>
  <c r="S94" i="7"/>
  <c r="M94" i="7"/>
  <c r="H94" i="7"/>
  <c r="C94" i="7"/>
  <c r="K94" i="7"/>
  <c r="E94" i="7"/>
  <c r="L98" i="7"/>
  <c r="H98" i="7"/>
  <c r="D98" i="7"/>
  <c r="N98" i="7"/>
  <c r="J98" i="7"/>
  <c r="F98" i="7"/>
  <c r="B98" i="7"/>
  <c r="M98" i="7"/>
  <c r="I98" i="7"/>
  <c r="E98" i="7"/>
  <c r="K98" i="7"/>
  <c r="S98" i="7"/>
  <c r="C98" i="7"/>
  <c r="O98" i="7"/>
  <c r="G98" i="7"/>
  <c r="L102" i="7"/>
  <c r="H102" i="7"/>
  <c r="D102" i="7"/>
  <c r="N102" i="7"/>
  <c r="J102" i="7"/>
  <c r="F102" i="7"/>
  <c r="B102" i="7"/>
  <c r="M102" i="7"/>
  <c r="I102" i="7"/>
  <c r="E102" i="7"/>
  <c r="G102" i="7"/>
  <c r="O102" i="7"/>
  <c r="K102" i="7"/>
  <c r="S102" i="7"/>
  <c r="C102" i="7"/>
  <c r="H15" i="8"/>
  <c r="H11" i="8"/>
  <c r="H18" i="8"/>
  <c r="H13" i="8"/>
  <c r="H9" i="8"/>
  <c r="H17" i="8"/>
  <c r="H14" i="8"/>
  <c r="H10" i="8"/>
  <c r="H8" i="8"/>
  <c r="CM415" i="6"/>
  <c r="CM417" i="6"/>
  <c r="CM419" i="6"/>
  <c r="CM421" i="6"/>
  <c r="CM423" i="6"/>
  <c r="CM425" i="6"/>
  <c r="CM427" i="6"/>
  <c r="CM429" i="6"/>
  <c r="CM431" i="6"/>
  <c r="CM433" i="6"/>
  <c r="CM435" i="6"/>
  <c r="CM437" i="6"/>
  <c r="CM439" i="6"/>
  <c r="CM441" i="6"/>
  <c r="CM443" i="6"/>
  <c r="CM445" i="6"/>
  <c r="CM447" i="6"/>
  <c r="O13" i="7"/>
  <c r="K13" i="7"/>
  <c r="G13" i="7"/>
  <c r="C13" i="7"/>
  <c r="N13" i="7"/>
  <c r="J13" i="7"/>
  <c r="F13" i="7"/>
  <c r="B13" i="7"/>
  <c r="M13" i="7"/>
  <c r="I13" i="7"/>
  <c r="E13" i="7"/>
  <c r="L13" i="7"/>
  <c r="H13" i="7"/>
  <c r="D13" i="7"/>
  <c r="O21" i="7"/>
  <c r="G21" i="7"/>
  <c r="C21" i="7"/>
  <c r="N21" i="7"/>
  <c r="F21" i="7"/>
  <c r="B21" i="7"/>
  <c r="M21" i="7"/>
  <c r="E21" i="7"/>
  <c r="D21" i="7"/>
  <c r="L37" i="7"/>
  <c r="H37" i="7"/>
  <c r="D37" i="7"/>
  <c r="S37" i="7"/>
  <c r="O37" i="7"/>
  <c r="N37" i="7"/>
  <c r="J37" i="7"/>
  <c r="F37" i="7"/>
  <c r="B37" i="7"/>
  <c r="K37" i="7"/>
  <c r="C37" i="7"/>
  <c r="I37" i="7"/>
  <c r="G37" i="7"/>
  <c r="M37" i="7"/>
  <c r="E37" i="7"/>
  <c r="N45" i="7"/>
  <c r="J45" i="7"/>
  <c r="F45" i="7"/>
  <c r="B45" i="7"/>
  <c r="S45" i="7"/>
  <c r="O45" i="7"/>
  <c r="K45" i="7"/>
  <c r="G45" i="7"/>
  <c r="C45" i="7"/>
  <c r="H45" i="7"/>
  <c r="M45" i="7"/>
  <c r="E45" i="7"/>
  <c r="L45" i="7"/>
  <c r="D45" i="7"/>
  <c r="I45" i="7"/>
  <c r="N73" i="7"/>
  <c r="J73" i="7"/>
  <c r="F73" i="7"/>
  <c r="B73" i="7"/>
  <c r="S73" i="7"/>
  <c r="M73" i="7"/>
  <c r="H73" i="7"/>
  <c r="C73" i="7"/>
  <c r="L73" i="7"/>
  <c r="G73" i="7"/>
  <c r="K73" i="7"/>
  <c r="E73" i="7"/>
  <c r="O73" i="7"/>
  <c r="I73" i="7"/>
  <c r="D73" i="7"/>
  <c r="M89" i="7"/>
  <c r="I89" i="7"/>
  <c r="E89" i="7"/>
  <c r="S89" i="7"/>
  <c r="O89" i="7"/>
  <c r="K89" i="7"/>
  <c r="G89" i="7"/>
  <c r="C89" i="7"/>
  <c r="L89" i="7"/>
  <c r="D89" i="7"/>
  <c r="J89" i="7"/>
  <c r="B89" i="7"/>
  <c r="H89" i="7"/>
  <c r="F89" i="7"/>
  <c r="N89" i="7"/>
  <c r="CL416" i="6"/>
  <c r="CO416" i="6"/>
  <c r="CL418" i="6"/>
  <c r="CO418" i="6"/>
  <c r="CL420" i="6"/>
  <c r="CO420" i="6"/>
  <c r="CL422" i="6"/>
  <c r="CO422" i="6"/>
  <c r="CL424" i="6"/>
  <c r="CO424" i="6"/>
  <c r="CL426" i="6"/>
  <c r="CO426" i="6"/>
  <c r="CL428" i="6"/>
  <c r="CO428" i="6"/>
  <c r="CL430" i="6"/>
  <c r="CO430" i="6"/>
  <c r="CL432" i="6"/>
  <c r="CO432" i="6"/>
  <c r="CL434" i="6"/>
  <c r="CO434" i="6"/>
  <c r="CL436" i="6"/>
  <c r="CO436" i="6"/>
  <c r="CL438" i="6"/>
  <c r="CO438" i="6"/>
  <c r="CL440" i="6"/>
  <c r="CO440" i="6"/>
  <c r="CL442" i="6"/>
  <c r="CO442" i="6"/>
  <c r="CL444" i="6"/>
  <c r="CO444" i="6"/>
  <c r="CL446" i="6"/>
  <c r="CO446" i="6"/>
  <c r="CL448" i="6"/>
  <c r="CO448" i="6"/>
  <c r="CO449" i="6"/>
  <c r="CO450" i="6"/>
  <c r="CO451" i="6"/>
  <c r="CO452" i="6"/>
  <c r="CO453" i="6"/>
  <c r="CO454" i="6"/>
  <c r="CO455" i="6"/>
  <c r="CO456" i="6"/>
  <c r="CO457" i="6"/>
  <c r="CO458" i="6"/>
  <c r="CO459" i="6"/>
  <c r="CO460" i="6"/>
  <c r="CO461" i="6"/>
  <c r="CO462" i="6"/>
  <c r="CO463" i="6"/>
  <c r="CO464" i="6"/>
  <c r="CO465" i="6"/>
  <c r="CO466" i="6"/>
  <c r="CO467" i="6"/>
  <c r="CO468" i="6"/>
  <c r="CO469" i="6"/>
  <c r="CO470" i="6"/>
  <c r="CO471" i="6"/>
  <c r="CO472" i="6"/>
  <c r="CO473" i="6"/>
  <c r="CO474" i="6"/>
  <c r="CO475" i="6"/>
  <c r="CO476" i="6"/>
  <c r="CO477" i="6"/>
  <c r="CO478" i="6"/>
  <c r="CO479" i="6"/>
  <c r="CO480" i="6"/>
  <c r="CO481" i="6"/>
  <c r="CO482" i="6"/>
  <c r="CO483" i="6"/>
  <c r="CO484" i="6"/>
  <c r="CO485" i="6"/>
  <c r="CO486" i="6"/>
  <c r="CO487" i="6"/>
  <c r="CO488" i="6"/>
  <c r="CO489" i="6"/>
  <c r="CO490" i="6"/>
  <c r="CO491" i="6"/>
  <c r="CO492" i="6"/>
  <c r="CO493" i="6"/>
  <c r="CO494" i="6"/>
  <c r="CO495" i="6"/>
  <c r="CO496" i="6"/>
  <c r="CO497" i="6"/>
  <c r="CO498" i="6"/>
  <c r="CO499" i="6"/>
  <c r="CO500" i="6"/>
  <c r="CO501" i="6"/>
  <c r="CO502" i="6"/>
  <c r="CO503" i="6"/>
  <c r="CO504" i="6"/>
  <c r="CO505" i="6"/>
  <c r="CO506" i="6"/>
  <c r="CO507" i="6"/>
  <c r="CO508" i="6"/>
  <c r="CO509" i="6"/>
  <c r="CO510" i="6"/>
  <c r="CO511" i="6"/>
  <c r="CO512" i="6"/>
  <c r="CO513" i="6"/>
  <c r="CO514" i="6"/>
  <c r="CO515" i="6"/>
  <c r="CO516" i="6"/>
  <c r="CO517" i="6"/>
  <c r="CO518" i="6"/>
  <c r="CO519" i="6"/>
  <c r="CO520" i="6"/>
  <c r="CO521" i="6"/>
  <c r="CO522" i="6"/>
  <c r="CO523" i="6"/>
  <c r="CO524" i="6"/>
  <c r="CO525" i="6"/>
  <c r="CO526" i="6"/>
  <c r="CO527" i="6"/>
  <c r="CO528" i="6"/>
  <c r="CO529" i="6"/>
  <c r="CO530" i="6"/>
  <c r="CO531" i="6"/>
  <c r="CO532" i="6"/>
  <c r="CO533" i="6"/>
  <c r="CO534" i="6"/>
  <c r="CO535" i="6"/>
  <c r="CO536" i="6"/>
  <c r="CO537" i="6"/>
  <c r="CO538" i="6"/>
  <c r="CO539" i="6"/>
  <c r="CO540" i="6"/>
  <c r="CO541" i="6"/>
  <c r="CO542" i="6"/>
  <c r="CO543" i="6"/>
  <c r="CO544" i="6"/>
  <c r="CO545" i="6"/>
  <c r="CO546" i="6"/>
  <c r="CO547" i="6"/>
  <c r="CO548" i="6"/>
  <c r="CO549" i="6"/>
  <c r="CO550" i="6"/>
  <c r="CO551" i="6"/>
  <c r="CO552" i="6"/>
  <c r="CO553" i="6"/>
  <c r="CO554" i="6"/>
  <c r="CO555" i="6"/>
  <c r="CO556" i="6"/>
  <c r="CO557" i="6"/>
  <c r="CO558" i="6"/>
  <c r="CO559" i="6"/>
  <c r="CO560" i="6"/>
  <c r="CO561" i="6"/>
  <c r="CO562" i="6"/>
  <c r="CO563" i="6"/>
  <c r="CO564" i="6"/>
  <c r="CO565" i="6"/>
  <c r="CO566" i="6"/>
  <c r="CO567" i="6"/>
  <c r="CO568" i="6"/>
  <c r="CO569" i="6"/>
  <c r="CO570" i="6"/>
  <c r="CO571" i="6"/>
  <c r="CO572" i="6"/>
  <c r="CO573" i="6"/>
  <c r="CO574" i="6"/>
  <c r="CO575" i="6"/>
  <c r="CO576" i="6"/>
  <c r="CO577" i="6"/>
  <c r="CO578" i="6"/>
  <c r="CO579" i="6"/>
  <c r="CO580" i="6"/>
  <c r="CO581" i="6"/>
  <c r="CO582" i="6"/>
  <c r="CO583" i="6"/>
  <c r="CO584" i="6"/>
  <c r="CO585" i="6"/>
  <c r="CO586" i="6"/>
  <c r="CO587" i="6"/>
  <c r="CO588" i="6"/>
  <c r="CO589" i="6"/>
  <c r="CO590" i="6"/>
  <c r="CO591" i="6"/>
  <c r="CO592" i="6"/>
  <c r="CO593" i="6"/>
  <c r="CO594" i="6"/>
  <c r="CO595" i="6"/>
  <c r="CO596" i="6"/>
  <c r="CO597" i="6"/>
  <c r="CO598" i="6"/>
  <c r="CO599" i="6"/>
  <c r="CO600" i="6"/>
  <c r="CO601" i="6"/>
  <c r="CO602" i="6"/>
  <c r="CO603" i="6"/>
  <c r="CO604" i="6"/>
  <c r="CO605" i="6"/>
  <c r="CO606" i="6"/>
  <c r="CO607" i="6"/>
  <c r="CO608" i="6"/>
  <c r="CO609" i="6"/>
  <c r="CO610" i="6"/>
  <c r="CO611" i="6"/>
  <c r="CO612" i="6"/>
  <c r="CO613" i="6"/>
  <c r="CO614" i="6"/>
  <c r="CO615" i="6"/>
  <c r="CO616" i="6"/>
  <c r="CO617" i="6"/>
  <c r="CO618" i="6"/>
  <c r="CO619" i="6"/>
  <c r="CO620" i="6"/>
  <c r="CO621" i="6"/>
  <c r="CO622" i="6"/>
  <c r="CO623" i="6"/>
  <c r="CO624" i="6"/>
  <c r="CO625" i="6"/>
  <c r="CO626" i="6"/>
  <c r="CO627" i="6"/>
  <c r="CO628" i="6"/>
  <c r="CO629" i="6"/>
  <c r="CO630" i="6"/>
  <c r="CO631" i="6"/>
  <c r="CO632" i="6"/>
  <c r="CO633" i="6"/>
  <c r="CO634" i="6"/>
  <c r="CO635" i="6"/>
  <c r="CO636" i="6"/>
  <c r="CO637" i="6"/>
  <c r="CO638" i="6"/>
  <c r="CO639" i="6"/>
  <c r="CO640" i="6"/>
  <c r="CO641" i="6"/>
  <c r="CO642" i="6"/>
  <c r="CO643" i="6"/>
  <c r="CO644" i="6"/>
  <c r="CO645" i="6"/>
  <c r="CO646" i="6"/>
  <c r="CO647" i="6"/>
  <c r="CO648" i="6"/>
  <c r="CO649" i="6"/>
  <c r="CO650" i="6"/>
  <c r="CO651" i="6"/>
  <c r="CO652" i="6"/>
  <c r="CO653" i="6"/>
  <c r="CO654" i="6"/>
  <c r="CO655" i="6"/>
  <c r="CO656" i="6"/>
  <c r="CO657" i="6"/>
  <c r="CO658" i="6"/>
  <c r="CO659" i="6"/>
  <c r="CO660" i="6"/>
  <c r="CO661" i="6"/>
  <c r="CO662" i="6"/>
  <c r="CO663" i="6"/>
  <c r="CO664" i="6"/>
  <c r="CO665" i="6"/>
  <c r="CO666" i="6"/>
  <c r="CO667" i="6"/>
  <c r="CO668" i="6"/>
  <c r="CO669" i="6"/>
  <c r="CO670" i="6"/>
  <c r="CO671" i="6"/>
  <c r="CO672" i="6"/>
  <c r="CO673" i="6"/>
  <c r="CO674" i="6"/>
  <c r="CO675" i="6"/>
  <c r="CO676" i="6"/>
  <c r="CO677" i="6"/>
  <c r="CO678" i="6"/>
  <c r="CO679" i="6"/>
  <c r="CO680" i="6"/>
  <c r="CO681" i="6"/>
  <c r="CO682" i="6"/>
  <c r="CO683" i="6"/>
  <c r="CO684" i="6"/>
  <c r="CO685" i="6"/>
  <c r="CO686" i="6"/>
  <c r="CO687" i="6"/>
  <c r="CO688" i="6"/>
  <c r="CO689" i="6"/>
  <c r="CO690" i="6"/>
  <c r="CO691" i="6"/>
  <c r="CO692" i="6"/>
  <c r="CO693" i="6"/>
  <c r="CO694" i="6"/>
  <c r="CO695" i="6"/>
  <c r="CO696" i="6"/>
  <c r="CO697" i="6"/>
  <c r="CO698" i="6"/>
  <c r="CO699" i="6"/>
  <c r="CO700" i="6"/>
  <c r="CO701" i="6"/>
  <c r="CO702" i="6"/>
  <c r="CO703" i="6"/>
  <c r="CO704" i="6"/>
  <c r="CO705" i="6"/>
  <c r="CO706" i="6"/>
  <c r="CO707" i="6"/>
  <c r="CO708" i="6"/>
  <c r="CO709" i="6"/>
  <c r="CO710" i="6"/>
  <c r="CO711" i="6"/>
  <c r="CO712" i="6"/>
  <c r="CO713" i="6"/>
  <c r="CO714" i="6"/>
  <c r="CO715" i="6"/>
  <c r="CO716" i="6"/>
  <c r="CO717" i="6"/>
  <c r="CO718" i="6"/>
  <c r="CO719" i="6"/>
  <c r="CO720" i="6"/>
  <c r="CO721" i="6"/>
  <c r="CO722" i="6"/>
  <c r="CO723" i="6"/>
  <c r="CO724" i="6"/>
  <c r="CO725" i="6"/>
  <c r="CO726" i="6"/>
  <c r="CO727" i="6"/>
  <c r="CO728" i="6"/>
  <c r="CO729" i="6"/>
  <c r="CO730" i="6"/>
  <c r="CO731" i="6"/>
  <c r="CO732" i="6"/>
  <c r="CO733" i="6"/>
  <c r="CO734" i="6"/>
  <c r="CO735" i="6"/>
  <c r="CO736" i="6"/>
  <c r="CO737" i="6"/>
  <c r="CO738" i="6"/>
  <c r="CO739" i="6"/>
  <c r="CO740" i="6"/>
  <c r="CO741" i="6"/>
  <c r="CO742" i="6"/>
  <c r="CO743" i="6"/>
  <c r="CO744" i="6"/>
  <c r="CO745" i="6"/>
  <c r="CO746" i="6"/>
  <c r="CO747" i="6"/>
  <c r="CO748" i="6"/>
  <c r="CO749" i="6"/>
  <c r="CO750" i="6"/>
  <c r="CO751" i="6"/>
  <c r="CL751" i="6"/>
  <c r="CO753" i="6"/>
  <c r="CL753" i="6"/>
  <c r="CO755" i="6"/>
  <c r="CL755" i="6"/>
  <c r="CO757" i="6"/>
  <c r="CL757" i="6"/>
  <c r="CM751" i="6"/>
  <c r="CM753" i="6"/>
  <c r="CM755" i="6"/>
  <c r="CM757" i="6"/>
  <c r="CO752" i="6"/>
  <c r="CL752" i="6"/>
  <c r="CO754" i="6"/>
  <c r="CL754" i="6"/>
  <c r="CO756" i="6"/>
  <c r="CL756" i="6"/>
  <c r="CO758" i="6"/>
  <c r="CL758" i="6"/>
  <c r="CM1088" i="6"/>
  <c r="CO1088" i="6"/>
  <c r="CM1091" i="6"/>
  <c r="CL1091" i="6"/>
  <c r="CO1091" i="6"/>
  <c r="CM1095" i="6"/>
  <c r="CL1095" i="6"/>
  <c r="CO1095" i="6"/>
  <c r="CM1099" i="6"/>
  <c r="CL1099" i="6"/>
  <c r="CO1099" i="6"/>
  <c r="CM1103" i="6"/>
  <c r="CL1103" i="6"/>
  <c r="CO1103" i="6"/>
  <c r="CM1107" i="6"/>
  <c r="CL1107" i="6"/>
  <c r="CO1107" i="6"/>
  <c r="CM1111" i="6"/>
  <c r="CL1111" i="6"/>
  <c r="CO1111" i="6"/>
  <c r="CM1115" i="6"/>
  <c r="CL1115" i="6"/>
  <c r="CO1115" i="6"/>
  <c r="CM1119" i="6"/>
  <c r="CL1119" i="6"/>
  <c r="CO1119" i="6"/>
  <c r="CM1123" i="6"/>
  <c r="CL1123" i="6"/>
  <c r="CO1123" i="6"/>
  <c r="CM1127" i="6"/>
  <c r="CL1127" i="6"/>
  <c r="CO1127" i="6"/>
  <c r="CL759" i="6"/>
  <c r="CL760" i="6"/>
  <c r="CL761" i="6"/>
  <c r="CL762" i="6"/>
  <c r="CL763" i="6"/>
  <c r="CL764" i="6"/>
  <c r="CL765" i="6"/>
  <c r="CL766" i="6"/>
  <c r="CL767" i="6"/>
  <c r="CL768" i="6"/>
  <c r="CL769" i="6"/>
  <c r="CL770" i="6"/>
  <c r="CL771" i="6"/>
  <c r="CL772" i="6"/>
  <c r="CL773" i="6"/>
  <c r="CL774" i="6"/>
  <c r="CL775" i="6"/>
  <c r="CL776" i="6"/>
  <c r="CL777" i="6"/>
  <c r="CL778" i="6"/>
  <c r="CL779" i="6"/>
  <c r="CL780" i="6"/>
  <c r="CL781" i="6"/>
  <c r="CL782" i="6"/>
  <c r="CL783" i="6"/>
  <c r="CL784" i="6"/>
  <c r="CL785" i="6"/>
  <c r="CL786" i="6"/>
  <c r="CL787" i="6"/>
  <c r="CL788" i="6"/>
  <c r="CL789" i="6"/>
  <c r="CL790" i="6"/>
  <c r="CL791" i="6"/>
  <c r="CL792" i="6"/>
  <c r="CL793" i="6"/>
  <c r="CL794" i="6"/>
  <c r="CL795" i="6"/>
  <c r="CL796" i="6"/>
  <c r="CL797" i="6"/>
  <c r="CL798" i="6"/>
  <c r="CL799" i="6"/>
  <c r="CL800" i="6"/>
  <c r="CL801" i="6"/>
  <c r="CL802" i="6"/>
  <c r="CL803" i="6"/>
  <c r="CL804" i="6"/>
  <c r="CL805" i="6"/>
  <c r="CL806" i="6"/>
  <c r="CL807" i="6"/>
  <c r="CL808" i="6"/>
  <c r="CL809" i="6"/>
  <c r="CL810" i="6"/>
  <c r="CL811" i="6"/>
  <c r="CL812" i="6"/>
  <c r="CL813" i="6"/>
  <c r="CL814" i="6"/>
  <c r="CL815" i="6"/>
  <c r="CL816" i="6"/>
  <c r="CL817" i="6"/>
  <c r="CL818" i="6"/>
  <c r="CL819" i="6"/>
  <c r="CL820" i="6"/>
  <c r="CL821" i="6"/>
  <c r="CL822" i="6"/>
  <c r="CL823" i="6"/>
  <c r="CL824" i="6"/>
  <c r="CL825" i="6"/>
  <c r="CL826" i="6"/>
  <c r="CL827" i="6"/>
  <c r="CL828" i="6"/>
  <c r="CL829" i="6"/>
  <c r="CL830" i="6"/>
  <c r="CL831" i="6"/>
  <c r="CL832" i="6"/>
  <c r="CL833" i="6"/>
  <c r="CL834" i="6"/>
  <c r="CL835" i="6"/>
  <c r="CL836" i="6"/>
  <c r="CL837" i="6"/>
  <c r="CL838" i="6"/>
  <c r="CL839" i="6"/>
  <c r="CL840" i="6"/>
  <c r="CL841" i="6"/>
  <c r="CL842" i="6"/>
  <c r="CL843" i="6"/>
  <c r="CL844" i="6"/>
  <c r="CL845" i="6"/>
  <c r="CL846" i="6"/>
  <c r="CL847" i="6"/>
  <c r="CL848" i="6"/>
  <c r="CL849" i="6"/>
  <c r="CL850" i="6"/>
  <c r="CL851" i="6"/>
  <c r="CL852" i="6"/>
  <c r="CL853" i="6"/>
  <c r="CL854" i="6"/>
  <c r="CL855" i="6"/>
  <c r="CL856" i="6"/>
  <c r="CL857" i="6"/>
  <c r="CL858" i="6"/>
  <c r="CL859" i="6"/>
  <c r="CL860" i="6"/>
  <c r="CL861" i="6"/>
  <c r="CL862" i="6"/>
  <c r="CL863" i="6"/>
  <c r="CL864" i="6"/>
  <c r="CL865" i="6"/>
  <c r="CL866" i="6"/>
  <c r="CL867" i="6"/>
  <c r="CL868" i="6"/>
  <c r="CL869" i="6"/>
  <c r="CL870" i="6"/>
  <c r="CL871" i="6"/>
  <c r="CL872" i="6"/>
  <c r="CL873" i="6"/>
  <c r="CL874" i="6"/>
  <c r="CL875" i="6"/>
  <c r="CL876" i="6"/>
  <c r="CL877" i="6"/>
  <c r="CL878" i="6"/>
  <c r="CL879" i="6"/>
  <c r="CL880" i="6"/>
  <c r="CL881" i="6"/>
  <c r="CL882" i="6"/>
  <c r="CL883" i="6"/>
  <c r="CL884" i="6"/>
  <c r="CL885" i="6"/>
  <c r="CL886" i="6"/>
  <c r="CL887" i="6"/>
  <c r="CL888" i="6"/>
  <c r="CL889" i="6"/>
  <c r="CL890" i="6"/>
  <c r="CL891" i="6"/>
  <c r="CL892" i="6"/>
  <c r="CL893" i="6"/>
  <c r="CL894" i="6"/>
  <c r="CL895" i="6"/>
  <c r="CL896" i="6"/>
  <c r="CL897" i="6"/>
  <c r="CL898" i="6"/>
  <c r="CL899" i="6"/>
  <c r="CL900" i="6"/>
  <c r="CL901" i="6"/>
  <c r="CL902" i="6"/>
  <c r="CL903" i="6"/>
  <c r="CL904" i="6"/>
  <c r="CL905" i="6"/>
  <c r="CL906" i="6"/>
  <c r="CL907" i="6"/>
  <c r="CL908" i="6"/>
  <c r="CL909" i="6"/>
  <c r="CL910" i="6"/>
  <c r="CL911" i="6"/>
  <c r="CL912" i="6"/>
  <c r="CL913" i="6"/>
  <c r="CL914" i="6"/>
  <c r="CL915" i="6"/>
  <c r="CL916" i="6"/>
  <c r="CL917" i="6"/>
  <c r="CL918" i="6"/>
  <c r="CL919" i="6"/>
  <c r="CL920" i="6"/>
  <c r="CL921" i="6"/>
  <c r="CL922" i="6"/>
  <c r="CL923" i="6"/>
  <c r="CL924" i="6"/>
  <c r="CL925" i="6"/>
  <c r="CL926" i="6"/>
  <c r="CL927" i="6"/>
  <c r="CL928" i="6"/>
  <c r="CL929" i="6"/>
  <c r="CL930" i="6"/>
  <c r="CL931" i="6"/>
  <c r="CL932" i="6"/>
  <c r="CL933" i="6"/>
  <c r="CL934" i="6"/>
  <c r="CL935" i="6"/>
  <c r="CL936" i="6"/>
  <c r="CL937" i="6"/>
  <c r="CL938" i="6"/>
  <c r="CL939" i="6"/>
  <c r="CL940" i="6"/>
  <c r="CL941" i="6"/>
  <c r="CL942" i="6"/>
  <c r="CL943" i="6"/>
  <c r="CL944" i="6"/>
  <c r="CL945" i="6"/>
  <c r="CL946" i="6"/>
  <c r="CL947" i="6"/>
  <c r="CL948" i="6"/>
  <c r="CL949" i="6"/>
  <c r="CL950" i="6"/>
  <c r="CL951" i="6"/>
  <c r="CL952" i="6"/>
  <c r="CL953" i="6"/>
  <c r="CL954" i="6"/>
  <c r="CL955" i="6"/>
  <c r="CL956" i="6"/>
  <c r="CL957" i="6"/>
  <c r="CL958" i="6"/>
  <c r="CL959" i="6"/>
  <c r="CL960" i="6"/>
  <c r="CL961" i="6"/>
  <c r="CL962" i="6"/>
  <c r="CL963" i="6"/>
  <c r="CL964" i="6"/>
  <c r="CL965" i="6"/>
  <c r="CL966" i="6"/>
  <c r="CL967" i="6"/>
  <c r="CL968" i="6"/>
  <c r="CL969" i="6"/>
  <c r="CL970" i="6"/>
  <c r="CL971" i="6"/>
  <c r="CL972" i="6"/>
  <c r="CL973" i="6"/>
  <c r="CL974" i="6"/>
  <c r="CL975" i="6"/>
  <c r="CL976" i="6"/>
  <c r="CL977" i="6"/>
  <c r="CL978" i="6"/>
  <c r="CL979" i="6"/>
  <c r="CL980" i="6"/>
  <c r="CL981" i="6"/>
  <c r="CL982" i="6"/>
  <c r="CL983" i="6"/>
  <c r="CL984" i="6"/>
  <c r="CL985" i="6"/>
  <c r="CL986" i="6"/>
  <c r="CL987" i="6"/>
  <c r="CL988" i="6"/>
  <c r="CL989" i="6"/>
  <c r="CL990" i="6"/>
  <c r="CL991" i="6"/>
  <c r="CL992" i="6"/>
  <c r="CL993" i="6"/>
  <c r="CL994" i="6"/>
  <c r="CL995" i="6"/>
  <c r="CL996" i="6"/>
  <c r="CL997" i="6"/>
  <c r="CL998" i="6"/>
  <c r="CL999" i="6"/>
  <c r="CL1000" i="6"/>
  <c r="CL1001" i="6"/>
  <c r="CL1002" i="6"/>
  <c r="CL1003" i="6"/>
  <c r="CL1004" i="6"/>
  <c r="CL1005" i="6"/>
  <c r="CL1006" i="6"/>
  <c r="CL1007" i="6"/>
  <c r="CL1008" i="6"/>
  <c r="CL1009" i="6"/>
  <c r="CL1010" i="6"/>
  <c r="CL1011" i="6"/>
  <c r="CL1012" i="6"/>
  <c r="CL1013" i="6"/>
  <c r="CL1014" i="6"/>
  <c r="CL1015" i="6"/>
  <c r="CL1016" i="6"/>
  <c r="CL1017" i="6"/>
  <c r="CL1018" i="6"/>
  <c r="CL1019" i="6"/>
  <c r="CL1020" i="6"/>
  <c r="CL1021" i="6"/>
  <c r="CL1022" i="6"/>
  <c r="CL1023" i="6"/>
  <c r="CL1024" i="6"/>
  <c r="CL1025" i="6"/>
  <c r="CL1026" i="6"/>
  <c r="CL1027" i="6"/>
  <c r="CL1028" i="6"/>
  <c r="CL1029" i="6"/>
  <c r="CL1030" i="6"/>
  <c r="CL1031" i="6"/>
  <c r="CL1032" i="6"/>
  <c r="CL1033" i="6"/>
  <c r="CL1034" i="6"/>
  <c r="CL1035" i="6"/>
  <c r="CL1036" i="6"/>
  <c r="CL1037" i="6"/>
  <c r="CL1038" i="6"/>
  <c r="CL1039" i="6"/>
  <c r="CL1040" i="6"/>
  <c r="CL1041" i="6"/>
  <c r="CL1042" i="6"/>
  <c r="CL1043" i="6"/>
  <c r="CL1044" i="6"/>
  <c r="CL1045" i="6"/>
  <c r="CL1046" i="6"/>
  <c r="CL1047" i="6"/>
  <c r="CL1048" i="6"/>
  <c r="CL1049" i="6"/>
  <c r="CL1050" i="6"/>
  <c r="CL1051" i="6"/>
  <c r="CL1052" i="6"/>
  <c r="CL1053" i="6"/>
  <c r="CL1054" i="6"/>
  <c r="CL1055" i="6"/>
  <c r="CL1056" i="6"/>
  <c r="CL1057" i="6"/>
  <c r="CL1058" i="6"/>
  <c r="CL1059" i="6"/>
  <c r="CL1060" i="6"/>
  <c r="CL1061" i="6"/>
  <c r="CL1062" i="6"/>
  <c r="CL1063" i="6"/>
  <c r="CL1064" i="6"/>
  <c r="CL1065" i="6"/>
  <c r="CL1066" i="6"/>
  <c r="CL1067" i="6"/>
  <c r="CL1068" i="6"/>
  <c r="CL1069" i="6"/>
  <c r="CL1070" i="6"/>
  <c r="CL1071" i="6"/>
  <c r="CL1072" i="6"/>
  <c r="CL1073" i="6"/>
  <c r="CL1074" i="6"/>
  <c r="CL1075" i="6"/>
  <c r="CL1076" i="6"/>
  <c r="CL1077" i="6"/>
  <c r="CL1078" i="6"/>
  <c r="CL1079" i="6"/>
  <c r="CL1080" i="6"/>
  <c r="CL1081" i="6"/>
  <c r="CL1082" i="6"/>
  <c r="CL1083" i="6"/>
  <c r="CL1084" i="6"/>
  <c r="CL1085" i="6"/>
  <c r="CL1086" i="6"/>
  <c r="CL1087" i="6"/>
  <c r="CL1088" i="6"/>
  <c r="CM1092" i="6"/>
  <c r="CL1092" i="6"/>
  <c r="CO1092" i="6"/>
  <c r="CM1096" i="6"/>
  <c r="CL1096" i="6"/>
  <c r="CO1096" i="6"/>
  <c r="CM1100" i="6"/>
  <c r="CL1100" i="6"/>
  <c r="CO1100" i="6"/>
  <c r="CM1104" i="6"/>
  <c r="CL1104" i="6"/>
  <c r="CO1104" i="6"/>
  <c r="CM1108" i="6"/>
  <c r="CL1108" i="6"/>
  <c r="CO1108" i="6"/>
  <c r="CM1112" i="6"/>
  <c r="CL1112" i="6"/>
  <c r="CO1112" i="6"/>
  <c r="CM1116" i="6"/>
  <c r="CL1116" i="6"/>
  <c r="CO1116" i="6"/>
  <c r="CM1120" i="6"/>
  <c r="CL1120" i="6"/>
  <c r="CO1120" i="6"/>
  <c r="CM1124" i="6"/>
  <c r="CL1124" i="6"/>
  <c r="CO1124" i="6"/>
  <c r="CM1128" i="6"/>
  <c r="CL1128" i="6"/>
  <c r="CO1128" i="6"/>
  <c r="CM962" i="6"/>
  <c r="CM963" i="6"/>
  <c r="CM964" i="6"/>
  <c r="CM965" i="6"/>
  <c r="CM966" i="6"/>
  <c r="CM967" i="6"/>
  <c r="CM968" i="6"/>
  <c r="CM969" i="6"/>
  <c r="CM970" i="6"/>
  <c r="CM971" i="6"/>
  <c r="CM972" i="6"/>
  <c r="CM973" i="6"/>
  <c r="CM974" i="6"/>
  <c r="CM975" i="6"/>
  <c r="CM976" i="6"/>
  <c r="CM977" i="6"/>
  <c r="CM978" i="6"/>
  <c r="CM979" i="6"/>
  <c r="CM980" i="6"/>
  <c r="CM981" i="6"/>
  <c r="CM982" i="6"/>
  <c r="CM983" i="6"/>
  <c r="CM984" i="6"/>
  <c r="CM985" i="6"/>
  <c r="CM986" i="6"/>
  <c r="CM987" i="6"/>
  <c r="CM988" i="6"/>
  <c r="CM989" i="6"/>
  <c r="CM990" i="6"/>
  <c r="CM991" i="6"/>
  <c r="CM992" i="6"/>
  <c r="CM993" i="6"/>
  <c r="CM994" i="6"/>
  <c r="CM995" i="6"/>
  <c r="CM996" i="6"/>
  <c r="CM997" i="6"/>
  <c r="CM998" i="6"/>
  <c r="CM999" i="6"/>
  <c r="CM1000" i="6"/>
  <c r="CM1001" i="6"/>
  <c r="CM1002" i="6"/>
  <c r="CM1003" i="6"/>
  <c r="CM1004" i="6"/>
  <c r="CM1005" i="6"/>
  <c r="CM1006" i="6"/>
  <c r="CM1007" i="6"/>
  <c r="CM1008" i="6"/>
  <c r="CM1009" i="6"/>
  <c r="CM1010" i="6"/>
  <c r="CM1011" i="6"/>
  <c r="CM1012" i="6"/>
  <c r="CM1013" i="6"/>
  <c r="CM1014" i="6"/>
  <c r="CM1015" i="6"/>
  <c r="CM1016" i="6"/>
  <c r="CM1017" i="6"/>
  <c r="CM1018" i="6"/>
  <c r="CM1019" i="6"/>
  <c r="CM1020" i="6"/>
  <c r="CM1021" i="6"/>
  <c r="CM1022" i="6"/>
  <c r="CM1023" i="6"/>
  <c r="CM1024" i="6"/>
  <c r="CM1025" i="6"/>
  <c r="CM1026" i="6"/>
  <c r="CM1027" i="6"/>
  <c r="CM1028" i="6"/>
  <c r="CM1029" i="6"/>
  <c r="CM1030" i="6"/>
  <c r="CM1031" i="6"/>
  <c r="CM1032" i="6"/>
  <c r="CM1033" i="6"/>
  <c r="CM1034" i="6"/>
  <c r="CM1035" i="6"/>
  <c r="CM1036" i="6"/>
  <c r="CM1037" i="6"/>
  <c r="CM1038" i="6"/>
  <c r="CM1039" i="6"/>
  <c r="CM1040" i="6"/>
  <c r="CM1041" i="6"/>
  <c r="CM1042" i="6"/>
  <c r="CM1043" i="6"/>
  <c r="CM1044" i="6"/>
  <c r="CM1045" i="6"/>
  <c r="CM1046" i="6"/>
  <c r="CM1047" i="6"/>
  <c r="CM1048" i="6"/>
  <c r="CM1049" i="6"/>
  <c r="CM1050" i="6"/>
  <c r="CM1051" i="6"/>
  <c r="CM1052" i="6"/>
  <c r="CM1053" i="6"/>
  <c r="CM1054" i="6"/>
  <c r="CM1055" i="6"/>
  <c r="CM1056" i="6"/>
  <c r="CM1057" i="6"/>
  <c r="CM1058" i="6"/>
  <c r="CM1059" i="6"/>
  <c r="CM1060" i="6"/>
  <c r="CM1061" i="6"/>
  <c r="CM1062" i="6"/>
  <c r="CM1063" i="6"/>
  <c r="CM1064" i="6"/>
  <c r="CM1065" i="6"/>
  <c r="CM1066" i="6"/>
  <c r="CM1067" i="6"/>
  <c r="CM1068" i="6"/>
  <c r="CM1069" i="6"/>
  <c r="CM1070" i="6"/>
  <c r="CM1071" i="6"/>
  <c r="CM1072" i="6"/>
  <c r="CM1073" i="6"/>
  <c r="CM1074" i="6"/>
  <c r="CM1075" i="6"/>
  <c r="CM1076" i="6"/>
  <c r="CM1077" i="6"/>
  <c r="CM1078" i="6"/>
  <c r="CM1079" i="6"/>
  <c r="CM1080" i="6"/>
  <c r="CM1081" i="6"/>
  <c r="CM1082" i="6"/>
  <c r="CM1083" i="6"/>
  <c r="CM1084" i="6"/>
  <c r="CM1085" i="6"/>
  <c r="CM1086" i="6"/>
  <c r="CM1087" i="6"/>
  <c r="CM1089" i="6"/>
  <c r="CL1089" i="6"/>
  <c r="CO1089" i="6"/>
  <c r="CM1093" i="6"/>
  <c r="CL1093" i="6"/>
  <c r="CO1093" i="6"/>
  <c r="CM1097" i="6"/>
  <c r="CL1097" i="6"/>
  <c r="CO1097" i="6"/>
  <c r="CM1101" i="6"/>
  <c r="CL1101" i="6"/>
  <c r="CO1101" i="6"/>
  <c r="CM1105" i="6"/>
  <c r="CL1105" i="6"/>
  <c r="CO1105" i="6"/>
  <c r="CM1109" i="6"/>
  <c r="CL1109" i="6"/>
  <c r="CO1109" i="6"/>
  <c r="CM1113" i="6"/>
  <c r="CL1113" i="6"/>
  <c r="CO1113" i="6"/>
  <c r="CM1117" i="6"/>
  <c r="CL1117" i="6"/>
  <c r="CO1117" i="6"/>
  <c r="CM1121" i="6"/>
  <c r="CL1121" i="6"/>
  <c r="CO1121" i="6"/>
  <c r="CM1125" i="6"/>
  <c r="CL1125" i="6"/>
  <c r="CO1125" i="6"/>
  <c r="CM1129" i="6"/>
  <c r="CL1129" i="6"/>
  <c r="CO1129" i="6"/>
  <c r="CM1090" i="6"/>
  <c r="CL1090" i="6"/>
  <c r="CO1090" i="6"/>
  <c r="CM1094" i="6"/>
  <c r="CL1094" i="6"/>
  <c r="CO1094" i="6"/>
  <c r="CM1098" i="6"/>
  <c r="CL1098" i="6"/>
  <c r="CO1098" i="6"/>
  <c r="CM1102" i="6"/>
  <c r="CL1102" i="6"/>
  <c r="CO1102" i="6"/>
  <c r="CM1106" i="6"/>
  <c r="CL1106" i="6"/>
  <c r="CO1106" i="6"/>
  <c r="CM1110" i="6"/>
  <c r="CL1110" i="6"/>
  <c r="CO1110" i="6"/>
  <c r="CM1114" i="6"/>
  <c r="CL1114" i="6"/>
  <c r="CO1114" i="6"/>
  <c r="CM1118" i="6"/>
  <c r="CL1118" i="6"/>
  <c r="CO1118" i="6"/>
  <c r="CM1122" i="6"/>
  <c r="CL1122" i="6"/>
  <c r="CO1122" i="6"/>
  <c r="CM1126" i="6"/>
  <c r="CL1126" i="6"/>
  <c r="CO1126" i="6"/>
  <c r="CO1130" i="6"/>
  <c r="CO1131" i="6"/>
  <c r="CO1132" i="6"/>
  <c r="CO1133" i="6"/>
  <c r="CO1134" i="6"/>
  <c r="CO1135" i="6"/>
  <c r="CO1136" i="6"/>
  <c r="CO1137" i="6"/>
  <c r="CO1138" i="6"/>
  <c r="CO1139" i="6"/>
  <c r="CO1140" i="6"/>
  <c r="CO1141" i="6"/>
  <c r="CO1142" i="6"/>
  <c r="CO1143" i="6"/>
  <c r="CO1144" i="6"/>
  <c r="CO1145" i="6"/>
  <c r="CO1146" i="6"/>
  <c r="CO1147" i="6"/>
  <c r="CO1148" i="6"/>
  <c r="CO1149" i="6"/>
  <c r="CO1150" i="6"/>
  <c r="CO1151" i="6"/>
  <c r="CO1152" i="6"/>
  <c r="CO1153" i="6"/>
  <c r="CO1154" i="6"/>
  <c r="CO1155" i="6"/>
  <c r="CO1156" i="6"/>
  <c r="CO1157" i="6"/>
  <c r="CO1158" i="6"/>
  <c r="CO1159" i="6"/>
  <c r="CO1160" i="6"/>
  <c r="CO1161" i="6"/>
  <c r="CO1162" i="6"/>
  <c r="CO1163" i="6"/>
  <c r="CO1164" i="6"/>
  <c r="CO1165" i="6"/>
  <c r="CO1166" i="6"/>
  <c r="CO1167" i="6"/>
  <c r="CO1168" i="6"/>
  <c r="CO1169" i="6"/>
  <c r="CO1170" i="6"/>
  <c r="CO1171" i="6"/>
  <c r="CO1172" i="6"/>
  <c r="CO1173" i="6"/>
  <c r="CO1174" i="6"/>
  <c r="CO1175" i="6"/>
  <c r="CO1176" i="6"/>
  <c r="CO1177" i="6"/>
  <c r="CO1178" i="6"/>
  <c r="CO1179" i="6"/>
  <c r="CO1180" i="6"/>
  <c r="CO1181" i="6"/>
  <c r="CO1182" i="6"/>
  <c r="CO1183" i="6"/>
  <c r="CO1184" i="6"/>
  <c r="CO1185" i="6"/>
  <c r="CO1186" i="6"/>
  <c r="CO1187" i="6"/>
  <c r="CO1188" i="6"/>
  <c r="CO1189" i="6"/>
  <c r="CO1190" i="6"/>
  <c r="CO1191" i="6"/>
  <c r="CO1192" i="6"/>
  <c r="CO1193" i="6"/>
  <c r="CO1194" i="6"/>
  <c r="CO1195" i="6"/>
  <c r="CO1196" i="6"/>
  <c r="CO1197" i="6"/>
  <c r="CO1198" i="6"/>
  <c r="CO1199" i="6"/>
  <c r="CO1200" i="6"/>
  <c r="CO1201" i="6"/>
  <c r="CO1202" i="6"/>
  <c r="CO1203" i="6"/>
  <c r="CO1204" i="6"/>
  <c r="CL1130" i="6"/>
  <c r="CL1131" i="6"/>
  <c r="CL1132" i="6"/>
  <c r="CL1133" i="6"/>
  <c r="CL1134" i="6"/>
  <c r="CL1135" i="6"/>
  <c r="CL1136" i="6"/>
  <c r="CL1137" i="6"/>
  <c r="CL1138" i="6"/>
  <c r="CL1139" i="6"/>
  <c r="CL1140" i="6"/>
  <c r="CL1141" i="6"/>
  <c r="CL1142" i="6"/>
  <c r="CL1143" i="6"/>
  <c r="CL1144" i="6"/>
  <c r="CL1145" i="6"/>
  <c r="CL1146" i="6"/>
  <c r="CL1147" i="6"/>
  <c r="CL1148" i="6"/>
  <c r="CL1149" i="6"/>
  <c r="CL1150" i="6"/>
  <c r="CL1151" i="6"/>
  <c r="CL1152" i="6"/>
  <c r="CL1153" i="6"/>
  <c r="CL1154" i="6"/>
  <c r="CL1155" i="6"/>
  <c r="CL1156" i="6"/>
  <c r="CL1157" i="6"/>
  <c r="CL1158" i="6"/>
  <c r="CL1159" i="6"/>
  <c r="CL1160" i="6"/>
  <c r="CL1161" i="6"/>
  <c r="CL1162" i="6"/>
  <c r="CL1163" i="6"/>
  <c r="CL1164" i="6"/>
  <c r="CL1165" i="6"/>
  <c r="CL1166" i="6"/>
  <c r="CL1167" i="6"/>
  <c r="CL1168" i="6"/>
  <c r="CL1169" i="6"/>
  <c r="CL1170" i="6"/>
  <c r="CL1171" i="6"/>
  <c r="CL1172" i="6"/>
  <c r="CL1173" i="6"/>
  <c r="CL1174" i="6"/>
  <c r="CL1175" i="6"/>
  <c r="CL1176" i="6"/>
  <c r="CL1177" i="6"/>
  <c r="CL1178" i="6"/>
  <c r="CL1179" i="6"/>
  <c r="CL1180" i="6"/>
  <c r="CL1181" i="6"/>
  <c r="CL1182" i="6"/>
  <c r="CL1183" i="6"/>
  <c r="CL1184" i="6"/>
  <c r="CL1185" i="6"/>
  <c r="CL1186" i="6"/>
  <c r="CL1187" i="6"/>
  <c r="CL1188" i="6"/>
  <c r="CL1189" i="6"/>
  <c r="CL1190" i="6"/>
  <c r="CL1191" i="6"/>
  <c r="CL1192" i="6"/>
  <c r="CL1193" i="6"/>
  <c r="CL1194" i="6"/>
  <c r="CL1195" i="6"/>
  <c r="CL1196" i="6"/>
  <c r="CL1197" i="6"/>
  <c r="CL1198" i="6"/>
  <c r="CL1199" i="6"/>
  <c r="CL1200" i="6"/>
  <c r="CL1201" i="6"/>
  <c r="CL1202" i="6"/>
  <c r="CL1203" i="6"/>
  <c r="CL1204" i="6"/>
  <c r="B15" i="9" l="1"/>
  <c r="G7" i="7"/>
  <c r="H7" i="7"/>
  <c r="E15" i="7"/>
  <c r="E19" i="7"/>
  <c r="J35" i="7"/>
  <c r="J27" i="7"/>
  <c r="J10" i="7"/>
  <c r="O9" i="7"/>
  <c r="O31" i="7"/>
  <c r="M11" i="7"/>
  <c r="M24" i="7"/>
  <c r="CM319" i="6"/>
  <c r="L12" i="7"/>
  <c r="O29" i="7"/>
  <c r="F34" i="7"/>
  <c r="E34" i="7"/>
  <c r="M34" i="7"/>
  <c r="G34" i="7"/>
  <c r="O34" i="7"/>
  <c r="M32" i="7"/>
  <c r="G20" i="7"/>
  <c r="M19" i="7"/>
  <c r="CM175" i="6"/>
  <c r="G18" i="7"/>
  <c r="O18" i="7"/>
  <c r="L18" i="7"/>
  <c r="I18" i="7"/>
  <c r="J18" i="7"/>
  <c r="O17" i="7"/>
  <c r="F15" i="7"/>
  <c r="O15" i="7"/>
  <c r="H15" i="7"/>
  <c r="G16" i="7"/>
  <c r="CM127" i="6"/>
  <c r="O14" i="7"/>
  <c r="G14" i="7"/>
  <c r="H14" i="7"/>
  <c r="E14" i="7"/>
  <c r="M14" i="7"/>
  <c r="F14" i="7"/>
  <c r="N14" i="7"/>
  <c r="V14" i="7" s="1"/>
  <c r="G11" i="7"/>
  <c r="E11" i="7"/>
  <c r="CM79" i="6"/>
  <c r="K10" i="7"/>
  <c r="H10" i="7"/>
  <c r="M10" i="7"/>
  <c r="F10" i="7"/>
  <c r="CM67" i="6"/>
  <c r="M6" i="7"/>
  <c r="F6" i="7"/>
  <c r="G6" i="7"/>
  <c r="E6" i="7"/>
  <c r="N6" i="7"/>
  <c r="V6" i="7" s="1"/>
  <c r="J6" i="7"/>
  <c r="E31" i="7"/>
  <c r="I31" i="7"/>
  <c r="H31" i="7"/>
  <c r="J31" i="7"/>
  <c r="J24" i="7"/>
  <c r="L24" i="7"/>
  <c r="K24" i="7"/>
  <c r="J19" i="7"/>
  <c r="G19" i="7"/>
  <c r="I19" i="7"/>
  <c r="N15" i="7"/>
  <c r="U15" i="7" s="1"/>
  <c r="Y15" i="7" s="1"/>
  <c r="G15" i="7"/>
  <c r="I15" i="7"/>
  <c r="J11" i="7"/>
  <c r="O11" i="7"/>
  <c r="H11" i="7"/>
  <c r="I11" i="7"/>
  <c r="O10" i="7"/>
  <c r="G10" i="7"/>
  <c r="L10" i="7"/>
  <c r="I10" i="7"/>
  <c r="B10" i="9"/>
  <c r="B17" i="9"/>
  <c r="B13" i="9"/>
  <c r="B11" i="9"/>
  <c r="K6" i="7"/>
  <c r="L6" i="7"/>
  <c r="I6" i="7"/>
  <c r="H17" i="7"/>
  <c r="E17" i="7"/>
  <c r="M17" i="7"/>
  <c r="F17" i="7"/>
  <c r="N17" i="7"/>
  <c r="W17" i="7" s="1"/>
  <c r="G17" i="7"/>
  <c r="L9" i="7"/>
  <c r="E9" i="7"/>
  <c r="M9" i="7"/>
  <c r="F9" i="7"/>
  <c r="N9" i="7"/>
  <c r="W9" i="7" s="1"/>
  <c r="G9" i="7"/>
  <c r="B9" i="9"/>
  <c r="O35" i="7"/>
  <c r="M35" i="7"/>
  <c r="H35" i="7"/>
  <c r="K31" i="7"/>
  <c r="M31" i="7"/>
  <c r="G27" i="7"/>
  <c r="M27" i="7"/>
  <c r="H27" i="7"/>
  <c r="N19" i="7"/>
  <c r="U19" i="7" s="1"/>
  <c r="Y19" i="7" s="1"/>
  <c r="F19" i="7"/>
  <c r="K19" i="7"/>
  <c r="L19" i="7"/>
  <c r="J15" i="7"/>
  <c r="K15" i="7"/>
  <c r="L15" i="7"/>
  <c r="F11" i="7"/>
  <c r="N11" i="7"/>
  <c r="X11" i="7" s="1"/>
  <c r="K11" i="7"/>
  <c r="L11" i="7"/>
  <c r="N24" i="7"/>
  <c r="W24" i="7" s="1"/>
  <c r="E20" i="7"/>
  <c r="N20" i="7"/>
  <c r="X20" i="7" s="1"/>
  <c r="I16" i="7"/>
  <c r="N16" i="7"/>
  <c r="T16" i="7" s="1"/>
  <c r="I12" i="7"/>
  <c r="F12" i="7"/>
  <c r="O12" i="7"/>
  <c r="H16" i="7"/>
  <c r="G12" i="7"/>
  <c r="L8" i="7"/>
  <c r="E32" i="7"/>
  <c r="M28" i="7"/>
  <c r="E24" i="7"/>
  <c r="L20" i="7"/>
  <c r="N35" i="7"/>
  <c r="X35" i="7" s="1"/>
  <c r="F33" i="7"/>
  <c r="M36" i="7"/>
  <c r="N27" i="7"/>
  <c r="X27" i="7" s="1"/>
  <c r="H25" i="7"/>
  <c r="N31" i="7"/>
  <c r="X31" i="7" s="1"/>
  <c r="H29" i="7"/>
  <c r="E25" i="7"/>
  <c r="E36" i="7"/>
  <c r="N36" i="7"/>
  <c r="U36" i="7" s="1"/>
  <c r="Y36" i="7" s="1"/>
  <c r="K36" i="7"/>
  <c r="I36" i="7"/>
  <c r="G35" i="7"/>
  <c r="E35" i="7"/>
  <c r="L35" i="7"/>
  <c r="F35" i="7"/>
  <c r="N32" i="7"/>
  <c r="U32" i="7" s="1"/>
  <c r="Y32" i="7" s="1"/>
  <c r="K32" i="7"/>
  <c r="J32" i="7"/>
  <c r="L32" i="7"/>
  <c r="I32" i="7"/>
  <c r="M29" i="7"/>
  <c r="J29" i="7"/>
  <c r="L29" i="7"/>
  <c r="E28" i="7"/>
  <c r="N28" i="7"/>
  <c r="W28" i="7" s="1"/>
  <c r="K28" i="7"/>
  <c r="I28" i="7"/>
  <c r="I24" i="7"/>
  <c r="L23" i="7"/>
  <c r="L31" i="7"/>
  <c r="F31" i="7"/>
  <c r="O27" i="7"/>
  <c r="E27" i="7"/>
  <c r="L27" i="7"/>
  <c r="F27" i="7"/>
  <c r="K23" i="7"/>
  <c r="E29" i="7"/>
  <c r="G29" i="7"/>
  <c r="I29" i="7"/>
  <c r="K29" i="7"/>
  <c r="F29" i="7"/>
  <c r="N29" i="7"/>
  <c r="T29" i="7" s="1"/>
  <c r="F36" i="7"/>
  <c r="H36" i="7"/>
  <c r="J36" i="7"/>
  <c r="L36" i="7"/>
  <c r="G36" i="7"/>
  <c r="O36" i="7"/>
  <c r="F32" i="7"/>
  <c r="H32" i="7"/>
  <c r="G32" i="7"/>
  <c r="O32" i="7"/>
  <c r="F28" i="7"/>
  <c r="H28" i="7"/>
  <c r="J28" i="7"/>
  <c r="L28" i="7"/>
  <c r="G28" i="7"/>
  <c r="O28" i="7"/>
  <c r="F24" i="7"/>
  <c r="H24" i="7"/>
  <c r="G24" i="7"/>
  <c r="O24" i="7"/>
  <c r="O33" i="7"/>
  <c r="I25" i="7"/>
  <c r="K25" i="7"/>
  <c r="M25" i="7"/>
  <c r="O25" i="7"/>
  <c r="F25" i="7"/>
  <c r="N25" i="7"/>
  <c r="T25" i="7" s="1"/>
  <c r="M23" i="7"/>
  <c r="N22" i="7"/>
  <c r="V22" i="7" s="1"/>
  <c r="K21" i="7"/>
  <c r="B19" i="9"/>
  <c r="B20" i="9"/>
  <c r="B18" i="9"/>
  <c r="B16" i="9"/>
  <c r="B14" i="9"/>
  <c r="B12" i="9"/>
  <c r="L21" i="7"/>
  <c r="H21" i="7"/>
  <c r="I21" i="7"/>
  <c r="J21" i="7"/>
  <c r="G22" i="7"/>
  <c r="O22" i="7"/>
  <c r="H22" i="7"/>
  <c r="E22" i="7"/>
  <c r="M22" i="7"/>
  <c r="F22" i="7"/>
  <c r="N23" i="7"/>
  <c r="X23" i="7" s="1"/>
  <c r="F23" i="7"/>
  <c r="G23" i="7"/>
  <c r="O23" i="7"/>
  <c r="H23" i="7"/>
  <c r="E23" i="7"/>
  <c r="M20" i="7"/>
  <c r="F20" i="7"/>
  <c r="O20" i="7"/>
  <c r="H20" i="7"/>
  <c r="I20" i="7"/>
  <c r="J20" i="7"/>
  <c r="K20" i="7"/>
  <c r="E16" i="7"/>
  <c r="F16" i="7"/>
  <c r="O16" i="7"/>
  <c r="M12" i="7"/>
  <c r="N12" i="7"/>
  <c r="X12" i="7" s="1"/>
  <c r="E5" i="9"/>
  <c r="G5" i="7"/>
  <c r="E10" i="8" s="1"/>
  <c r="I8" i="7"/>
  <c r="J8" i="7"/>
  <c r="K8" i="7"/>
  <c r="E5" i="7"/>
  <c r="E8" i="8" s="1"/>
  <c r="N5" i="7"/>
  <c r="B10" i="8" s="1"/>
  <c r="H33" i="7"/>
  <c r="O5" i="7"/>
  <c r="N33" i="7"/>
  <c r="T33" i="7" s="1"/>
  <c r="H5" i="7"/>
  <c r="E11" i="8" s="1"/>
  <c r="M5" i="7"/>
  <c r="E16" i="8" s="1"/>
  <c r="F5" i="7"/>
  <c r="E9" i="8" s="1"/>
  <c r="L16" i="7"/>
  <c r="H12" i="7"/>
  <c r="H8" i="7"/>
  <c r="K5" i="7"/>
  <c r="E14" i="8" s="1"/>
  <c r="L33" i="7"/>
  <c r="M16" i="7"/>
  <c r="J16" i="7"/>
  <c r="K16" i="7"/>
  <c r="E12" i="7"/>
  <c r="J12" i="7"/>
  <c r="K12" i="7"/>
  <c r="E8" i="7"/>
  <c r="M8" i="7"/>
  <c r="F8" i="7"/>
  <c r="N8" i="7"/>
  <c r="T8" i="7" s="1"/>
  <c r="G8" i="7"/>
  <c r="O8" i="7"/>
  <c r="I33" i="7"/>
  <c r="K33" i="7"/>
  <c r="E33" i="7"/>
  <c r="G33" i="7"/>
  <c r="J33" i="7"/>
  <c r="L5" i="7"/>
  <c r="E15" i="8" s="1"/>
  <c r="I5" i="7"/>
  <c r="E12" i="8" s="1"/>
  <c r="J5" i="7"/>
  <c r="E13" i="8" s="1"/>
  <c r="V73" i="7"/>
  <c r="X73" i="7"/>
  <c r="W73" i="7"/>
  <c r="U73" i="7"/>
  <c r="Y73" i="7" s="1"/>
  <c r="T73" i="7"/>
  <c r="W21" i="7"/>
  <c r="V21" i="7"/>
  <c r="U21" i="7"/>
  <c r="Y21" i="7" s="1"/>
  <c r="X21" i="7"/>
  <c r="T21" i="7"/>
  <c r="U82" i="7"/>
  <c r="Y82" i="7" s="1"/>
  <c r="X82" i="7"/>
  <c r="T82" i="7"/>
  <c r="W82" i="7"/>
  <c r="V82" i="7"/>
  <c r="X66" i="7"/>
  <c r="T66" i="7"/>
  <c r="W66" i="7"/>
  <c r="V66" i="7"/>
  <c r="U66" i="7"/>
  <c r="Y66" i="7" s="1"/>
  <c r="U46" i="7"/>
  <c r="Y46" i="7" s="1"/>
  <c r="V46" i="7"/>
  <c r="W46" i="7"/>
  <c r="T46" i="7"/>
  <c r="X46" i="7"/>
  <c r="W38" i="7"/>
  <c r="V38" i="7"/>
  <c r="U38" i="7"/>
  <c r="Y38" i="7" s="1"/>
  <c r="X38" i="7"/>
  <c r="T38" i="7"/>
  <c r="W34" i="7"/>
  <c r="U34" i="7"/>
  <c r="Y34" i="7" s="1"/>
  <c r="V34" i="7"/>
  <c r="T34" i="7"/>
  <c r="X34" i="7"/>
  <c r="W30" i="7"/>
  <c r="U30" i="7"/>
  <c r="Y30" i="7" s="1"/>
  <c r="X30" i="7"/>
  <c r="V30" i="7"/>
  <c r="T30" i="7"/>
  <c r="V18" i="7"/>
  <c r="U18" i="7"/>
  <c r="Y18" i="7" s="1"/>
  <c r="X18" i="7"/>
  <c r="T18" i="7"/>
  <c r="W18" i="7"/>
  <c r="U101" i="7"/>
  <c r="Y101" i="7" s="1"/>
  <c r="W101" i="7"/>
  <c r="V101" i="7"/>
  <c r="X101" i="7"/>
  <c r="T101" i="7"/>
  <c r="X83" i="7"/>
  <c r="T83" i="7"/>
  <c r="W83" i="7"/>
  <c r="V83" i="7"/>
  <c r="U83" i="7"/>
  <c r="Y83" i="7" s="1"/>
  <c r="X79" i="7"/>
  <c r="T79" i="7"/>
  <c r="W79" i="7"/>
  <c r="V79" i="7"/>
  <c r="U79" i="7"/>
  <c r="Y79" i="7" s="1"/>
  <c r="W71" i="7"/>
  <c r="V71" i="7"/>
  <c r="U71" i="7"/>
  <c r="Y71" i="7" s="1"/>
  <c r="T71" i="7"/>
  <c r="X71" i="7"/>
  <c r="W55" i="7"/>
  <c r="V55" i="7"/>
  <c r="U55" i="7"/>
  <c r="Y55" i="7" s="1"/>
  <c r="T55" i="7"/>
  <c r="X55" i="7"/>
  <c r="X43" i="7"/>
  <c r="T43" i="7"/>
  <c r="W43" i="7"/>
  <c r="V43" i="7"/>
  <c r="U43" i="7"/>
  <c r="Y43" i="7" s="1"/>
  <c r="U7" i="7"/>
  <c r="Y7" i="7" s="1"/>
  <c r="X7" i="7"/>
  <c r="T7" i="7"/>
  <c r="W7" i="7"/>
  <c r="V7" i="7"/>
  <c r="W93" i="7"/>
  <c r="U93" i="7"/>
  <c r="Y93" i="7" s="1"/>
  <c r="X93" i="7"/>
  <c r="V93" i="7"/>
  <c r="T93" i="7"/>
  <c r="V104" i="7"/>
  <c r="X104" i="7"/>
  <c r="T104" i="7"/>
  <c r="W104" i="7"/>
  <c r="U104" i="7"/>
  <c r="Y104" i="7" s="1"/>
  <c r="V88" i="7"/>
  <c r="X88" i="7"/>
  <c r="T88" i="7"/>
  <c r="U88" i="7"/>
  <c r="Y88" i="7" s="1"/>
  <c r="W88" i="7"/>
  <c r="W76" i="7"/>
  <c r="V76" i="7"/>
  <c r="U76" i="7"/>
  <c r="Y76" i="7" s="1"/>
  <c r="T76" i="7"/>
  <c r="X76" i="7"/>
  <c r="W72" i="7"/>
  <c r="V72" i="7"/>
  <c r="U72" i="7"/>
  <c r="Y72" i="7" s="1"/>
  <c r="T72" i="7"/>
  <c r="X72" i="7"/>
  <c r="V56" i="7"/>
  <c r="U56" i="7"/>
  <c r="Y56" i="7" s="1"/>
  <c r="X56" i="7"/>
  <c r="T56" i="7"/>
  <c r="W56" i="7"/>
  <c r="W44" i="7"/>
  <c r="T44" i="7"/>
  <c r="X44" i="7"/>
  <c r="V44" i="7"/>
  <c r="U44" i="7"/>
  <c r="Y44" i="7" s="1"/>
  <c r="U61" i="7"/>
  <c r="Y61" i="7" s="1"/>
  <c r="X61" i="7"/>
  <c r="T61" i="7"/>
  <c r="W61" i="7"/>
  <c r="V61" i="7"/>
  <c r="X37" i="7"/>
  <c r="T37" i="7"/>
  <c r="W37" i="7"/>
  <c r="V37" i="7"/>
  <c r="U37" i="7"/>
  <c r="Y37" i="7" s="1"/>
  <c r="X98" i="7"/>
  <c r="T98" i="7"/>
  <c r="V98" i="7"/>
  <c r="U98" i="7"/>
  <c r="Y98" i="7" s="1"/>
  <c r="W98" i="7"/>
  <c r="X70" i="7"/>
  <c r="T70" i="7"/>
  <c r="W70" i="7"/>
  <c r="V70" i="7"/>
  <c r="U70" i="7"/>
  <c r="Y70" i="7" s="1"/>
  <c r="U50" i="7"/>
  <c r="Y50" i="7" s="1"/>
  <c r="V50" i="7"/>
  <c r="X50" i="7"/>
  <c r="W50" i="7"/>
  <c r="T50" i="7"/>
  <c r="U42" i="7"/>
  <c r="Y42" i="7" s="1"/>
  <c r="V42" i="7"/>
  <c r="T42" i="7"/>
  <c r="X42" i="7"/>
  <c r="W42" i="7"/>
  <c r="U65" i="7"/>
  <c r="Y65" i="7" s="1"/>
  <c r="X65" i="7"/>
  <c r="T65" i="7"/>
  <c r="W65" i="7"/>
  <c r="V65" i="7"/>
  <c r="U95" i="7"/>
  <c r="Y95" i="7" s="1"/>
  <c r="X95" i="7"/>
  <c r="T95" i="7"/>
  <c r="V95" i="7"/>
  <c r="W95" i="7"/>
  <c r="W87" i="7"/>
  <c r="U87" i="7"/>
  <c r="Y87" i="7" s="1"/>
  <c r="V87" i="7"/>
  <c r="T87" i="7"/>
  <c r="X87" i="7"/>
  <c r="X75" i="7"/>
  <c r="T75" i="7"/>
  <c r="V75" i="7"/>
  <c r="U75" i="7"/>
  <c r="Y75" i="7" s="1"/>
  <c r="W75" i="7"/>
  <c r="W59" i="7"/>
  <c r="V59" i="7"/>
  <c r="U59" i="7"/>
  <c r="Y59" i="7" s="1"/>
  <c r="T59" i="7"/>
  <c r="X59" i="7"/>
  <c r="X47" i="7"/>
  <c r="T47" i="7"/>
  <c r="U47" i="7"/>
  <c r="Y47" i="7" s="1"/>
  <c r="V47" i="7"/>
  <c r="W47" i="7"/>
  <c r="V39" i="7"/>
  <c r="U39" i="7"/>
  <c r="Y39" i="7" s="1"/>
  <c r="X39" i="7"/>
  <c r="T39" i="7"/>
  <c r="W39" i="7"/>
  <c r="G5" i="9"/>
  <c r="V92" i="7"/>
  <c r="X92" i="7"/>
  <c r="T92" i="7"/>
  <c r="W92" i="7"/>
  <c r="U92" i="7"/>
  <c r="Y92" i="7" s="1"/>
  <c r="W80" i="7"/>
  <c r="V80" i="7"/>
  <c r="U80" i="7"/>
  <c r="Y80" i="7" s="1"/>
  <c r="T80" i="7"/>
  <c r="X80" i="7"/>
  <c r="V60" i="7"/>
  <c r="U60" i="7"/>
  <c r="Y60" i="7" s="1"/>
  <c r="X60" i="7"/>
  <c r="T60" i="7"/>
  <c r="W60" i="7"/>
  <c r="W48" i="7"/>
  <c r="X48" i="7"/>
  <c r="T48" i="7"/>
  <c r="U48" i="7"/>
  <c r="Y48" i="7" s="1"/>
  <c r="V48" i="7"/>
  <c r="U40" i="7"/>
  <c r="Y40" i="7" s="1"/>
  <c r="X40" i="7"/>
  <c r="T40" i="7"/>
  <c r="W40" i="7"/>
  <c r="V40" i="7"/>
  <c r="V77" i="7"/>
  <c r="U77" i="7"/>
  <c r="Y77" i="7" s="1"/>
  <c r="T77" i="7"/>
  <c r="X77" i="7"/>
  <c r="W77" i="7"/>
  <c r="U53" i="7"/>
  <c r="Y53" i="7" s="1"/>
  <c r="T53" i="7"/>
  <c r="V53" i="7"/>
  <c r="W53" i="7"/>
  <c r="X53" i="7"/>
  <c r="X102" i="7"/>
  <c r="T102" i="7"/>
  <c r="V102" i="7"/>
  <c r="U102" i="7"/>
  <c r="Y102" i="7" s="1"/>
  <c r="W102" i="7"/>
  <c r="X86" i="7"/>
  <c r="T86" i="7"/>
  <c r="V86" i="7"/>
  <c r="W86" i="7"/>
  <c r="U86" i="7"/>
  <c r="Y86" i="7" s="1"/>
  <c r="U78" i="7"/>
  <c r="Y78" i="7" s="1"/>
  <c r="X78" i="7"/>
  <c r="T78" i="7"/>
  <c r="W78" i="7"/>
  <c r="V78" i="7"/>
  <c r="X58" i="7"/>
  <c r="T58" i="7"/>
  <c r="W58" i="7"/>
  <c r="V58" i="7"/>
  <c r="U58" i="7"/>
  <c r="Y58" i="7" s="1"/>
  <c r="X54" i="7"/>
  <c r="T54" i="7"/>
  <c r="W54" i="7"/>
  <c r="V54" i="7"/>
  <c r="U54" i="7"/>
  <c r="Y54" i="7" s="1"/>
  <c r="W26" i="7"/>
  <c r="U26" i="7"/>
  <c r="Y26" i="7" s="1"/>
  <c r="V26" i="7"/>
  <c r="T26" i="7"/>
  <c r="X26" i="7"/>
  <c r="V10" i="7"/>
  <c r="U10" i="7"/>
  <c r="Y10" i="7" s="1"/>
  <c r="X10" i="7"/>
  <c r="T10" i="7"/>
  <c r="W10" i="7"/>
  <c r="X41" i="7"/>
  <c r="T41" i="7"/>
  <c r="W41" i="7"/>
  <c r="V41" i="7"/>
  <c r="U41" i="7"/>
  <c r="Y41" i="7" s="1"/>
  <c r="W103" i="7"/>
  <c r="U103" i="7"/>
  <c r="Y103" i="7" s="1"/>
  <c r="X103" i="7"/>
  <c r="T103" i="7"/>
  <c r="V103" i="7"/>
  <c r="W99" i="7"/>
  <c r="U99" i="7"/>
  <c r="Y99" i="7" s="1"/>
  <c r="X99" i="7"/>
  <c r="T99" i="7"/>
  <c r="V99" i="7"/>
  <c r="W63" i="7"/>
  <c r="V63" i="7"/>
  <c r="U63" i="7"/>
  <c r="Y63" i="7" s="1"/>
  <c r="X63" i="7"/>
  <c r="T63" i="7"/>
  <c r="X51" i="7"/>
  <c r="T51" i="7"/>
  <c r="U51" i="7"/>
  <c r="Y51" i="7" s="1"/>
  <c r="W51" i="7"/>
  <c r="V51" i="7"/>
  <c r="V96" i="7"/>
  <c r="X96" i="7"/>
  <c r="T96" i="7"/>
  <c r="W96" i="7"/>
  <c r="U96" i="7"/>
  <c r="Y96" i="7" s="1"/>
  <c r="V64" i="7"/>
  <c r="U64" i="7"/>
  <c r="Y64" i="7" s="1"/>
  <c r="X64" i="7"/>
  <c r="T64" i="7"/>
  <c r="W64" i="7"/>
  <c r="V52" i="7"/>
  <c r="X52" i="7"/>
  <c r="T52" i="7"/>
  <c r="W52" i="7"/>
  <c r="U52" i="7"/>
  <c r="Y52" i="7" s="1"/>
  <c r="U89" i="7"/>
  <c r="Y89" i="7" s="1"/>
  <c r="W89" i="7"/>
  <c r="T89" i="7"/>
  <c r="X89" i="7"/>
  <c r="V89" i="7"/>
  <c r="V45" i="7"/>
  <c r="W45" i="7"/>
  <c r="X45" i="7"/>
  <c r="U45" i="7"/>
  <c r="Y45" i="7" s="1"/>
  <c r="T45" i="7"/>
  <c r="W13" i="7"/>
  <c r="V13" i="7"/>
  <c r="U13" i="7"/>
  <c r="Y13" i="7" s="1"/>
  <c r="X13" i="7"/>
  <c r="T13" i="7"/>
  <c r="V94" i="7"/>
  <c r="W94" i="7"/>
  <c r="T94" i="7"/>
  <c r="X94" i="7"/>
  <c r="U94" i="7"/>
  <c r="Y94" i="7" s="1"/>
  <c r="X90" i="7"/>
  <c r="T90" i="7"/>
  <c r="V90" i="7"/>
  <c r="W90" i="7"/>
  <c r="U90" i="7"/>
  <c r="Y90" i="7" s="1"/>
  <c r="U74" i="7"/>
  <c r="Y74" i="7" s="1"/>
  <c r="T74" i="7"/>
  <c r="X74" i="7"/>
  <c r="W74" i="7"/>
  <c r="V74" i="7"/>
  <c r="X62" i="7"/>
  <c r="T62" i="7"/>
  <c r="W62" i="7"/>
  <c r="V62" i="7"/>
  <c r="U62" i="7"/>
  <c r="Y62" i="7" s="1"/>
  <c r="T14" i="7"/>
  <c r="U97" i="7"/>
  <c r="Y97" i="7" s="1"/>
  <c r="W97" i="7"/>
  <c r="V97" i="7"/>
  <c r="T97" i="7"/>
  <c r="X97" i="7"/>
  <c r="U85" i="7"/>
  <c r="Y85" i="7" s="1"/>
  <c r="W85" i="7"/>
  <c r="X85" i="7"/>
  <c r="V85" i="7"/>
  <c r="T85" i="7"/>
  <c r="U57" i="7"/>
  <c r="Y57" i="7" s="1"/>
  <c r="X57" i="7"/>
  <c r="T57" i="7"/>
  <c r="W57" i="7"/>
  <c r="V57" i="7"/>
  <c r="V49" i="7"/>
  <c r="W49" i="7"/>
  <c r="T49" i="7"/>
  <c r="X49" i="7"/>
  <c r="U49" i="7"/>
  <c r="Y49" i="7" s="1"/>
  <c r="W91" i="7"/>
  <c r="U91" i="7"/>
  <c r="Y91" i="7" s="1"/>
  <c r="X91" i="7"/>
  <c r="V91" i="7"/>
  <c r="T91" i="7"/>
  <c r="W67" i="7"/>
  <c r="V67" i="7"/>
  <c r="U67" i="7"/>
  <c r="Y67" i="7" s="1"/>
  <c r="X67" i="7"/>
  <c r="T67" i="7"/>
  <c r="V81" i="7"/>
  <c r="U81" i="7"/>
  <c r="Y81" i="7" s="1"/>
  <c r="X81" i="7"/>
  <c r="T81" i="7"/>
  <c r="W81" i="7"/>
  <c r="V100" i="7"/>
  <c r="X100" i="7"/>
  <c r="T100" i="7"/>
  <c r="W100" i="7"/>
  <c r="U100" i="7"/>
  <c r="Y100" i="7" s="1"/>
  <c r="V84" i="7"/>
  <c r="U84" i="7"/>
  <c r="Y84" i="7" s="1"/>
  <c r="T84" i="7"/>
  <c r="X84" i="7"/>
  <c r="W84" i="7"/>
  <c r="V68" i="7"/>
  <c r="U68" i="7"/>
  <c r="Y68" i="7" s="1"/>
  <c r="X68" i="7"/>
  <c r="T68" i="7"/>
  <c r="W68" i="7"/>
  <c r="U69" i="7"/>
  <c r="Y69" i="7" s="1"/>
  <c r="X69" i="7"/>
  <c r="T69" i="7"/>
  <c r="W69" i="7"/>
  <c r="V69" i="7"/>
  <c r="W19" i="7" l="1"/>
  <c r="W6" i="7"/>
  <c r="U14" i="7"/>
  <c r="Y14" i="7" s="1"/>
  <c r="X6" i="7"/>
  <c r="U6" i="7"/>
  <c r="Y6" i="7" s="1"/>
  <c r="T6" i="7"/>
  <c r="W14" i="7"/>
  <c r="X14" i="7"/>
  <c r="T11" i="7"/>
  <c r="V32" i="7"/>
  <c r="T35" i="7"/>
  <c r="V31" i="7"/>
  <c r="W15" i="7"/>
  <c r="W16" i="7"/>
  <c r="U28" i="7"/>
  <c r="Y28" i="7" s="1"/>
  <c r="X15" i="7"/>
  <c r="T24" i="7"/>
  <c r="V9" i="7"/>
  <c r="X17" i="7"/>
  <c r="V20" i="7"/>
  <c r="U24" i="7"/>
  <c r="Y24" i="7" s="1"/>
  <c r="X36" i="7"/>
  <c r="W27" i="7"/>
  <c r="T20" i="7"/>
  <c r="X24" i="7"/>
  <c r="U31" i="7"/>
  <c r="Y31" i="7" s="1"/>
  <c r="T9" i="7"/>
  <c r="U16" i="7"/>
  <c r="Y16" i="7" s="1"/>
  <c r="X16" i="7"/>
  <c r="V27" i="7"/>
  <c r="V15" i="7"/>
  <c r="T15" i="7"/>
  <c r="V17" i="7"/>
  <c r="V11" i="7"/>
  <c r="U11" i="7"/>
  <c r="Y11" i="7" s="1"/>
  <c r="X19" i="7"/>
  <c r="W32" i="7"/>
  <c r="W35" i="7"/>
  <c r="V35" i="7"/>
  <c r="T31" i="7"/>
  <c r="W36" i="7"/>
  <c r="T27" i="7"/>
  <c r="U29" i="7"/>
  <c r="Y29" i="7" s="1"/>
  <c r="U23" i="7"/>
  <c r="Y23" i="7" s="1"/>
  <c r="U20" i="7"/>
  <c r="Y20" i="7" s="1"/>
  <c r="W20" i="7"/>
  <c r="V24" i="7"/>
  <c r="W31" i="7"/>
  <c r="X9" i="7"/>
  <c r="U9" i="7"/>
  <c r="Y9" i="7" s="1"/>
  <c r="V16" i="7"/>
  <c r="V36" i="7"/>
  <c r="T36" i="7"/>
  <c r="U27" i="7"/>
  <c r="Y27" i="7" s="1"/>
  <c r="T17" i="7"/>
  <c r="U17" i="7"/>
  <c r="Y17" i="7" s="1"/>
  <c r="X29" i="7"/>
  <c r="W11" i="7"/>
  <c r="V19" i="7"/>
  <c r="T19" i="7"/>
  <c r="T32" i="7"/>
  <c r="X32" i="7"/>
  <c r="U35" i="7"/>
  <c r="Y35" i="7" s="1"/>
  <c r="V28" i="7"/>
  <c r="V29" i="7"/>
  <c r="W29" i="7"/>
  <c r="X25" i="7"/>
  <c r="T28" i="7"/>
  <c r="U25" i="7"/>
  <c r="Y25" i="7" s="1"/>
  <c r="U22" i="7"/>
  <c r="Y22" i="7" s="1"/>
  <c r="X28" i="7"/>
  <c r="V25" i="7"/>
  <c r="T22" i="7"/>
  <c r="V23" i="7"/>
  <c r="T23" i="7"/>
  <c r="W25" i="7"/>
  <c r="W22" i="7"/>
  <c r="X22" i="7"/>
  <c r="W23" i="7"/>
  <c r="V12" i="7"/>
  <c r="T12" i="7"/>
  <c r="U12" i="7"/>
  <c r="Y12" i="7" s="1"/>
  <c r="W12" i="7"/>
  <c r="X33" i="7"/>
  <c r="X8" i="7"/>
  <c r="U33" i="7"/>
  <c r="Y33" i="7" s="1"/>
  <c r="U5" i="7"/>
  <c r="B16" i="8" s="1"/>
  <c r="T5" i="7"/>
  <c r="B15" i="8" s="1"/>
  <c r="W5" i="7"/>
  <c r="B12" i="8" s="1"/>
  <c r="V33" i="7"/>
  <c r="X5" i="7"/>
  <c r="B13" i="8" s="1"/>
  <c r="V5" i="7"/>
  <c r="B11" i="8" s="1"/>
  <c r="U8" i="7"/>
  <c r="Y8" i="7" s="1"/>
  <c r="W33" i="7"/>
  <c r="W8" i="7"/>
  <c r="V8" i="7"/>
  <c r="Y5" i="7"/>
  <c r="B17" i="8" s="1"/>
  <c r="H11" i="9" l="1"/>
  <c r="H9" i="9"/>
  <c r="H10" i="9"/>
  <c r="H12" i="9"/>
  <c r="Q73" i="7" l="1"/>
  <c r="Q54" i="7"/>
  <c r="Q6" i="7"/>
  <c r="P89" i="7"/>
  <c r="Q58" i="7"/>
  <c r="P11" i="7"/>
  <c r="P67" i="7"/>
  <c r="Q8" i="7"/>
  <c r="P37" i="7"/>
  <c r="Q76" i="7"/>
  <c r="P12" i="7"/>
  <c r="Q22" i="7"/>
  <c r="P74" i="7"/>
  <c r="Q15" i="7"/>
  <c r="Q48" i="7"/>
  <c r="Q71" i="7"/>
  <c r="Q72" i="7"/>
  <c r="P16" i="7"/>
  <c r="P96" i="7"/>
  <c r="Q59" i="7"/>
  <c r="P65" i="7"/>
  <c r="P88" i="7"/>
  <c r="P14" i="7"/>
  <c r="P86" i="7"/>
  <c r="P79" i="7"/>
  <c r="Q78" i="7"/>
  <c r="P95" i="7"/>
  <c r="P73" i="7"/>
  <c r="P54" i="7"/>
  <c r="P6" i="7"/>
  <c r="Q88" i="7"/>
  <c r="Q11" i="7"/>
  <c r="Q91" i="7"/>
  <c r="Q50" i="7"/>
  <c r="Q84" i="7"/>
  <c r="Q82" i="7"/>
  <c r="Q77" i="7"/>
  <c r="P21" i="7"/>
  <c r="Q33" i="7"/>
  <c r="P44" i="7"/>
  <c r="Q90" i="7"/>
  <c r="Q94" i="7"/>
  <c r="P8" i="7"/>
  <c r="Q79" i="7"/>
  <c r="Q64" i="7"/>
  <c r="P15" i="7"/>
  <c r="P62" i="7"/>
  <c r="Q68" i="7"/>
  <c r="Q18" i="7"/>
  <c r="P49" i="7"/>
  <c r="P10" i="7"/>
  <c r="Q27" i="7"/>
  <c r="Q46" i="7"/>
  <c r="Q95" i="7"/>
  <c r="P41" i="7"/>
  <c r="Q53" i="7"/>
  <c r="P20" i="7"/>
  <c r="P50" i="7"/>
  <c r="Q41" i="7"/>
  <c r="P94" i="7"/>
  <c r="Q42" i="7"/>
  <c r="P29" i="7"/>
  <c r="P84" i="7"/>
  <c r="P77" i="7"/>
  <c r="P38" i="7"/>
  <c r="Q29" i="7"/>
  <c r="Q44" i="7"/>
  <c r="Q98" i="7"/>
  <c r="Q96" i="7"/>
  <c r="P33" i="7"/>
  <c r="P58" i="7"/>
  <c r="Q45" i="7"/>
  <c r="P22" i="7"/>
  <c r="Q39" i="7"/>
  <c r="P71" i="7"/>
  <c r="Q65" i="7"/>
  <c r="P99" i="7"/>
  <c r="Q31" i="7"/>
  <c r="Q35" i="7"/>
  <c r="P78" i="7"/>
  <c r="P55" i="7"/>
  <c r="Q57" i="7"/>
  <c r="P102" i="7"/>
  <c r="P30" i="7"/>
  <c r="Q86" i="7"/>
  <c r="P98" i="7"/>
  <c r="P103" i="7"/>
  <c r="Q14" i="7"/>
  <c r="P92" i="7"/>
  <c r="P27" i="7"/>
  <c r="Q63" i="7"/>
  <c r="Q12" i="7"/>
  <c r="P13" i="7"/>
  <c r="Q81" i="7"/>
  <c r="Q102" i="7"/>
  <c r="P90" i="7"/>
  <c r="Q19" i="7"/>
  <c r="P75" i="7"/>
  <c r="Q93" i="7"/>
  <c r="P59" i="7"/>
  <c r="P51" i="7"/>
  <c r="P60" i="7"/>
  <c r="P87" i="7"/>
  <c r="Q92" i="7"/>
  <c r="Q52" i="7"/>
  <c r="P52" i="7"/>
  <c r="P101" i="7"/>
  <c r="P19" i="7"/>
  <c r="P46" i="7"/>
  <c r="P91" i="7"/>
  <c r="P63" i="7"/>
  <c r="Q85" i="7"/>
  <c r="P53" i="7"/>
  <c r="P26" i="7"/>
  <c r="P35" i="7"/>
  <c r="P82" i="7"/>
  <c r="Q16" i="7"/>
  <c r="Q103" i="7"/>
  <c r="P18" i="7"/>
  <c r="P100" i="7"/>
  <c r="P36" i="7"/>
  <c r="Q70" i="7"/>
  <c r="P61" i="7"/>
  <c r="P31" i="7"/>
  <c r="Q9" i="7"/>
  <c r="P104" i="7"/>
  <c r="Q28" i="7"/>
  <c r="Q51" i="7"/>
  <c r="P5" i="7"/>
  <c r="Q83" i="7"/>
  <c r="P85" i="7"/>
  <c r="Q30" i="7"/>
  <c r="Q62" i="7"/>
  <c r="P93" i="7"/>
  <c r="P42" i="7"/>
  <c r="P97" i="7"/>
  <c r="P69" i="7"/>
  <c r="Q23" i="7"/>
  <c r="Q36" i="7"/>
  <c r="P45" i="7"/>
  <c r="P28" i="7"/>
  <c r="Q74" i="7"/>
  <c r="Q56" i="7"/>
  <c r="P80" i="7"/>
  <c r="P32" i="7"/>
  <c r="P81" i="7"/>
  <c r="Q61" i="7"/>
  <c r="P68" i="7"/>
  <c r="Q89" i="7"/>
  <c r="Q99" i="7"/>
  <c r="Q13" i="7"/>
  <c r="P70" i="7"/>
  <c r="Q101" i="7"/>
  <c r="Q97" i="7"/>
  <c r="Q49" i="7"/>
  <c r="P9" i="7"/>
  <c r="Q55" i="7"/>
  <c r="Q87" i="7"/>
  <c r="Q43" i="7"/>
  <c r="P56" i="7"/>
  <c r="P57" i="7"/>
  <c r="Q80" i="7"/>
  <c r="Q26" i="7"/>
  <c r="Q20" i="7"/>
  <c r="Q60" i="7"/>
  <c r="Q5" i="7"/>
  <c r="Q21" i="7"/>
  <c r="Q100" i="7"/>
  <c r="P47" i="7"/>
  <c r="Q67" i="7"/>
  <c r="P43" i="7"/>
  <c r="Q37" i="7"/>
  <c r="Q69" i="7"/>
  <c r="Q40" i="7"/>
  <c r="P66" i="7"/>
  <c r="Q24" i="7"/>
  <c r="Q104" i="7"/>
  <c r="Q34" i="7"/>
  <c r="P39" i="7"/>
  <c r="P83" i="7"/>
  <c r="Q32" i="7"/>
  <c r="Q17" i="7"/>
  <c r="Q75" i="7"/>
  <c r="P48" i="7"/>
  <c r="P7" i="7"/>
  <c r="P24" i="7"/>
  <c r="P76" i="7"/>
  <c r="P17" i="7"/>
  <c r="P40" i="7"/>
  <c r="Q38" i="7"/>
  <c r="P23" i="7"/>
  <c r="P64" i="7"/>
  <c r="P25" i="7"/>
  <c r="Q7" i="7"/>
  <c r="Q10" i="7"/>
  <c r="Q66" i="7"/>
  <c r="P72" i="7"/>
  <c r="Q25" i="7"/>
  <c r="Q47" i="7"/>
  <c r="P34" i="7"/>
  <c r="R47" i="7" l="1"/>
  <c r="R25" i="7"/>
  <c r="S25" i="7" s="1"/>
  <c r="R66" i="7"/>
  <c r="R10" i="7"/>
  <c r="S10" i="7" s="1"/>
  <c r="R7" i="7"/>
  <c r="S7" i="7" s="1"/>
  <c r="R38" i="7"/>
  <c r="R75" i="7"/>
  <c r="R17" i="7"/>
  <c r="S17" i="7" s="1"/>
  <c r="R32" i="7"/>
  <c r="S32" i="7" s="1"/>
  <c r="R34" i="7"/>
  <c r="S34" i="7" s="1"/>
  <c r="R104" i="7"/>
  <c r="R24" i="7"/>
  <c r="S24" i="7" s="1"/>
  <c r="R40" i="7"/>
  <c r="R69" i="7"/>
  <c r="R37" i="7"/>
  <c r="R67" i="7"/>
  <c r="R100" i="7"/>
  <c r="R21" i="7"/>
  <c r="S21" i="7" s="1"/>
  <c r="R5" i="7"/>
  <c r="S5" i="7" s="1"/>
  <c r="B14" i="8" s="1"/>
  <c r="R60" i="7"/>
  <c r="R20" i="7"/>
  <c r="S20" i="7" s="1"/>
  <c r="R26" i="7"/>
  <c r="S26" i="7" s="1"/>
  <c r="R80" i="7"/>
  <c r="R43" i="7"/>
  <c r="R87" i="7"/>
  <c r="R55" i="7"/>
  <c r="R49" i="7"/>
  <c r="R97" i="7"/>
  <c r="R101" i="7"/>
  <c r="R13" i="7"/>
  <c r="S13" i="7" s="1"/>
  <c r="R99" i="7"/>
  <c r="R89" i="7"/>
  <c r="R61" i="7"/>
  <c r="R56" i="7"/>
  <c r="R74" i="7"/>
  <c r="R36" i="7"/>
  <c r="S36" i="7" s="1"/>
  <c r="R23" i="7"/>
  <c r="S23" i="7" s="1"/>
  <c r="R62" i="7"/>
  <c r="R30" i="7"/>
  <c r="S30" i="7" s="1"/>
  <c r="R83" i="7"/>
  <c r="R51" i="7"/>
  <c r="R28" i="7"/>
  <c r="S28" i="7" s="1"/>
  <c r="R9" i="7"/>
  <c r="S9" i="7" s="1"/>
  <c r="R70" i="7"/>
  <c r="R103" i="7"/>
  <c r="R16" i="7"/>
  <c r="S16" i="7" s="1"/>
  <c r="R85" i="7"/>
  <c r="R52" i="7"/>
  <c r="R92" i="7"/>
  <c r="R93" i="7"/>
  <c r="R19" i="7"/>
  <c r="S19" i="7" s="1"/>
  <c r="R102" i="7"/>
  <c r="R81" i="7"/>
  <c r="R12" i="7"/>
  <c r="S12" i="7" s="1"/>
  <c r="R63" i="7"/>
  <c r="R14" i="7"/>
  <c r="S14" i="7" s="1"/>
  <c r="R86" i="7"/>
  <c r="R57" i="7"/>
  <c r="R35" i="7"/>
  <c r="S35" i="7" s="1"/>
  <c r="R31" i="7"/>
  <c r="S31" i="7" s="1"/>
  <c r="R65" i="7"/>
  <c r="R39" i="7"/>
  <c r="R45" i="7"/>
  <c r="R96" i="7"/>
  <c r="R98" i="7"/>
  <c r="R44" i="7"/>
  <c r="R29" i="7"/>
  <c r="S29" i="7" s="1"/>
  <c r="R42" i="7"/>
  <c r="R41" i="7"/>
  <c r="R53" i="7"/>
  <c r="R95" i="7"/>
  <c r="R46" i="7"/>
  <c r="R27" i="7"/>
  <c r="S27" i="7" s="1"/>
  <c r="R18" i="7"/>
  <c r="S18" i="7" s="1"/>
  <c r="R68" i="7"/>
  <c r="R64" i="7"/>
  <c r="R79" i="7"/>
  <c r="R94" i="7"/>
  <c r="R90" i="7"/>
  <c r="R33" i="7"/>
  <c r="S33" i="7" s="1"/>
  <c r="R77" i="7"/>
  <c r="R82" i="7"/>
  <c r="R84" i="7"/>
  <c r="R50" i="7"/>
  <c r="R91" i="7"/>
  <c r="R11" i="7"/>
  <c r="S11" i="7" s="1"/>
  <c r="R88" i="7"/>
  <c r="R78" i="7"/>
  <c r="R59" i="7"/>
  <c r="R72" i="7"/>
  <c r="R71" i="7"/>
  <c r="R48" i="7"/>
  <c r="R15" i="7"/>
  <c r="S15" i="7" s="1"/>
  <c r="R22" i="7"/>
  <c r="S22" i="7" s="1"/>
  <c r="R76" i="7"/>
  <c r="R8" i="7"/>
  <c r="S8" i="7" s="1"/>
  <c r="R58" i="7"/>
  <c r="R6" i="7"/>
  <c r="S6" i="7" s="1"/>
  <c r="R54" i="7"/>
  <c r="R73" i="7"/>
</calcChain>
</file>

<file path=xl/sharedStrings.xml><?xml version="1.0" encoding="utf-8"?>
<sst xmlns="http://schemas.openxmlformats.org/spreadsheetml/2006/main" count="1743" uniqueCount="354">
  <si>
    <t>قالب جامع جمع‌آوری اطلاعات مدرسه</t>
  </si>
  <si>
    <t>این فایل برای دریافت یک‌جای کلاس‌بندی، فهرست دانش‌آموزان و ارزیابی ماهانه طراحی شده است. فقط خانه‌های زرد را تکمیل کنید.</t>
  </si>
  <si>
    <t>مرحله</t>
  </si>
  <si>
    <t>شیت</t>
  </si>
  <si>
    <t>کار لازم</t>
  </si>
  <si>
    <t>فیلدهای کلیدی</t>
  </si>
  <si>
    <t>کنترل فایل</t>
  </si>
  <si>
    <t>رنگ ورودی</t>
  </si>
  <si>
    <t>خروجی</t>
  </si>
  <si>
    <t>نکته مهم</t>
  </si>
  <si>
    <t>کلاس‌بندی</t>
  </si>
  <si>
    <t>کلاس‌های مدرسه را وارد کنید.</t>
  </si>
  <si>
    <t>کد مدرسه، سال تحصیلی، کد و نام کلاس، پایه، ظرفیت</t>
  </si>
  <si>
    <t>کد کلاس تکراری نباشد.</t>
  </si>
  <si>
    <t>زرد</t>
  </si>
  <si>
    <t>فهرست کلاس‌ها</t>
  </si>
  <si>
    <t>کد کلاس باید در تمام شیت‌ها یکسان باشد.</t>
  </si>
  <si>
    <t>دانش‌آموزان</t>
  </si>
  <si>
    <t>مشخصات هر دانش‌آموز و کلاس او را ثبت کنید.</t>
  </si>
  <si>
    <t>کد ملی، شماره دانش‌آموزی، نام، نام خانوادگی، جنسیت، تاریخ تولد، کد کلاس</t>
  </si>
  <si>
    <t>وضعیت کامل/ناقص خودکار است.</t>
  </si>
  <si>
    <t>فهرست دانش‌آموزان</t>
  </si>
  <si>
    <t>کد ملی و شماره دانش‌آموزی را به‌صورت متن وارد کنید؛ صفر ابتدایی حذف نشود.</t>
  </si>
  <si>
    <t>ثبت اطلاعات</t>
  </si>
  <si>
    <t>برای هر دانش‌آموز در هر ماه، ۴۶ شاخص را از ۰ تا ۵ نمره دهید.</t>
  </si>
  <si>
    <t>ماه، ۴۶ نمره، توضیحات</t>
  </si>
  <si>
    <t>درصد تکمیل و امتیازها خودکار است.</t>
  </si>
  <si>
    <t>ارزیابی ماهانه</t>
  </si>
  <si>
    <t>نتیجه فقط با تکمیل هر ۴۶ شاخص نهایی می‌شود.</t>
  </si>
  <si>
    <t>گزارش و داشبورد</t>
  </si>
  <si>
    <t>پس از ورود اطلاعات، گزارش‌ها را مشاهده کنید.</t>
  </si>
  <si>
    <t>روند، میانگین، رتبه واقعی، قوی‌ترین و ضعیف‌ترین حوزه</t>
  </si>
  <si>
    <t>محاسبه خودکار</t>
  </si>
  <si>
    <t>آبی/سبز</t>
  </si>
  <si>
    <t>تحلیل قابل ارائه</t>
  </si>
  <si>
    <t>رتبه فقط میان دانش‌آموزان دارای حداقل یک ارزیابی نهایی محاسبه می‌شود.</t>
  </si>
  <si>
    <t>مقیاس نمره‌دهی شاخص‌ها: ۰ = مشاهده نشده / بسیار ضعیف، ۱ = ضعیف، ۲ = نیازمند بهبود، ۳ = قابل قبول، ۴ = خوب، ۵ = بسیار خوب</t>
  </si>
  <si>
    <t>ترتیب ماه‌ها در فایل: تیر تا خرداد. خانه‌های خاکستری و آبی دارای فرمول هستند و نباید ویرایش شوند.</t>
  </si>
  <si>
    <t>کلاس‌بندی مدرسه</t>
  </si>
  <si>
    <t>هر کلاس را فقط یک‌بار وارد کنید. ظرفیت ثبت‌شده و تعداد دانش‌آموزان تخصیص‌یافته به‌صورت خودکار مقایسه می‌شوند.</t>
  </si>
  <si>
    <t>ردیف</t>
  </si>
  <si>
    <t>کد مدرسه</t>
  </si>
  <si>
    <t>سال تحصیلی</t>
  </si>
  <si>
    <t>کد کلاس</t>
  </si>
  <si>
    <t>نام کلاس</t>
  </si>
  <si>
    <t>پایه تحصیلی</t>
  </si>
  <si>
    <t>ظرفیت</t>
  </si>
  <si>
    <t>تعداد ثبت‌شده</t>
  </si>
  <si>
    <t>وضعیت</t>
  </si>
  <si>
    <t>برای هر دانش‌آموز یک ردیف تکمیل کنید. کد محلی ۱ تا ۱۰۰ از قبل ساخته شده و مبنای گزارش‌های همین فایل است.</t>
  </si>
  <si>
    <t>کد محلی</t>
  </si>
  <si>
    <t>کد ملی</t>
  </si>
  <si>
    <t>شماره دانش‌آموزی</t>
  </si>
  <si>
    <t>نام</t>
  </si>
  <si>
    <t>نام خانوادگی</t>
  </si>
  <si>
    <t>جنسیت</t>
  </si>
  <si>
    <t>تاریخ تولد</t>
  </si>
  <si>
    <t>پایه</t>
  </si>
  <si>
    <t>وضعیت اطلاعات</t>
  </si>
  <si>
    <t>تنظیمات وزن‌دهی حوزه‌ها</t>
  </si>
  <si>
    <t>اوزان فعلی مطابق فایل مدرسه و مجموع آن‌ها ۱۰۰ است. برای حفظ سازگاری سامانه، نام و کد حوزه‌ها را تغییر ندهید.</t>
  </si>
  <si>
    <t>کد حوزه</t>
  </si>
  <si>
    <t>نام حوزه</t>
  </si>
  <si>
    <t>وزن درصدی</t>
  </si>
  <si>
    <t>تعداد شاخص</t>
  </si>
  <si>
    <t>شروع ستون شاخص</t>
  </si>
  <si>
    <t>پایان ستون شاخص</t>
  </si>
  <si>
    <t>EDU</t>
  </si>
  <si>
    <t>آموزشی</t>
  </si>
  <si>
    <t>G</t>
  </si>
  <si>
    <t>N</t>
  </si>
  <si>
    <t>DEV</t>
  </si>
  <si>
    <t>پرورشی</t>
  </si>
  <si>
    <t>O</t>
  </si>
  <si>
    <t>S</t>
  </si>
  <si>
    <t>CHR</t>
  </si>
  <si>
    <t>تربیتی</t>
  </si>
  <si>
    <t>T</t>
  </si>
  <si>
    <t>U</t>
  </si>
  <si>
    <t>DIS</t>
  </si>
  <si>
    <t>انضباطی</t>
  </si>
  <si>
    <t>V</t>
  </si>
  <si>
    <t>Z</t>
  </si>
  <si>
    <t>CUL</t>
  </si>
  <si>
    <t>فرهنگی</t>
  </si>
  <si>
    <t>AA</t>
  </si>
  <si>
    <t>AC</t>
  </si>
  <si>
    <t>RES</t>
  </si>
  <si>
    <t>پژوهشی</t>
  </si>
  <si>
    <t>AD</t>
  </si>
  <si>
    <t>AI</t>
  </si>
  <si>
    <t>SPT</t>
  </si>
  <si>
    <t>ورزشی</t>
  </si>
  <si>
    <t>AJ</t>
  </si>
  <si>
    <t>AP</t>
  </si>
  <si>
    <t>ART</t>
  </si>
  <si>
    <t>هنری</t>
  </si>
  <si>
    <t>AQ</t>
  </si>
  <si>
    <t>AW</t>
  </si>
  <si>
    <t>PER</t>
  </si>
  <si>
    <t>مهارت‌های فردی</t>
  </si>
  <si>
    <t>AX</t>
  </si>
  <si>
    <t>AZ</t>
  </si>
  <si>
    <t>جمع وزن‌ها</t>
  </si>
  <si>
    <t>بانک راهکارهای پیشنهادی</t>
  </si>
  <si>
    <t>برای دانش‌آموزانی که ارزیابی نهایی دارند، پیشنهاد بر اساس ضعیف‌ترین حوزه انتخاب می‌شود.</t>
  </si>
  <si>
    <t>حوزه</t>
  </si>
  <si>
    <t>راهکار پیشنهادی</t>
  </si>
  <si>
    <t>کاربرد</t>
  </si>
  <si>
    <t>جلسه فردی، برنامه مطالعه هدفمند و پیگیری هفتگی تکالیف پیشنهاد می‌شود.</t>
  </si>
  <si>
    <t>پس از بررسی مربی و شرایط دانش‌آموز اجرا شود.</t>
  </si>
  <si>
    <t>تقویت مسئولیت‌پذیری با نقش‌های کوچک کلاسی و بازخورد مثبت پیشنهاد می‌شود.</t>
  </si>
  <si>
    <t>تمرین هدف‌گذاری، خودارزیابی و مدیریت هیجان با همراهی مربی پیشنهاد می‌شود.</t>
  </si>
  <si>
    <t>قواعد روشن، قرارداد رفتاری کوتاه‌مدت و ثبت منظم پیشرفت پیشنهاد می‌شود.</t>
  </si>
  <si>
    <t>مشارکت در برنامه‌های فرهنگی، مطالعه هدایت‌شده و فعالیت گروهی پیشنهاد می‌شود.</t>
  </si>
  <si>
    <t>یک پروژه کوچک پژوهشی با منابع مشخص و ارائه کوتاه پیشنهاد می‌شود.</t>
  </si>
  <si>
    <t>برنامه فعالیت بدنی منظم و مشارکت در ورزش گروهی پیشنهاد می‌شود.</t>
  </si>
  <si>
    <t>انتخاب یک فعالیت هنری متناسب با علاقه و ارائه دوره‌ای اثر پیشنهاد می‌شود.</t>
  </si>
  <si>
    <t>تمرین برنامه‌ریزی هفتگی، ارتباط مؤثر و کار تیمی پیشنهاد می‌شود.</t>
  </si>
  <si>
    <t>ثبت ارزیابی و نمرات ماهانه</t>
  </si>
  <si>
    <t>هر دانش‌آموز ۱۲ ردیف دارد. ستون‌های زردِ شاخص‌ها را از ۰ تا ۵ تکمیل کنید؛ نتیجه نهایی فقط پس از ثبت هر ۴۶ شاخص نمایش داده می‌شود.</t>
  </si>
  <si>
    <t>ماه</t>
  </si>
  <si>
    <t>نام و نام خانوادگی</t>
  </si>
  <si>
    <t>EDU_01 | نمرات درسی</t>
  </si>
  <si>
    <t>EDU_02 | پیشرفت نسبت به قبل</t>
  </si>
  <si>
    <t>EDU_03 | انجام تکالیف</t>
  </si>
  <si>
    <t>EDU_04 | مشارکت در کلاس</t>
  </si>
  <si>
    <t>EDU_05 | دقت و تمرکز</t>
  </si>
  <si>
    <t>EDU_06 | مهارت حل مسئله</t>
  </si>
  <si>
    <t>EDU_07 | آمادگی برای امتحان</t>
  </si>
  <si>
    <t>EDU_08 | مطالعه غیر درسی</t>
  </si>
  <si>
    <t>DEV_01 | احترام به معلم و همکلاسی</t>
  </si>
  <si>
    <t>DEV_02 | مسئولیت‌پذیری</t>
  </si>
  <si>
    <t>DEV_03 | همکاری با دیگران</t>
  </si>
  <si>
    <t>DEV_04 | ادب و رفتار اجتماعی</t>
  </si>
  <si>
    <t>DEV_05 | اعتماد به نفس</t>
  </si>
  <si>
    <t>CHR_01 | هدف‌گذاری</t>
  </si>
  <si>
    <t>CHR_02 | دوست یابی</t>
  </si>
  <si>
    <t>DIS_01 | حضور و غیاب</t>
  </si>
  <si>
    <t>DIS_02 | تأخیر</t>
  </si>
  <si>
    <t>DIS_03 | رعایت قوانین مدرسه</t>
  </si>
  <si>
    <t>DIS_04 | رعایت پوشش</t>
  </si>
  <si>
    <t>DIS_05 | احترام به مقررات کلاس</t>
  </si>
  <si>
    <t>CUL_01 | مشارکت در برنامه‌های فرهنگی</t>
  </si>
  <si>
    <t>CUL_02 | شناخت ارزش‌های اجتماعی</t>
  </si>
  <si>
    <t>CUL_03 | رفتار مناسب در مراسم‌ها</t>
  </si>
  <si>
    <t>RES_01 | انجام تحقیق</t>
  </si>
  <si>
    <t>RES_02 | خلاقیت در پروژه‌ها</t>
  </si>
  <si>
    <t>RES_03 | تحلیل اطلاعات</t>
  </si>
  <si>
    <t>RES_04 | استفاده از منابع</t>
  </si>
  <si>
    <t>RES_05 | نوآوری</t>
  </si>
  <si>
    <t>RES_06 | پرسشگری</t>
  </si>
  <si>
    <t>SPT_01 | آمادگی جسمانی</t>
  </si>
  <si>
    <t>SPT_02 | مشارکت در فعالیت‌های ورزشی</t>
  </si>
  <si>
    <t>SPT_03 | روحیه تیمی</t>
  </si>
  <si>
    <t>SPT_04 | رعایت قوانین بازی</t>
  </si>
  <si>
    <t>SPT_05 | تلاش و پشتکار</t>
  </si>
  <si>
    <t>SPT_06 | پیشرفت بدنی</t>
  </si>
  <si>
    <t>SPT_07 | مهارت‌های حرکتی</t>
  </si>
  <si>
    <t>ART_01 | خلاقیت</t>
  </si>
  <si>
    <t>ART_02 | مشارکت در فعالیت‌های هنری</t>
  </si>
  <si>
    <t>ART_03 | مهارت در نقاشی / موسیقی / ...</t>
  </si>
  <si>
    <t>ART_04 | دقت در کار هنری</t>
  </si>
  <si>
    <t>ART_05 | نوآوری</t>
  </si>
  <si>
    <t>ART_06 | علاقه‌مندی</t>
  </si>
  <si>
    <t>ART_07 | ارائه آثار</t>
  </si>
  <si>
    <t>PER_01 | مهارت ارتباطی</t>
  </si>
  <si>
    <t>PER_02 | مهارت برنامه‌ریزی</t>
  </si>
  <si>
    <t>PER_03 | ارائه مطلب</t>
  </si>
  <si>
    <t>امتیاز آموزشی (۰ تا ۲۰)</t>
  </si>
  <si>
    <t>امتیاز پرورشی (۰ تا ۲۰)</t>
  </si>
  <si>
    <t>امتیاز تربیتی (۰ تا ۲۰)</t>
  </si>
  <si>
    <t>امتیاز انضباطی (۰ تا ۲۰)</t>
  </si>
  <si>
    <t>امتیاز فرهنگی (۰ تا ۲۰)</t>
  </si>
  <si>
    <t>امتیاز پژوهشی (۰ تا ۲۰)</t>
  </si>
  <si>
    <t>امتیاز ورزشی (۰ تا ۲۰)</t>
  </si>
  <si>
    <t>امتیاز هنری (۰ تا ۲۰)</t>
  </si>
  <si>
    <t>امتیاز مهارت‌های فردی (۰ تا ۲۰)</t>
  </si>
  <si>
    <t>میانگین وزنی نهایی</t>
  </si>
  <si>
    <t>سطح عملکرد</t>
  </si>
  <si>
    <t>شماره ماه</t>
  </si>
  <si>
    <t>درصد تکمیل</t>
  </si>
  <si>
    <t>توضیحات</t>
  </si>
  <si>
    <t>تیر</t>
  </si>
  <si>
    <t>مرداد</t>
  </si>
  <si>
    <t>شهریور</t>
  </si>
  <si>
    <t>مهر</t>
  </si>
  <si>
    <t>آبان</t>
  </si>
  <si>
    <t>آذر</t>
  </si>
  <si>
    <t>دی</t>
  </si>
  <si>
    <t>بهمن</t>
  </si>
  <si>
    <t>اسفند</t>
  </si>
  <si>
    <t>فروردین</t>
  </si>
  <si>
    <t>اردیبهشت</t>
  </si>
  <si>
    <t>خرداد</t>
  </si>
  <si>
    <t>تحلیل دانش‌آموزان</t>
  </si>
  <si>
    <t>این شیت خودکار است. فقط ارزیابی‌های نهایی در میانگین، روند و رتبه وارد می‌شوند و تعداد واقعی افراد رتبه‌بندی‌شده نمایش داده می‌شود.</t>
  </si>
  <si>
    <t>میانگین کل</t>
  </si>
  <si>
    <t>ماه نهایی</t>
  </si>
  <si>
    <t>اولین ماه</t>
  </si>
  <si>
    <t>آخرین ماه</t>
  </si>
  <si>
    <t>میزان تغییر</t>
  </si>
  <si>
    <t>روند</t>
  </si>
  <si>
    <t>قوی‌ترین حوزه</t>
  </si>
  <si>
    <t>ضعیف‌ترین حوزه</t>
  </si>
  <si>
    <t>سطح</t>
  </si>
  <si>
    <t>رتبه</t>
  </si>
  <si>
    <t>تعداد رتبه‌بندی‌شده</t>
  </si>
  <si>
    <t>پیشنهاد</t>
  </si>
  <si>
    <t>گزارش دانش‌آموز</t>
  </si>
  <si>
    <t>کد محلی دانش‌آموز را در خانه زرد انتخاب کنید. گزارش فقط از ارزیابی‌های نهایی استفاده می‌کند.</t>
  </si>
  <si>
    <t>انتخاب دانش‌آموز</t>
  </si>
  <si>
    <t>نام دانش‌آموز</t>
  </si>
  <si>
    <t>ورودی</t>
  </si>
  <si>
    <t>شاخص گزارش</t>
  </si>
  <si>
    <t>مقدار</t>
  </si>
  <si>
    <t>امتیاز</t>
  </si>
  <si>
    <t>میانگین نهایی</t>
  </si>
  <si>
    <t>داشبورد مدرسه</t>
  </si>
  <si>
    <t>نمای کلی کلاس‌ها، دانش‌آموزان و ارزیابی‌های نهایی. همه شاخص‌ها از شیت‌های ورودی به‌روزرسانی می‌شوند.</t>
  </si>
  <si>
    <t>تعداد کلاس</t>
  </si>
  <si>
    <t>دانش‌آموز ثبت‌شده</t>
  </si>
  <si>
    <t>ارزیابی نهایی</t>
  </si>
  <si>
    <t>ارزیابی موقت</t>
  </si>
  <si>
    <t>میانگین نهایی مدرسه</t>
  </si>
  <si>
    <t>میانگین مدرسه</t>
  </si>
  <si>
    <t>تعداد دانش‌آموز</t>
  </si>
  <si>
    <t>عالی</t>
  </si>
  <si>
    <t>خوب</t>
  </si>
  <si>
    <t>متوسط</t>
  </si>
  <si>
    <t>ضعیف</t>
  </si>
  <si>
    <t>اميررضا</t>
  </si>
  <si>
    <t>اميري</t>
  </si>
  <si>
    <t>محمدامين</t>
  </si>
  <si>
    <t>باقري</t>
  </si>
  <si>
    <t>اميرحيدر</t>
  </si>
  <si>
    <t>ترابي</t>
  </si>
  <si>
    <t>سيدآرمان</t>
  </si>
  <si>
    <t>تقوي</t>
  </si>
  <si>
    <t>كيان</t>
  </si>
  <si>
    <t>تقي پور حصاري</t>
  </si>
  <si>
    <t>جاجرمي</t>
  </si>
  <si>
    <t>سپهر</t>
  </si>
  <si>
    <t>جمشيديان مجاور</t>
  </si>
  <si>
    <t>محمدحسين</t>
  </si>
  <si>
    <t>حسن پورويراني</t>
  </si>
  <si>
    <t>ماهان</t>
  </si>
  <si>
    <t>حسن زاده</t>
  </si>
  <si>
    <t>علي</t>
  </si>
  <si>
    <t>حسين زاده</t>
  </si>
  <si>
    <t>اميرحسين</t>
  </si>
  <si>
    <t>خواجوي</t>
  </si>
  <si>
    <t>كسري</t>
  </si>
  <si>
    <t>خوشبين</t>
  </si>
  <si>
    <t>پارسا</t>
  </si>
  <si>
    <t>رشيد</t>
  </si>
  <si>
    <t>زارعي</t>
  </si>
  <si>
    <t>محمدكسري</t>
  </si>
  <si>
    <t>زرگرقوچاني</t>
  </si>
  <si>
    <t>سميعي</t>
  </si>
  <si>
    <t>عليرضا</t>
  </si>
  <si>
    <t>شريفي</t>
  </si>
  <si>
    <t>مهديار</t>
  </si>
  <si>
    <t>شيرمحمدي</t>
  </si>
  <si>
    <t>شيعة الايمه</t>
  </si>
  <si>
    <t>سهيل</t>
  </si>
  <si>
    <t>صمدي نوقابي</t>
  </si>
  <si>
    <t>صهبا</t>
  </si>
  <si>
    <t>شايان</t>
  </si>
  <si>
    <t>عرفانيان ستارزاده</t>
  </si>
  <si>
    <t>عصمتي</t>
  </si>
  <si>
    <t>محمدصدرا</t>
  </si>
  <si>
    <t>عطاردي شوراب</t>
  </si>
  <si>
    <t>كوروش</t>
  </si>
  <si>
    <t>غريب حسني</t>
  </si>
  <si>
    <t>سيدرئوف</t>
  </si>
  <si>
    <t>فصيحي</t>
  </si>
  <si>
    <t>سجاد</t>
  </si>
  <si>
    <t>كرماني</t>
  </si>
  <si>
    <t>حسين</t>
  </si>
  <si>
    <t>كريمي</t>
  </si>
  <si>
    <t>محمديوسف</t>
  </si>
  <si>
    <t>مظهري</t>
  </si>
  <si>
    <t>پارسامهر</t>
  </si>
  <si>
    <t>وزيري</t>
  </si>
  <si>
    <t>يعقوبي</t>
  </si>
  <si>
    <t>پسر</t>
  </si>
  <si>
    <t>نيما</t>
  </si>
  <si>
    <t>اسكندري تربقان</t>
  </si>
  <si>
    <t>1390/10/25</t>
  </si>
  <si>
    <t>1391/07/01</t>
  </si>
  <si>
    <t>1390/09/08</t>
  </si>
  <si>
    <t>1391/04/13</t>
  </si>
  <si>
    <t>1390/08/08</t>
  </si>
  <si>
    <t>1391/03/30</t>
  </si>
  <si>
    <t>1391/06/02</t>
  </si>
  <si>
    <t>1391/05/22</t>
  </si>
  <si>
    <t>1391/05/08</t>
  </si>
  <si>
    <t>1391/11/08</t>
  </si>
  <si>
    <t>1390/10/16</t>
  </si>
  <si>
    <t>1390/10/22</t>
  </si>
  <si>
    <t>1391/03/24</t>
  </si>
  <si>
    <t>1390/10/20</t>
  </si>
  <si>
    <t>1390/12/08</t>
  </si>
  <si>
    <t>1391/03/29</t>
  </si>
  <si>
    <t>1390/10/04</t>
  </si>
  <si>
    <t>1390/07/11</t>
  </si>
  <si>
    <t>1390/07/09</t>
  </si>
  <si>
    <t>1390/12/17</t>
  </si>
  <si>
    <t>1391/01/23</t>
  </si>
  <si>
    <t>1390/10/07</t>
  </si>
  <si>
    <t>1391/05/31</t>
  </si>
  <si>
    <t>1390/12/27</t>
  </si>
  <si>
    <t>1390/11/17</t>
  </si>
  <si>
    <t>1390/08/23</t>
  </si>
  <si>
    <t>1390/10/28</t>
  </si>
  <si>
    <t>1390/09/10</t>
  </si>
  <si>
    <t>1391/04/15</t>
  </si>
  <si>
    <t>1390/07/17</t>
  </si>
  <si>
    <t>1391/06/08</t>
  </si>
  <si>
    <t>فردوسی 1</t>
  </si>
  <si>
    <t>1405-1406</t>
  </si>
  <si>
    <t>نهم</t>
  </si>
  <si>
    <t>0960326367</t>
  </si>
  <si>
    <t>0980506328</t>
  </si>
  <si>
    <t>0960300473</t>
  </si>
  <si>
    <t>0960412271</t>
  </si>
  <si>
    <t>0960309799</t>
  </si>
  <si>
    <t>0980449561</t>
  </si>
  <si>
    <t>0970629982</t>
  </si>
  <si>
    <t>0960433929</t>
  </si>
  <si>
    <t>0960426116</t>
  </si>
  <si>
    <t>0970739664</t>
  </si>
  <si>
    <t>0980347335</t>
  </si>
  <si>
    <t>0960322051</t>
  </si>
  <si>
    <t>0960402675</t>
  </si>
  <si>
    <t>0960325298</t>
  </si>
  <si>
    <t>0970493304</t>
  </si>
  <si>
    <t>0980465801</t>
  </si>
  <si>
    <t>0960402802</t>
  </si>
  <si>
    <t>0960312935</t>
  </si>
  <si>
    <t>0970395663</t>
  </si>
  <si>
    <t>0960272917</t>
  </si>
  <si>
    <t>0980386764</t>
  </si>
  <si>
    <t>0960368736</t>
  </si>
  <si>
    <t>0960316027</t>
  </si>
  <si>
    <t>0960438629</t>
  </si>
  <si>
    <t>0970511914</t>
  </si>
  <si>
    <t>0970482078</t>
  </si>
  <si>
    <t>0960294058</t>
  </si>
  <si>
    <t>0980356512</t>
  </si>
  <si>
    <t>0980326842</t>
  </si>
  <si>
    <t>0970583893</t>
  </si>
  <si>
    <t>0970624794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</si>
</sst>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8"/>
      <color rgb="FFFFFFFF"/>
      <name val="Vazirmatn"/>
    </font>
    <font>
      <sz val="10"/>
      <color rgb="FF1F2937"/>
      <name val="Vazirmatn"/>
    </font>
    <font>
      <b/>
      <sz val="10"/>
      <color rgb="FFFFFFFF"/>
      <name val="Vazirmatn"/>
    </font>
    <font>
      <sz val="9"/>
      <color rgb="FF1F2937"/>
      <name val="Vazirmatn"/>
    </font>
    <font>
      <b/>
      <sz val="11"/>
      <color rgb="FF1F2937"/>
      <name val="Vazirmatn"/>
    </font>
    <font>
      <b/>
      <sz val="11"/>
      <color rgb="FFFFFFFF"/>
      <name val="Vazirmatn"/>
    </font>
    <font>
      <b/>
      <sz val="22"/>
      <color rgb="FF1F4E78"/>
      <name val="Vazirmatn"/>
    </font>
    <font>
      <sz val="11"/>
      <name val="Vazirmatn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3F4F6"/>
      </patternFill>
    </fill>
    <fill>
      <patternFill patternType="solid">
        <fgColor rgb="FFF1F8ED"/>
      </patternFill>
    </fill>
    <fill>
      <patternFill patternType="solid">
        <fgColor rgb="FF17365D"/>
      </patternFill>
    </fill>
    <fill>
      <patternFill patternType="solid">
        <fgColor rgb="FF548235"/>
      </patternFill>
    </fill>
    <fill>
      <patternFill patternType="solid">
        <fgColor rgb="FFD9EAF7"/>
      </patternFill>
    </fill>
  </fills>
  <borders count="22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hair">
        <color rgb="FFD9E2F3"/>
      </left>
      <right/>
      <top style="hair">
        <color rgb="FFD9E2F3"/>
      </top>
      <bottom/>
      <diagonal/>
    </border>
    <border>
      <left/>
      <right/>
      <top style="hair">
        <color rgb="FFD9E2F3"/>
      </top>
      <bottom/>
      <diagonal/>
    </border>
    <border>
      <left/>
      <right style="hair">
        <color rgb="FFD9E2F3"/>
      </right>
      <top style="hair">
        <color rgb="FFD9E2F3"/>
      </top>
      <bottom/>
      <diagonal/>
    </border>
    <border>
      <left style="hair">
        <color rgb="FFD9E2F3"/>
      </left>
      <right/>
      <top/>
      <bottom/>
      <diagonal/>
    </border>
    <border>
      <left/>
      <right style="hair">
        <color rgb="FFD9E2F3"/>
      </right>
      <top/>
      <bottom/>
      <diagonal/>
    </border>
    <border>
      <left style="hair">
        <color rgb="FFD9E2F3"/>
      </left>
      <right/>
      <top/>
      <bottom style="hair">
        <color rgb="FFD9E2F3"/>
      </bottom>
      <diagonal/>
    </border>
    <border>
      <left/>
      <right/>
      <top/>
      <bottom style="hair">
        <color rgb="FFD9E2F3"/>
      </bottom>
      <diagonal/>
    </border>
    <border>
      <left/>
      <right style="hair">
        <color rgb="FFD9E2F3"/>
      </right>
      <top/>
      <bottom style="hair">
        <color rgb="FFD9E2F3"/>
      </bottom>
      <diagonal/>
    </border>
    <border>
      <left style="hair">
        <color rgb="FFD9E2F3"/>
      </left>
      <right style="hair">
        <color rgb="FFD9E2F3"/>
      </right>
      <top style="hair">
        <color rgb="FFD9E2F3"/>
      </top>
      <bottom/>
      <diagonal/>
    </border>
    <border>
      <left style="hair">
        <color rgb="FFD9E2F3"/>
      </left>
      <right style="hair">
        <color rgb="FFD9E2F3"/>
      </right>
      <top/>
      <bottom/>
      <diagonal/>
    </border>
    <border>
      <left style="hair">
        <color rgb="FFD9E2F3"/>
      </left>
      <right style="hair">
        <color rgb="FFD9E2F3"/>
      </right>
      <top/>
      <bottom style="hair">
        <color rgb="FFD9E2F3"/>
      </bottom>
      <diagonal/>
    </border>
    <border>
      <left style="hair">
        <color rgb="FFD9E2F3"/>
      </left>
      <right style="hair">
        <color rgb="FFD9E2F3"/>
      </right>
      <top style="hair">
        <color rgb="FFD9E2F3"/>
      </top>
      <bottom style="hair">
        <color rgb="FFD9E2F3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0" fontId="4" fillId="4" borderId="4" xfId="0" applyNumberFormat="1" applyFont="1" applyFill="1" applyBorder="1" applyAlignment="1">
      <alignment horizontal="right" vertical="center" wrapText="1"/>
    </xf>
    <xf numFmtId="0" fontId="4" fillId="4" borderId="5" xfId="0" applyNumberFormat="1" applyFont="1" applyFill="1" applyBorder="1" applyAlignment="1">
      <alignment horizontal="right" vertical="center" wrapText="1"/>
    </xf>
    <xf numFmtId="0" fontId="4" fillId="4" borderId="6" xfId="0" applyNumberFormat="1" applyFont="1" applyFill="1" applyBorder="1" applyAlignment="1">
      <alignment horizontal="right" vertical="center" wrapText="1"/>
    </xf>
    <xf numFmtId="0" fontId="4" fillId="4" borderId="7" xfId="0" applyNumberFormat="1" applyFont="1" applyFill="1" applyBorder="1" applyAlignment="1">
      <alignment horizontal="right" vertical="center" wrapText="1"/>
    </xf>
    <xf numFmtId="0" fontId="4" fillId="4" borderId="0" xfId="0" applyNumberFormat="1" applyFont="1" applyFill="1" applyBorder="1" applyAlignment="1">
      <alignment horizontal="right" vertical="center" wrapText="1"/>
    </xf>
    <xf numFmtId="0" fontId="4" fillId="4" borderId="8" xfId="0" applyNumberFormat="1" applyFont="1" applyFill="1" applyBorder="1" applyAlignment="1">
      <alignment horizontal="right" vertical="center" wrapText="1"/>
    </xf>
    <xf numFmtId="0" fontId="4" fillId="4" borderId="9" xfId="0" applyNumberFormat="1" applyFont="1" applyFill="1" applyBorder="1" applyAlignment="1">
      <alignment horizontal="right" vertical="center" wrapText="1"/>
    </xf>
    <xf numFmtId="0" fontId="4" fillId="4" borderId="10" xfId="0" applyNumberFormat="1" applyFont="1" applyFill="1" applyBorder="1" applyAlignment="1">
      <alignment horizontal="right" vertical="center" wrapText="1"/>
    </xf>
    <xf numFmtId="0" fontId="4" fillId="4" borderId="11" xfId="0" applyNumberFormat="1" applyFont="1" applyFill="1" applyBorder="1" applyAlignment="1">
      <alignment horizontal="right" vertical="center" wrapText="1"/>
    </xf>
    <xf numFmtId="0" fontId="4" fillId="7" borderId="12" xfId="0" applyNumberFormat="1" applyFont="1" applyFill="1" applyBorder="1" applyAlignment="1">
      <alignment horizontal="center" vertical="center" wrapText="1"/>
    </xf>
    <xf numFmtId="0" fontId="4" fillId="7" borderId="13" xfId="0" applyNumberFormat="1" applyFont="1" applyFill="1" applyBorder="1" applyAlignment="1">
      <alignment horizontal="center" vertical="center" wrapText="1"/>
    </xf>
    <xf numFmtId="0" fontId="4" fillId="7" borderId="14" xfId="0" applyNumberFormat="1" applyFont="1" applyFill="1" applyBorder="1" applyAlignment="1">
      <alignment horizontal="center" vertical="center" wrapText="1"/>
    </xf>
    <xf numFmtId="0" fontId="4" fillId="5" borderId="4" xfId="0" applyNumberFormat="1" applyFont="1" applyFill="1" applyBorder="1" applyAlignment="1">
      <alignment horizontal="center" vertical="center" wrapText="1"/>
    </xf>
    <xf numFmtId="0" fontId="4" fillId="5" borderId="5" xfId="0" applyNumberFormat="1" applyFont="1" applyFill="1" applyBorder="1" applyAlignment="1">
      <alignment horizontal="center" vertical="center" wrapText="1"/>
    </xf>
    <xf numFmtId="0" fontId="4" fillId="5" borderId="6" xfId="0" applyNumberFormat="1" applyFont="1" applyFill="1" applyBorder="1" applyAlignment="1">
      <alignment horizontal="center" vertical="center" wrapText="1"/>
    </xf>
    <xf numFmtId="0" fontId="4" fillId="5" borderId="7" xfId="0" applyNumberFormat="1" applyFont="1" applyFill="1" applyBorder="1" applyAlignment="1">
      <alignment horizontal="center" vertical="center" wrapText="1"/>
    </xf>
    <xf numFmtId="0" fontId="4" fillId="5" borderId="0" xfId="0" applyNumberFormat="1" applyFont="1" applyFill="1" applyBorder="1" applyAlignment="1">
      <alignment horizontal="center" vertical="center" wrapText="1"/>
    </xf>
    <xf numFmtId="0" fontId="4" fillId="5" borderId="8" xfId="0" applyNumberFormat="1" applyFont="1" applyFill="1" applyBorder="1" applyAlignment="1">
      <alignment horizontal="center" vertical="center" wrapText="1"/>
    </xf>
    <xf numFmtId="0" fontId="4" fillId="5" borderId="9" xfId="0" applyNumberFormat="1" applyFont="1" applyFill="1" applyBorder="1" applyAlignment="1">
      <alignment horizontal="center" vertical="center" wrapText="1"/>
    </xf>
    <xf numFmtId="0" fontId="4" fillId="5" borderId="10" xfId="0" applyNumberFormat="1" applyFont="1" applyFill="1" applyBorder="1" applyAlignment="1">
      <alignment horizontal="center" vertical="center" wrapText="1"/>
    </xf>
    <xf numFmtId="0" fontId="4" fillId="5" borderId="11" xfId="0" applyNumberFormat="1" applyFont="1" applyFill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horizontal="center" vertical="center" wrapText="1"/>
    </xf>
    <xf numFmtId="0" fontId="4" fillId="3" borderId="6" xfId="0" applyNumberFormat="1" applyFont="1" applyFill="1" applyBorder="1" applyAlignment="1">
      <alignment horizontal="center" vertical="center" wrapText="1"/>
    </xf>
    <xf numFmtId="0" fontId="4" fillId="3" borderId="7" xfId="0" applyNumberFormat="1" applyFont="1" applyFill="1" applyBorder="1" applyAlignment="1">
      <alignment horizontal="center" vertical="center" wrapText="1"/>
    </xf>
    <xf numFmtId="0" fontId="4" fillId="3" borderId="8" xfId="0" applyNumberFormat="1" applyFont="1" applyFill="1" applyBorder="1" applyAlignment="1">
      <alignment horizontal="center" vertical="center" wrapText="1"/>
    </xf>
    <xf numFmtId="0" fontId="4" fillId="3" borderId="9" xfId="0" applyNumberFormat="1" applyFont="1" applyFill="1" applyBorder="1" applyAlignment="1">
      <alignment horizontal="center" vertical="center" wrapText="1"/>
    </xf>
    <xf numFmtId="0" fontId="4" fillId="3" borderId="11" xfId="0" applyNumberFormat="1" applyFont="1" applyFill="1" applyBorder="1" applyAlignment="1">
      <alignment horizontal="center" vertical="center" wrapText="1"/>
    </xf>
    <xf numFmtId="0" fontId="4" fillId="7" borderId="4" xfId="0" applyNumberFormat="1" applyFont="1" applyFill="1" applyBorder="1" applyAlignment="1">
      <alignment horizontal="center" vertical="center" wrapText="1"/>
    </xf>
    <xf numFmtId="0" fontId="4" fillId="7" borderId="6" xfId="0" applyNumberFormat="1" applyFont="1" applyFill="1" applyBorder="1" applyAlignment="1">
      <alignment horizontal="center" vertical="center" wrapText="1"/>
    </xf>
    <xf numFmtId="0" fontId="4" fillId="7" borderId="7" xfId="0" applyNumberFormat="1" applyFont="1" applyFill="1" applyBorder="1" applyAlignment="1">
      <alignment horizontal="center" vertical="center" wrapText="1"/>
    </xf>
    <xf numFmtId="0" fontId="4" fillId="7" borderId="8" xfId="0" applyNumberFormat="1" applyFont="1" applyFill="1" applyBorder="1" applyAlignment="1">
      <alignment horizontal="center" vertical="center" wrapText="1"/>
    </xf>
    <xf numFmtId="0" fontId="4" fillId="7" borderId="9" xfId="0" applyNumberFormat="1" applyFont="1" applyFill="1" applyBorder="1" applyAlignment="1">
      <alignment horizontal="center" vertical="center" wrapText="1"/>
    </xf>
    <xf numFmtId="0" fontId="4" fillId="7" borderId="11" xfId="0" applyNumberFormat="1" applyFont="1" applyFill="1" applyBorder="1" applyAlignment="1">
      <alignment horizontal="center" vertical="center" wrapText="1"/>
    </xf>
    <xf numFmtId="0" fontId="4" fillId="3" borderId="5" xfId="0" applyNumberFormat="1" applyFont="1" applyFill="1" applyBorder="1" applyAlignment="1">
      <alignment horizontal="center" vertical="center" wrapText="1"/>
    </xf>
    <xf numFmtId="0" fontId="4" fillId="3" borderId="0" xfId="0" applyNumberFormat="1" applyFont="1" applyFill="1" applyBorder="1" applyAlignment="1">
      <alignment horizontal="center" vertical="center" wrapText="1"/>
    </xf>
    <xf numFmtId="0" fontId="4" fillId="3" borderId="10" xfId="0" applyNumberFormat="1" applyFont="1" applyFill="1" applyBorder="1" applyAlignment="1">
      <alignment horizontal="center" vertical="center" wrapText="1"/>
    </xf>
    <xf numFmtId="0" fontId="4" fillId="8" borderId="4" xfId="0" applyNumberFormat="1" applyFont="1" applyFill="1" applyBorder="1" applyAlignment="1">
      <alignment horizontal="center" vertical="center" wrapText="1"/>
    </xf>
    <xf numFmtId="0" fontId="4" fillId="8" borderId="5" xfId="0" applyNumberFormat="1" applyFont="1" applyFill="1" applyBorder="1" applyAlignment="1">
      <alignment horizontal="center" vertical="center" wrapText="1"/>
    </xf>
    <xf numFmtId="0" fontId="4" fillId="8" borderId="6" xfId="0" applyNumberFormat="1" applyFont="1" applyFill="1" applyBorder="1" applyAlignment="1">
      <alignment horizontal="center" vertical="center" wrapText="1"/>
    </xf>
    <xf numFmtId="0" fontId="4" fillId="8" borderId="7" xfId="0" applyNumberFormat="1" applyFont="1" applyFill="1" applyBorder="1" applyAlignment="1">
      <alignment horizontal="center" vertical="center" wrapText="1"/>
    </xf>
    <xf numFmtId="0" fontId="4" fillId="8" borderId="0" xfId="0" applyNumberFormat="1" applyFont="1" applyFill="1" applyBorder="1" applyAlignment="1">
      <alignment horizontal="center" vertical="center" wrapText="1"/>
    </xf>
    <xf numFmtId="0" fontId="4" fillId="8" borderId="8" xfId="0" applyNumberFormat="1" applyFont="1" applyFill="1" applyBorder="1" applyAlignment="1">
      <alignment horizontal="center" vertical="center" wrapText="1"/>
    </xf>
    <xf numFmtId="0" fontId="4" fillId="8" borderId="9" xfId="0" applyNumberFormat="1" applyFont="1" applyFill="1" applyBorder="1" applyAlignment="1">
      <alignment horizontal="center" vertical="center" wrapText="1"/>
    </xf>
    <xf numFmtId="0" fontId="4" fillId="8" borderId="10" xfId="0" applyNumberFormat="1" applyFont="1" applyFill="1" applyBorder="1" applyAlignment="1">
      <alignment horizontal="center" vertical="center" wrapText="1"/>
    </xf>
    <xf numFmtId="0" fontId="4" fillId="8" borderId="11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 applyBorder="1" applyAlignment="1">
      <alignment horizontal="center" vertical="center"/>
    </xf>
    <xf numFmtId="0" fontId="3" fillId="9" borderId="1" xfId="0" applyNumberFormat="1" applyFont="1" applyFill="1" applyBorder="1" applyAlignment="1">
      <alignment horizontal="center" vertical="center" wrapText="1"/>
    </xf>
    <xf numFmtId="0" fontId="3" fillId="9" borderId="2" xfId="0" applyNumberFormat="1" applyFont="1" applyFill="1" applyBorder="1" applyAlignment="1">
      <alignment horizontal="center" vertical="center" wrapText="1"/>
    </xf>
    <xf numFmtId="0" fontId="3" fillId="10" borderId="2" xfId="0" applyNumberFormat="1" applyFont="1" applyFill="1" applyBorder="1" applyAlignment="1">
      <alignment horizontal="center" vertical="center" wrapText="1"/>
    </xf>
    <xf numFmtId="0" fontId="3" fillId="10" borderId="3" xfId="0" applyNumberFormat="1" applyFont="1" applyFill="1" applyBorder="1" applyAlignment="1">
      <alignment horizontal="center" vertical="center" wrapText="1"/>
    </xf>
    <xf numFmtId="0" fontId="4" fillId="7" borderId="5" xfId="0" applyNumberFormat="1" applyFont="1" applyFill="1" applyBorder="1" applyAlignment="1">
      <alignment horizontal="center" vertical="center" wrapText="1"/>
    </xf>
    <xf numFmtId="0" fontId="4" fillId="7" borderId="0" xfId="0" applyNumberFormat="1" applyFont="1" applyFill="1" applyBorder="1" applyAlignment="1">
      <alignment horizontal="center" vertical="center" wrapText="1"/>
    </xf>
    <xf numFmtId="0" fontId="4" fillId="7" borderId="10" xfId="0" applyNumberFormat="1" applyFont="1" applyFill="1" applyBorder="1" applyAlignment="1">
      <alignment horizontal="center" vertical="center" wrapText="1"/>
    </xf>
    <xf numFmtId="0" fontId="4" fillId="5" borderId="12" xfId="0" applyNumberFormat="1" applyFont="1" applyFill="1" applyBorder="1" applyAlignment="1">
      <alignment horizontal="right" vertical="center" wrapText="1"/>
    </xf>
    <xf numFmtId="0" fontId="4" fillId="5" borderId="13" xfId="0" applyNumberFormat="1" applyFont="1" applyFill="1" applyBorder="1" applyAlignment="1">
      <alignment horizontal="right" vertical="center" wrapText="1"/>
    </xf>
    <xf numFmtId="0" fontId="4" fillId="5" borderId="14" xfId="0" applyNumberFormat="1" applyFont="1" applyFill="1" applyBorder="1" applyAlignment="1">
      <alignment horizontal="right" vertical="center" wrapText="1"/>
    </xf>
    <xf numFmtId="0" fontId="4" fillId="7" borderId="15" xfId="0" applyNumberFormat="1" applyFont="1" applyFill="1" applyBorder="1" applyAlignment="1">
      <alignment horizontal="center" vertical="center" wrapText="1"/>
    </xf>
    <xf numFmtId="0" fontId="4" fillId="5" borderId="15" xfId="0" applyNumberFormat="1" applyFont="1" applyFill="1" applyBorder="1" applyAlignment="1">
      <alignment horizontal="center" vertical="center" wrapText="1"/>
    </xf>
    <xf numFmtId="0" fontId="4" fillId="3" borderId="15" xfId="0" applyNumberFormat="1" applyFont="1" applyFill="1" applyBorder="1" applyAlignment="1">
      <alignment horizontal="right" vertical="center" wrapText="1"/>
    </xf>
    <xf numFmtId="0" fontId="4" fillId="7" borderId="12" xfId="0" applyNumberFormat="1" applyFont="1" applyFill="1" applyBorder="1" applyAlignment="1">
      <alignment horizontal="right" vertical="center" wrapText="1"/>
    </xf>
    <xf numFmtId="0" fontId="4" fillId="7" borderId="13" xfId="0" applyNumberFormat="1" applyFont="1" applyFill="1" applyBorder="1" applyAlignment="1">
      <alignment horizontal="right" vertical="center" wrapText="1"/>
    </xf>
    <xf numFmtId="0" fontId="4" fillId="7" borderId="14" xfId="0" applyNumberFormat="1" applyFont="1" applyFill="1" applyBorder="1" applyAlignment="1">
      <alignment horizontal="right" vertical="center" wrapText="1"/>
    </xf>
    <xf numFmtId="0" fontId="4" fillId="3" borderId="12" xfId="0" applyNumberFormat="1" applyFont="1" applyFill="1" applyBorder="1" applyAlignment="1">
      <alignment horizontal="right" vertical="center" wrapText="1"/>
    </xf>
    <xf numFmtId="0" fontId="4" fillId="3" borderId="13" xfId="0" applyNumberFormat="1" applyFont="1" applyFill="1" applyBorder="1" applyAlignment="1">
      <alignment horizontal="right" vertical="center" wrapText="1"/>
    </xf>
    <xf numFmtId="0" fontId="4" fillId="3" borderId="14" xfId="0" applyNumberFormat="1" applyFont="1" applyFill="1" applyBorder="1" applyAlignment="1">
      <alignment horizontal="right" vertical="center" wrapText="1"/>
    </xf>
    <xf numFmtId="0" fontId="8" fillId="0" borderId="0" xfId="0" applyNumberFormat="1" applyFont="1" applyFill="1" applyBorder="1"/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Border="1"/>
    <xf numFmtId="0" fontId="2" fillId="3" borderId="0" xfId="0" applyNumberFormat="1" applyFont="1" applyFill="1" applyBorder="1" applyAlignment="1">
      <alignment horizontal="right" vertical="center" wrapText="1"/>
    </xf>
    <xf numFmtId="0" fontId="5" fillId="5" borderId="0" xfId="0" applyNumberFormat="1" applyFont="1" applyFill="1" applyBorder="1" applyAlignment="1">
      <alignment horizontal="center" vertical="center" wrapText="1"/>
    </xf>
    <xf numFmtId="0" fontId="5" fillId="6" borderId="0" xfId="0" applyNumberFormat="1" applyFont="1" applyFill="1" applyBorder="1" applyAlignment="1">
      <alignment horizontal="center" vertical="center" wrapText="1"/>
    </xf>
    <xf numFmtId="0" fontId="0" fillId="0" borderId="0" xfId="0"/>
    <xf numFmtId="0" fontId="7" fillId="11" borderId="16" xfId="0" applyNumberFormat="1" applyFont="1" applyFill="1" applyBorder="1" applyAlignment="1">
      <alignment horizontal="center" vertical="center"/>
    </xf>
    <xf numFmtId="0" fontId="7" fillId="11" borderId="17" xfId="0" applyNumberFormat="1" applyFont="1" applyFill="1" applyBorder="1" applyAlignment="1">
      <alignment horizontal="center" vertical="center"/>
    </xf>
    <xf numFmtId="0" fontId="7" fillId="11" borderId="19" xfId="0" applyNumberFormat="1" applyFont="1" applyFill="1" applyBorder="1" applyAlignment="1">
      <alignment horizontal="center" vertical="center"/>
    </xf>
    <xf numFmtId="0" fontId="7" fillId="11" borderId="20" xfId="0" applyNumberFormat="1" applyFont="1" applyFill="1" applyBorder="1" applyAlignment="1">
      <alignment horizontal="center" vertical="center"/>
    </xf>
    <xf numFmtId="0" fontId="7" fillId="11" borderId="18" xfId="0" applyNumberFormat="1" applyFont="1" applyFill="1" applyBorder="1" applyAlignment="1">
      <alignment horizontal="center" vertical="center"/>
    </xf>
    <xf numFmtId="0" fontId="7" fillId="11" borderId="21" xfId="0" applyNumberFormat="1" applyFont="1" applyFill="1" applyBorder="1" applyAlignment="1">
      <alignment horizontal="center" vertical="center"/>
    </xf>
    <xf numFmtId="0" fontId="6" fillId="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نمای حوزه‌های عملکرد</a:t>
            </a:r>
          </a:p>
        </c:rich>
      </c:tx>
      <c:overlay val="1"/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v>امتیاز</c:v>
          </c:tx>
          <c:cat>
            <c:strRef>
              <c:f>'گزارش دانش‌آموز'!$D$8:$D$16</c:f>
              <c:strCache>
                <c:ptCount val="9"/>
                <c:pt idx="0">
                  <c:v>آموزشی</c:v>
                </c:pt>
                <c:pt idx="1">
                  <c:v>پرورشی</c:v>
                </c:pt>
                <c:pt idx="2">
                  <c:v>تربیتی</c:v>
                </c:pt>
                <c:pt idx="3">
                  <c:v>انضباطی</c:v>
                </c:pt>
                <c:pt idx="4">
                  <c:v>فرهنگی</c:v>
                </c:pt>
                <c:pt idx="5">
                  <c:v>پژوهشی</c:v>
                </c:pt>
                <c:pt idx="6">
                  <c:v>ورزشی</c:v>
                </c:pt>
                <c:pt idx="7">
                  <c:v>هنری</c:v>
                </c:pt>
                <c:pt idx="8">
                  <c:v>مهارت‌های فردی</c:v>
                </c:pt>
              </c:strCache>
            </c:strRef>
          </c:cat>
          <c:val>
            <c:numRef>
              <c:f>'گزارش دانش‌آموز'!$E$8:$E$16</c:f>
              <c:numCache>
                <c:formatCode>General</c:formatCode>
                <c:ptCount val="9"/>
                <c:pt idx="0">
                  <c:v>9.5</c:v>
                </c:pt>
                <c:pt idx="1">
                  <c:v>0</c:v>
                </c:pt>
                <c:pt idx="2">
                  <c:v>0</c:v>
                </c:pt>
                <c:pt idx="3">
                  <c:v>3.2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C-4D7F-8740-2BD73095F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799824"/>
        <c:axId val="208800944"/>
      </c:radarChart>
      <c:catAx>
        <c:axId val="208799824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208800944"/>
        <c:crosses val="autoZero"/>
        <c:auto val="1"/>
        <c:lblAlgn val="ctr"/>
        <c:lblOffset val="100"/>
        <c:noMultiLvlLbl val="1"/>
      </c:catAx>
      <c:valAx>
        <c:axId val="208800944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208799824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روند ماهانه امتیاز نهایی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میانگین نهایی</c:v>
          </c:tx>
          <c:marker>
            <c:symbol val="none"/>
          </c:marker>
          <c:cat>
            <c:strRef>
              <c:f>'گزارش دانش‌آموز'!$G$8:$G$19</c:f>
              <c:strCache>
                <c:ptCount val="12"/>
                <c:pt idx="0">
                  <c:v>تیر</c:v>
                </c:pt>
                <c:pt idx="1">
                  <c:v>مرداد</c:v>
                </c:pt>
                <c:pt idx="2">
                  <c:v>شهریور</c:v>
                </c:pt>
                <c:pt idx="3">
                  <c:v>مهر</c:v>
                </c:pt>
                <c:pt idx="4">
                  <c:v>آبان</c:v>
                </c:pt>
                <c:pt idx="5">
                  <c:v>آذر</c:v>
                </c:pt>
                <c:pt idx="6">
                  <c:v>دی</c:v>
                </c:pt>
                <c:pt idx="7">
                  <c:v>بهمن</c:v>
                </c:pt>
                <c:pt idx="8">
                  <c:v>اسفند</c:v>
                </c:pt>
                <c:pt idx="9">
                  <c:v>فروردین</c:v>
                </c:pt>
                <c:pt idx="10">
                  <c:v>اردیبهشت</c:v>
                </c:pt>
                <c:pt idx="11">
                  <c:v>خرداد</c:v>
                </c:pt>
              </c:strCache>
            </c:strRef>
          </c:cat>
          <c:val>
            <c:numRef>
              <c:f>'گزارش دانش‌آموز'!$H$8:$H$19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670-46AD-B4BB-EBB7B4E66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033536"/>
        <c:axId val="207213328"/>
      </c:lineChart>
      <c:catAx>
        <c:axId val="209033536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207213328"/>
        <c:crosses val="autoZero"/>
        <c:auto val="1"/>
        <c:lblAlgn val="ctr"/>
        <c:lblOffset val="100"/>
        <c:noMultiLvlLbl val="1"/>
      </c:catAx>
      <c:valAx>
        <c:axId val="20721332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209033536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روند میانگین مدرسه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میانگین نهایی مدرسه</c:v>
          </c:tx>
          <c:marker>
            <c:symbol val="none"/>
          </c:marker>
          <c:cat>
            <c:strRef>
              <c:f>داشبورد!$A$9:$A$20</c:f>
              <c:strCache>
                <c:ptCount val="12"/>
                <c:pt idx="0">
                  <c:v>تیر</c:v>
                </c:pt>
                <c:pt idx="1">
                  <c:v>مرداد</c:v>
                </c:pt>
                <c:pt idx="2">
                  <c:v>شهریور</c:v>
                </c:pt>
                <c:pt idx="3">
                  <c:v>مهر</c:v>
                </c:pt>
                <c:pt idx="4">
                  <c:v>آبان</c:v>
                </c:pt>
                <c:pt idx="5">
                  <c:v>آذر</c:v>
                </c:pt>
                <c:pt idx="6">
                  <c:v>دی</c:v>
                </c:pt>
                <c:pt idx="7">
                  <c:v>بهمن</c:v>
                </c:pt>
                <c:pt idx="8">
                  <c:v>اسفند</c:v>
                </c:pt>
                <c:pt idx="9">
                  <c:v>فروردین</c:v>
                </c:pt>
                <c:pt idx="10">
                  <c:v>اردیبهشت</c:v>
                </c:pt>
                <c:pt idx="11">
                  <c:v>خرداد</c:v>
                </c:pt>
              </c:strCache>
            </c:strRef>
          </c:cat>
          <c:val>
            <c:numRef>
              <c:f>داشبورد!$B$9:$B$20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BCE-4E88-B778-66E810143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7210832"/>
        <c:axId val="297211392"/>
      </c:lineChart>
      <c:catAx>
        <c:axId val="29721083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297211392"/>
        <c:crosses val="autoZero"/>
        <c:auto val="1"/>
        <c:lblAlgn val="ctr"/>
        <c:lblOffset val="100"/>
        <c:noMultiLvlLbl val="1"/>
      </c:catAx>
      <c:valAx>
        <c:axId val="29721139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29721083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میانگین حوزه‌ها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میانگین مدرسه</c:v>
          </c:tx>
          <c:invertIfNegative val="1"/>
          <c:cat>
            <c:strRef>
              <c:f>داشبورد!$D$9:$D$17</c:f>
              <c:strCache>
                <c:ptCount val="9"/>
                <c:pt idx="0">
                  <c:v>آموزشی</c:v>
                </c:pt>
                <c:pt idx="1">
                  <c:v>پرورشی</c:v>
                </c:pt>
                <c:pt idx="2">
                  <c:v>تربیتی</c:v>
                </c:pt>
                <c:pt idx="3">
                  <c:v>انضباطی</c:v>
                </c:pt>
                <c:pt idx="4">
                  <c:v>فرهنگی</c:v>
                </c:pt>
                <c:pt idx="5">
                  <c:v>پژوهشی</c:v>
                </c:pt>
                <c:pt idx="6">
                  <c:v>ورزشی</c:v>
                </c:pt>
                <c:pt idx="7">
                  <c:v>هنری</c:v>
                </c:pt>
                <c:pt idx="8">
                  <c:v>مهارت‌های فردی</c:v>
                </c:pt>
              </c:strCache>
            </c:strRef>
          </c:cat>
          <c:val>
            <c:numRef>
              <c:f>داشبورد!$E$9:$E$17</c:f>
              <c:numCache>
                <c:formatCode>General</c:formatCode>
                <c:ptCount val="9"/>
                <c:pt idx="0">
                  <c:v>9.4092187500000009</c:v>
                </c:pt>
                <c:pt idx="1">
                  <c:v>13.6</c:v>
                </c:pt>
                <c:pt idx="2">
                  <c:v>7.4375</c:v>
                </c:pt>
                <c:pt idx="3">
                  <c:v>13.7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4A-4F22-8DAA-079D94753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7213632"/>
        <c:axId val="297214192"/>
      </c:barChart>
      <c:catAx>
        <c:axId val="29721363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297214192"/>
        <c:crosses val="autoZero"/>
        <c:auto val="1"/>
        <c:lblAlgn val="ctr"/>
        <c:lblOffset val="100"/>
        <c:noMultiLvlLbl val="1"/>
      </c:catAx>
      <c:valAx>
        <c:axId val="29721419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29721363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6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6</xdr:row>
      <xdr:rowOff>0</xdr:rowOff>
    </xdr:from>
    <xdr:to>
      <xdr:col>23</xdr:col>
      <xdr:colOff>0</xdr:colOff>
      <xdr:row>22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</xdr:row>
      <xdr:rowOff>0</xdr:rowOff>
    </xdr:from>
    <xdr:to>
      <xdr:col>22</xdr:col>
      <xdr:colOff>0</xdr:colOff>
      <xdr:row>17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workbookViewId="0">
      <selection sqref="A1:H1"/>
    </sheetView>
  </sheetViews>
  <sheetFormatPr defaultRowHeight="14.25"/>
  <cols>
    <col min="1" max="2" width="18" customWidth="1"/>
    <col min="3" max="3" width="30" customWidth="1"/>
    <col min="4" max="4" width="34" customWidth="1"/>
    <col min="5" max="7" width="18" customWidth="1"/>
    <col min="8" max="8" width="34" customWidth="1"/>
  </cols>
  <sheetData>
    <row r="1" spans="1:8" ht="32.1" customHeight="1">
      <c r="A1" s="71" t="s">
        <v>0</v>
      </c>
      <c r="B1" s="72"/>
      <c r="C1" s="72"/>
      <c r="D1" s="72"/>
      <c r="E1" s="72"/>
      <c r="F1" s="72"/>
      <c r="G1" s="72"/>
      <c r="H1" s="72"/>
    </row>
    <row r="2" spans="1:8" ht="32.1" customHeight="1">
      <c r="A2" s="73" t="s">
        <v>1</v>
      </c>
      <c r="B2" s="72"/>
      <c r="C2" s="72"/>
      <c r="D2" s="72"/>
      <c r="E2" s="72"/>
      <c r="F2" s="72"/>
      <c r="G2" s="72"/>
      <c r="H2" s="72"/>
    </row>
    <row r="3" spans="1:8" ht="21">
      <c r="A3" s="69"/>
      <c r="B3" s="69"/>
      <c r="C3" s="69"/>
      <c r="D3" s="69"/>
      <c r="E3" s="69"/>
      <c r="F3" s="69"/>
      <c r="G3" s="69"/>
      <c r="H3" s="69"/>
    </row>
    <row r="4" spans="1:8" ht="42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3" t="s">
        <v>9</v>
      </c>
    </row>
    <row r="5" spans="1:8" ht="17.25">
      <c r="A5" s="4">
        <v>1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6" t="s">
        <v>16</v>
      </c>
    </row>
    <row r="6" spans="1:8" ht="34.5">
      <c r="A6" s="7">
        <v>2</v>
      </c>
      <c r="B6" s="8" t="s">
        <v>17</v>
      </c>
      <c r="C6" s="8" t="s">
        <v>18</v>
      </c>
      <c r="D6" s="8" t="s">
        <v>19</v>
      </c>
      <c r="E6" s="8" t="s">
        <v>20</v>
      </c>
      <c r="F6" s="8" t="s">
        <v>14</v>
      </c>
      <c r="G6" s="8" t="s">
        <v>21</v>
      </c>
      <c r="H6" s="9" t="s">
        <v>22</v>
      </c>
    </row>
    <row r="7" spans="1:8" ht="34.5">
      <c r="A7" s="7">
        <v>3</v>
      </c>
      <c r="B7" s="8" t="s">
        <v>23</v>
      </c>
      <c r="C7" s="8" t="s">
        <v>24</v>
      </c>
      <c r="D7" s="8" t="s">
        <v>25</v>
      </c>
      <c r="E7" s="8" t="s">
        <v>26</v>
      </c>
      <c r="F7" s="8" t="s">
        <v>14</v>
      </c>
      <c r="G7" s="8" t="s">
        <v>27</v>
      </c>
      <c r="H7" s="9" t="s">
        <v>28</v>
      </c>
    </row>
    <row r="8" spans="1:8" ht="34.5">
      <c r="A8" s="10">
        <v>4</v>
      </c>
      <c r="B8" s="11" t="s">
        <v>29</v>
      </c>
      <c r="C8" s="11" t="s">
        <v>30</v>
      </c>
      <c r="D8" s="11" t="s">
        <v>31</v>
      </c>
      <c r="E8" s="11" t="s">
        <v>32</v>
      </c>
      <c r="F8" s="11" t="s">
        <v>33</v>
      </c>
      <c r="G8" s="11" t="s">
        <v>34</v>
      </c>
      <c r="H8" s="12" t="s">
        <v>35</v>
      </c>
    </row>
    <row r="9" spans="1:8" ht="21">
      <c r="A9" s="69"/>
      <c r="B9" s="69"/>
      <c r="C9" s="69"/>
      <c r="D9" s="69"/>
      <c r="E9" s="69"/>
      <c r="F9" s="69"/>
      <c r="G9" s="69"/>
      <c r="H9" s="69"/>
    </row>
    <row r="10" spans="1:8" ht="33.950000000000003" customHeight="1">
      <c r="A10" s="74" t="s">
        <v>36</v>
      </c>
      <c r="B10" s="74"/>
      <c r="C10" s="74"/>
      <c r="D10" s="74"/>
      <c r="E10" s="74"/>
      <c r="F10" s="74"/>
      <c r="G10" s="74"/>
      <c r="H10" s="74"/>
    </row>
    <row r="11" spans="1:8" ht="21">
      <c r="A11" s="69"/>
      <c r="B11" s="69"/>
      <c r="C11" s="69"/>
      <c r="D11" s="69"/>
      <c r="E11" s="69"/>
      <c r="F11" s="69"/>
      <c r="G11" s="69"/>
      <c r="H11" s="69"/>
    </row>
    <row r="12" spans="1:8" ht="21">
      <c r="A12" s="75" t="s">
        <v>37</v>
      </c>
      <c r="B12" s="75"/>
      <c r="C12" s="75"/>
      <c r="D12" s="75"/>
      <c r="E12" s="75"/>
      <c r="F12" s="75"/>
      <c r="G12" s="75"/>
      <c r="H12" s="75"/>
    </row>
  </sheetData>
  <mergeCells count="4">
    <mergeCell ref="A1:H1"/>
    <mergeCell ref="A2:H2"/>
    <mergeCell ref="A10:H10"/>
    <mergeCell ref="A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"/>
  <sheetViews>
    <sheetView showGridLines="0" tabSelected="1" workbookViewId="0">
      <selection activeCell="B5" sqref="B5"/>
    </sheetView>
  </sheetViews>
  <sheetFormatPr defaultRowHeight="14.25"/>
  <cols>
    <col min="1" max="1" width="7" customWidth="1"/>
    <col min="2" max="6" width="17" customWidth="1"/>
    <col min="7" max="9" width="15" customWidth="1"/>
  </cols>
  <sheetData>
    <row r="1" spans="1:9" ht="32.1" customHeight="1">
      <c r="A1" s="71" t="s">
        <v>38</v>
      </c>
      <c r="B1" s="72"/>
      <c r="C1" s="72"/>
      <c r="D1" s="72"/>
      <c r="E1" s="72"/>
      <c r="F1" s="72"/>
      <c r="G1" s="72"/>
      <c r="H1" s="72"/>
      <c r="I1" s="72"/>
    </row>
    <row r="2" spans="1:9" ht="32.1" customHeight="1">
      <c r="A2" s="73" t="s">
        <v>39</v>
      </c>
      <c r="B2" s="72"/>
      <c r="C2" s="72"/>
      <c r="D2" s="72"/>
      <c r="E2" s="72"/>
      <c r="F2" s="72"/>
      <c r="G2" s="72"/>
      <c r="H2" s="72"/>
      <c r="I2" s="72"/>
    </row>
    <row r="3" spans="1:9" ht="21">
      <c r="A3" s="69"/>
      <c r="B3" s="69"/>
      <c r="C3" s="69"/>
      <c r="D3" s="69"/>
      <c r="E3" s="69"/>
      <c r="F3" s="69"/>
      <c r="G3" s="69"/>
      <c r="H3" s="69"/>
      <c r="I3" s="69"/>
    </row>
    <row r="4" spans="1:9" ht="42" customHeight="1">
      <c r="A4" s="1" t="s">
        <v>40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3" t="s">
        <v>48</v>
      </c>
    </row>
    <row r="5" spans="1:9" ht="17.25">
      <c r="A5" s="13">
        <v>1</v>
      </c>
      <c r="B5" s="16">
        <v>95114129</v>
      </c>
      <c r="C5" s="17" t="s">
        <v>321</v>
      </c>
      <c r="D5" s="17">
        <v>901</v>
      </c>
      <c r="E5" s="17" t="s">
        <v>320</v>
      </c>
      <c r="F5" s="17" t="s">
        <v>322</v>
      </c>
      <c r="G5" s="18">
        <v>35</v>
      </c>
      <c r="H5" s="25">
        <f>IF(D5="","",COUNTIF(دانش‌آموزان!$I$5:$I$104,D5))</f>
        <v>32</v>
      </c>
      <c r="I5" s="26" t="str">
        <f t="shared" ref="I5:I34" si="0">IF(D5="","",IF(COUNTIF($D$5:$D$34,D5)&gt;1,"کد تکراری",IF(H5&gt;G5,"بیش از ظرفیت","معتبر")))</f>
        <v>معتبر</v>
      </c>
    </row>
    <row r="6" spans="1:9" ht="17.25">
      <c r="A6" s="14">
        <v>2</v>
      </c>
      <c r="B6" s="16"/>
      <c r="C6" s="17"/>
      <c r="D6" s="17"/>
      <c r="E6" s="17"/>
      <c r="F6" s="17"/>
      <c r="G6" s="21"/>
      <c r="H6" s="27"/>
      <c r="I6" s="28"/>
    </row>
    <row r="7" spans="1:9" ht="17.25">
      <c r="A7" s="14">
        <v>3</v>
      </c>
      <c r="B7" s="16"/>
      <c r="C7" s="17"/>
      <c r="D7" s="17"/>
      <c r="E7" s="17"/>
      <c r="F7" s="17"/>
      <c r="G7" s="21"/>
      <c r="H7" s="27"/>
      <c r="I7" s="28"/>
    </row>
    <row r="8" spans="1:9" ht="17.25">
      <c r="A8" s="14">
        <v>4</v>
      </c>
      <c r="B8" s="16"/>
      <c r="C8" s="17"/>
      <c r="D8" s="17"/>
      <c r="E8" s="17"/>
      <c r="F8" s="17"/>
      <c r="G8" s="21"/>
      <c r="H8" s="27"/>
      <c r="I8" s="28"/>
    </row>
    <row r="9" spans="1:9" ht="17.25">
      <c r="A9" s="14">
        <v>5</v>
      </c>
      <c r="B9" s="16"/>
      <c r="C9" s="17"/>
      <c r="D9" s="17"/>
      <c r="E9" s="17"/>
      <c r="F9" s="17"/>
      <c r="G9" s="21"/>
      <c r="H9" s="27"/>
      <c r="I9" s="28"/>
    </row>
    <row r="10" spans="1:9" ht="17.25">
      <c r="A10" s="14">
        <v>6</v>
      </c>
      <c r="B10" s="16"/>
      <c r="C10" s="17"/>
      <c r="D10" s="17"/>
      <c r="E10" s="17"/>
      <c r="F10" s="17"/>
      <c r="G10" s="21"/>
      <c r="H10" s="27"/>
      <c r="I10" s="28"/>
    </row>
    <row r="11" spans="1:9" ht="17.25">
      <c r="A11" s="14">
        <v>7</v>
      </c>
      <c r="B11" s="16"/>
      <c r="C11" s="17"/>
      <c r="D11" s="17"/>
      <c r="E11" s="17"/>
      <c r="F11" s="17"/>
      <c r="G11" s="21"/>
      <c r="H11" s="27"/>
      <c r="I11" s="28"/>
    </row>
    <row r="12" spans="1:9" ht="17.25">
      <c r="A12" s="14">
        <v>8</v>
      </c>
      <c r="B12" s="16"/>
      <c r="C12" s="17"/>
      <c r="D12" s="17"/>
      <c r="E12" s="17"/>
      <c r="F12" s="17"/>
      <c r="G12" s="21"/>
      <c r="H12" s="27"/>
      <c r="I12" s="28"/>
    </row>
    <row r="13" spans="1:9" ht="17.25">
      <c r="A13" s="14">
        <v>9</v>
      </c>
      <c r="B13" s="16"/>
      <c r="C13" s="17"/>
      <c r="D13" s="17"/>
      <c r="E13" s="17"/>
      <c r="F13" s="17"/>
      <c r="G13" s="21"/>
      <c r="H13" s="27"/>
      <c r="I13" s="28"/>
    </row>
    <row r="14" spans="1:9" ht="17.25">
      <c r="A14" s="14">
        <v>10</v>
      </c>
      <c r="B14" s="16"/>
      <c r="C14" s="17"/>
      <c r="D14" s="17"/>
      <c r="E14" s="17"/>
      <c r="F14" s="17"/>
      <c r="G14" s="21"/>
      <c r="H14" s="27"/>
      <c r="I14" s="28"/>
    </row>
    <row r="15" spans="1:9" ht="17.25">
      <c r="A15" s="14">
        <v>11</v>
      </c>
      <c r="B15" s="16"/>
      <c r="C15" s="17"/>
      <c r="D15" s="17"/>
      <c r="E15" s="17"/>
      <c r="F15" s="17"/>
      <c r="G15" s="21"/>
      <c r="H15" s="27"/>
      <c r="I15" s="28"/>
    </row>
    <row r="16" spans="1:9" ht="17.25">
      <c r="A16" s="14">
        <v>12</v>
      </c>
      <c r="B16" s="16"/>
      <c r="C16" s="17"/>
      <c r="D16" s="17"/>
      <c r="E16" s="17"/>
      <c r="F16" s="17"/>
      <c r="G16" s="21"/>
      <c r="H16" s="27"/>
      <c r="I16" s="28"/>
    </row>
    <row r="17" spans="1:9" ht="17.25">
      <c r="A17" s="14">
        <v>13</v>
      </c>
      <c r="B17" s="16"/>
      <c r="C17" s="17"/>
      <c r="D17" s="17"/>
      <c r="E17" s="17"/>
      <c r="F17" s="17"/>
      <c r="G17" s="21"/>
      <c r="H17" s="27"/>
      <c r="I17" s="28"/>
    </row>
    <row r="18" spans="1:9" ht="17.25">
      <c r="A18" s="14">
        <v>14</v>
      </c>
      <c r="B18" s="16"/>
      <c r="C18" s="17"/>
      <c r="D18" s="17"/>
      <c r="E18" s="17"/>
      <c r="F18" s="17"/>
      <c r="G18" s="21"/>
      <c r="H18" s="27"/>
      <c r="I18" s="28"/>
    </row>
    <row r="19" spans="1:9" ht="17.25">
      <c r="A19" s="14">
        <v>15</v>
      </c>
      <c r="B19" s="16"/>
      <c r="C19" s="17"/>
      <c r="D19" s="17"/>
      <c r="E19" s="17"/>
      <c r="F19" s="17"/>
      <c r="G19" s="21"/>
      <c r="H19" s="27"/>
      <c r="I19" s="28"/>
    </row>
    <row r="20" spans="1:9" ht="17.25">
      <c r="A20" s="14">
        <v>16</v>
      </c>
      <c r="B20" s="16"/>
      <c r="C20" s="17"/>
      <c r="D20" s="17"/>
      <c r="E20" s="17"/>
      <c r="F20" s="17"/>
      <c r="G20" s="21"/>
      <c r="H20" s="27"/>
      <c r="I20" s="28"/>
    </row>
    <row r="21" spans="1:9" ht="17.25">
      <c r="A21" s="14">
        <v>17</v>
      </c>
      <c r="B21" s="16"/>
      <c r="C21" s="17"/>
      <c r="D21" s="17"/>
      <c r="E21" s="17"/>
      <c r="F21" s="17"/>
      <c r="G21" s="21"/>
      <c r="H21" s="27"/>
      <c r="I21" s="28"/>
    </row>
    <row r="22" spans="1:9" ht="17.25">
      <c r="A22" s="14">
        <v>18</v>
      </c>
      <c r="B22" s="16"/>
      <c r="C22" s="17"/>
      <c r="D22" s="17"/>
      <c r="E22" s="17"/>
      <c r="F22" s="17"/>
      <c r="G22" s="21"/>
      <c r="H22" s="27"/>
      <c r="I22" s="28"/>
    </row>
    <row r="23" spans="1:9" ht="17.25">
      <c r="A23" s="14">
        <v>19</v>
      </c>
      <c r="B23" s="16"/>
      <c r="C23" s="17"/>
      <c r="D23" s="17"/>
      <c r="E23" s="17"/>
      <c r="F23" s="17"/>
      <c r="G23" s="21"/>
      <c r="H23" s="27"/>
      <c r="I23" s="28"/>
    </row>
    <row r="24" spans="1:9" ht="17.25">
      <c r="A24" s="14">
        <v>20</v>
      </c>
      <c r="B24" s="16"/>
      <c r="C24" s="17"/>
      <c r="D24" s="17"/>
      <c r="E24" s="17"/>
      <c r="F24" s="17"/>
      <c r="G24" s="21"/>
      <c r="H24" s="27"/>
      <c r="I24" s="28"/>
    </row>
    <row r="25" spans="1:9" ht="17.25">
      <c r="A25" s="14">
        <v>21</v>
      </c>
      <c r="B25" s="16"/>
      <c r="C25" s="17"/>
      <c r="D25" s="17"/>
      <c r="E25" s="17"/>
      <c r="F25" s="17"/>
      <c r="G25" s="21"/>
      <c r="H25" s="27"/>
      <c r="I25" s="28"/>
    </row>
    <row r="26" spans="1:9" ht="17.25">
      <c r="A26" s="14">
        <v>22</v>
      </c>
      <c r="B26" s="16"/>
      <c r="C26" s="17"/>
      <c r="D26" s="17"/>
      <c r="E26" s="17"/>
      <c r="F26" s="17"/>
      <c r="G26" s="21"/>
      <c r="H26" s="27"/>
      <c r="I26" s="28"/>
    </row>
    <row r="27" spans="1:9" ht="17.25">
      <c r="A27" s="14">
        <v>23</v>
      </c>
      <c r="B27" s="16"/>
      <c r="C27" s="17"/>
      <c r="D27" s="17"/>
      <c r="E27" s="17"/>
      <c r="F27" s="17"/>
      <c r="G27" s="21"/>
      <c r="H27" s="27"/>
      <c r="I27" s="28"/>
    </row>
    <row r="28" spans="1:9" ht="17.25">
      <c r="A28" s="14">
        <v>24</v>
      </c>
      <c r="B28" s="16"/>
      <c r="C28" s="17"/>
      <c r="D28" s="17"/>
      <c r="E28" s="17"/>
      <c r="F28" s="17"/>
      <c r="G28" s="21"/>
      <c r="H28" s="27"/>
      <c r="I28" s="28"/>
    </row>
    <row r="29" spans="1:9" ht="17.25">
      <c r="A29" s="14">
        <v>25</v>
      </c>
      <c r="B29" s="16"/>
      <c r="C29" s="17"/>
      <c r="D29" s="17"/>
      <c r="E29" s="17"/>
      <c r="F29" s="17"/>
      <c r="G29" s="21"/>
      <c r="H29" s="27"/>
      <c r="I29" s="28"/>
    </row>
    <row r="30" spans="1:9" ht="17.25">
      <c r="A30" s="14">
        <v>26</v>
      </c>
      <c r="B30" s="16"/>
      <c r="C30" s="17"/>
      <c r="D30" s="17"/>
      <c r="E30" s="17"/>
      <c r="F30" s="17"/>
      <c r="G30" s="21"/>
      <c r="H30" s="27"/>
      <c r="I30" s="28"/>
    </row>
    <row r="31" spans="1:9" ht="17.25">
      <c r="A31" s="14">
        <v>27</v>
      </c>
      <c r="B31" s="16"/>
      <c r="C31" s="17"/>
      <c r="D31" s="17"/>
      <c r="E31" s="17"/>
      <c r="F31" s="17"/>
      <c r="G31" s="21"/>
      <c r="H31" s="27"/>
      <c r="I31" s="28"/>
    </row>
    <row r="32" spans="1:9" ht="17.25">
      <c r="A32" s="14">
        <v>28</v>
      </c>
      <c r="B32" s="16"/>
      <c r="C32" s="17"/>
      <c r="D32" s="17"/>
      <c r="E32" s="17"/>
      <c r="F32" s="17"/>
      <c r="G32" s="21"/>
      <c r="H32" s="27"/>
      <c r="I32" s="28"/>
    </row>
    <row r="33" spans="1:9" ht="17.25">
      <c r="A33" s="14">
        <v>29</v>
      </c>
      <c r="B33" s="16"/>
      <c r="C33" s="17"/>
      <c r="D33" s="17"/>
      <c r="E33" s="17"/>
      <c r="F33" s="17"/>
      <c r="G33" s="21"/>
      <c r="H33" s="27"/>
      <c r="I33" s="28"/>
    </row>
    <row r="34" spans="1:9" ht="17.25">
      <c r="A34" s="15">
        <v>30</v>
      </c>
      <c r="B34" s="16"/>
      <c r="C34" s="17"/>
      <c r="D34" s="17"/>
      <c r="E34" s="17"/>
      <c r="F34" s="17"/>
      <c r="G34" s="24"/>
      <c r="H34" s="29"/>
      <c r="I34" s="30"/>
    </row>
  </sheetData>
  <mergeCells count="2">
    <mergeCell ref="A1:I1"/>
    <mergeCell ref="A2:I2"/>
  </mergeCells>
  <dataValidations count="1">
    <dataValidation type="whole" sqref="G5:G34" xr:uid="{00000000-0002-0000-0100-000000000000}">
      <formula1>1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4"/>
  <sheetViews>
    <sheetView showGridLines="0" topLeftCell="A4" workbookViewId="0">
      <selection activeCell="F5" sqref="F5:F36"/>
    </sheetView>
  </sheetViews>
  <sheetFormatPr defaultRowHeight="14.25"/>
  <cols>
    <col min="1" max="2" width="9" customWidth="1"/>
    <col min="3" max="4" width="18" customWidth="1"/>
    <col min="5" max="6" width="16" customWidth="1"/>
    <col min="7" max="9" width="14" customWidth="1"/>
    <col min="10" max="12" width="18" customWidth="1"/>
  </cols>
  <sheetData>
    <row r="1" spans="1:13" ht="32.1" customHeight="1">
      <c r="A1" s="71" t="s">
        <v>21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</row>
    <row r="2" spans="1:13" ht="32.1" customHeight="1">
      <c r="A2" s="73" t="s">
        <v>49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1:13" ht="21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</row>
    <row r="4" spans="1:13" ht="42" customHeight="1">
      <c r="A4" s="1" t="s">
        <v>40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43</v>
      </c>
      <c r="J4" s="2" t="s">
        <v>44</v>
      </c>
      <c r="K4" s="2" t="s">
        <v>57</v>
      </c>
      <c r="L4" s="3" t="s">
        <v>58</v>
      </c>
    </row>
    <row r="5" spans="1:13" ht="17.25">
      <c r="A5" s="31">
        <v>1</v>
      </c>
      <c r="B5" s="32">
        <v>1</v>
      </c>
      <c r="C5" s="16" t="s">
        <v>323</v>
      </c>
      <c r="D5" s="16" t="s">
        <v>323</v>
      </c>
      <c r="E5" s="17" t="s">
        <v>287</v>
      </c>
      <c r="F5" s="17" t="s">
        <v>288</v>
      </c>
      <c r="G5" s="17" t="s">
        <v>286</v>
      </c>
      <c r="H5" s="17" t="s">
        <v>289</v>
      </c>
      <c r="I5" s="18">
        <v>901</v>
      </c>
      <c r="J5" s="25" t="s">
        <v>320</v>
      </c>
      <c r="K5" s="37" t="str">
        <f>IF(I5="","",IFERROR(INDEX(کلاس‌بندی!$F$5:$F$34,MATCH(I5,کلاس‌بندی!$D$5:$D$34,0)),""))</f>
        <v>نهم</v>
      </c>
      <c r="L5" s="26" t="str">
        <f t="shared" ref="L5:L36" si="0">IF(COUNTA(C5:I5)=0,"",IF(AND(LEN(C5)=10,D5&lt;&gt;"",E5&lt;&gt;"",F5&lt;&gt;"",G5&lt;&gt;"",H5&lt;&gt;"",I5&lt;&gt;""),"کامل","ناقص"))</f>
        <v>کامل</v>
      </c>
    </row>
    <row r="6" spans="1:13" ht="17.25">
      <c r="A6" s="33">
        <v>2</v>
      </c>
      <c r="B6" s="34">
        <v>2</v>
      </c>
      <c r="C6" s="19" t="s">
        <v>324</v>
      </c>
      <c r="D6" s="19" t="s">
        <v>324</v>
      </c>
      <c r="E6" s="20" t="s">
        <v>231</v>
      </c>
      <c r="F6" s="20" t="s">
        <v>232</v>
      </c>
      <c r="G6" s="17" t="s">
        <v>286</v>
      </c>
      <c r="H6" s="20" t="s">
        <v>290</v>
      </c>
      <c r="I6" s="18">
        <v>901</v>
      </c>
      <c r="J6" s="25" t="s">
        <v>320</v>
      </c>
      <c r="K6" s="38" t="str">
        <f>IF(I6="","",IFERROR(INDEX(کلاس‌بندی!$F$5:$F$34,MATCH(I6,کلاس‌بندی!$D$5:$D$34,0)),""))</f>
        <v>نهم</v>
      </c>
      <c r="L6" s="28" t="str">
        <f t="shared" si="0"/>
        <v>کامل</v>
      </c>
      <c r="M6" s="70"/>
    </row>
    <row r="7" spans="1:13" ht="17.25">
      <c r="A7" s="33">
        <v>3</v>
      </c>
      <c r="B7" s="34">
        <v>3</v>
      </c>
      <c r="C7" s="19" t="s">
        <v>325</v>
      </c>
      <c r="D7" s="19" t="s">
        <v>325</v>
      </c>
      <c r="E7" s="20" t="s">
        <v>233</v>
      </c>
      <c r="F7" s="20" t="s">
        <v>234</v>
      </c>
      <c r="G7" s="17" t="s">
        <v>286</v>
      </c>
      <c r="H7" s="20" t="s">
        <v>291</v>
      </c>
      <c r="I7" s="18">
        <v>901</v>
      </c>
      <c r="J7" s="25" t="s">
        <v>320</v>
      </c>
      <c r="K7" s="38" t="str">
        <f>IF(I7="","",IFERROR(INDEX(کلاس‌بندی!$F$5:$F$34,MATCH(I7,کلاس‌بندی!$D$5:$D$34,0)),""))</f>
        <v>نهم</v>
      </c>
      <c r="L7" s="28" t="str">
        <f t="shared" si="0"/>
        <v>کامل</v>
      </c>
      <c r="M7" s="70"/>
    </row>
    <row r="8" spans="1:13" ht="17.25">
      <c r="A8" s="33">
        <v>4</v>
      </c>
      <c r="B8" s="34">
        <v>4</v>
      </c>
      <c r="C8" s="19" t="s">
        <v>326</v>
      </c>
      <c r="D8" s="19" t="s">
        <v>326</v>
      </c>
      <c r="E8" s="20" t="s">
        <v>235</v>
      </c>
      <c r="F8" s="20" t="s">
        <v>236</v>
      </c>
      <c r="G8" s="17" t="s">
        <v>286</v>
      </c>
      <c r="H8" s="20" t="s">
        <v>292</v>
      </c>
      <c r="I8" s="18">
        <v>901</v>
      </c>
      <c r="J8" s="25" t="s">
        <v>320</v>
      </c>
      <c r="K8" s="38" t="str">
        <f>IF(I8="","",IFERROR(INDEX(کلاس‌بندی!$F$5:$F$34,MATCH(I8,کلاس‌بندی!$D$5:$D$34,0)),""))</f>
        <v>نهم</v>
      </c>
      <c r="L8" s="28" t="str">
        <f t="shared" si="0"/>
        <v>کامل</v>
      </c>
      <c r="M8" s="70"/>
    </row>
    <row r="9" spans="1:13" ht="17.25">
      <c r="A9" s="33">
        <v>5</v>
      </c>
      <c r="B9" s="34">
        <v>5</v>
      </c>
      <c r="C9" s="19" t="s">
        <v>327</v>
      </c>
      <c r="D9" s="19" t="s">
        <v>327</v>
      </c>
      <c r="E9" s="20" t="s">
        <v>237</v>
      </c>
      <c r="F9" s="20" t="s">
        <v>238</v>
      </c>
      <c r="G9" s="17" t="s">
        <v>286</v>
      </c>
      <c r="H9" s="20" t="s">
        <v>293</v>
      </c>
      <c r="I9" s="18">
        <v>901</v>
      </c>
      <c r="J9" s="25" t="s">
        <v>320</v>
      </c>
      <c r="K9" s="38" t="str">
        <f>IF(I9="","",IFERROR(INDEX(کلاس‌بندی!$F$5:$F$34,MATCH(I9,کلاس‌بندی!$D$5:$D$34,0)),""))</f>
        <v>نهم</v>
      </c>
      <c r="L9" s="28" t="str">
        <f t="shared" si="0"/>
        <v>کامل</v>
      </c>
      <c r="M9" s="70"/>
    </row>
    <row r="10" spans="1:13" ht="17.25">
      <c r="A10" s="33">
        <v>6</v>
      </c>
      <c r="B10" s="34">
        <v>6</v>
      </c>
      <c r="C10" s="19" t="s">
        <v>328</v>
      </c>
      <c r="D10" s="19" t="s">
        <v>328</v>
      </c>
      <c r="E10" s="20" t="s">
        <v>239</v>
      </c>
      <c r="F10" s="20" t="s">
        <v>240</v>
      </c>
      <c r="G10" s="17" t="s">
        <v>286</v>
      </c>
      <c r="H10" s="20" t="s">
        <v>294</v>
      </c>
      <c r="I10" s="18">
        <v>901</v>
      </c>
      <c r="J10" s="25" t="s">
        <v>320</v>
      </c>
      <c r="K10" s="38" t="str">
        <f>IF(I10="","",IFERROR(INDEX(کلاس‌بندی!$F$5:$F$34,MATCH(I10,کلاس‌بندی!$D$5:$D$34,0)),""))</f>
        <v>نهم</v>
      </c>
      <c r="L10" s="28" t="str">
        <f t="shared" si="0"/>
        <v>کامل</v>
      </c>
      <c r="M10" s="70"/>
    </row>
    <row r="11" spans="1:13" ht="17.25">
      <c r="A11" s="33">
        <v>7</v>
      </c>
      <c r="B11" s="34">
        <v>7</v>
      </c>
      <c r="C11" s="19" t="s">
        <v>329</v>
      </c>
      <c r="D11" s="19" t="s">
        <v>329</v>
      </c>
      <c r="E11" s="20" t="s">
        <v>231</v>
      </c>
      <c r="F11" s="20" t="s">
        <v>241</v>
      </c>
      <c r="G11" s="17" t="s">
        <v>286</v>
      </c>
      <c r="H11" s="20" t="s">
        <v>295</v>
      </c>
      <c r="I11" s="18">
        <v>901</v>
      </c>
      <c r="J11" s="25" t="s">
        <v>320</v>
      </c>
      <c r="K11" s="38" t="str">
        <f>IF(I11="","",IFERROR(INDEX(کلاس‌بندی!$F$5:$F$34,MATCH(I11,کلاس‌بندی!$D$5:$D$34,0)),""))</f>
        <v>نهم</v>
      </c>
      <c r="L11" s="28" t="str">
        <f t="shared" si="0"/>
        <v>کامل</v>
      </c>
      <c r="M11" s="70"/>
    </row>
    <row r="12" spans="1:13" ht="17.25">
      <c r="A12" s="33">
        <v>8</v>
      </c>
      <c r="B12" s="34">
        <v>8</v>
      </c>
      <c r="C12" s="19" t="s">
        <v>330</v>
      </c>
      <c r="D12" s="19" t="s">
        <v>330</v>
      </c>
      <c r="E12" s="20" t="s">
        <v>242</v>
      </c>
      <c r="F12" s="20" t="s">
        <v>243</v>
      </c>
      <c r="G12" s="17" t="s">
        <v>286</v>
      </c>
      <c r="H12" s="20" t="s">
        <v>296</v>
      </c>
      <c r="I12" s="18">
        <v>901</v>
      </c>
      <c r="J12" s="25" t="s">
        <v>320</v>
      </c>
      <c r="K12" s="38" t="str">
        <f>IF(I12="","",IFERROR(INDEX(کلاس‌بندی!$F$5:$F$34,MATCH(I12,کلاس‌بندی!$D$5:$D$34,0)),""))</f>
        <v>نهم</v>
      </c>
      <c r="L12" s="28" t="str">
        <f t="shared" si="0"/>
        <v>کامل</v>
      </c>
      <c r="M12" s="70"/>
    </row>
    <row r="13" spans="1:13" ht="17.25">
      <c r="A13" s="33">
        <v>9</v>
      </c>
      <c r="B13" s="34">
        <v>9</v>
      </c>
      <c r="C13" s="19" t="s">
        <v>331</v>
      </c>
      <c r="D13" s="19" t="s">
        <v>331</v>
      </c>
      <c r="E13" s="20" t="s">
        <v>244</v>
      </c>
      <c r="F13" s="20" t="s">
        <v>245</v>
      </c>
      <c r="G13" s="17" t="s">
        <v>286</v>
      </c>
      <c r="H13" s="20" t="s">
        <v>297</v>
      </c>
      <c r="I13" s="18">
        <v>901</v>
      </c>
      <c r="J13" s="25" t="s">
        <v>320</v>
      </c>
      <c r="K13" s="38" t="str">
        <f>IF(I13="","",IFERROR(INDEX(کلاس‌بندی!$F$5:$F$34,MATCH(I13,کلاس‌بندی!$D$5:$D$34,0)),""))</f>
        <v>نهم</v>
      </c>
      <c r="L13" s="28" t="str">
        <f t="shared" si="0"/>
        <v>کامل</v>
      </c>
      <c r="M13" s="70"/>
    </row>
    <row r="14" spans="1:13" ht="17.25">
      <c r="A14" s="33">
        <v>10</v>
      </c>
      <c r="B14" s="34">
        <v>10</v>
      </c>
      <c r="C14" s="19" t="s">
        <v>332</v>
      </c>
      <c r="D14" s="19" t="s">
        <v>332</v>
      </c>
      <c r="E14" s="20" t="s">
        <v>246</v>
      </c>
      <c r="F14" s="20" t="s">
        <v>247</v>
      </c>
      <c r="G14" s="17" t="s">
        <v>286</v>
      </c>
      <c r="H14" s="20" t="s">
        <v>298</v>
      </c>
      <c r="I14" s="18">
        <v>901</v>
      </c>
      <c r="J14" s="25" t="s">
        <v>320</v>
      </c>
      <c r="K14" s="38" t="str">
        <f>IF(I14="","",IFERROR(INDEX(کلاس‌بندی!$F$5:$F$34,MATCH(I14,کلاس‌بندی!$D$5:$D$34,0)),""))</f>
        <v>نهم</v>
      </c>
      <c r="L14" s="28" t="str">
        <f t="shared" si="0"/>
        <v>کامل</v>
      </c>
      <c r="M14" s="70"/>
    </row>
    <row r="15" spans="1:13" ht="17.25">
      <c r="A15" s="33">
        <v>11</v>
      </c>
      <c r="B15" s="34">
        <v>11</v>
      </c>
      <c r="C15" s="19" t="s">
        <v>333</v>
      </c>
      <c r="D15" s="19" t="s">
        <v>333</v>
      </c>
      <c r="E15" s="20" t="s">
        <v>248</v>
      </c>
      <c r="F15" s="20" t="s">
        <v>249</v>
      </c>
      <c r="G15" s="17" t="s">
        <v>286</v>
      </c>
      <c r="H15" s="20" t="s">
        <v>299</v>
      </c>
      <c r="I15" s="18">
        <v>901</v>
      </c>
      <c r="J15" s="25" t="s">
        <v>320</v>
      </c>
      <c r="K15" s="38" t="str">
        <f>IF(I15="","",IFERROR(INDEX(کلاس‌بندی!$F$5:$F$34,MATCH(I15,کلاس‌بندی!$D$5:$D$34,0)),""))</f>
        <v>نهم</v>
      </c>
      <c r="L15" s="28" t="str">
        <f t="shared" si="0"/>
        <v>کامل</v>
      </c>
      <c r="M15" s="70"/>
    </row>
    <row r="16" spans="1:13" ht="17.25">
      <c r="A16" s="33">
        <v>12</v>
      </c>
      <c r="B16" s="34">
        <v>12</v>
      </c>
      <c r="C16" s="19" t="s">
        <v>334</v>
      </c>
      <c r="D16" s="19" t="s">
        <v>334</v>
      </c>
      <c r="E16" s="20" t="s">
        <v>250</v>
      </c>
      <c r="F16" s="20" t="s">
        <v>251</v>
      </c>
      <c r="G16" s="17" t="s">
        <v>286</v>
      </c>
      <c r="H16" s="20" t="s">
        <v>300</v>
      </c>
      <c r="I16" s="18">
        <v>901</v>
      </c>
      <c r="J16" s="25" t="s">
        <v>320</v>
      </c>
      <c r="K16" s="38" t="str">
        <f>IF(I16="","",IFERROR(INDEX(کلاس‌بندی!$F$5:$F$34,MATCH(I16,کلاس‌بندی!$D$5:$D$34,0)),""))</f>
        <v>نهم</v>
      </c>
      <c r="L16" s="28" t="str">
        <f t="shared" si="0"/>
        <v>کامل</v>
      </c>
      <c r="M16" s="70"/>
    </row>
    <row r="17" spans="1:13" ht="17.25">
      <c r="A17" s="33">
        <v>13</v>
      </c>
      <c r="B17" s="34">
        <v>13</v>
      </c>
      <c r="C17" s="19" t="s">
        <v>335</v>
      </c>
      <c r="D17" s="19" t="s">
        <v>335</v>
      </c>
      <c r="E17" s="20" t="s">
        <v>252</v>
      </c>
      <c r="F17" s="20" t="s">
        <v>253</v>
      </c>
      <c r="G17" s="17" t="s">
        <v>286</v>
      </c>
      <c r="H17" s="20" t="s">
        <v>301</v>
      </c>
      <c r="I17" s="18">
        <v>901</v>
      </c>
      <c r="J17" s="25" t="s">
        <v>320</v>
      </c>
      <c r="K17" s="38" t="str">
        <f>IF(I17="","",IFERROR(INDEX(کلاس‌بندی!$F$5:$F$34,MATCH(I17,کلاس‌بندی!$D$5:$D$34,0)),""))</f>
        <v>نهم</v>
      </c>
      <c r="L17" s="28" t="str">
        <f t="shared" si="0"/>
        <v>کامل</v>
      </c>
      <c r="M17" s="70"/>
    </row>
    <row r="18" spans="1:13" ht="17.25">
      <c r="A18" s="33">
        <v>14</v>
      </c>
      <c r="B18" s="34">
        <v>14</v>
      </c>
      <c r="C18" s="19" t="s">
        <v>336</v>
      </c>
      <c r="D18" s="19" t="s">
        <v>336</v>
      </c>
      <c r="E18" s="20" t="s">
        <v>254</v>
      </c>
      <c r="F18" s="20" t="s">
        <v>255</v>
      </c>
      <c r="G18" s="17" t="s">
        <v>286</v>
      </c>
      <c r="H18" s="20" t="s">
        <v>302</v>
      </c>
      <c r="I18" s="18">
        <v>901</v>
      </c>
      <c r="J18" s="25" t="s">
        <v>320</v>
      </c>
      <c r="K18" s="38" t="str">
        <f>IF(I18="","",IFERROR(INDEX(کلاس‌بندی!$F$5:$F$34,MATCH(I18,کلاس‌بندی!$D$5:$D$34,0)),""))</f>
        <v>نهم</v>
      </c>
      <c r="L18" s="28" t="str">
        <f t="shared" si="0"/>
        <v>کامل</v>
      </c>
      <c r="M18" s="70"/>
    </row>
    <row r="19" spans="1:13" ht="17.25">
      <c r="A19" s="33">
        <v>15</v>
      </c>
      <c r="B19" s="34">
        <v>15</v>
      </c>
      <c r="C19" s="19" t="s">
        <v>337</v>
      </c>
      <c r="D19" s="19" t="s">
        <v>337</v>
      </c>
      <c r="E19" s="20" t="s">
        <v>231</v>
      </c>
      <c r="F19" s="20" t="s">
        <v>256</v>
      </c>
      <c r="G19" s="17" t="s">
        <v>286</v>
      </c>
      <c r="H19" s="20" t="s">
        <v>303</v>
      </c>
      <c r="I19" s="18">
        <v>901</v>
      </c>
      <c r="J19" s="25" t="s">
        <v>320</v>
      </c>
      <c r="K19" s="38" t="str">
        <f>IF(I19="","",IFERROR(INDEX(کلاس‌بندی!$F$5:$F$34,MATCH(I19,کلاس‌بندی!$D$5:$D$34,0)),""))</f>
        <v>نهم</v>
      </c>
      <c r="L19" s="28" t="str">
        <f t="shared" si="0"/>
        <v>کامل</v>
      </c>
      <c r="M19" s="70"/>
    </row>
    <row r="20" spans="1:13" ht="17.25">
      <c r="A20" s="33">
        <v>16</v>
      </c>
      <c r="B20" s="34">
        <v>16</v>
      </c>
      <c r="C20" s="19" t="s">
        <v>338</v>
      </c>
      <c r="D20" s="19" t="s">
        <v>338</v>
      </c>
      <c r="E20" s="20" t="s">
        <v>257</v>
      </c>
      <c r="F20" s="20" t="s">
        <v>258</v>
      </c>
      <c r="G20" s="17" t="s">
        <v>286</v>
      </c>
      <c r="H20" s="20" t="s">
        <v>304</v>
      </c>
      <c r="I20" s="18">
        <v>901</v>
      </c>
      <c r="J20" s="25" t="s">
        <v>320</v>
      </c>
      <c r="K20" s="38" t="str">
        <f>IF(I20="","",IFERROR(INDEX(کلاس‌بندی!$F$5:$F$34,MATCH(I20,کلاس‌بندی!$D$5:$D$34,0)),""))</f>
        <v>نهم</v>
      </c>
      <c r="L20" s="28" t="str">
        <f t="shared" si="0"/>
        <v>کامل</v>
      </c>
      <c r="M20" s="70"/>
    </row>
    <row r="21" spans="1:13" ht="17.25">
      <c r="A21" s="33">
        <v>17</v>
      </c>
      <c r="B21" s="34">
        <v>17</v>
      </c>
      <c r="C21" s="19" t="s">
        <v>339</v>
      </c>
      <c r="D21" s="19" t="s">
        <v>339</v>
      </c>
      <c r="E21" s="20" t="s">
        <v>231</v>
      </c>
      <c r="F21" s="20" t="s">
        <v>259</v>
      </c>
      <c r="G21" s="17" t="s">
        <v>286</v>
      </c>
      <c r="H21" s="20" t="s">
        <v>304</v>
      </c>
      <c r="I21" s="18">
        <v>901</v>
      </c>
      <c r="J21" s="25" t="s">
        <v>320</v>
      </c>
      <c r="K21" s="38" t="str">
        <f>IF(I21="","",IFERROR(INDEX(کلاس‌بندی!$F$5:$F$34,MATCH(I21,کلاس‌بندی!$D$5:$D$34,0)),""))</f>
        <v>نهم</v>
      </c>
      <c r="L21" s="28" t="str">
        <f t="shared" si="0"/>
        <v>کامل</v>
      </c>
      <c r="M21" s="70"/>
    </row>
    <row r="22" spans="1:13" ht="17.25">
      <c r="A22" s="33">
        <v>18</v>
      </c>
      <c r="B22" s="34">
        <v>18</v>
      </c>
      <c r="C22" s="19" t="s">
        <v>340</v>
      </c>
      <c r="D22" s="19" t="s">
        <v>340</v>
      </c>
      <c r="E22" s="20" t="s">
        <v>260</v>
      </c>
      <c r="F22" s="20" t="s">
        <v>261</v>
      </c>
      <c r="G22" s="17" t="s">
        <v>286</v>
      </c>
      <c r="H22" s="20" t="s">
        <v>305</v>
      </c>
      <c r="I22" s="18">
        <v>901</v>
      </c>
      <c r="J22" s="25" t="s">
        <v>320</v>
      </c>
      <c r="K22" s="38" t="str">
        <f>IF(I22="","",IFERROR(INDEX(کلاس‌بندی!$F$5:$F$34,MATCH(I22,کلاس‌بندی!$D$5:$D$34,0)),""))</f>
        <v>نهم</v>
      </c>
      <c r="L22" s="28" t="str">
        <f t="shared" si="0"/>
        <v>کامل</v>
      </c>
      <c r="M22" s="70"/>
    </row>
    <row r="23" spans="1:13" ht="17.25">
      <c r="A23" s="33">
        <v>19</v>
      </c>
      <c r="B23" s="34">
        <v>19</v>
      </c>
      <c r="C23" s="19" t="s">
        <v>341</v>
      </c>
      <c r="D23" s="19" t="s">
        <v>341</v>
      </c>
      <c r="E23" s="20" t="s">
        <v>262</v>
      </c>
      <c r="F23" s="20" t="s">
        <v>263</v>
      </c>
      <c r="G23" s="17" t="s">
        <v>286</v>
      </c>
      <c r="H23" s="20" t="s">
        <v>306</v>
      </c>
      <c r="I23" s="18">
        <v>901</v>
      </c>
      <c r="J23" s="25" t="s">
        <v>320</v>
      </c>
      <c r="K23" s="38" t="str">
        <f>IF(I23="","",IFERROR(INDEX(کلاس‌بندی!$F$5:$F$34,MATCH(I23,کلاس‌بندی!$D$5:$D$34,0)),""))</f>
        <v>نهم</v>
      </c>
      <c r="L23" s="28" t="str">
        <f t="shared" si="0"/>
        <v>کامل</v>
      </c>
      <c r="M23" s="70"/>
    </row>
    <row r="24" spans="1:13" ht="17.25">
      <c r="A24" s="33">
        <v>20</v>
      </c>
      <c r="B24" s="34">
        <v>20</v>
      </c>
      <c r="C24" s="19" t="s">
        <v>342</v>
      </c>
      <c r="D24" s="19" t="s">
        <v>342</v>
      </c>
      <c r="E24" s="20" t="s">
        <v>250</v>
      </c>
      <c r="F24" s="20" t="s">
        <v>264</v>
      </c>
      <c r="G24" s="17" t="s">
        <v>286</v>
      </c>
      <c r="H24" s="20" t="s">
        <v>307</v>
      </c>
      <c r="I24" s="18">
        <v>901</v>
      </c>
      <c r="J24" s="25" t="s">
        <v>320</v>
      </c>
      <c r="K24" s="38" t="str">
        <f>IF(I24="","",IFERROR(INDEX(کلاس‌بندی!$F$5:$F$34,MATCH(I24,کلاس‌بندی!$D$5:$D$34,0)),""))</f>
        <v>نهم</v>
      </c>
      <c r="L24" s="28" t="str">
        <f t="shared" si="0"/>
        <v>کامل</v>
      </c>
      <c r="M24" s="70"/>
    </row>
    <row r="25" spans="1:13" ht="17.25">
      <c r="A25" s="33">
        <v>21</v>
      </c>
      <c r="B25" s="34">
        <v>21</v>
      </c>
      <c r="C25" s="19" t="s">
        <v>343</v>
      </c>
      <c r="D25" s="19" t="s">
        <v>343</v>
      </c>
      <c r="E25" s="20" t="s">
        <v>265</v>
      </c>
      <c r="F25" s="20" t="s">
        <v>266</v>
      </c>
      <c r="G25" s="17" t="s">
        <v>286</v>
      </c>
      <c r="H25" s="20" t="s">
        <v>308</v>
      </c>
      <c r="I25" s="18">
        <v>901</v>
      </c>
      <c r="J25" s="25" t="s">
        <v>320</v>
      </c>
      <c r="K25" s="38" t="str">
        <f>IF(I25="","",IFERROR(INDEX(کلاس‌بندی!$F$5:$F$34,MATCH(I25,کلاس‌بندی!$D$5:$D$34,0)),""))</f>
        <v>نهم</v>
      </c>
      <c r="L25" s="28" t="str">
        <f t="shared" si="0"/>
        <v>کامل</v>
      </c>
      <c r="M25" s="70"/>
    </row>
    <row r="26" spans="1:13" ht="17.25">
      <c r="A26" s="33">
        <v>22</v>
      </c>
      <c r="B26" s="34">
        <v>22</v>
      </c>
      <c r="C26" s="19" t="s">
        <v>344</v>
      </c>
      <c r="D26" s="19" t="s">
        <v>344</v>
      </c>
      <c r="E26" s="20" t="s">
        <v>231</v>
      </c>
      <c r="F26" s="20" t="s">
        <v>267</v>
      </c>
      <c r="G26" s="17" t="s">
        <v>286</v>
      </c>
      <c r="H26" s="20" t="s">
        <v>309</v>
      </c>
      <c r="I26" s="18">
        <v>901</v>
      </c>
      <c r="J26" s="25" t="s">
        <v>320</v>
      </c>
      <c r="K26" s="38" t="str">
        <f>IF(I26="","",IFERROR(INDEX(کلاس‌بندی!$F$5:$F$34,MATCH(I26,کلاس‌بندی!$D$5:$D$34,0)),""))</f>
        <v>نهم</v>
      </c>
      <c r="L26" s="28" t="str">
        <f t="shared" si="0"/>
        <v>کامل</v>
      </c>
      <c r="M26" s="70"/>
    </row>
    <row r="27" spans="1:13" ht="17.25">
      <c r="A27" s="33">
        <v>23</v>
      </c>
      <c r="B27" s="34">
        <v>23</v>
      </c>
      <c r="C27" s="19" t="s">
        <v>345</v>
      </c>
      <c r="D27" s="19" t="s">
        <v>345</v>
      </c>
      <c r="E27" s="20" t="s">
        <v>268</v>
      </c>
      <c r="F27" s="20" t="s">
        <v>269</v>
      </c>
      <c r="G27" s="17" t="s">
        <v>286</v>
      </c>
      <c r="H27" s="20" t="s">
        <v>310</v>
      </c>
      <c r="I27" s="18">
        <v>901</v>
      </c>
      <c r="J27" s="25" t="s">
        <v>320</v>
      </c>
      <c r="K27" s="38" t="str">
        <f>IF(I27="","",IFERROR(INDEX(کلاس‌بندی!$F$5:$F$34,MATCH(I27,کلاس‌بندی!$D$5:$D$34,0)),""))</f>
        <v>نهم</v>
      </c>
      <c r="L27" s="28" t="str">
        <f t="shared" si="0"/>
        <v>کامل</v>
      </c>
      <c r="M27" s="70"/>
    </row>
    <row r="28" spans="1:13" ht="17.25">
      <c r="A28" s="33">
        <v>24</v>
      </c>
      <c r="B28" s="34">
        <v>24</v>
      </c>
      <c r="C28" s="19" t="s">
        <v>346</v>
      </c>
      <c r="D28" s="19" t="s">
        <v>346</v>
      </c>
      <c r="E28" s="20" t="s">
        <v>252</v>
      </c>
      <c r="F28" s="20" t="s">
        <v>270</v>
      </c>
      <c r="G28" s="17" t="s">
        <v>286</v>
      </c>
      <c r="H28" s="20" t="s">
        <v>311</v>
      </c>
      <c r="I28" s="18">
        <v>901</v>
      </c>
      <c r="J28" s="25" t="s">
        <v>320</v>
      </c>
      <c r="K28" s="38" t="str">
        <f>IF(I28="","",IFERROR(INDEX(کلاس‌بندی!$F$5:$F$34,MATCH(I28,کلاس‌بندی!$D$5:$D$34,0)),""))</f>
        <v>نهم</v>
      </c>
      <c r="L28" s="28" t="str">
        <f t="shared" si="0"/>
        <v>کامل</v>
      </c>
      <c r="M28" s="70"/>
    </row>
    <row r="29" spans="1:13" ht="17.25">
      <c r="A29" s="33">
        <v>25</v>
      </c>
      <c r="B29" s="34">
        <v>25</v>
      </c>
      <c r="C29" s="19" t="s">
        <v>347</v>
      </c>
      <c r="D29" s="19" t="s">
        <v>347</v>
      </c>
      <c r="E29" s="20" t="s">
        <v>271</v>
      </c>
      <c r="F29" s="20" t="s">
        <v>272</v>
      </c>
      <c r="G29" s="17" t="s">
        <v>286</v>
      </c>
      <c r="H29" s="20" t="s">
        <v>312</v>
      </c>
      <c r="I29" s="18">
        <v>901</v>
      </c>
      <c r="J29" s="25" t="s">
        <v>320</v>
      </c>
      <c r="K29" s="38" t="str">
        <f>IF(I29="","",IFERROR(INDEX(کلاس‌بندی!$F$5:$F$34,MATCH(I29,کلاس‌بندی!$D$5:$D$34,0)),""))</f>
        <v>نهم</v>
      </c>
      <c r="L29" s="28" t="str">
        <f t="shared" si="0"/>
        <v>کامل</v>
      </c>
      <c r="M29" s="70"/>
    </row>
    <row r="30" spans="1:13" ht="17.25">
      <c r="A30" s="33">
        <v>26</v>
      </c>
      <c r="B30" s="34">
        <v>26</v>
      </c>
      <c r="C30" s="19" t="s">
        <v>348</v>
      </c>
      <c r="D30" s="19" t="s">
        <v>348</v>
      </c>
      <c r="E30" s="20" t="s">
        <v>273</v>
      </c>
      <c r="F30" s="20" t="s">
        <v>274</v>
      </c>
      <c r="G30" s="17" t="s">
        <v>286</v>
      </c>
      <c r="H30" s="20" t="s">
        <v>313</v>
      </c>
      <c r="I30" s="18">
        <v>901</v>
      </c>
      <c r="J30" s="25" t="s">
        <v>320</v>
      </c>
      <c r="K30" s="38" t="str">
        <f>IF(I30="","",IFERROR(INDEX(کلاس‌بندی!$F$5:$F$34,MATCH(I30,کلاس‌بندی!$D$5:$D$34,0)),""))</f>
        <v>نهم</v>
      </c>
      <c r="L30" s="28" t="str">
        <f t="shared" si="0"/>
        <v>کامل</v>
      </c>
      <c r="M30" s="70"/>
    </row>
    <row r="31" spans="1:13" ht="17.25">
      <c r="A31" s="33">
        <v>27</v>
      </c>
      <c r="B31" s="34">
        <v>27</v>
      </c>
      <c r="C31" s="19" t="s">
        <v>349</v>
      </c>
      <c r="D31" s="19" t="s">
        <v>349</v>
      </c>
      <c r="E31" s="20" t="s">
        <v>275</v>
      </c>
      <c r="F31" s="20" t="s">
        <v>276</v>
      </c>
      <c r="G31" s="17" t="s">
        <v>286</v>
      </c>
      <c r="H31" s="20" t="s">
        <v>314</v>
      </c>
      <c r="I31" s="18">
        <v>901</v>
      </c>
      <c r="J31" s="25" t="s">
        <v>320</v>
      </c>
      <c r="K31" s="38" t="str">
        <f>IF(I31="","",IFERROR(INDEX(کلاس‌بندی!$F$5:$F$34,MATCH(I31,کلاس‌بندی!$D$5:$D$34,0)),""))</f>
        <v>نهم</v>
      </c>
      <c r="L31" s="28" t="str">
        <f t="shared" si="0"/>
        <v>کامل</v>
      </c>
      <c r="M31" s="70"/>
    </row>
    <row r="32" spans="1:13" ht="17.25">
      <c r="A32" s="33">
        <v>28</v>
      </c>
      <c r="B32" s="34">
        <v>28</v>
      </c>
      <c r="C32" s="19" t="s">
        <v>350</v>
      </c>
      <c r="D32" s="19" t="s">
        <v>350</v>
      </c>
      <c r="E32" s="20" t="s">
        <v>277</v>
      </c>
      <c r="F32" s="20" t="s">
        <v>278</v>
      </c>
      <c r="G32" s="17" t="s">
        <v>286</v>
      </c>
      <c r="H32" s="20" t="s">
        <v>315</v>
      </c>
      <c r="I32" s="18">
        <v>901</v>
      </c>
      <c r="J32" s="25" t="s">
        <v>320</v>
      </c>
      <c r="K32" s="38" t="str">
        <f>IF(I32="","",IFERROR(INDEX(کلاس‌بندی!$F$5:$F$34,MATCH(I32,کلاس‌بندی!$D$5:$D$34,0)),""))</f>
        <v>نهم</v>
      </c>
      <c r="L32" s="28" t="str">
        <f t="shared" si="0"/>
        <v>کامل</v>
      </c>
      <c r="M32" s="70"/>
    </row>
    <row r="33" spans="1:13" ht="17.25">
      <c r="A33" s="33">
        <v>29</v>
      </c>
      <c r="B33" s="34">
        <v>29</v>
      </c>
      <c r="C33" s="19" t="s">
        <v>351</v>
      </c>
      <c r="D33" s="19" t="s">
        <v>351</v>
      </c>
      <c r="E33" s="20" t="s">
        <v>279</v>
      </c>
      <c r="F33" s="20" t="s">
        <v>280</v>
      </c>
      <c r="G33" s="17" t="s">
        <v>286</v>
      </c>
      <c r="H33" s="20" t="s">
        <v>316</v>
      </c>
      <c r="I33" s="18">
        <v>901</v>
      </c>
      <c r="J33" s="25" t="s">
        <v>320</v>
      </c>
      <c r="K33" s="38" t="str">
        <f>IF(I33="","",IFERROR(INDEX(کلاس‌بندی!$F$5:$F$34,MATCH(I33,کلاس‌بندی!$D$5:$D$34,0)),""))</f>
        <v>نهم</v>
      </c>
      <c r="L33" s="28" t="str">
        <f t="shared" si="0"/>
        <v>کامل</v>
      </c>
      <c r="M33" s="70"/>
    </row>
    <row r="34" spans="1:13" ht="17.25">
      <c r="A34" s="33">
        <v>30</v>
      </c>
      <c r="B34" s="34">
        <v>30</v>
      </c>
      <c r="C34" s="19" t="s">
        <v>352</v>
      </c>
      <c r="D34" s="19" t="s">
        <v>352</v>
      </c>
      <c r="E34" s="20" t="s">
        <v>281</v>
      </c>
      <c r="F34" s="20" t="s">
        <v>282</v>
      </c>
      <c r="G34" s="17" t="s">
        <v>286</v>
      </c>
      <c r="H34" s="20" t="s">
        <v>317</v>
      </c>
      <c r="I34" s="18">
        <v>901</v>
      </c>
      <c r="J34" s="25" t="s">
        <v>320</v>
      </c>
      <c r="K34" s="38" t="str">
        <f>IF(I34="","",IFERROR(INDEX(کلاس‌بندی!$F$5:$F$34,MATCH(I34,کلاس‌بندی!$D$5:$D$34,0)),""))</f>
        <v>نهم</v>
      </c>
      <c r="L34" s="28" t="str">
        <f t="shared" si="0"/>
        <v>کامل</v>
      </c>
      <c r="M34" s="70"/>
    </row>
    <row r="35" spans="1:13" ht="17.25">
      <c r="A35" s="33">
        <v>31</v>
      </c>
      <c r="B35" s="34">
        <v>31</v>
      </c>
      <c r="C35" s="19">
        <v>2285780362</v>
      </c>
      <c r="D35" s="19">
        <v>2285780362</v>
      </c>
      <c r="E35" s="20" t="s">
        <v>283</v>
      </c>
      <c r="F35" s="20" t="s">
        <v>284</v>
      </c>
      <c r="G35" s="17" t="s">
        <v>286</v>
      </c>
      <c r="H35" s="20" t="s">
        <v>318</v>
      </c>
      <c r="I35" s="18">
        <v>901</v>
      </c>
      <c r="J35" s="25" t="s">
        <v>320</v>
      </c>
      <c r="K35" s="38" t="str">
        <f>IF(I35="","",IFERROR(INDEX(کلاس‌بندی!$F$5:$F$34,MATCH(I35,کلاس‌بندی!$D$5:$D$34,0)),""))</f>
        <v>نهم</v>
      </c>
      <c r="L35" s="28" t="str">
        <f t="shared" si="0"/>
        <v>کامل</v>
      </c>
      <c r="M35" s="70"/>
    </row>
    <row r="36" spans="1:13" ht="17.25">
      <c r="A36" s="33">
        <v>32</v>
      </c>
      <c r="B36" s="34">
        <v>32</v>
      </c>
      <c r="C36" s="19" t="s">
        <v>353</v>
      </c>
      <c r="D36" s="19" t="s">
        <v>353</v>
      </c>
      <c r="E36" s="20" t="s">
        <v>277</v>
      </c>
      <c r="F36" s="20" t="s">
        <v>285</v>
      </c>
      <c r="G36" s="17" t="s">
        <v>286</v>
      </c>
      <c r="H36" s="20" t="s">
        <v>319</v>
      </c>
      <c r="I36" s="18">
        <v>901</v>
      </c>
      <c r="J36" s="25" t="s">
        <v>320</v>
      </c>
      <c r="K36" s="38" t="str">
        <f>IF(I36="","",IFERROR(INDEX(کلاس‌بندی!$F$5:$F$34,MATCH(I36,کلاس‌بندی!$D$5:$D$34,0)),""))</f>
        <v>نهم</v>
      </c>
      <c r="L36" s="28" t="str">
        <f t="shared" si="0"/>
        <v>کامل</v>
      </c>
      <c r="M36" s="70"/>
    </row>
    <row r="37" spans="1:13" ht="17.25">
      <c r="A37" s="33">
        <v>33</v>
      </c>
      <c r="B37" s="34">
        <v>33</v>
      </c>
      <c r="C37" s="19"/>
      <c r="D37" s="20"/>
      <c r="E37" s="20"/>
      <c r="F37" s="20"/>
      <c r="G37" s="20"/>
      <c r="H37" s="20"/>
      <c r="I37" s="21"/>
      <c r="J37" s="27" t="str">
        <f>IF(I37="","",IFERROR(INDEX(کلاس‌بندی!$E$5:$E$34,MATCH(I37,کلاس‌بندی!$D$5:$D$34,0)),"کد کلاس نامعتبر"))</f>
        <v/>
      </c>
      <c r="K37" s="38" t="str">
        <f>IF(I37="","",IFERROR(INDEX(کلاس‌بندی!$F$5:$F$34,MATCH(I37,کلاس‌بندی!$D$5:$D$34,0)),""))</f>
        <v/>
      </c>
      <c r="L37" s="28" t="str">
        <f t="shared" ref="L37:L68" si="1">IF(COUNTA(C37:I37)=0,"",IF(AND(LEN(C37)=10,D37&lt;&gt;"",E37&lt;&gt;"",F37&lt;&gt;"",G37&lt;&gt;"",H37&lt;&gt;"",I37&lt;&gt;""),"کامل","ناقص"))</f>
        <v/>
      </c>
    </row>
    <row r="38" spans="1:13" ht="17.25">
      <c r="A38" s="33">
        <v>34</v>
      </c>
      <c r="B38" s="34">
        <v>34</v>
      </c>
      <c r="C38" s="19"/>
      <c r="D38" s="20"/>
      <c r="E38" s="20"/>
      <c r="F38" s="20"/>
      <c r="G38" s="20"/>
      <c r="H38" s="20"/>
      <c r="I38" s="21"/>
      <c r="J38" s="27" t="str">
        <f>IF(I38="","",IFERROR(INDEX(کلاس‌بندی!$E$5:$E$34,MATCH(I38,کلاس‌بندی!$D$5:$D$34,0)),"کد کلاس نامعتبر"))</f>
        <v/>
      </c>
      <c r="K38" s="38" t="str">
        <f>IF(I38="","",IFERROR(INDEX(کلاس‌بندی!$F$5:$F$34,MATCH(I38,کلاس‌بندی!$D$5:$D$34,0)),""))</f>
        <v/>
      </c>
      <c r="L38" s="28" t="str">
        <f t="shared" si="1"/>
        <v/>
      </c>
    </row>
    <row r="39" spans="1:13" ht="17.25">
      <c r="A39" s="33">
        <v>35</v>
      </c>
      <c r="B39" s="34">
        <v>35</v>
      </c>
      <c r="C39" s="19"/>
      <c r="D39" s="20"/>
      <c r="E39" s="20"/>
      <c r="F39" s="20"/>
      <c r="G39" s="20"/>
      <c r="H39" s="20"/>
      <c r="I39" s="21"/>
      <c r="J39" s="27" t="str">
        <f>IF(I39="","",IFERROR(INDEX(کلاس‌بندی!$E$5:$E$34,MATCH(I39,کلاس‌بندی!$D$5:$D$34,0)),"کد کلاس نامعتبر"))</f>
        <v/>
      </c>
      <c r="K39" s="38" t="str">
        <f>IF(I39="","",IFERROR(INDEX(کلاس‌بندی!$F$5:$F$34,MATCH(I39,کلاس‌بندی!$D$5:$D$34,0)),""))</f>
        <v/>
      </c>
      <c r="L39" s="28" t="str">
        <f t="shared" si="1"/>
        <v/>
      </c>
    </row>
    <row r="40" spans="1:13" ht="17.25">
      <c r="A40" s="33">
        <v>36</v>
      </c>
      <c r="B40" s="34">
        <v>36</v>
      </c>
      <c r="C40" s="19"/>
      <c r="D40" s="20"/>
      <c r="E40" s="20"/>
      <c r="F40" s="20"/>
      <c r="G40" s="20"/>
      <c r="H40" s="20"/>
      <c r="I40" s="21"/>
      <c r="J40" s="27" t="str">
        <f>IF(I40="","",IFERROR(INDEX(کلاس‌بندی!$E$5:$E$34,MATCH(I40,کلاس‌بندی!$D$5:$D$34,0)),"کد کلاس نامعتبر"))</f>
        <v/>
      </c>
      <c r="K40" s="38" t="str">
        <f>IF(I40="","",IFERROR(INDEX(کلاس‌بندی!$F$5:$F$34,MATCH(I40,کلاس‌بندی!$D$5:$D$34,0)),""))</f>
        <v/>
      </c>
      <c r="L40" s="28" t="str">
        <f t="shared" si="1"/>
        <v/>
      </c>
    </row>
    <row r="41" spans="1:13" ht="17.25">
      <c r="A41" s="33">
        <v>37</v>
      </c>
      <c r="B41" s="34">
        <v>37</v>
      </c>
      <c r="C41" s="19"/>
      <c r="D41" s="20"/>
      <c r="E41" s="20"/>
      <c r="F41" s="20"/>
      <c r="G41" s="20"/>
      <c r="H41" s="20"/>
      <c r="I41" s="21"/>
      <c r="J41" s="27" t="str">
        <f>IF(I41="","",IFERROR(INDEX(کلاس‌بندی!$E$5:$E$34,MATCH(I41,کلاس‌بندی!$D$5:$D$34,0)),"کد کلاس نامعتبر"))</f>
        <v/>
      </c>
      <c r="K41" s="38" t="str">
        <f>IF(I41="","",IFERROR(INDEX(کلاس‌بندی!$F$5:$F$34,MATCH(I41,کلاس‌بندی!$D$5:$D$34,0)),""))</f>
        <v/>
      </c>
      <c r="L41" s="28" t="str">
        <f t="shared" si="1"/>
        <v/>
      </c>
    </row>
    <row r="42" spans="1:13" ht="17.25">
      <c r="A42" s="33">
        <v>38</v>
      </c>
      <c r="B42" s="34">
        <v>38</v>
      </c>
      <c r="C42" s="19"/>
      <c r="D42" s="20"/>
      <c r="E42" s="20"/>
      <c r="F42" s="20"/>
      <c r="G42" s="20"/>
      <c r="H42" s="20"/>
      <c r="I42" s="21"/>
      <c r="J42" s="27" t="str">
        <f>IF(I42="","",IFERROR(INDEX(کلاس‌بندی!$E$5:$E$34,MATCH(I42,کلاس‌بندی!$D$5:$D$34,0)),"کد کلاس نامعتبر"))</f>
        <v/>
      </c>
      <c r="K42" s="38" t="str">
        <f>IF(I42="","",IFERROR(INDEX(کلاس‌بندی!$F$5:$F$34,MATCH(I42,کلاس‌بندی!$D$5:$D$34,0)),""))</f>
        <v/>
      </c>
      <c r="L42" s="28" t="str">
        <f t="shared" si="1"/>
        <v/>
      </c>
    </row>
    <row r="43" spans="1:13" ht="17.25">
      <c r="A43" s="33">
        <v>39</v>
      </c>
      <c r="B43" s="34">
        <v>39</v>
      </c>
      <c r="C43" s="19"/>
      <c r="D43" s="20"/>
      <c r="E43" s="20"/>
      <c r="F43" s="20"/>
      <c r="G43" s="20"/>
      <c r="H43" s="20"/>
      <c r="I43" s="21"/>
      <c r="J43" s="27" t="str">
        <f>IF(I43="","",IFERROR(INDEX(کلاس‌بندی!$E$5:$E$34,MATCH(I43,کلاس‌بندی!$D$5:$D$34,0)),"کد کلاس نامعتبر"))</f>
        <v/>
      </c>
      <c r="K43" s="38" t="str">
        <f>IF(I43="","",IFERROR(INDEX(کلاس‌بندی!$F$5:$F$34,MATCH(I43,کلاس‌بندی!$D$5:$D$34,0)),""))</f>
        <v/>
      </c>
      <c r="L43" s="28" t="str">
        <f t="shared" si="1"/>
        <v/>
      </c>
    </row>
    <row r="44" spans="1:13" ht="17.25">
      <c r="A44" s="33">
        <v>40</v>
      </c>
      <c r="B44" s="34">
        <v>40</v>
      </c>
      <c r="C44" s="19"/>
      <c r="D44" s="20"/>
      <c r="E44" s="20"/>
      <c r="F44" s="20"/>
      <c r="G44" s="20"/>
      <c r="H44" s="20"/>
      <c r="I44" s="21"/>
      <c r="J44" s="27" t="str">
        <f>IF(I44="","",IFERROR(INDEX(کلاس‌بندی!$E$5:$E$34,MATCH(I44,کلاس‌بندی!$D$5:$D$34,0)),"کد کلاس نامعتبر"))</f>
        <v/>
      </c>
      <c r="K44" s="38" t="str">
        <f>IF(I44="","",IFERROR(INDEX(کلاس‌بندی!$F$5:$F$34,MATCH(I44,کلاس‌بندی!$D$5:$D$34,0)),""))</f>
        <v/>
      </c>
      <c r="L44" s="28" t="str">
        <f t="shared" si="1"/>
        <v/>
      </c>
    </row>
    <row r="45" spans="1:13" ht="17.25">
      <c r="A45" s="33">
        <v>41</v>
      </c>
      <c r="B45" s="34">
        <v>41</v>
      </c>
      <c r="C45" s="19"/>
      <c r="D45" s="20"/>
      <c r="E45" s="20"/>
      <c r="F45" s="20"/>
      <c r="G45" s="20"/>
      <c r="H45" s="20"/>
      <c r="I45" s="21"/>
      <c r="J45" s="27" t="str">
        <f>IF(I45="","",IFERROR(INDEX(کلاس‌بندی!$E$5:$E$34,MATCH(I45,کلاس‌بندی!$D$5:$D$34,0)),"کد کلاس نامعتبر"))</f>
        <v/>
      </c>
      <c r="K45" s="38" t="str">
        <f>IF(I45="","",IFERROR(INDEX(کلاس‌بندی!$F$5:$F$34,MATCH(I45,کلاس‌بندی!$D$5:$D$34,0)),""))</f>
        <v/>
      </c>
      <c r="L45" s="28" t="str">
        <f t="shared" si="1"/>
        <v/>
      </c>
    </row>
    <row r="46" spans="1:13" ht="17.25">
      <c r="A46" s="33">
        <v>42</v>
      </c>
      <c r="B46" s="34">
        <v>42</v>
      </c>
      <c r="C46" s="19"/>
      <c r="D46" s="20"/>
      <c r="E46" s="20"/>
      <c r="F46" s="20"/>
      <c r="G46" s="20"/>
      <c r="H46" s="20"/>
      <c r="I46" s="21"/>
      <c r="J46" s="27" t="str">
        <f>IF(I46="","",IFERROR(INDEX(کلاس‌بندی!$E$5:$E$34,MATCH(I46,کلاس‌بندی!$D$5:$D$34,0)),"کد کلاس نامعتبر"))</f>
        <v/>
      </c>
      <c r="K46" s="38" t="str">
        <f>IF(I46="","",IFERROR(INDEX(کلاس‌بندی!$F$5:$F$34,MATCH(I46,کلاس‌بندی!$D$5:$D$34,0)),""))</f>
        <v/>
      </c>
      <c r="L46" s="28" t="str">
        <f t="shared" si="1"/>
        <v/>
      </c>
    </row>
    <row r="47" spans="1:13" ht="17.25">
      <c r="A47" s="33">
        <v>43</v>
      </c>
      <c r="B47" s="34">
        <v>43</v>
      </c>
      <c r="C47" s="19"/>
      <c r="D47" s="20"/>
      <c r="E47" s="20"/>
      <c r="F47" s="20"/>
      <c r="G47" s="20"/>
      <c r="H47" s="20"/>
      <c r="I47" s="21"/>
      <c r="J47" s="27" t="str">
        <f>IF(I47="","",IFERROR(INDEX(کلاس‌بندی!$E$5:$E$34,MATCH(I47,کلاس‌بندی!$D$5:$D$34,0)),"کد کلاس نامعتبر"))</f>
        <v/>
      </c>
      <c r="K47" s="38" t="str">
        <f>IF(I47="","",IFERROR(INDEX(کلاس‌بندی!$F$5:$F$34,MATCH(I47,کلاس‌بندی!$D$5:$D$34,0)),""))</f>
        <v/>
      </c>
      <c r="L47" s="28" t="str">
        <f t="shared" si="1"/>
        <v/>
      </c>
    </row>
    <row r="48" spans="1:13" ht="17.25">
      <c r="A48" s="33">
        <v>44</v>
      </c>
      <c r="B48" s="34">
        <v>44</v>
      </c>
      <c r="C48" s="19"/>
      <c r="D48" s="20"/>
      <c r="E48" s="20"/>
      <c r="F48" s="20"/>
      <c r="G48" s="20"/>
      <c r="H48" s="20"/>
      <c r="I48" s="21"/>
      <c r="J48" s="27" t="str">
        <f>IF(I48="","",IFERROR(INDEX(کلاس‌بندی!$E$5:$E$34,MATCH(I48,کلاس‌بندی!$D$5:$D$34,0)),"کد کلاس نامعتبر"))</f>
        <v/>
      </c>
      <c r="K48" s="38" t="str">
        <f>IF(I48="","",IFERROR(INDEX(کلاس‌بندی!$F$5:$F$34,MATCH(I48,کلاس‌بندی!$D$5:$D$34,0)),""))</f>
        <v/>
      </c>
      <c r="L48" s="28" t="str">
        <f t="shared" si="1"/>
        <v/>
      </c>
    </row>
    <row r="49" spans="1:12" ht="17.25">
      <c r="A49" s="33">
        <v>45</v>
      </c>
      <c r="B49" s="34">
        <v>45</v>
      </c>
      <c r="C49" s="19"/>
      <c r="D49" s="20"/>
      <c r="E49" s="20"/>
      <c r="F49" s="20"/>
      <c r="G49" s="20"/>
      <c r="H49" s="20"/>
      <c r="I49" s="21"/>
      <c r="J49" s="27" t="str">
        <f>IF(I49="","",IFERROR(INDEX(کلاس‌بندی!$E$5:$E$34,MATCH(I49,کلاس‌بندی!$D$5:$D$34,0)),"کد کلاس نامعتبر"))</f>
        <v/>
      </c>
      <c r="K49" s="38" t="str">
        <f>IF(I49="","",IFERROR(INDEX(کلاس‌بندی!$F$5:$F$34,MATCH(I49,کلاس‌بندی!$D$5:$D$34,0)),""))</f>
        <v/>
      </c>
      <c r="L49" s="28" t="str">
        <f t="shared" si="1"/>
        <v/>
      </c>
    </row>
    <row r="50" spans="1:12" ht="17.25">
      <c r="A50" s="33">
        <v>46</v>
      </c>
      <c r="B50" s="34">
        <v>46</v>
      </c>
      <c r="C50" s="19"/>
      <c r="D50" s="20"/>
      <c r="E50" s="20"/>
      <c r="F50" s="20"/>
      <c r="G50" s="20"/>
      <c r="H50" s="20"/>
      <c r="I50" s="21"/>
      <c r="J50" s="27" t="str">
        <f>IF(I50="","",IFERROR(INDEX(کلاس‌بندی!$E$5:$E$34,MATCH(I50,کلاس‌بندی!$D$5:$D$34,0)),"کد کلاس نامعتبر"))</f>
        <v/>
      </c>
      <c r="K50" s="38" t="str">
        <f>IF(I50="","",IFERROR(INDEX(کلاس‌بندی!$F$5:$F$34,MATCH(I50,کلاس‌بندی!$D$5:$D$34,0)),""))</f>
        <v/>
      </c>
      <c r="L50" s="28" t="str">
        <f t="shared" si="1"/>
        <v/>
      </c>
    </row>
    <row r="51" spans="1:12" ht="17.25">
      <c r="A51" s="33">
        <v>47</v>
      </c>
      <c r="B51" s="34">
        <v>47</v>
      </c>
      <c r="C51" s="19"/>
      <c r="D51" s="20"/>
      <c r="E51" s="20"/>
      <c r="F51" s="20"/>
      <c r="G51" s="20"/>
      <c r="H51" s="20"/>
      <c r="I51" s="21"/>
      <c r="J51" s="27" t="str">
        <f>IF(I51="","",IFERROR(INDEX(کلاس‌بندی!$E$5:$E$34,MATCH(I51,کلاس‌بندی!$D$5:$D$34,0)),"کد کلاس نامعتبر"))</f>
        <v/>
      </c>
      <c r="K51" s="38" t="str">
        <f>IF(I51="","",IFERROR(INDEX(کلاس‌بندی!$F$5:$F$34,MATCH(I51,کلاس‌بندی!$D$5:$D$34,0)),""))</f>
        <v/>
      </c>
      <c r="L51" s="28" t="str">
        <f t="shared" si="1"/>
        <v/>
      </c>
    </row>
    <row r="52" spans="1:12" ht="17.25">
      <c r="A52" s="33">
        <v>48</v>
      </c>
      <c r="B52" s="34">
        <v>48</v>
      </c>
      <c r="C52" s="19"/>
      <c r="D52" s="20"/>
      <c r="E52" s="20"/>
      <c r="F52" s="20"/>
      <c r="G52" s="20"/>
      <c r="H52" s="20"/>
      <c r="I52" s="21"/>
      <c r="J52" s="27" t="str">
        <f>IF(I52="","",IFERROR(INDEX(کلاس‌بندی!$E$5:$E$34,MATCH(I52,کلاس‌بندی!$D$5:$D$34,0)),"کد کلاس نامعتبر"))</f>
        <v/>
      </c>
      <c r="K52" s="38" t="str">
        <f>IF(I52="","",IFERROR(INDEX(کلاس‌بندی!$F$5:$F$34,MATCH(I52,کلاس‌بندی!$D$5:$D$34,0)),""))</f>
        <v/>
      </c>
      <c r="L52" s="28" t="str">
        <f t="shared" si="1"/>
        <v/>
      </c>
    </row>
    <row r="53" spans="1:12" ht="17.25">
      <c r="A53" s="33">
        <v>49</v>
      </c>
      <c r="B53" s="34">
        <v>49</v>
      </c>
      <c r="C53" s="19"/>
      <c r="D53" s="20"/>
      <c r="E53" s="20"/>
      <c r="F53" s="20"/>
      <c r="G53" s="20"/>
      <c r="H53" s="20"/>
      <c r="I53" s="21"/>
      <c r="J53" s="27" t="str">
        <f>IF(I53="","",IFERROR(INDEX(کلاس‌بندی!$E$5:$E$34,MATCH(I53,کلاس‌بندی!$D$5:$D$34,0)),"کد کلاس نامعتبر"))</f>
        <v/>
      </c>
      <c r="K53" s="38" t="str">
        <f>IF(I53="","",IFERROR(INDEX(کلاس‌بندی!$F$5:$F$34,MATCH(I53,کلاس‌بندی!$D$5:$D$34,0)),""))</f>
        <v/>
      </c>
      <c r="L53" s="28" t="str">
        <f t="shared" si="1"/>
        <v/>
      </c>
    </row>
    <row r="54" spans="1:12" ht="17.25">
      <c r="A54" s="33">
        <v>50</v>
      </c>
      <c r="B54" s="34">
        <v>50</v>
      </c>
      <c r="C54" s="19"/>
      <c r="D54" s="20"/>
      <c r="E54" s="20"/>
      <c r="F54" s="20"/>
      <c r="G54" s="20"/>
      <c r="H54" s="20"/>
      <c r="I54" s="21"/>
      <c r="J54" s="27" t="str">
        <f>IF(I54="","",IFERROR(INDEX(کلاس‌بندی!$E$5:$E$34,MATCH(I54,کلاس‌بندی!$D$5:$D$34,0)),"کد کلاس نامعتبر"))</f>
        <v/>
      </c>
      <c r="K54" s="38" t="str">
        <f>IF(I54="","",IFERROR(INDEX(کلاس‌بندی!$F$5:$F$34,MATCH(I54,کلاس‌بندی!$D$5:$D$34,0)),""))</f>
        <v/>
      </c>
      <c r="L54" s="28" t="str">
        <f t="shared" si="1"/>
        <v/>
      </c>
    </row>
    <row r="55" spans="1:12" ht="17.25">
      <c r="A55" s="33">
        <v>51</v>
      </c>
      <c r="B55" s="34">
        <v>51</v>
      </c>
      <c r="C55" s="19"/>
      <c r="D55" s="20"/>
      <c r="E55" s="20"/>
      <c r="F55" s="20"/>
      <c r="G55" s="20"/>
      <c r="H55" s="20"/>
      <c r="I55" s="21"/>
      <c r="J55" s="27" t="str">
        <f>IF(I55="","",IFERROR(INDEX(کلاس‌بندی!$E$5:$E$34,MATCH(I55,کلاس‌بندی!$D$5:$D$34,0)),"کد کلاس نامعتبر"))</f>
        <v/>
      </c>
      <c r="K55" s="38" t="str">
        <f>IF(I55="","",IFERROR(INDEX(کلاس‌بندی!$F$5:$F$34,MATCH(I55,کلاس‌بندی!$D$5:$D$34,0)),""))</f>
        <v/>
      </c>
      <c r="L55" s="28" t="str">
        <f t="shared" si="1"/>
        <v/>
      </c>
    </row>
    <row r="56" spans="1:12" ht="17.25">
      <c r="A56" s="33">
        <v>52</v>
      </c>
      <c r="B56" s="34">
        <v>52</v>
      </c>
      <c r="C56" s="19"/>
      <c r="D56" s="20"/>
      <c r="E56" s="20"/>
      <c r="F56" s="20"/>
      <c r="G56" s="20"/>
      <c r="H56" s="20"/>
      <c r="I56" s="21"/>
      <c r="J56" s="27" t="str">
        <f>IF(I56="","",IFERROR(INDEX(کلاس‌بندی!$E$5:$E$34,MATCH(I56,کلاس‌بندی!$D$5:$D$34,0)),"کد کلاس نامعتبر"))</f>
        <v/>
      </c>
      <c r="K56" s="38" t="str">
        <f>IF(I56="","",IFERROR(INDEX(کلاس‌بندی!$F$5:$F$34,MATCH(I56,کلاس‌بندی!$D$5:$D$34,0)),""))</f>
        <v/>
      </c>
      <c r="L56" s="28" t="str">
        <f t="shared" si="1"/>
        <v/>
      </c>
    </row>
    <row r="57" spans="1:12" ht="17.25">
      <c r="A57" s="33">
        <v>53</v>
      </c>
      <c r="B57" s="34">
        <v>53</v>
      </c>
      <c r="C57" s="19"/>
      <c r="D57" s="20"/>
      <c r="E57" s="20"/>
      <c r="F57" s="20"/>
      <c r="G57" s="20"/>
      <c r="H57" s="20"/>
      <c r="I57" s="21"/>
      <c r="J57" s="27" t="str">
        <f>IF(I57="","",IFERROR(INDEX(کلاس‌بندی!$E$5:$E$34,MATCH(I57,کلاس‌بندی!$D$5:$D$34,0)),"کد کلاس نامعتبر"))</f>
        <v/>
      </c>
      <c r="K57" s="38" t="str">
        <f>IF(I57="","",IFERROR(INDEX(کلاس‌بندی!$F$5:$F$34,MATCH(I57,کلاس‌بندی!$D$5:$D$34,0)),""))</f>
        <v/>
      </c>
      <c r="L57" s="28" t="str">
        <f t="shared" si="1"/>
        <v/>
      </c>
    </row>
    <row r="58" spans="1:12" ht="17.25">
      <c r="A58" s="33">
        <v>54</v>
      </c>
      <c r="B58" s="34">
        <v>54</v>
      </c>
      <c r="C58" s="19"/>
      <c r="D58" s="20"/>
      <c r="E58" s="20"/>
      <c r="F58" s="20"/>
      <c r="G58" s="20"/>
      <c r="H58" s="20"/>
      <c r="I58" s="21"/>
      <c r="J58" s="27" t="str">
        <f>IF(I58="","",IFERROR(INDEX(کلاس‌بندی!$E$5:$E$34,MATCH(I58,کلاس‌بندی!$D$5:$D$34,0)),"کد کلاس نامعتبر"))</f>
        <v/>
      </c>
      <c r="K58" s="38" t="str">
        <f>IF(I58="","",IFERROR(INDEX(کلاس‌بندی!$F$5:$F$34,MATCH(I58,کلاس‌بندی!$D$5:$D$34,0)),""))</f>
        <v/>
      </c>
      <c r="L58" s="28" t="str">
        <f t="shared" si="1"/>
        <v/>
      </c>
    </row>
    <row r="59" spans="1:12" ht="17.25">
      <c r="A59" s="33">
        <v>55</v>
      </c>
      <c r="B59" s="34">
        <v>55</v>
      </c>
      <c r="C59" s="19"/>
      <c r="D59" s="20"/>
      <c r="E59" s="20"/>
      <c r="F59" s="20"/>
      <c r="G59" s="20"/>
      <c r="H59" s="20"/>
      <c r="I59" s="21"/>
      <c r="J59" s="27" t="str">
        <f>IF(I59="","",IFERROR(INDEX(کلاس‌بندی!$E$5:$E$34,MATCH(I59,کلاس‌بندی!$D$5:$D$34,0)),"کد کلاس نامعتبر"))</f>
        <v/>
      </c>
      <c r="K59" s="38" t="str">
        <f>IF(I59="","",IFERROR(INDEX(کلاس‌بندی!$F$5:$F$34,MATCH(I59,کلاس‌بندی!$D$5:$D$34,0)),""))</f>
        <v/>
      </c>
      <c r="L59" s="28" t="str">
        <f t="shared" si="1"/>
        <v/>
      </c>
    </row>
    <row r="60" spans="1:12" ht="17.25">
      <c r="A60" s="33">
        <v>56</v>
      </c>
      <c r="B60" s="34">
        <v>56</v>
      </c>
      <c r="C60" s="19"/>
      <c r="D60" s="20"/>
      <c r="E60" s="20"/>
      <c r="F60" s="20"/>
      <c r="G60" s="20"/>
      <c r="H60" s="20"/>
      <c r="I60" s="21"/>
      <c r="J60" s="27" t="str">
        <f>IF(I60="","",IFERROR(INDEX(کلاس‌بندی!$E$5:$E$34,MATCH(I60,کلاس‌بندی!$D$5:$D$34,0)),"کد کلاس نامعتبر"))</f>
        <v/>
      </c>
      <c r="K60" s="38" t="str">
        <f>IF(I60="","",IFERROR(INDEX(کلاس‌بندی!$F$5:$F$34,MATCH(I60,کلاس‌بندی!$D$5:$D$34,0)),""))</f>
        <v/>
      </c>
      <c r="L60" s="28" t="str">
        <f t="shared" si="1"/>
        <v/>
      </c>
    </row>
    <row r="61" spans="1:12" ht="17.25">
      <c r="A61" s="33">
        <v>57</v>
      </c>
      <c r="B61" s="34">
        <v>57</v>
      </c>
      <c r="C61" s="19"/>
      <c r="D61" s="20"/>
      <c r="E61" s="20"/>
      <c r="F61" s="20"/>
      <c r="G61" s="20"/>
      <c r="H61" s="20"/>
      <c r="I61" s="21"/>
      <c r="J61" s="27" t="str">
        <f>IF(I61="","",IFERROR(INDEX(کلاس‌بندی!$E$5:$E$34,MATCH(I61,کلاس‌بندی!$D$5:$D$34,0)),"کد کلاس نامعتبر"))</f>
        <v/>
      </c>
      <c r="K61" s="38" t="str">
        <f>IF(I61="","",IFERROR(INDEX(کلاس‌بندی!$F$5:$F$34,MATCH(I61,کلاس‌بندی!$D$5:$D$34,0)),""))</f>
        <v/>
      </c>
      <c r="L61" s="28" t="str">
        <f t="shared" si="1"/>
        <v/>
      </c>
    </row>
    <row r="62" spans="1:12" ht="17.25">
      <c r="A62" s="33">
        <v>58</v>
      </c>
      <c r="B62" s="34">
        <v>58</v>
      </c>
      <c r="C62" s="19"/>
      <c r="D62" s="20"/>
      <c r="E62" s="20"/>
      <c r="F62" s="20"/>
      <c r="G62" s="20"/>
      <c r="H62" s="20"/>
      <c r="I62" s="21"/>
      <c r="J62" s="27" t="str">
        <f>IF(I62="","",IFERROR(INDEX(کلاس‌بندی!$E$5:$E$34,MATCH(I62,کلاس‌بندی!$D$5:$D$34,0)),"کد کلاس نامعتبر"))</f>
        <v/>
      </c>
      <c r="K62" s="38" t="str">
        <f>IF(I62="","",IFERROR(INDEX(کلاس‌بندی!$F$5:$F$34,MATCH(I62,کلاس‌بندی!$D$5:$D$34,0)),""))</f>
        <v/>
      </c>
      <c r="L62" s="28" t="str">
        <f t="shared" si="1"/>
        <v/>
      </c>
    </row>
    <row r="63" spans="1:12" ht="17.25">
      <c r="A63" s="33">
        <v>59</v>
      </c>
      <c r="B63" s="34">
        <v>59</v>
      </c>
      <c r="C63" s="19"/>
      <c r="D63" s="20"/>
      <c r="E63" s="20"/>
      <c r="F63" s="20"/>
      <c r="G63" s="20"/>
      <c r="H63" s="20"/>
      <c r="I63" s="21"/>
      <c r="J63" s="27" t="str">
        <f>IF(I63="","",IFERROR(INDEX(کلاس‌بندی!$E$5:$E$34,MATCH(I63,کلاس‌بندی!$D$5:$D$34,0)),"کد کلاس نامعتبر"))</f>
        <v/>
      </c>
      <c r="K63" s="38" t="str">
        <f>IF(I63="","",IFERROR(INDEX(کلاس‌بندی!$F$5:$F$34,MATCH(I63,کلاس‌بندی!$D$5:$D$34,0)),""))</f>
        <v/>
      </c>
      <c r="L63" s="28" t="str">
        <f t="shared" si="1"/>
        <v/>
      </c>
    </row>
    <row r="64" spans="1:12" ht="17.25">
      <c r="A64" s="33">
        <v>60</v>
      </c>
      <c r="B64" s="34">
        <v>60</v>
      </c>
      <c r="C64" s="19"/>
      <c r="D64" s="20"/>
      <c r="E64" s="20"/>
      <c r="F64" s="20"/>
      <c r="G64" s="20"/>
      <c r="H64" s="20"/>
      <c r="I64" s="21"/>
      <c r="J64" s="27" t="str">
        <f>IF(I64="","",IFERROR(INDEX(کلاس‌بندی!$E$5:$E$34,MATCH(I64,کلاس‌بندی!$D$5:$D$34,0)),"کد کلاس نامعتبر"))</f>
        <v/>
      </c>
      <c r="K64" s="38" t="str">
        <f>IF(I64="","",IFERROR(INDEX(کلاس‌بندی!$F$5:$F$34,MATCH(I64,کلاس‌بندی!$D$5:$D$34,0)),""))</f>
        <v/>
      </c>
      <c r="L64" s="28" t="str">
        <f t="shared" si="1"/>
        <v/>
      </c>
    </row>
    <row r="65" spans="1:12" ht="17.25">
      <c r="A65" s="33">
        <v>61</v>
      </c>
      <c r="B65" s="34">
        <v>61</v>
      </c>
      <c r="C65" s="19"/>
      <c r="D65" s="20"/>
      <c r="E65" s="20"/>
      <c r="F65" s="20"/>
      <c r="G65" s="20"/>
      <c r="H65" s="20"/>
      <c r="I65" s="21"/>
      <c r="J65" s="27" t="str">
        <f>IF(I65="","",IFERROR(INDEX(کلاس‌بندی!$E$5:$E$34,MATCH(I65,کلاس‌بندی!$D$5:$D$34,0)),"کد کلاس نامعتبر"))</f>
        <v/>
      </c>
      <c r="K65" s="38" t="str">
        <f>IF(I65="","",IFERROR(INDEX(کلاس‌بندی!$F$5:$F$34,MATCH(I65,کلاس‌بندی!$D$5:$D$34,0)),""))</f>
        <v/>
      </c>
      <c r="L65" s="28" t="str">
        <f t="shared" si="1"/>
        <v/>
      </c>
    </row>
    <row r="66" spans="1:12" ht="17.25">
      <c r="A66" s="33">
        <v>62</v>
      </c>
      <c r="B66" s="34">
        <v>62</v>
      </c>
      <c r="C66" s="19"/>
      <c r="D66" s="20"/>
      <c r="E66" s="20"/>
      <c r="F66" s="20"/>
      <c r="G66" s="20"/>
      <c r="H66" s="20"/>
      <c r="I66" s="21"/>
      <c r="J66" s="27" t="str">
        <f>IF(I66="","",IFERROR(INDEX(کلاس‌بندی!$E$5:$E$34,MATCH(I66,کلاس‌بندی!$D$5:$D$34,0)),"کد کلاس نامعتبر"))</f>
        <v/>
      </c>
      <c r="K66" s="38" t="str">
        <f>IF(I66="","",IFERROR(INDEX(کلاس‌بندی!$F$5:$F$34,MATCH(I66,کلاس‌بندی!$D$5:$D$34,0)),""))</f>
        <v/>
      </c>
      <c r="L66" s="28" t="str">
        <f t="shared" si="1"/>
        <v/>
      </c>
    </row>
    <row r="67" spans="1:12" ht="17.25">
      <c r="A67" s="33">
        <v>63</v>
      </c>
      <c r="B67" s="34">
        <v>63</v>
      </c>
      <c r="C67" s="19"/>
      <c r="D67" s="20"/>
      <c r="E67" s="20"/>
      <c r="F67" s="20"/>
      <c r="G67" s="20"/>
      <c r="H67" s="20"/>
      <c r="I67" s="21"/>
      <c r="J67" s="27" t="str">
        <f>IF(I67="","",IFERROR(INDEX(کلاس‌بندی!$E$5:$E$34,MATCH(I67,کلاس‌بندی!$D$5:$D$34,0)),"کد کلاس نامعتبر"))</f>
        <v/>
      </c>
      <c r="K67" s="38" t="str">
        <f>IF(I67="","",IFERROR(INDEX(کلاس‌بندی!$F$5:$F$34,MATCH(I67,کلاس‌بندی!$D$5:$D$34,0)),""))</f>
        <v/>
      </c>
      <c r="L67" s="28" t="str">
        <f t="shared" si="1"/>
        <v/>
      </c>
    </row>
    <row r="68" spans="1:12" ht="17.25">
      <c r="A68" s="33">
        <v>64</v>
      </c>
      <c r="B68" s="34">
        <v>64</v>
      </c>
      <c r="C68" s="19"/>
      <c r="D68" s="20"/>
      <c r="E68" s="20"/>
      <c r="F68" s="20"/>
      <c r="G68" s="20"/>
      <c r="H68" s="20"/>
      <c r="I68" s="21"/>
      <c r="J68" s="27" t="str">
        <f>IF(I68="","",IFERROR(INDEX(کلاس‌بندی!$E$5:$E$34,MATCH(I68,کلاس‌بندی!$D$5:$D$34,0)),"کد کلاس نامعتبر"))</f>
        <v/>
      </c>
      <c r="K68" s="38" t="str">
        <f>IF(I68="","",IFERROR(INDEX(کلاس‌بندی!$F$5:$F$34,MATCH(I68,کلاس‌بندی!$D$5:$D$34,0)),""))</f>
        <v/>
      </c>
      <c r="L68" s="28" t="str">
        <f t="shared" si="1"/>
        <v/>
      </c>
    </row>
    <row r="69" spans="1:12" ht="17.25">
      <c r="A69" s="33">
        <v>65</v>
      </c>
      <c r="B69" s="34">
        <v>65</v>
      </c>
      <c r="C69" s="19"/>
      <c r="D69" s="20"/>
      <c r="E69" s="20"/>
      <c r="F69" s="20"/>
      <c r="G69" s="20"/>
      <c r="H69" s="20"/>
      <c r="I69" s="21"/>
      <c r="J69" s="27" t="str">
        <f>IF(I69="","",IFERROR(INDEX(کلاس‌بندی!$E$5:$E$34,MATCH(I69,کلاس‌بندی!$D$5:$D$34,0)),"کد کلاس نامعتبر"))</f>
        <v/>
      </c>
      <c r="K69" s="38" t="str">
        <f>IF(I69="","",IFERROR(INDEX(کلاس‌بندی!$F$5:$F$34,MATCH(I69,کلاس‌بندی!$D$5:$D$34,0)),""))</f>
        <v/>
      </c>
      <c r="L69" s="28" t="str">
        <f t="shared" ref="L69:L104" si="2">IF(COUNTA(C69:I69)=0,"",IF(AND(LEN(C69)=10,D69&lt;&gt;"",E69&lt;&gt;"",F69&lt;&gt;"",G69&lt;&gt;"",H69&lt;&gt;"",I69&lt;&gt;""),"کامل","ناقص"))</f>
        <v/>
      </c>
    </row>
    <row r="70" spans="1:12" ht="17.25">
      <c r="A70" s="33">
        <v>66</v>
      </c>
      <c r="B70" s="34">
        <v>66</v>
      </c>
      <c r="C70" s="19"/>
      <c r="D70" s="20"/>
      <c r="E70" s="20"/>
      <c r="F70" s="20"/>
      <c r="G70" s="20"/>
      <c r="H70" s="20"/>
      <c r="I70" s="21"/>
      <c r="J70" s="27" t="str">
        <f>IF(I70="","",IFERROR(INDEX(کلاس‌بندی!$E$5:$E$34,MATCH(I70,کلاس‌بندی!$D$5:$D$34,0)),"کد کلاس نامعتبر"))</f>
        <v/>
      </c>
      <c r="K70" s="38" t="str">
        <f>IF(I70="","",IFERROR(INDEX(کلاس‌بندی!$F$5:$F$34,MATCH(I70,کلاس‌بندی!$D$5:$D$34,0)),""))</f>
        <v/>
      </c>
      <c r="L70" s="28" t="str">
        <f t="shared" si="2"/>
        <v/>
      </c>
    </row>
    <row r="71" spans="1:12" ht="17.25">
      <c r="A71" s="33">
        <v>67</v>
      </c>
      <c r="B71" s="34">
        <v>67</v>
      </c>
      <c r="C71" s="19"/>
      <c r="D71" s="20"/>
      <c r="E71" s="20"/>
      <c r="F71" s="20"/>
      <c r="G71" s="20"/>
      <c r="H71" s="20"/>
      <c r="I71" s="21"/>
      <c r="J71" s="27" t="str">
        <f>IF(I71="","",IFERROR(INDEX(کلاس‌بندی!$E$5:$E$34,MATCH(I71,کلاس‌بندی!$D$5:$D$34,0)),"کد کلاس نامعتبر"))</f>
        <v/>
      </c>
      <c r="K71" s="38" t="str">
        <f>IF(I71="","",IFERROR(INDEX(کلاس‌بندی!$F$5:$F$34,MATCH(I71,کلاس‌بندی!$D$5:$D$34,0)),""))</f>
        <v/>
      </c>
      <c r="L71" s="28" t="str">
        <f t="shared" si="2"/>
        <v/>
      </c>
    </row>
    <row r="72" spans="1:12" ht="17.25">
      <c r="A72" s="33">
        <v>68</v>
      </c>
      <c r="B72" s="34">
        <v>68</v>
      </c>
      <c r="C72" s="19"/>
      <c r="D72" s="20"/>
      <c r="E72" s="20"/>
      <c r="F72" s="20"/>
      <c r="G72" s="20"/>
      <c r="H72" s="20"/>
      <c r="I72" s="21"/>
      <c r="J72" s="27" t="str">
        <f>IF(I72="","",IFERROR(INDEX(کلاس‌بندی!$E$5:$E$34,MATCH(I72,کلاس‌بندی!$D$5:$D$34,0)),"کد کلاس نامعتبر"))</f>
        <v/>
      </c>
      <c r="K72" s="38" t="str">
        <f>IF(I72="","",IFERROR(INDEX(کلاس‌بندی!$F$5:$F$34,MATCH(I72,کلاس‌بندی!$D$5:$D$34,0)),""))</f>
        <v/>
      </c>
      <c r="L72" s="28" t="str">
        <f t="shared" si="2"/>
        <v/>
      </c>
    </row>
    <row r="73" spans="1:12" ht="17.25">
      <c r="A73" s="33">
        <v>69</v>
      </c>
      <c r="B73" s="34">
        <v>69</v>
      </c>
      <c r="C73" s="19"/>
      <c r="D73" s="20"/>
      <c r="E73" s="20"/>
      <c r="F73" s="20"/>
      <c r="G73" s="20"/>
      <c r="H73" s="20"/>
      <c r="I73" s="21"/>
      <c r="J73" s="27" t="str">
        <f>IF(I73="","",IFERROR(INDEX(کلاس‌بندی!$E$5:$E$34,MATCH(I73,کلاس‌بندی!$D$5:$D$34,0)),"کد کلاس نامعتبر"))</f>
        <v/>
      </c>
      <c r="K73" s="38" t="str">
        <f>IF(I73="","",IFERROR(INDEX(کلاس‌بندی!$F$5:$F$34,MATCH(I73,کلاس‌بندی!$D$5:$D$34,0)),""))</f>
        <v/>
      </c>
      <c r="L73" s="28" t="str">
        <f t="shared" si="2"/>
        <v/>
      </c>
    </row>
    <row r="74" spans="1:12" ht="17.25">
      <c r="A74" s="33">
        <v>70</v>
      </c>
      <c r="B74" s="34">
        <v>70</v>
      </c>
      <c r="C74" s="19"/>
      <c r="D74" s="20"/>
      <c r="E74" s="20"/>
      <c r="F74" s="20"/>
      <c r="G74" s="20"/>
      <c r="H74" s="20"/>
      <c r="I74" s="21"/>
      <c r="J74" s="27" t="str">
        <f>IF(I74="","",IFERROR(INDEX(کلاس‌بندی!$E$5:$E$34,MATCH(I74,کلاس‌بندی!$D$5:$D$34,0)),"کد کلاس نامعتبر"))</f>
        <v/>
      </c>
      <c r="K74" s="38" t="str">
        <f>IF(I74="","",IFERROR(INDEX(کلاس‌بندی!$F$5:$F$34,MATCH(I74,کلاس‌بندی!$D$5:$D$34,0)),""))</f>
        <v/>
      </c>
      <c r="L74" s="28" t="str">
        <f t="shared" si="2"/>
        <v/>
      </c>
    </row>
    <row r="75" spans="1:12" ht="17.25">
      <c r="A75" s="33">
        <v>71</v>
      </c>
      <c r="B75" s="34">
        <v>71</v>
      </c>
      <c r="C75" s="19"/>
      <c r="D75" s="20"/>
      <c r="E75" s="20"/>
      <c r="F75" s="20"/>
      <c r="G75" s="20"/>
      <c r="H75" s="20"/>
      <c r="I75" s="21"/>
      <c r="J75" s="27" t="str">
        <f>IF(I75="","",IFERROR(INDEX(کلاس‌بندی!$E$5:$E$34,MATCH(I75,کلاس‌بندی!$D$5:$D$34,0)),"کد کلاس نامعتبر"))</f>
        <v/>
      </c>
      <c r="K75" s="38" t="str">
        <f>IF(I75="","",IFERROR(INDEX(کلاس‌بندی!$F$5:$F$34,MATCH(I75,کلاس‌بندی!$D$5:$D$34,0)),""))</f>
        <v/>
      </c>
      <c r="L75" s="28" t="str">
        <f t="shared" si="2"/>
        <v/>
      </c>
    </row>
    <row r="76" spans="1:12" ht="17.25">
      <c r="A76" s="33">
        <v>72</v>
      </c>
      <c r="B76" s="34">
        <v>72</v>
      </c>
      <c r="C76" s="19"/>
      <c r="D76" s="20"/>
      <c r="E76" s="20"/>
      <c r="F76" s="20"/>
      <c r="G76" s="20"/>
      <c r="H76" s="20"/>
      <c r="I76" s="21"/>
      <c r="J76" s="27" t="str">
        <f>IF(I76="","",IFERROR(INDEX(کلاس‌بندی!$E$5:$E$34,MATCH(I76,کلاس‌بندی!$D$5:$D$34,0)),"کد کلاس نامعتبر"))</f>
        <v/>
      </c>
      <c r="K76" s="38" t="str">
        <f>IF(I76="","",IFERROR(INDEX(کلاس‌بندی!$F$5:$F$34,MATCH(I76,کلاس‌بندی!$D$5:$D$34,0)),""))</f>
        <v/>
      </c>
      <c r="L76" s="28" t="str">
        <f t="shared" si="2"/>
        <v/>
      </c>
    </row>
    <row r="77" spans="1:12" ht="17.25">
      <c r="A77" s="33">
        <v>73</v>
      </c>
      <c r="B77" s="34">
        <v>73</v>
      </c>
      <c r="C77" s="19"/>
      <c r="D77" s="20"/>
      <c r="E77" s="20"/>
      <c r="F77" s="20"/>
      <c r="G77" s="20"/>
      <c r="H77" s="20"/>
      <c r="I77" s="21"/>
      <c r="J77" s="27" t="str">
        <f>IF(I77="","",IFERROR(INDEX(کلاس‌بندی!$E$5:$E$34,MATCH(I77,کلاس‌بندی!$D$5:$D$34,0)),"کد کلاس نامعتبر"))</f>
        <v/>
      </c>
      <c r="K77" s="38" t="str">
        <f>IF(I77="","",IFERROR(INDEX(کلاس‌بندی!$F$5:$F$34,MATCH(I77,کلاس‌بندی!$D$5:$D$34,0)),""))</f>
        <v/>
      </c>
      <c r="L77" s="28" t="str">
        <f t="shared" si="2"/>
        <v/>
      </c>
    </row>
    <row r="78" spans="1:12" ht="17.25">
      <c r="A78" s="33">
        <v>74</v>
      </c>
      <c r="B78" s="34">
        <v>74</v>
      </c>
      <c r="C78" s="19"/>
      <c r="D78" s="20"/>
      <c r="E78" s="20"/>
      <c r="F78" s="20"/>
      <c r="G78" s="20"/>
      <c r="H78" s="20"/>
      <c r="I78" s="21"/>
      <c r="J78" s="27" t="str">
        <f>IF(I78="","",IFERROR(INDEX(کلاس‌بندی!$E$5:$E$34,MATCH(I78,کلاس‌بندی!$D$5:$D$34,0)),"کد کلاس نامعتبر"))</f>
        <v/>
      </c>
      <c r="K78" s="38" t="str">
        <f>IF(I78="","",IFERROR(INDEX(کلاس‌بندی!$F$5:$F$34,MATCH(I78,کلاس‌بندی!$D$5:$D$34,0)),""))</f>
        <v/>
      </c>
      <c r="L78" s="28" t="str">
        <f t="shared" si="2"/>
        <v/>
      </c>
    </row>
    <row r="79" spans="1:12" ht="17.25">
      <c r="A79" s="33">
        <v>75</v>
      </c>
      <c r="B79" s="34">
        <v>75</v>
      </c>
      <c r="C79" s="19"/>
      <c r="D79" s="20"/>
      <c r="E79" s="20"/>
      <c r="F79" s="20"/>
      <c r="G79" s="20"/>
      <c r="H79" s="20"/>
      <c r="I79" s="21"/>
      <c r="J79" s="27" t="str">
        <f>IF(I79="","",IFERROR(INDEX(کلاس‌بندی!$E$5:$E$34,MATCH(I79,کلاس‌بندی!$D$5:$D$34,0)),"کد کلاس نامعتبر"))</f>
        <v/>
      </c>
      <c r="K79" s="38" t="str">
        <f>IF(I79="","",IFERROR(INDEX(کلاس‌بندی!$F$5:$F$34,MATCH(I79,کلاس‌بندی!$D$5:$D$34,0)),""))</f>
        <v/>
      </c>
      <c r="L79" s="28" t="str">
        <f t="shared" si="2"/>
        <v/>
      </c>
    </row>
    <row r="80" spans="1:12" ht="17.25">
      <c r="A80" s="33">
        <v>76</v>
      </c>
      <c r="B80" s="34">
        <v>76</v>
      </c>
      <c r="C80" s="19"/>
      <c r="D80" s="20"/>
      <c r="E80" s="20"/>
      <c r="F80" s="20"/>
      <c r="G80" s="20"/>
      <c r="H80" s="20"/>
      <c r="I80" s="21"/>
      <c r="J80" s="27" t="str">
        <f>IF(I80="","",IFERROR(INDEX(کلاس‌بندی!$E$5:$E$34,MATCH(I80,کلاس‌بندی!$D$5:$D$34,0)),"کد کلاس نامعتبر"))</f>
        <v/>
      </c>
      <c r="K80" s="38" t="str">
        <f>IF(I80="","",IFERROR(INDEX(کلاس‌بندی!$F$5:$F$34,MATCH(I80,کلاس‌بندی!$D$5:$D$34,0)),""))</f>
        <v/>
      </c>
      <c r="L80" s="28" t="str">
        <f t="shared" si="2"/>
        <v/>
      </c>
    </row>
    <row r="81" spans="1:12" ht="17.25">
      <c r="A81" s="33">
        <v>77</v>
      </c>
      <c r="B81" s="34">
        <v>77</v>
      </c>
      <c r="C81" s="19"/>
      <c r="D81" s="20"/>
      <c r="E81" s="20"/>
      <c r="F81" s="20"/>
      <c r="G81" s="20"/>
      <c r="H81" s="20"/>
      <c r="I81" s="21"/>
      <c r="J81" s="27" t="str">
        <f>IF(I81="","",IFERROR(INDEX(کلاس‌بندی!$E$5:$E$34,MATCH(I81,کلاس‌بندی!$D$5:$D$34,0)),"کد کلاس نامعتبر"))</f>
        <v/>
      </c>
      <c r="K81" s="38" t="str">
        <f>IF(I81="","",IFERROR(INDEX(کلاس‌بندی!$F$5:$F$34,MATCH(I81,کلاس‌بندی!$D$5:$D$34,0)),""))</f>
        <v/>
      </c>
      <c r="L81" s="28" t="str">
        <f t="shared" si="2"/>
        <v/>
      </c>
    </row>
    <row r="82" spans="1:12" ht="17.25">
      <c r="A82" s="33">
        <v>78</v>
      </c>
      <c r="B82" s="34">
        <v>78</v>
      </c>
      <c r="C82" s="19"/>
      <c r="D82" s="20"/>
      <c r="E82" s="20"/>
      <c r="F82" s="20"/>
      <c r="G82" s="20"/>
      <c r="H82" s="20"/>
      <c r="I82" s="21"/>
      <c r="J82" s="27" t="str">
        <f>IF(I82="","",IFERROR(INDEX(کلاس‌بندی!$E$5:$E$34,MATCH(I82,کلاس‌بندی!$D$5:$D$34,0)),"کد کلاس نامعتبر"))</f>
        <v/>
      </c>
      <c r="K82" s="38" t="str">
        <f>IF(I82="","",IFERROR(INDEX(کلاس‌بندی!$F$5:$F$34,MATCH(I82,کلاس‌بندی!$D$5:$D$34,0)),""))</f>
        <v/>
      </c>
      <c r="L82" s="28" t="str">
        <f t="shared" si="2"/>
        <v/>
      </c>
    </row>
    <row r="83" spans="1:12" ht="17.25">
      <c r="A83" s="33">
        <v>79</v>
      </c>
      <c r="B83" s="34">
        <v>79</v>
      </c>
      <c r="C83" s="19"/>
      <c r="D83" s="20"/>
      <c r="E83" s="20"/>
      <c r="F83" s="20"/>
      <c r="G83" s="20"/>
      <c r="H83" s="20"/>
      <c r="I83" s="21"/>
      <c r="J83" s="27" t="str">
        <f>IF(I83="","",IFERROR(INDEX(کلاس‌بندی!$E$5:$E$34,MATCH(I83,کلاس‌بندی!$D$5:$D$34,0)),"کد کلاس نامعتبر"))</f>
        <v/>
      </c>
      <c r="K83" s="38" t="str">
        <f>IF(I83="","",IFERROR(INDEX(کلاس‌بندی!$F$5:$F$34,MATCH(I83,کلاس‌بندی!$D$5:$D$34,0)),""))</f>
        <v/>
      </c>
      <c r="L83" s="28" t="str">
        <f t="shared" si="2"/>
        <v/>
      </c>
    </row>
    <row r="84" spans="1:12" ht="17.25">
      <c r="A84" s="33">
        <v>80</v>
      </c>
      <c r="B84" s="34">
        <v>80</v>
      </c>
      <c r="C84" s="19"/>
      <c r="D84" s="20"/>
      <c r="E84" s="20"/>
      <c r="F84" s="20"/>
      <c r="G84" s="20"/>
      <c r="H84" s="20"/>
      <c r="I84" s="21"/>
      <c r="J84" s="27" t="str">
        <f>IF(I84="","",IFERROR(INDEX(کلاس‌بندی!$E$5:$E$34,MATCH(I84,کلاس‌بندی!$D$5:$D$34,0)),"کد کلاس نامعتبر"))</f>
        <v/>
      </c>
      <c r="K84" s="38" t="str">
        <f>IF(I84="","",IFERROR(INDEX(کلاس‌بندی!$F$5:$F$34,MATCH(I84,کلاس‌بندی!$D$5:$D$34,0)),""))</f>
        <v/>
      </c>
      <c r="L84" s="28" t="str">
        <f t="shared" si="2"/>
        <v/>
      </c>
    </row>
    <row r="85" spans="1:12" ht="17.25">
      <c r="A85" s="33">
        <v>81</v>
      </c>
      <c r="B85" s="34">
        <v>81</v>
      </c>
      <c r="C85" s="19"/>
      <c r="D85" s="20"/>
      <c r="E85" s="20"/>
      <c r="F85" s="20"/>
      <c r="G85" s="20"/>
      <c r="H85" s="20"/>
      <c r="I85" s="21"/>
      <c r="J85" s="27" t="str">
        <f>IF(I85="","",IFERROR(INDEX(کلاس‌بندی!$E$5:$E$34,MATCH(I85,کلاس‌بندی!$D$5:$D$34,0)),"کد کلاس نامعتبر"))</f>
        <v/>
      </c>
      <c r="K85" s="38" t="str">
        <f>IF(I85="","",IFERROR(INDEX(کلاس‌بندی!$F$5:$F$34,MATCH(I85,کلاس‌بندی!$D$5:$D$34,0)),""))</f>
        <v/>
      </c>
      <c r="L85" s="28" t="str">
        <f t="shared" si="2"/>
        <v/>
      </c>
    </row>
    <row r="86" spans="1:12" ht="17.25">
      <c r="A86" s="33">
        <v>82</v>
      </c>
      <c r="B86" s="34">
        <v>82</v>
      </c>
      <c r="C86" s="19"/>
      <c r="D86" s="20"/>
      <c r="E86" s="20"/>
      <c r="F86" s="20"/>
      <c r="G86" s="20"/>
      <c r="H86" s="20"/>
      <c r="I86" s="21"/>
      <c r="J86" s="27" t="str">
        <f>IF(I86="","",IFERROR(INDEX(کلاس‌بندی!$E$5:$E$34,MATCH(I86,کلاس‌بندی!$D$5:$D$34,0)),"کد کلاس نامعتبر"))</f>
        <v/>
      </c>
      <c r="K86" s="38" t="str">
        <f>IF(I86="","",IFERROR(INDEX(کلاس‌بندی!$F$5:$F$34,MATCH(I86,کلاس‌بندی!$D$5:$D$34,0)),""))</f>
        <v/>
      </c>
      <c r="L86" s="28" t="str">
        <f t="shared" si="2"/>
        <v/>
      </c>
    </row>
    <row r="87" spans="1:12" ht="17.25">
      <c r="A87" s="33">
        <v>83</v>
      </c>
      <c r="B87" s="34">
        <v>83</v>
      </c>
      <c r="C87" s="19"/>
      <c r="D87" s="20"/>
      <c r="E87" s="20"/>
      <c r="F87" s="20"/>
      <c r="G87" s="20"/>
      <c r="H87" s="20"/>
      <c r="I87" s="21"/>
      <c r="J87" s="27" t="str">
        <f>IF(I87="","",IFERROR(INDEX(کلاس‌بندی!$E$5:$E$34,MATCH(I87,کلاس‌بندی!$D$5:$D$34,0)),"کد کلاس نامعتبر"))</f>
        <v/>
      </c>
      <c r="K87" s="38" t="str">
        <f>IF(I87="","",IFERROR(INDEX(کلاس‌بندی!$F$5:$F$34,MATCH(I87,کلاس‌بندی!$D$5:$D$34,0)),""))</f>
        <v/>
      </c>
      <c r="L87" s="28" t="str">
        <f t="shared" si="2"/>
        <v/>
      </c>
    </row>
    <row r="88" spans="1:12" ht="17.25">
      <c r="A88" s="33">
        <v>84</v>
      </c>
      <c r="B88" s="34">
        <v>84</v>
      </c>
      <c r="C88" s="19"/>
      <c r="D88" s="20"/>
      <c r="E88" s="20"/>
      <c r="F88" s="20"/>
      <c r="G88" s="20"/>
      <c r="H88" s="20"/>
      <c r="I88" s="21"/>
      <c r="J88" s="27" t="str">
        <f>IF(I88="","",IFERROR(INDEX(کلاس‌بندی!$E$5:$E$34,MATCH(I88,کلاس‌بندی!$D$5:$D$34,0)),"کد کلاس نامعتبر"))</f>
        <v/>
      </c>
      <c r="K88" s="38" t="str">
        <f>IF(I88="","",IFERROR(INDEX(کلاس‌بندی!$F$5:$F$34,MATCH(I88,کلاس‌بندی!$D$5:$D$34,0)),""))</f>
        <v/>
      </c>
      <c r="L88" s="28" t="str">
        <f t="shared" si="2"/>
        <v/>
      </c>
    </row>
    <row r="89" spans="1:12" ht="17.25">
      <c r="A89" s="33">
        <v>85</v>
      </c>
      <c r="B89" s="34">
        <v>85</v>
      </c>
      <c r="C89" s="19"/>
      <c r="D89" s="20"/>
      <c r="E89" s="20"/>
      <c r="F89" s="20"/>
      <c r="G89" s="20"/>
      <c r="H89" s="20"/>
      <c r="I89" s="21"/>
      <c r="J89" s="27" t="str">
        <f>IF(I89="","",IFERROR(INDEX(کلاس‌بندی!$E$5:$E$34,MATCH(I89,کلاس‌بندی!$D$5:$D$34,0)),"کد کلاس نامعتبر"))</f>
        <v/>
      </c>
      <c r="K89" s="38" t="str">
        <f>IF(I89="","",IFERROR(INDEX(کلاس‌بندی!$F$5:$F$34,MATCH(I89,کلاس‌بندی!$D$5:$D$34,0)),""))</f>
        <v/>
      </c>
      <c r="L89" s="28" t="str">
        <f t="shared" si="2"/>
        <v/>
      </c>
    </row>
    <row r="90" spans="1:12" ht="17.25">
      <c r="A90" s="33">
        <v>86</v>
      </c>
      <c r="B90" s="34">
        <v>86</v>
      </c>
      <c r="C90" s="19"/>
      <c r="D90" s="20"/>
      <c r="E90" s="20"/>
      <c r="F90" s="20"/>
      <c r="G90" s="20"/>
      <c r="H90" s="20"/>
      <c r="I90" s="21"/>
      <c r="J90" s="27" t="str">
        <f>IF(I90="","",IFERROR(INDEX(کلاس‌بندی!$E$5:$E$34,MATCH(I90,کلاس‌بندی!$D$5:$D$34,0)),"کد کلاس نامعتبر"))</f>
        <v/>
      </c>
      <c r="K90" s="38" t="str">
        <f>IF(I90="","",IFERROR(INDEX(کلاس‌بندی!$F$5:$F$34,MATCH(I90,کلاس‌بندی!$D$5:$D$34,0)),""))</f>
        <v/>
      </c>
      <c r="L90" s="28" t="str">
        <f t="shared" si="2"/>
        <v/>
      </c>
    </row>
    <row r="91" spans="1:12" ht="17.25">
      <c r="A91" s="33">
        <v>87</v>
      </c>
      <c r="B91" s="34">
        <v>87</v>
      </c>
      <c r="C91" s="19"/>
      <c r="D91" s="20"/>
      <c r="E91" s="20"/>
      <c r="F91" s="20"/>
      <c r="G91" s="20"/>
      <c r="H91" s="20"/>
      <c r="I91" s="21"/>
      <c r="J91" s="27" t="str">
        <f>IF(I91="","",IFERROR(INDEX(کلاس‌بندی!$E$5:$E$34,MATCH(I91,کلاس‌بندی!$D$5:$D$34,0)),"کد کلاس نامعتبر"))</f>
        <v/>
      </c>
      <c r="K91" s="38" t="str">
        <f>IF(I91="","",IFERROR(INDEX(کلاس‌بندی!$F$5:$F$34,MATCH(I91,کلاس‌بندی!$D$5:$D$34,0)),""))</f>
        <v/>
      </c>
      <c r="L91" s="28" t="str">
        <f t="shared" si="2"/>
        <v/>
      </c>
    </row>
    <row r="92" spans="1:12" ht="17.25">
      <c r="A92" s="33">
        <v>88</v>
      </c>
      <c r="B92" s="34">
        <v>88</v>
      </c>
      <c r="C92" s="19"/>
      <c r="D92" s="20"/>
      <c r="E92" s="20"/>
      <c r="F92" s="20"/>
      <c r="G92" s="20"/>
      <c r="H92" s="20"/>
      <c r="I92" s="21"/>
      <c r="J92" s="27" t="str">
        <f>IF(I92="","",IFERROR(INDEX(کلاس‌بندی!$E$5:$E$34,MATCH(I92,کلاس‌بندی!$D$5:$D$34,0)),"کد کلاس نامعتبر"))</f>
        <v/>
      </c>
      <c r="K92" s="38" t="str">
        <f>IF(I92="","",IFERROR(INDEX(کلاس‌بندی!$F$5:$F$34,MATCH(I92,کلاس‌بندی!$D$5:$D$34,0)),""))</f>
        <v/>
      </c>
      <c r="L92" s="28" t="str">
        <f t="shared" si="2"/>
        <v/>
      </c>
    </row>
    <row r="93" spans="1:12" ht="17.25">
      <c r="A93" s="33">
        <v>89</v>
      </c>
      <c r="B93" s="34">
        <v>89</v>
      </c>
      <c r="C93" s="19"/>
      <c r="D93" s="20"/>
      <c r="E93" s="20"/>
      <c r="F93" s="20"/>
      <c r="G93" s="20"/>
      <c r="H93" s="20"/>
      <c r="I93" s="21"/>
      <c r="J93" s="27" t="str">
        <f>IF(I93="","",IFERROR(INDEX(کلاس‌بندی!$E$5:$E$34,MATCH(I93,کلاس‌بندی!$D$5:$D$34,0)),"کد کلاس نامعتبر"))</f>
        <v/>
      </c>
      <c r="K93" s="38" t="str">
        <f>IF(I93="","",IFERROR(INDEX(کلاس‌بندی!$F$5:$F$34,MATCH(I93,کلاس‌بندی!$D$5:$D$34,0)),""))</f>
        <v/>
      </c>
      <c r="L93" s="28" t="str">
        <f t="shared" si="2"/>
        <v/>
      </c>
    </row>
    <row r="94" spans="1:12" ht="17.25">
      <c r="A94" s="33">
        <v>90</v>
      </c>
      <c r="B94" s="34">
        <v>90</v>
      </c>
      <c r="C94" s="19"/>
      <c r="D94" s="20"/>
      <c r="E94" s="20"/>
      <c r="F94" s="20"/>
      <c r="G94" s="20"/>
      <c r="H94" s="20"/>
      <c r="I94" s="21"/>
      <c r="J94" s="27" t="str">
        <f>IF(I94="","",IFERROR(INDEX(کلاس‌بندی!$E$5:$E$34,MATCH(I94,کلاس‌بندی!$D$5:$D$34,0)),"کد کلاس نامعتبر"))</f>
        <v/>
      </c>
      <c r="K94" s="38" t="str">
        <f>IF(I94="","",IFERROR(INDEX(کلاس‌بندی!$F$5:$F$34,MATCH(I94,کلاس‌بندی!$D$5:$D$34,0)),""))</f>
        <v/>
      </c>
      <c r="L94" s="28" t="str">
        <f t="shared" si="2"/>
        <v/>
      </c>
    </row>
    <row r="95" spans="1:12" ht="17.25">
      <c r="A95" s="33">
        <v>91</v>
      </c>
      <c r="B95" s="34">
        <v>91</v>
      </c>
      <c r="C95" s="19"/>
      <c r="D95" s="20"/>
      <c r="E95" s="20"/>
      <c r="F95" s="20"/>
      <c r="G95" s="20"/>
      <c r="H95" s="20"/>
      <c r="I95" s="21"/>
      <c r="J95" s="27" t="str">
        <f>IF(I95="","",IFERROR(INDEX(کلاس‌بندی!$E$5:$E$34,MATCH(I95,کلاس‌بندی!$D$5:$D$34,0)),"کد کلاس نامعتبر"))</f>
        <v/>
      </c>
      <c r="K95" s="38" t="str">
        <f>IF(I95="","",IFERROR(INDEX(کلاس‌بندی!$F$5:$F$34,MATCH(I95,کلاس‌بندی!$D$5:$D$34,0)),""))</f>
        <v/>
      </c>
      <c r="L95" s="28" t="str">
        <f t="shared" si="2"/>
        <v/>
      </c>
    </row>
    <row r="96" spans="1:12" ht="17.25">
      <c r="A96" s="33">
        <v>92</v>
      </c>
      <c r="B96" s="34">
        <v>92</v>
      </c>
      <c r="C96" s="19"/>
      <c r="D96" s="20"/>
      <c r="E96" s="20"/>
      <c r="F96" s="20"/>
      <c r="G96" s="20"/>
      <c r="H96" s="20"/>
      <c r="I96" s="21"/>
      <c r="J96" s="27" t="str">
        <f>IF(I96="","",IFERROR(INDEX(کلاس‌بندی!$E$5:$E$34,MATCH(I96,کلاس‌بندی!$D$5:$D$34,0)),"کد کلاس نامعتبر"))</f>
        <v/>
      </c>
      <c r="K96" s="38" t="str">
        <f>IF(I96="","",IFERROR(INDEX(کلاس‌بندی!$F$5:$F$34,MATCH(I96,کلاس‌بندی!$D$5:$D$34,0)),""))</f>
        <v/>
      </c>
      <c r="L96" s="28" t="str">
        <f t="shared" si="2"/>
        <v/>
      </c>
    </row>
    <row r="97" spans="1:12" ht="17.25">
      <c r="A97" s="33">
        <v>93</v>
      </c>
      <c r="B97" s="34">
        <v>93</v>
      </c>
      <c r="C97" s="19"/>
      <c r="D97" s="20"/>
      <c r="E97" s="20"/>
      <c r="F97" s="20"/>
      <c r="G97" s="20"/>
      <c r="H97" s="20"/>
      <c r="I97" s="21"/>
      <c r="J97" s="27" t="str">
        <f>IF(I97="","",IFERROR(INDEX(کلاس‌بندی!$E$5:$E$34,MATCH(I97,کلاس‌بندی!$D$5:$D$34,0)),"کد کلاس نامعتبر"))</f>
        <v/>
      </c>
      <c r="K97" s="38" t="str">
        <f>IF(I97="","",IFERROR(INDEX(کلاس‌بندی!$F$5:$F$34,MATCH(I97,کلاس‌بندی!$D$5:$D$34,0)),""))</f>
        <v/>
      </c>
      <c r="L97" s="28" t="str">
        <f t="shared" si="2"/>
        <v/>
      </c>
    </row>
    <row r="98" spans="1:12" ht="17.25">
      <c r="A98" s="33">
        <v>94</v>
      </c>
      <c r="B98" s="34">
        <v>94</v>
      </c>
      <c r="C98" s="19"/>
      <c r="D98" s="20"/>
      <c r="E98" s="20"/>
      <c r="F98" s="20"/>
      <c r="G98" s="20"/>
      <c r="H98" s="20"/>
      <c r="I98" s="21"/>
      <c r="J98" s="27" t="str">
        <f>IF(I98="","",IFERROR(INDEX(کلاس‌بندی!$E$5:$E$34,MATCH(I98,کلاس‌بندی!$D$5:$D$34,0)),"کد کلاس نامعتبر"))</f>
        <v/>
      </c>
      <c r="K98" s="38" t="str">
        <f>IF(I98="","",IFERROR(INDEX(کلاس‌بندی!$F$5:$F$34,MATCH(I98,کلاس‌بندی!$D$5:$D$34,0)),""))</f>
        <v/>
      </c>
      <c r="L98" s="28" t="str">
        <f t="shared" si="2"/>
        <v/>
      </c>
    </row>
    <row r="99" spans="1:12" ht="17.25">
      <c r="A99" s="33">
        <v>95</v>
      </c>
      <c r="B99" s="34">
        <v>95</v>
      </c>
      <c r="C99" s="19"/>
      <c r="D99" s="20"/>
      <c r="E99" s="20"/>
      <c r="F99" s="20"/>
      <c r="G99" s="20"/>
      <c r="H99" s="20"/>
      <c r="I99" s="21"/>
      <c r="J99" s="27" t="str">
        <f>IF(I99="","",IFERROR(INDEX(کلاس‌بندی!$E$5:$E$34,MATCH(I99,کلاس‌بندی!$D$5:$D$34,0)),"کد کلاس نامعتبر"))</f>
        <v/>
      </c>
      <c r="K99" s="38" t="str">
        <f>IF(I99="","",IFERROR(INDEX(کلاس‌بندی!$F$5:$F$34,MATCH(I99,کلاس‌بندی!$D$5:$D$34,0)),""))</f>
        <v/>
      </c>
      <c r="L99" s="28" t="str">
        <f t="shared" si="2"/>
        <v/>
      </c>
    </row>
    <row r="100" spans="1:12" ht="17.25">
      <c r="A100" s="33">
        <v>96</v>
      </c>
      <c r="B100" s="34">
        <v>96</v>
      </c>
      <c r="C100" s="19"/>
      <c r="D100" s="20"/>
      <c r="E100" s="20"/>
      <c r="F100" s="20"/>
      <c r="G100" s="20"/>
      <c r="H100" s="20"/>
      <c r="I100" s="21"/>
      <c r="J100" s="27" t="str">
        <f>IF(I100="","",IFERROR(INDEX(کلاس‌بندی!$E$5:$E$34,MATCH(I100,کلاس‌بندی!$D$5:$D$34,0)),"کد کلاس نامعتبر"))</f>
        <v/>
      </c>
      <c r="K100" s="38" t="str">
        <f>IF(I100="","",IFERROR(INDEX(کلاس‌بندی!$F$5:$F$34,MATCH(I100,کلاس‌بندی!$D$5:$D$34,0)),""))</f>
        <v/>
      </c>
      <c r="L100" s="28" t="str">
        <f t="shared" si="2"/>
        <v/>
      </c>
    </row>
    <row r="101" spans="1:12" ht="17.25">
      <c r="A101" s="33">
        <v>97</v>
      </c>
      <c r="B101" s="34">
        <v>97</v>
      </c>
      <c r="C101" s="19"/>
      <c r="D101" s="20"/>
      <c r="E101" s="20"/>
      <c r="F101" s="20"/>
      <c r="G101" s="20"/>
      <c r="H101" s="20"/>
      <c r="I101" s="21"/>
      <c r="J101" s="27" t="str">
        <f>IF(I101="","",IFERROR(INDEX(کلاس‌بندی!$E$5:$E$34,MATCH(I101,کلاس‌بندی!$D$5:$D$34,0)),"کد کلاس نامعتبر"))</f>
        <v/>
      </c>
      <c r="K101" s="38" t="str">
        <f>IF(I101="","",IFERROR(INDEX(کلاس‌بندی!$F$5:$F$34,MATCH(I101,کلاس‌بندی!$D$5:$D$34,0)),""))</f>
        <v/>
      </c>
      <c r="L101" s="28" t="str">
        <f t="shared" si="2"/>
        <v/>
      </c>
    </row>
    <row r="102" spans="1:12" ht="17.25">
      <c r="A102" s="33">
        <v>98</v>
      </c>
      <c r="B102" s="34">
        <v>98</v>
      </c>
      <c r="C102" s="19"/>
      <c r="D102" s="20"/>
      <c r="E102" s="20"/>
      <c r="F102" s="20"/>
      <c r="G102" s="20"/>
      <c r="H102" s="20"/>
      <c r="I102" s="21"/>
      <c r="J102" s="27" t="str">
        <f>IF(I102="","",IFERROR(INDEX(کلاس‌بندی!$E$5:$E$34,MATCH(I102,کلاس‌بندی!$D$5:$D$34,0)),"کد کلاس نامعتبر"))</f>
        <v/>
      </c>
      <c r="K102" s="38" t="str">
        <f>IF(I102="","",IFERROR(INDEX(کلاس‌بندی!$F$5:$F$34,MATCH(I102,کلاس‌بندی!$D$5:$D$34,0)),""))</f>
        <v/>
      </c>
      <c r="L102" s="28" t="str">
        <f t="shared" si="2"/>
        <v/>
      </c>
    </row>
    <row r="103" spans="1:12" ht="17.25">
      <c r="A103" s="33">
        <v>99</v>
      </c>
      <c r="B103" s="34">
        <v>99</v>
      </c>
      <c r="C103" s="19"/>
      <c r="D103" s="20"/>
      <c r="E103" s="20"/>
      <c r="F103" s="20"/>
      <c r="G103" s="20"/>
      <c r="H103" s="20"/>
      <c r="I103" s="21"/>
      <c r="J103" s="27" t="str">
        <f>IF(I103="","",IFERROR(INDEX(کلاس‌بندی!$E$5:$E$34,MATCH(I103,کلاس‌بندی!$D$5:$D$34,0)),"کد کلاس نامعتبر"))</f>
        <v/>
      </c>
      <c r="K103" s="38" t="str">
        <f>IF(I103="","",IFERROR(INDEX(کلاس‌بندی!$F$5:$F$34,MATCH(I103,کلاس‌بندی!$D$5:$D$34,0)),""))</f>
        <v/>
      </c>
      <c r="L103" s="28" t="str">
        <f t="shared" si="2"/>
        <v/>
      </c>
    </row>
    <row r="104" spans="1:12" ht="17.25">
      <c r="A104" s="35">
        <v>100</v>
      </c>
      <c r="B104" s="36">
        <v>100</v>
      </c>
      <c r="C104" s="22"/>
      <c r="D104" s="23"/>
      <c r="E104" s="23"/>
      <c r="F104" s="23"/>
      <c r="G104" s="23"/>
      <c r="H104" s="23"/>
      <c r="I104" s="24"/>
      <c r="J104" s="29" t="str">
        <f>IF(I104="","",IFERROR(INDEX(کلاس‌بندی!$E$5:$E$34,MATCH(I104,کلاس‌بندی!$D$5:$D$34,0)),"کد کلاس نامعتبر"))</f>
        <v/>
      </c>
      <c r="K104" s="39" t="str">
        <f>IF(I104="","",IFERROR(INDEX(کلاس‌بندی!$F$5:$F$34,MATCH(I104,کلاس‌بندی!$D$5:$D$34,0)),""))</f>
        <v/>
      </c>
      <c r="L104" s="30" t="str">
        <f t="shared" si="2"/>
        <v/>
      </c>
    </row>
  </sheetData>
  <mergeCells count="2">
    <mergeCell ref="A1:L1"/>
    <mergeCell ref="A2:L2"/>
  </mergeCells>
  <dataValidations count="1">
    <dataValidation type="list" sqref="G5:G104" xr:uid="{00000000-0002-0000-0200-000000000000}">
      <formula1>"دختر,پسر"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1000000}">
          <x14:formula1>
            <xm:f>کلاس‌بندی!$D$5:$D$34</xm:f>
          </x14:formula1>
          <xm:sqref>I5:I104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showGridLines="0" workbookViewId="0"/>
  </sheetViews>
  <sheetFormatPr defaultRowHeight="14.25"/>
  <cols>
    <col min="1" max="6" width="18" customWidth="1"/>
  </cols>
  <sheetData>
    <row r="1" spans="1:6" ht="32.1" customHeight="1">
      <c r="A1" s="71" t="s">
        <v>59</v>
      </c>
      <c r="B1" s="72"/>
      <c r="C1" s="72"/>
      <c r="D1" s="72"/>
      <c r="E1" s="72"/>
      <c r="F1" s="72"/>
    </row>
    <row r="2" spans="1:6" ht="32.1" customHeight="1">
      <c r="A2" s="73" t="s">
        <v>60</v>
      </c>
      <c r="B2" s="72"/>
      <c r="C2" s="72"/>
      <c r="D2" s="72"/>
      <c r="E2" s="72"/>
      <c r="F2" s="72"/>
    </row>
    <row r="3" spans="1:6" ht="21">
      <c r="A3" s="69"/>
      <c r="B3" s="69"/>
      <c r="C3" s="69"/>
      <c r="D3" s="69"/>
      <c r="E3" s="69"/>
      <c r="F3" s="69"/>
    </row>
    <row r="4" spans="1:6" ht="42" customHeight="1">
      <c r="A4" s="1" t="s">
        <v>61</v>
      </c>
      <c r="B4" s="2" t="s">
        <v>62</v>
      </c>
      <c r="C4" s="2" t="s">
        <v>63</v>
      </c>
      <c r="D4" s="2" t="s">
        <v>64</v>
      </c>
      <c r="E4" s="2" t="s">
        <v>65</v>
      </c>
      <c r="F4" s="3" t="s">
        <v>66</v>
      </c>
    </row>
    <row r="5" spans="1:6" ht="17.25">
      <c r="A5" s="40" t="s">
        <v>67</v>
      </c>
      <c r="B5" s="41" t="s">
        <v>68</v>
      </c>
      <c r="C5" s="41">
        <v>20</v>
      </c>
      <c r="D5" s="41">
        <v>8</v>
      </c>
      <c r="E5" s="41" t="s">
        <v>69</v>
      </c>
      <c r="F5" s="42" t="s">
        <v>70</v>
      </c>
    </row>
    <row r="6" spans="1:6" ht="17.25">
      <c r="A6" s="43" t="s">
        <v>71</v>
      </c>
      <c r="B6" s="44" t="s">
        <v>72</v>
      </c>
      <c r="C6" s="44">
        <v>15</v>
      </c>
      <c r="D6" s="44">
        <v>5</v>
      </c>
      <c r="E6" s="44" t="s">
        <v>73</v>
      </c>
      <c r="F6" s="45" t="s">
        <v>74</v>
      </c>
    </row>
    <row r="7" spans="1:6" ht="17.25">
      <c r="A7" s="43" t="s">
        <v>75</v>
      </c>
      <c r="B7" s="44" t="s">
        <v>76</v>
      </c>
      <c r="C7" s="44">
        <v>15</v>
      </c>
      <c r="D7" s="44">
        <v>2</v>
      </c>
      <c r="E7" s="44" t="s">
        <v>77</v>
      </c>
      <c r="F7" s="45" t="s">
        <v>78</v>
      </c>
    </row>
    <row r="8" spans="1:6" ht="17.25">
      <c r="A8" s="43" t="s">
        <v>79</v>
      </c>
      <c r="B8" s="44" t="s">
        <v>80</v>
      </c>
      <c r="C8" s="44">
        <v>15</v>
      </c>
      <c r="D8" s="44">
        <v>5</v>
      </c>
      <c r="E8" s="44" t="s">
        <v>81</v>
      </c>
      <c r="F8" s="45" t="s">
        <v>82</v>
      </c>
    </row>
    <row r="9" spans="1:6" ht="17.25">
      <c r="A9" s="43" t="s">
        <v>83</v>
      </c>
      <c r="B9" s="44" t="s">
        <v>84</v>
      </c>
      <c r="C9" s="44">
        <v>7</v>
      </c>
      <c r="D9" s="44">
        <v>3</v>
      </c>
      <c r="E9" s="44" t="s">
        <v>85</v>
      </c>
      <c r="F9" s="45" t="s">
        <v>86</v>
      </c>
    </row>
    <row r="10" spans="1:6" ht="17.25">
      <c r="A10" s="43" t="s">
        <v>87</v>
      </c>
      <c r="B10" s="44" t="s">
        <v>88</v>
      </c>
      <c r="C10" s="44">
        <v>8</v>
      </c>
      <c r="D10" s="44">
        <v>6</v>
      </c>
      <c r="E10" s="44" t="s">
        <v>89</v>
      </c>
      <c r="F10" s="45" t="s">
        <v>90</v>
      </c>
    </row>
    <row r="11" spans="1:6" ht="17.25">
      <c r="A11" s="43" t="s">
        <v>91</v>
      </c>
      <c r="B11" s="44" t="s">
        <v>92</v>
      </c>
      <c r="C11" s="44">
        <v>7</v>
      </c>
      <c r="D11" s="44">
        <v>7</v>
      </c>
      <c r="E11" s="44" t="s">
        <v>93</v>
      </c>
      <c r="F11" s="45" t="s">
        <v>94</v>
      </c>
    </row>
    <row r="12" spans="1:6" ht="17.25">
      <c r="A12" s="43" t="s">
        <v>95</v>
      </c>
      <c r="B12" s="44" t="s">
        <v>96</v>
      </c>
      <c r="C12" s="44">
        <v>6</v>
      </c>
      <c r="D12" s="44">
        <v>7</v>
      </c>
      <c r="E12" s="44" t="s">
        <v>97</v>
      </c>
      <c r="F12" s="45" t="s">
        <v>98</v>
      </c>
    </row>
    <row r="13" spans="1:6" ht="17.25">
      <c r="A13" s="46" t="s">
        <v>99</v>
      </c>
      <c r="B13" s="47" t="s">
        <v>100</v>
      </c>
      <c r="C13" s="47">
        <v>7</v>
      </c>
      <c r="D13" s="47">
        <v>3</v>
      </c>
      <c r="E13" s="47" t="s">
        <v>101</v>
      </c>
      <c r="F13" s="48" t="s">
        <v>102</v>
      </c>
    </row>
    <row r="14" spans="1:6" ht="21">
      <c r="A14" s="69"/>
      <c r="B14" s="69"/>
      <c r="C14" s="69"/>
      <c r="D14" s="69"/>
      <c r="E14" s="69"/>
      <c r="F14" s="69"/>
    </row>
    <row r="15" spans="1:6" ht="21">
      <c r="A15" s="49" t="s">
        <v>103</v>
      </c>
      <c r="B15" s="49"/>
      <c r="C15" s="49">
        <f>SUM(C5:C13)</f>
        <v>100</v>
      </c>
      <c r="D15" s="49"/>
      <c r="E15" s="49"/>
      <c r="F15" s="49"/>
    </row>
  </sheetData>
  <mergeCells count="2">
    <mergeCell ref="A1:F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showGridLines="0" workbookViewId="0"/>
  </sheetViews>
  <sheetFormatPr defaultRowHeight="14.25"/>
  <cols>
    <col min="1" max="1" width="8" customWidth="1"/>
    <col min="2" max="2" width="20" customWidth="1"/>
    <col min="3" max="4" width="55" customWidth="1"/>
  </cols>
  <sheetData>
    <row r="1" spans="1:4" ht="32.1" customHeight="1">
      <c r="A1" s="71" t="s">
        <v>104</v>
      </c>
      <c r="B1" s="72"/>
      <c r="C1" s="72"/>
      <c r="D1" s="72"/>
    </row>
    <row r="2" spans="1:4" ht="32.1" customHeight="1">
      <c r="A2" s="73" t="s">
        <v>105</v>
      </c>
      <c r="B2" s="72"/>
      <c r="C2" s="72"/>
      <c r="D2" s="72"/>
    </row>
    <row r="3" spans="1:4" ht="21">
      <c r="A3" s="69"/>
      <c r="B3" s="69"/>
      <c r="C3" s="69"/>
      <c r="D3" s="69"/>
    </row>
    <row r="4" spans="1:4" ht="42" customHeight="1">
      <c r="A4" s="1" t="s">
        <v>40</v>
      </c>
      <c r="B4" s="2" t="s">
        <v>106</v>
      </c>
      <c r="C4" s="2" t="s">
        <v>107</v>
      </c>
      <c r="D4" s="3" t="s">
        <v>108</v>
      </c>
    </row>
    <row r="5" spans="1:4" ht="17.25">
      <c r="A5" s="4">
        <v>1</v>
      </c>
      <c r="B5" s="5" t="s">
        <v>68</v>
      </c>
      <c r="C5" s="5" t="s">
        <v>109</v>
      </c>
      <c r="D5" s="6" t="s">
        <v>110</v>
      </c>
    </row>
    <row r="6" spans="1:4" ht="17.25">
      <c r="A6" s="7">
        <v>2</v>
      </c>
      <c r="B6" s="8" t="s">
        <v>72</v>
      </c>
      <c r="C6" s="8" t="s">
        <v>111</v>
      </c>
      <c r="D6" s="9" t="s">
        <v>110</v>
      </c>
    </row>
    <row r="7" spans="1:4" ht="17.25">
      <c r="A7" s="7">
        <v>3</v>
      </c>
      <c r="B7" s="8" t="s">
        <v>76</v>
      </c>
      <c r="C7" s="8" t="s">
        <v>112</v>
      </c>
      <c r="D7" s="9" t="s">
        <v>110</v>
      </c>
    </row>
    <row r="8" spans="1:4" ht="17.25">
      <c r="A8" s="7">
        <v>4</v>
      </c>
      <c r="B8" s="8" t="s">
        <v>80</v>
      </c>
      <c r="C8" s="8" t="s">
        <v>113</v>
      </c>
      <c r="D8" s="9" t="s">
        <v>110</v>
      </c>
    </row>
    <row r="9" spans="1:4" ht="17.25">
      <c r="A9" s="7">
        <v>5</v>
      </c>
      <c r="B9" s="8" t="s">
        <v>84</v>
      </c>
      <c r="C9" s="8" t="s">
        <v>114</v>
      </c>
      <c r="D9" s="9" t="s">
        <v>110</v>
      </c>
    </row>
    <row r="10" spans="1:4" ht="17.25">
      <c r="A10" s="7">
        <v>6</v>
      </c>
      <c r="B10" s="8" t="s">
        <v>88</v>
      </c>
      <c r="C10" s="8" t="s">
        <v>115</v>
      </c>
      <c r="D10" s="9" t="s">
        <v>110</v>
      </c>
    </row>
    <row r="11" spans="1:4" ht="17.25">
      <c r="A11" s="7">
        <v>7</v>
      </c>
      <c r="B11" s="8" t="s">
        <v>92</v>
      </c>
      <c r="C11" s="8" t="s">
        <v>116</v>
      </c>
      <c r="D11" s="9" t="s">
        <v>110</v>
      </c>
    </row>
    <row r="12" spans="1:4" ht="17.25">
      <c r="A12" s="7">
        <v>8</v>
      </c>
      <c r="B12" s="8" t="s">
        <v>96</v>
      </c>
      <c r="C12" s="8" t="s">
        <v>117</v>
      </c>
      <c r="D12" s="9" t="s">
        <v>110</v>
      </c>
    </row>
    <row r="13" spans="1:4" ht="17.25">
      <c r="A13" s="10">
        <v>9</v>
      </c>
      <c r="B13" s="11" t="s">
        <v>100</v>
      </c>
      <c r="C13" s="11" t="s">
        <v>118</v>
      </c>
      <c r="D13" s="12" t="s">
        <v>110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CP1204"/>
  <sheetViews>
    <sheetView showGridLines="0" workbookViewId="0">
      <pane xSplit="5" ySplit="4" topLeftCell="H43" activePane="bottomRight" state="frozen"/>
      <selection pane="topRight" activeCell="F1" sqref="F1"/>
      <selection pane="bottomLeft" activeCell="A5" sqref="A5"/>
      <selection pane="bottomRight" activeCell="H379" sqref="H379"/>
    </sheetView>
  </sheetViews>
  <sheetFormatPr defaultRowHeight="14.25"/>
  <cols>
    <col min="1" max="1" width="8" customWidth="1"/>
    <col min="2" max="2" width="12" customWidth="1"/>
    <col min="3" max="4" width="15" customWidth="1"/>
    <col min="5" max="5" width="24" customWidth="1"/>
    <col min="6" max="6" width="15" customWidth="1"/>
    <col min="7" max="52" width="18" customWidth="1"/>
    <col min="53" max="80" width="1" customWidth="1"/>
    <col min="81" max="89" width="17" customWidth="1"/>
    <col min="90" max="93" width="18" customWidth="1"/>
    <col min="94" max="94" width="38" customWidth="1"/>
  </cols>
  <sheetData>
    <row r="1" spans="1:94" ht="32.1" customHeight="1">
      <c r="A1" s="71" t="s">
        <v>119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</row>
    <row r="2" spans="1:94" ht="32.1" customHeight="1">
      <c r="A2" s="73" t="s">
        <v>120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/>
      <c r="CJ2" s="72"/>
      <c r="CK2" s="72"/>
      <c r="CL2" s="72"/>
      <c r="CM2" s="72"/>
      <c r="CN2" s="72"/>
      <c r="CO2" s="72"/>
      <c r="CP2" s="72"/>
    </row>
    <row r="3" spans="1:94" ht="21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69"/>
      <c r="BW3" s="69"/>
      <c r="BX3" s="69"/>
      <c r="BY3" s="69"/>
      <c r="BZ3" s="69"/>
      <c r="CA3" s="69"/>
      <c r="CB3" s="69"/>
      <c r="CC3" s="69"/>
      <c r="CD3" s="69"/>
      <c r="CE3" s="69"/>
      <c r="CF3" s="69"/>
      <c r="CG3" s="69"/>
      <c r="CH3" s="69"/>
      <c r="CI3" s="69"/>
      <c r="CJ3" s="69"/>
      <c r="CK3" s="69"/>
      <c r="CL3" s="69"/>
      <c r="CM3" s="69"/>
      <c r="CN3" s="69"/>
      <c r="CO3" s="69"/>
      <c r="CP3" s="69"/>
    </row>
    <row r="4" spans="1:94" ht="42" customHeight="1">
      <c r="A4" s="50" t="s">
        <v>40</v>
      </c>
      <c r="B4" s="51" t="s">
        <v>121</v>
      </c>
      <c r="C4" s="51" t="s">
        <v>50</v>
      </c>
      <c r="D4" s="51" t="s">
        <v>51</v>
      </c>
      <c r="E4" s="51" t="s">
        <v>122</v>
      </c>
      <c r="F4" s="51" t="s">
        <v>43</v>
      </c>
      <c r="G4" s="2" t="s">
        <v>123</v>
      </c>
      <c r="H4" s="2" t="s">
        <v>124</v>
      </c>
      <c r="I4" s="2" t="s">
        <v>125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132</v>
      </c>
      <c r="Q4" s="2" t="s">
        <v>133</v>
      </c>
      <c r="R4" s="2" t="s">
        <v>134</v>
      </c>
      <c r="S4" s="2" t="s">
        <v>135</v>
      </c>
      <c r="T4" s="2" t="s">
        <v>136</v>
      </c>
      <c r="U4" s="2" t="s">
        <v>137</v>
      </c>
      <c r="V4" s="2" t="s">
        <v>138</v>
      </c>
      <c r="W4" s="2" t="s">
        <v>139</v>
      </c>
      <c r="X4" s="2" t="s">
        <v>140</v>
      </c>
      <c r="Y4" s="2" t="s">
        <v>141</v>
      </c>
      <c r="Z4" s="2" t="s">
        <v>142</v>
      </c>
      <c r="AA4" s="2" t="s">
        <v>143</v>
      </c>
      <c r="AB4" s="2" t="s">
        <v>144</v>
      </c>
      <c r="AC4" s="2" t="s">
        <v>145</v>
      </c>
      <c r="AD4" s="2" t="s">
        <v>146</v>
      </c>
      <c r="AE4" s="2" t="s">
        <v>147</v>
      </c>
      <c r="AF4" s="2" t="s">
        <v>148</v>
      </c>
      <c r="AG4" s="2" t="s">
        <v>149</v>
      </c>
      <c r="AH4" s="2" t="s">
        <v>150</v>
      </c>
      <c r="AI4" s="2" t="s">
        <v>151</v>
      </c>
      <c r="AJ4" s="2" t="s">
        <v>152</v>
      </c>
      <c r="AK4" s="2" t="s">
        <v>153</v>
      </c>
      <c r="AL4" s="2" t="s">
        <v>154</v>
      </c>
      <c r="AM4" s="2" t="s">
        <v>155</v>
      </c>
      <c r="AN4" s="2" t="s">
        <v>156</v>
      </c>
      <c r="AO4" s="2" t="s">
        <v>157</v>
      </c>
      <c r="AP4" s="2" t="s">
        <v>158</v>
      </c>
      <c r="AQ4" s="2" t="s">
        <v>159</v>
      </c>
      <c r="AR4" s="2" t="s">
        <v>160</v>
      </c>
      <c r="AS4" s="2" t="s">
        <v>161</v>
      </c>
      <c r="AT4" s="2" t="s">
        <v>162</v>
      </c>
      <c r="AU4" s="2" t="s">
        <v>163</v>
      </c>
      <c r="AV4" s="2" t="s">
        <v>164</v>
      </c>
      <c r="AW4" s="2" t="s">
        <v>165</v>
      </c>
      <c r="AX4" s="2" t="s">
        <v>166</v>
      </c>
      <c r="AY4" s="2" t="s">
        <v>167</v>
      </c>
      <c r="AZ4" s="2" t="s">
        <v>168</v>
      </c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52" t="s">
        <v>169</v>
      </c>
      <c r="CD4" s="52" t="s">
        <v>170</v>
      </c>
      <c r="CE4" s="52" t="s">
        <v>171</v>
      </c>
      <c r="CF4" s="52" t="s">
        <v>172</v>
      </c>
      <c r="CG4" s="52" t="s">
        <v>173</v>
      </c>
      <c r="CH4" s="52" t="s">
        <v>174</v>
      </c>
      <c r="CI4" s="52" t="s">
        <v>175</v>
      </c>
      <c r="CJ4" s="52" t="s">
        <v>176</v>
      </c>
      <c r="CK4" s="52" t="s">
        <v>177</v>
      </c>
      <c r="CL4" s="52" t="s">
        <v>178</v>
      </c>
      <c r="CM4" s="52" t="s">
        <v>179</v>
      </c>
      <c r="CN4" s="52" t="s">
        <v>180</v>
      </c>
      <c r="CO4" s="52" t="s">
        <v>181</v>
      </c>
      <c r="CP4" s="53" t="s">
        <v>182</v>
      </c>
    </row>
    <row r="5" spans="1:94" ht="17.25" hidden="1">
      <c r="A5" s="31">
        <v>1</v>
      </c>
      <c r="B5" s="54" t="s">
        <v>183</v>
      </c>
      <c r="C5" s="54">
        <f>IF(دانش‌آموزان!E5="","",دانش‌آموزان!B5)</f>
        <v>1</v>
      </c>
      <c r="D5" s="54" t="str">
        <f>IF(دانش‌آموزان!C5="","",دانش‌آموزان!C5)</f>
        <v>0960326367</v>
      </c>
      <c r="E5" s="54" t="str">
        <f>IF(دانش‌آموزان!E5="","",دانش‌آموزان!E5&amp;" "&amp;دانش‌آموزان!F5)</f>
        <v>نيما اسكندري تربقان</v>
      </c>
      <c r="F5" s="32">
        <f>IF(دانش‌آموزان!I5="","",دانش‌آموزان!I5)</f>
        <v>901</v>
      </c>
      <c r="G5" s="16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8"/>
      <c r="CC5" s="25" t="str">
        <f t="shared" ref="CC5:CC68" si="0">IF(COUNT(G5:N5)=0,"",AVERAGE(G5:N5)*4)</f>
        <v/>
      </c>
      <c r="CD5" s="37" t="str">
        <f t="shared" ref="CD5:CD68" si="1">IF(COUNT(O5:S5)=0,"",AVERAGE(O5:S5)*4)</f>
        <v/>
      </c>
      <c r="CE5" s="37" t="str">
        <f t="shared" ref="CE5:CE68" si="2">IF(COUNT(T5:U5)=0,"",AVERAGE(T5:U5)*4)</f>
        <v/>
      </c>
      <c r="CF5" s="37" t="str">
        <f t="shared" ref="CF5:CF68" si="3">IF(COUNT(V5:Z5)=0,"",AVERAGE(V5:Z5)*4)</f>
        <v/>
      </c>
      <c r="CG5" s="37" t="str">
        <f t="shared" ref="CG5:CG68" si="4">IF(COUNT(AA5:AC5)=0,"",AVERAGE(AA5:AC5)*4)</f>
        <v/>
      </c>
      <c r="CH5" s="37" t="str">
        <f t="shared" ref="CH5:CH68" si="5">IF(COUNT(AD5:AI5)=0,"",AVERAGE(AD5:AI5)*4)</f>
        <v/>
      </c>
      <c r="CI5" s="37" t="str">
        <f t="shared" ref="CI5:CI68" si="6">IF(COUNT(AJ5:AP5)=0,"",AVERAGE(AJ5:AP5)*4)</f>
        <v/>
      </c>
      <c r="CJ5" s="37" t="str">
        <f t="shared" ref="CJ5:CJ68" si="7">IF(COUNT(AQ5:AW5)=0,"",AVERAGE(AQ5:AW5)*4)</f>
        <v/>
      </c>
      <c r="CK5" s="37" t="str">
        <f t="shared" ref="CK5:CK68" si="8">IF(COUNT(AX5:AZ5)=0,"",AVERAGE(AX5:AZ5)*4)</f>
        <v/>
      </c>
      <c r="CL5" s="37" t="str">
        <f>IF(C5="","",IF(COUNT(G5:AZ5)&lt;46,"",SUMPRODUCT(CC5:CK5,'تنظیمات وزن‌دهی'!$C$5:$C$13)/100))</f>
        <v/>
      </c>
      <c r="CM5" s="37" t="str">
        <f t="shared" ref="CM5:CM68" si="9">IF(C5="","",IF(COUNT(G5:AZ5)=0,"",IF(COUNT(G5:AZ5)&lt;46,"موقت - اطلاعات ناقص",IF(CL5&gt;=17,"عالی",IF(CL5&gt;=14,"خوب",IF(CL5&gt;=10,"متوسط","ضعیف"))))))</f>
        <v/>
      </c>
      <c r="CN5" s="37">
        <v>1</v>
      </c>
      <c r="CO5" s="26">
        <f t="shared" ref="CO5:CO68" si="10">IF(C5="","",COUNT(G5:AZ5)/46)</f>
        <v>0</v>
      </c>
      <c r="CP5" s="57"/>
    </row>
    <row r="6" spans="1:94" ht="17.25" hidden="1">
      <c r="A6" s="33">
        <v>2</v>
      </c>
      <c r="B6" s="55" t="s">
        <v>184</v>
      </c>
      <c r="C6" s="55">
        <f>IF(دانش‌آموزان!E5="","",دانش‌آموزان!B5)</f>
        <v>1</v>
      </c>
      <c r="D6" s="55" t="str">
        <f>IF(دانش‌آموزان!C5="","",دانش‌آموزان!C5)</f>
        <v>0960326367</v>
      </c>
      <c r="E6" s="55" t="str">
        <f>IF(دانش‌آموزان!E5="","",دانش‌آموزان!E5&amp;" "&amp;دانش‌آموزان!F5)</f>
        <v>نيما اسكندري تربقان</v>
      </c>
      <c r="F6" s="34">
        <f>IF(دانش‌آموزان!I5="","",دانش‌آموزان!I5)</f>
        <v>901</v>
      </c>
      <c r="G6" s="19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1"/>
      <c r="CC6" s="27" t="str">
        <f t="shared" si="0"/>
        <v/>
      </c>
      <c r="CD6" s="38" t="str">
        <f t="shared" si="1"/>
        <v/>
      </c>
      <c r="CE6" s="38" t="str">
        <f t="shared" si="2"/>
        <v/>
      </c>
      <c r="CF6" s="38" t="str">
        <f t="shared" si="3"/>
        <v/>
      </c>
      <c r="CG6" s="38" t="str">
        <f t="shared" si="4"/>
        <v/>
      </c>
      <c r="CH6" s="38" t="str">
        <f t="shared" si="5"/>
        <v/>
      </c>
      <c r="CI6" s="38" t="str">
        <f t="shared" si="6"/>
        <v/>
      </c>
      <c r="CJ6" s="38" t="str">
        <f t="shared" si="7"/>
        <v/>
      </c>
      <c r="CK6" s="38" t="str">
        <f t="shared" si="8"/>
        <v/>
      </c>
      <c r="CL6" s="38" t="str">
        <f>IF(C6="","",IF(COUNT(G6:AZ6)&lt;46,"",SUMPRODUCT(CC6:CK6,'تنظیمات وزن‌دهی'!$C$5:$C$13)/100))</f>
        <v/>
      </c>
      <c r="CM6" s="38" t="str">
        <f t="shared" si="9"/>
        <v/>
      </c>
      <c r="CN6" s="38">
        <v>2</v>
      </c>
      <c r="CO6" s="28">
        <f t="shared" si="10"/>
        <v>0</v>
      </c>
      <c r="CP6" s="58"/>
    </row>
    <row r="7" spans="1:94" ht="17.25">
      <c r="A7" s="33">
        <v>3</v>
      </c>
      <c r="B7" s="55" t="s">
        <v>185</v>
      </c>
      <c r="C7" s="55">
        <f>IF(دانش‌آموزان!E5="","",دانش‌آموزان!B5)</f>
        <v>1</v>
      </c>
      <c r="D7" s="55" t="str">
        <f>IF(دانش‌آموزان!C5="","",دانش‌آموزان!C5)</f>
        <v>0960326367</v>
      </c>
      <c r="E7" s="55" t="str">
        <f>IF(دانش‌آموزان!E5="","",دانش‌آموزان!E5&amp;" "&amp;دانش‌آموزان!F5)</f>
        <v>نيما اسكندري تربقان</v>
      </c>
      <c r="F7" s="34">
        <f>IF(دانش‌آموزان!I5="","",دانش‌آموزان!I5)</f>
        <v>901</v>
      </c>
      <c r="G7" s="19">
        <v>19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1</v>
      </c>
      <c r="W7" s="20">
        <v>0</v>
      </c>
      <c r="X7" s="20">
        <v>3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20">
        <v>0</v>
      </c>
      <c r="AZ7" s="20">
        <v>0</v>
      </c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1"/>
      <c r="CC7" s="27">
        <f t="shared" si="0"/>
        <v>9.5</v>
      </c>
      <c r="CD7" s="38">
        <f t="shared" si="1"/>
        <v>0</v>
      </c>
      <c r="CE7" s="38">
        <f t="shared" si="2"/>
        <v>0</v>
      </c>
      <c r="CF7" s="38">
        <f t="shared" si="3"/>
        <v>3.2</v>
      </c>
      <c r="CG7" s="38">
        <f t="shared" si="4"/>
        <v>0</v>
      </c>
      <c r="CH7" s="38">
        <f t="shared" si="5"/>
        <v>0</v>
      </c>
      <c r="CI7" s="38">
        <f t="shared" si="6"/>
        <v>0</v>
      </c>
      <c r="CJ7" s="38">
        <f t="shared" si="7"/>
        <v>0</v>
      </c>
      <c r="CK7" s="38">
        <f t="shared" si="8"/>
        <v>0</v>
      </c>
      <c r="CL7" s="38" t="e">
        <f>IF(C7="","",IF(COUNT(G7:AZ7)&lt;46,"",SUMPRODUCT(CC7:CK7,'تنظیمات وزن‌دهی'!$C$5:$C$13)/100))</f>
        <v>#VALUE!</v>
      </c>
      <c r="CM7" s="38" t="e">
        <f t="shared" si="9"/>
        <v>#VALUE!</v>
      </c>
      <c r="CN7" s="38">
        <v>3</v>
      </c>
      <c r="CO7" s="28">
        <f t="shared" si="10"/>
        <v>1</v>
      </c>
      <c r="CP7" s="58"/>
    </row>
    <row r="8" spans="1:94" ht="17.25" hidden="1">
      <c r="A8" s="33">
        <v>4</v>
      </c>
      <c r="B8" s="55" t="s">
        <v>186</v>
      </c>
      <c r="C8" s="55">
        <f>IF(دانش‌آموزان!E5="","",دانش‌آموزان!B5)</f>
        <v>1</v>
      </c>
      <c r="D8" s="55" t="str">
        <f>IF(دانش‌آموزان!C5="","",دانش‌آموزان!C5)</f>
        <v>0960326367</v>
      </c>
      <c r="E8" s="55" t="str">
        <f>IF(دانش‌آموزان!E5="","",دانش‌آموزان!E5&amp;" "&amp;دانش‌آموزان!F5)</f>
        <v>نيما اسكندري تربقان</v>
      </c>
      <c r="F8" s="34">
        <f>IF(دانش‌آموزان!I5="","",دانش‌آموزان!I5)</f>
        <v>901</v>
      </c>
      <c r="G8" s="19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1"/>
      <c r="CC8" s="27" t="str">
        <f t="shared" si="0"/>
        <v/>
      </c>
      <c r="CD8" s="38" t="str">
        <f t="shared" si="1"/>
        <v/>
      </c>
      <c r="CE8" s="38" t="str">
        <f t="shared" si="2"/>
        <v/>
      </c>
      <c r="CF8" s="38" t="str">
        <f t="shared" si="3"/>
        <v/>
      </c>
      <c r="CG8" s="38" t="str">
        <f t="shared" si="4"/>
        <v/>
      </c>
      <c r="CH8" s="38" t="str">
        <f t="shared" si="5"/>
        <v/>
      </c>
      <c r="CI8" s="38" t="str">
        <f t="shared" si="6"/>
        <v/>
      </c>
      <c r="CJ8" s="38" t="str">
        <f t="shared" si="7"/>
        <v/>
      </c>
      <c r="CK8" s="38" t="str">
        <f t="shared" si="8"/>
        <v/>
      </c>
      <c r="CL8" s="38" t="str">
        <f>IF(C8="","",IF(COUNT(G8:AZ8)&lt;46,"",SUMPRODUCT(CC8:CK8,'تنظیمات وزن‌دهی'!$C$5:$C$13)/100))</f>
        <v/>
      </c>
      <c r="CM8" s="38" t="str">
        <f t="shared" si="9"/>
        <v/>
      </c>
      <c r="CN8" s="38">
        <v>4</v>
      </c>
      <c r="CO8" s="28">
        <f t="shared" si="10"/>
        <v>0</v>
      </c>
      <c r="CP8" s="58"/>
    </row>
    <row r="9" spans="1:94" ht="17.25" hidden="1">
      <c r="A9" s="33">
        <v>5</v>
      </c>
      <c r="B9" s="55" t="s">
        <v>187</v>
      </c>
      <c r="C9" s="55">
        <f>IF(دانش‌آموزان!E5="","",دانش‌آموزان!B5)</f>
        <v>1</v>
      </c>
      <c r="D9" s="55" t="str">
        <f>IF(دانش‌آموزان!C5="","",دانش‌آموزان!C5)</f>
        <v>0960326367</v>
      </c>
      <c r="E9" s="55" t="str">
        <f>IF(دانش‌آموزان!E5="","",دانش‌آموزان!E5&amp;" "&amp;دانش‌آموزان!F5)</f>
        <v>نيما اسكندري تربقان</v>
      </c>
      <c r="F9" s="34">
        <f>IF(دانش‌آموزان!I5="","",دانش‌آموزان!I5)</f>
        <v>901</v>
      </c>
      <c r="G9" s="19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1"/>
      <c r="CC9" s="27" t="str">
        <f t="shared" si="0"/>
        <v/>
      </c>
      <c r="CD9" s="38" t="str">
        <f t="shared" si="1"/>
        <v/>
      </c>
      <c r="CE9" s="38" t="str">
        <f t="shared" si="2"/>
        <v/>
      </c>
      <c r="CF9" s="38" t="str">
        <f t="shared" si="3"/>
        <v/>
      </c>
      <c r="CG9" s="38" t="str">
        <f t="shared" si="4"/>
        <v/>
      </c>
      <c r="CH9" s="38" t="str">
        <f t="shared" si="5"/>
        <v/>
      </c>
      <c r="CI9" s="38" t="str">
        <f t="shared" si="6"/>
        <v/>
      </c>
      <c r="CJ9" s="38" t="str">
        <f t="shared" si="7"/>
        <v/>
      </c>
      <c r="CK9" s="38" t="str">
        <f t="shared" si="8"/>
        <v/>
      </c>
      <c r="CL9" s="38" t="str">
        <f>IF(C9="","",IF(COUNT(G9:AZ9)&lt;46,"",SUMPRODUCT(CC9:CK9,'تنظیمات وزن‌دهی'!$C$5:$C$13)/100))</f>
        <v/>
      </c>
      <c r="CM9" s="38" t="str">
        <f t="shared" si="9"/>
        <v/>
      </c>
      <c r="CN9" s="38">
        <v>5</v>
      </c>
      <c r="CO9" s="28">
        <f t="shared" si="10"/>
        <v>0</v>
      </c>
      <c r="CP9" s="58"/>
    </row>
    <row r="10" spans="1:94" ht="17.25" hidden="1">
      <c r="A10" s="33">
        <v>6</v>
      </c>
      <c r="B10" s="55" t="s">
        <v>188</v>
      </c>
      <c r="C10" s="55">
        <f>IF(دانش‌آموزان!E5="","",دانش‌آموزان!B5)</f>
        <v>1</v>
      </c>
      <c r="D10" s="55" t="str">
        <f>IF(دانش‌آموزان!C5="","",دانش‌آموزان!C5)</f>
        <v>0960326367</v>
      </c>
      <c r="E10" s="55" t="str">
        <f>IF(دانش‌آموزان!E5="","",دانش‌آموزان!E5&amp;" "&amp;دانش‌آموزان!F5)</f>
        <v>نيما اسكندري تربقان</v>
      </c>
      <c r="F10" s="34">
        <f>IF(دانش‌آموزان!I5="","",دانش‌آموزان!I5)</f>
        <v>901</v>
      </c>
      <c r="G10" s="19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1"/>
      <c r="CC10" s="27" t="str">
        <f t="shared" si="0"/>
        <v/>
      </c>
      <c r="CD10" s="38" t="str">
        <f t="shared" si="1"/>
        <v/>
      </c>
      <c r="CE10" s="38" t="str">
        <f t="shared" si="2"/>
        <v/>
      </c>
      <c r="CF10" s="38" t="str">
        <f t="shared" si="3"/>
        <v/>
      </c>
      <c r="CG10" s="38" t="str">
        <f t="shared" si="4"/>
        <v/>
      </c>
      <c r="CH10" s="38" t="str">
        <f t="shared" si="5"/>
        <v/>
      </c>
      <c r="CI10" s="38" t="str">
        <f t="shared" si="6"/>
        <v/>
      </c>
      <c r="CJ10" s="38" t="str">
        <f t="shared" si="7"/>
        <v/>
      </c>
      <c r="CK10" s="38" t="str">
        <f t="shared" si="8"/>
        <v/>
      </c>
      <c r="CL10" s="38" t="str">
        <f>IF(C10="","",IF(COUNT(G10:AZ10)&lt;46,"",SUMPRODUCT(CC10:CK10,'تنظیمات وزن‌دهی'!$C$5:$C$13)/100))</f>
        <v/>
      </c>
      <c r="CM10" s="38" t="str">
        <f t="shared" si="9"/>
        <v/>
      </c>
      <c r="CN10" s="38">
        <v>6</v>
      </c>
      <c r="CO10" s="28">
        <f t="shared" si="10"/>
        <v>0</v>
      </c>
      <c r="CP10" s="58"/>
    </row>
    <row r="11" spans="1:94" ht="17.25" hidden="1">
      <c r="A11" s="33">
        <v>7</v>
      </c>
      <c r="B11" s="55" t="s">
        <v>189</v>
      </c>
      <c r="C11" s="55">
        <f>IF(دانش‌آموزان!E5="","",دانش‌آموزان!B5)</f>
        <v>1</v>
      </c>
      <c r="D11" s="55" t="str">
        <f>IF(دانش‌آموزان!C5="","",دانش‌آموزان!C5)</f>
        <v>0960326367</v>
      </c>
      <c r="E11" s="55" t="str">
        <f>IF(دانش‌آموزان!E5="","",دانش‌آموزان!E5&amp;" "&amp;دانش‌آموزان!F5)</f>
        <v>نيما اسكندري تربقان</v>
      </c>
      <c r="F11" s="34">
        <f>IF(دانش‌آموزان!I5="","",دانش‌آموزان!I5)</f>
        <v>901</v>
      </c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1"/>
      <c r="CC11" s="27" t="str">
        <f t="shared" si="0"/>
        <v/>
      </c>
      <c r="CD11" s="38" t="str">
        <f t="shared" si="1"/>
        <v/>
      </c>
      <c r="CE11" s="38" t="str">
        <f t="shared" si="2"/>
        <v/>
      </c>
      <c r="CF11" s="38" t="str">
        <f t="shared" si="3"/>
        <v/>
      </c>
      <c r="CG11" s="38" t="str">
        <f t="shared" si="4"/>
        <v/>
      </c>
      <c r="CH11" s="38" t="str">
        <f t="shared" si="5"/>
        <v/>
      </c>
      <c r="CI11" s="38" t="str">
        <f t="shared" si="6"/>
        <v/>
      </c>
      <c r="CJ11" s="38" t="str">
        <f t="shared" si="7"/>
        <v/>
      </c>
      <c r="CK11" s="38" t="str">
        <f t="shared" si="8"/>
        <v/>
      </c>
      <c r="CL11" s="38" t="str">
        <f>IF(C11="","",IF(COUNT(G11:AZ11)&lt;46,"",SUMPRODUCT(CC11:CK11,'تنظیمات وزن‌دهی'!$C$5:$C$13)/100))</f>
        <v/>
      </c>
      <c r="CM11" s="38" t="str">
        <f t="shared" si="9"/>
        <v/>
      </c>
      <c r="CN11" s="38">
        <v>7</v>
      </c>
      <c r="CO11" s="28">
        <f t="shared" si="10"/>
        <v>0</v>
      </c>
      <c r="CP11" s="58"/>
    </row>
    <row r="12" spans="1:94" ht="17.25" hidden="1">
      <c r="A12" s="33">
        <v>8</v>
      </c>
      <c r="B12" s="55" t="s">
        <v>190</v>
      </c>
      <c r="C12" s="55">
        <f>IF(دانش‌آموزان!E5="","",دانش‌آموزان!B5)</f>
        <v>1</v>
      </c>
      <c r="D12" s="55" t="str">
        <f>IF(دانش‌آموزان!C5="","",دانش‌آموزان!C5)</f>
        <v>0960326367</v>
      </c>
      <c r="E12" s="55" t="str">
        <f>IF(دانش‌آموزان!E5="","",دانش‌آموزان!E5&amp;" "&amp;دانش‌آموزان!F5)</f>
        <v>نيما اسكندري تربقان</v>
      </c>
      <c r="F12" s="34">
        <f>IF(دانش‌آموزان!I5="","",دانش‌آموزان!I5)</f>
        <v>901</v>
      </c>
      <c r="G12" s="1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1"/>
      <c r="CC12" s="27" t="str">
        <f t="shared" si="0"/>
        <v/>
      </c>
      <c r="CD12" s="38" t="str">
        <f t="shared" si="1"/>
        <v/>
      </c>
      <c r="CE12" s="38" t="str">
        <f t="shared" si="2"/>
        <v/>
      </c>
      <c r="CF12" s="38" t="str">
        <f t="shared" si="3"/>
        <v/>
      </c>
      <c r="CG12" s="38" t="str">
        <f t="shared" si="4"/>
        <v/>
      </c>
      <c r="CH12" s="38" t="str">
        <f t="shared" si="5"/>
        <v/>
      </c>
      <c r="CI12" s="38" t="str">
        <f t="shared" si="6"/>
        <v/>
      </c>
      <c r="CJ12" s="38" t="str">
        <f t="shared" si="7"/>
        <v/>
      </c>
      <c r="CK12" s="38" t="str">
        <f t="shared" si="8"/>
        <v/>
      </c>
      <c r="CL12" s="38" t="str">
        <f>IF(C12="","",IF(COUNT(G12:AZ12)&lt;46,"",SUMPRODUCT(CC12:CK12,'تنظیمات وزن‌دهی'!$C$5:$C$13)/100))</f>
        <v/>
      </c>
      <c r="CM12" s="38" t="str">
        <f t="shared" si="9"/>
        <v/>
      </c>
      <c r="CN12" s="38">
        <v>8</v>
      </c>
      <c r="CO12" s="28">
        <f t="shared" si="10"/>
        <v>0</v>
      </c>
      <c r="CP12" s="58"/>
    </row>
    <row r="13" spans="1:94" ht="17.25" hidden="1">
      <c r="A13" s="33">
        <v>9</v>
      </c>
      <c r="B13" s="55" t="s">
        <v>191</v>
      </c>
      <c r="C13" s="55">
        <f>IF(دانش‌آموزان!E5="","",دانش‌آموزان!B5)</f>
        <v>1</v>
      </c>
      <c r="D13" s="55" t="str">
        <f>IF(دانش‌آموزان!C5="","",دانش‌آموزان!C5)</f>
        <v>0960326367</v>
      </c>
      <c r="E13" s="55" t="str">
        <f>IF(دانش‌آموزان!E5="","",دانش‌آموزان!E5&amp;" "&amp;دانش‌آموزان!F5)</f>
        <v>نيما اسكندري تربقان</v>
      </c>
      <c r="F13" s="34">
        <f>IF(دانش‌آموزان!I5="","",دانش‌آموزان!I5)</f>
        <v>901</v>
      </c>
      <c r="G13" s="19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1"/>
      <c r="CC13" s="27" t="str">
        <f t="shared" si="0"/>
        <v/>
      </c>
      <c r="CD13" s="38" t="str">
        <f t="shared" si="1"/>
        <v/>
      </c>
      <c r="CE13" s="38" t="str">
        <f t="shared" si="2"/>
        <v/>
      </c>
      <c r="CF13" s="38" t="str">
        <f t="shared" si="3"/>
        <v/>
      </c>
      <c r="CG13" s="38" t="str">
        <f t="shared" si="4"/>
        <v/>
      </c>
      <c r="CH13" s="38" t="str">
        <f t="shared" si="5"/>
        <v/>
      </c>
      <c r="CI13" s="38" t="str">
        <f t="shared" si="6"/>
        <v/>
      </c>
      <c r="CJ13" s="38" t="str">
        <f t="shared" si="7"/>
        <v/>
      </c>
      <c r="CK13" s="38" t="str">
        <f t="shared" si="8"/>
        <v/>
      </c>
      <c r="CL13" s="38" t="str">
        <f>IF(C13="","",IF(COUNT(G13:AZ13)&lt;46,"",SUMPRODUCT(CC13:CK13,'تنظیمات وزن‌دهی'!$C$5:$C$13)/100))</f>
        <v/>
      </c>
      <c r="CM13" s="38" t="str">
        <f t="shared" si="9"/>
        <v/>
      </c>
      <c r="CN13" s="38">
        <v>9</v>
      </c>
      <c r="CO13" s="28">
        <f t="shared" si="10"/>
        <v>0</v>
      </c>
      <c r="CP13" s="58"/>
    </row>
    <row r="14" spans="1:94" ht="17.25" hidden="1">
      <c r="A14" s="33">
        <v>10</v>
      </c>
      <c r="B14" s="55" t="s">
        <v>192</v>
      </c>
      <c r="C14" s="55">
        <f>IF(دانش‌آموزان!E5="","",دانش‌آموزان!B5)</f>
        <v>1</v>
      </c>
      <c r="D14" s="55" t="str">
        <f>IF(دانش‌آموزان!C5="","",دانش‌آموزان!C5)</f>
        <v>0960326367</v>
      </c>
      <c r="E14" s="55" t="str">
        <f>IF(دانش‌آموزان!E5="","",دانش‌آموزان!E5&amp;" "&amp;دانش‌آموزان!F5)</f>
        <v>نيما اسكندري تربقان</v>
      </c>
      <c r="F14" s="34">
        <f>IF(دانش‌آموزان!I5="","",دانش‌آموزان!I5)</f>
        <v>901</v>
      </c>
      <c r="G14" s="19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1"/>
      <c r="CC14" s="27" t="str">
        <f t="shared" si="0"/>
        <v/>
      </c>
      <c r="CD14" s="38" t="str">
        <f t="shared" si="1"/>
        <v/>
      </c>
      <c r="CE14" s="38" t="str">
        <f t="shared" si="2"/>
        <v/>
      </c>
      <c r="CF14" s="38" t="str">
        <f t="shared" si="3"/>
        <v/>
      </c>
      <c r="CG14" s="38" t="str">
        <f t="shared" si="4"/>
        <v/>
      </c>
      <c r="CH14" s="38" t="str">
        <f t="shared" si="5"/>
        <v/>
      </c>
      <c r="CI14" s="38" t="str">
        <f t="shared" si="6"/>
        <v/>
      </c>
      <c r="CJ14" s="38" t="str">
        <f t="shared" si="7"/>
        <v/>
      </c>
      <c r="CK14" s="38" t="str">
        <f t="shared" si="8"/>
        <v/>
      </c>
      <c r="CL14" s="38" t="str">
        <f>IF(C14="","",IF(COUNT(G14:AZ14)&lt;46,"",SUMPRODUCT(CC14:CK14,'تنظیمات وزن‌دهی'!$C$5:$C$13)/100))</f>
        <v/>
      </c>
      <c r="CM14" s="38" t="str">
        <f t="shared" si="9"/>
        <v/>
      </c>
      <c r="CN14" s="38">
        <v>10</v>
      </c>
      <c r="CO14" s="28">
        <f t="shared" si="10"/>
        <v>0</v>
      </c>
      <c r="CP14" s="58"/>
    </row>
    <row r="15" spans="1:94" ht="17.25" hidden="1">
      <c r="A15" s="33">
        <v>11</v>
      </c>
      <c r="B15" s="55" t="s">
        <v>193</v>
      </c>
      <c r="C15" s="55">
        <f>IF(دانش‌آموزان!E5="","",دانش‌آموزان!B5)</f>
        <v>1</v>
      </c>
      <c r="D15" s="55" t="str">
        <f>IF(دانش‌آموزان!C5="","",دانش‌آموزان!C5)</f>
        <v>0960326367</v>
      </c>
      <c r="E15" s="55" t="str">
        <f>IF(دانش‌آموزان!E5="","",دانش‌آموزان!E5&amp;" "&amp;دانش‌آموزان!F5)</f>
        <v>نيما اسكندري تربقان</v>
      </c>
      <c r="F15" s="34">
        <f>IF(دانش‌آموزان!I5="","",دانش‌آموزان!I5)</f>
        <v>901</v>
      </c>
      <c r="G15" s="19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1"/>
      <c r="CC15" s="27" t="str">
        <f t="shared" si="0"/>
        <v/>
      </c>
      <c r="CD15" s="38" t="str">
        <f t="shared" si="1"/>
        <v/>
      </c>
      <c r="CE15" s="38" t="str">
        <f t="shared" si="2"/>
        <v/>
      </c>
      <c r="CF15" s="38" t="str">
        <f t="shared" si="3"/>
        <v/>
      </c>
      <c r="CG15" s="38" t="str">
        <f t="shared" si="4"/>
        <v/>
      </c>
      <c r="CH15" s="38" t="str">
        <f t="shared" si="5"/>
        <v/>
      </c>
      <c r="CI15" s="38" t="str">
        <f t="shared" si="6"/>
        <v/>
      </c>
      <c r="CJ15" s="38" t="str">
        <f t="shared" si="7"/>
        <v/>
      </c>
      <c r="CK15" s="38" t="str">
        <f t="shared" si="8"/>
        <v/>
      </c>
      <c r="CL15" s="38" t="str">
        <f>IF(C15="","",IF(COUNT(G15:AZ15)&lt;46,"",SUMPRODUCT(CC15:CK15,'تنظیمات وزن‌دهی'!$C$5:$C$13)/100))</f>
        <v/>
      </c>
      <c r="CM15" s="38" t="str">
        <f t="shared" si="9"/>
        <v/>
      </c>
      <c r="CN15" s="38">
        <v>11</v>
      </c>
      <c r="CO15" s="28">
        <f t="shared" si="10"/>
        <v>0</v>
      </c>
      <c r="CP15" s="58"/>
    </row>
    <row r="16" spans="1:94" ht="17.25" hidden="1">
      <c r="A16" s="33">
        <v>12</v>
      </c>
      <c r="B16" s="55" t="s">
        <v>194</v>
      </c>
      <c r="C16" s="55">
        <f>IF(دانش‌آموزان!E5="","",دانش‌آموزان!B5)</f>
        <v>1</v>
      </c>
      <c r="D16" s="55" t="str">
        <f>IF(دانش‌آموزان!C5="","",دانش‌آموزان!C5)</f>
        <v>0960326367</v>
      </c>
      <c r="E16" s="55" t="str">
        <f>IF(دانش‌آموزان!E5="","",دانش‌آموزان!E5&amp;" "&amp;دانش‌آموزان!F5)</f>
        <v>نيما اسكندري تربقان</v>
      </c>
      <c r="F16" s="34">
        <f>IF(دانش‌آموزان!I5="","",دانش‌آموزان!I5)</f>
        <v>901</v>
      </c>
      <c r="G16" s="1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1"/>
      <c r="CC16" s="27" t="str">
        <f t="shared" si="0"/>
        <v/>
      </c>
      <c r="CD16" s="38" t="str">
        <f t="shared" si="1"/>
        <v/>
      </c>
      <c r="CE16" s="38" t="str">
        <f t="shared" si="2"/>
        <v/>
      </c>
      <c r="CF16" s="38" t="str">
        <f t="shared" si="3"/>
        <v/>
      </c>
      <c r="CG16" s="38" t="str">
        <f t="shared" si="4"/>
        <v/>
      </c>
      <c r="CH16" s="38" t="str">
        <f t="shared" si="5"/>
        <v/>
      </c>
      <c r="CI16" s="38" t="str">
        <f t="shared" si="6"/>
        <v/>
      </c>
      <c r="CJ16" s="38" t="str">
        <f t="shared" si="7"/>
        <v/>
      </c>
      <c r="CK16" s="38" t="str">
        <f t="shared" si="8"/>
        <v/>
      </c>
      <c r="CL16" s="38" t="str">
        <f>IF(C16="","",IF(COUNT(G16:AZ16)&lt;46,"",SUMPRODUCT(CC16:CK16,'تنظیمات وزن‌دهی'!$C$5:$C$13)/100))</f>
        <v/>
      </c>
      <c r="CM16" s="38" t="str">
        <f t="shared" si="9"/>
        <v/>
      </c>
      <c r="CN16" s="38">
        <v>12</v>
      </c>
      <c r="CO16" s="28">
        <f t="shared" si="10"/>
        <v>0</v>
      </c>
      <c r="CP16" s="58"/>
    </row>
    <row r="17" spans="1:94" ht="17.25" hidden="1">
      <c r="A17" s="33">
        <v>13</v>
      </c>
      <c r="B17" s="55" t="s">
        <v>183</v>
      </c>
      <c r="C17" s="55">
        <f>IF(دانش‌آموزان!E6="","",دانش‌آموزان!B6)</f>
        <v>2</v>
      </c>
      <c r="D17" s="55" t="str">
        <f>IF(دانش‌آموزان!C6="","",دانش‌آموزان!C6)</f>
        <v>0980506328</v>
      </c>
      <c r="E17" s="55" t="str">
        <f>IF(دانش‌آموزان!E6="","",دانش‌آموزان!E6&amp;" "&amp;دانش‌آموزان!F6)</f>
        <v>اميررضا اميري</v>
      </c>
      <c r="F17" s="34">
        <f>IF(دانش‌آموزان!I6="","",دانش‌آموزان!I6)</f>
        <v>901</v>
      </c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1"/>
      <c r="CC17" s="27" t="str">
        <f t="shared" si="0"/>
        <v/>
      </c>
      <c r="CD17" s="38" t="str">
        <f t="shared" si="1"/>
        <v/>
      </c>
      <c r="CE17" s="38" t="str">
        <f t="shared" si="2"/>
        <v/>
      </c>
      <c r="CF17" s="38" t="str">
        <f t="shared" si="3"/>
        <v/>
      </c>
      <c r="CG17" s="38" t="str">
        <f t="shared" si="4"/>
        <v/>
      </c>
      <c r="CH17" s="38" t="str">
        <f t="shared" si="5"/>
        <v/>
      </c>
      <c r="CI17" s="38" t="str">
        <f t="shared" si="6"/>
        <v/>
      </c>
      <c r="CJ17" s="38" t="str">
        <f t="shared" si="7"/>
        <v/>
      </c>
      <c r="CK17" s="38" t="str">
        <f t="shared" si="8"/>
        <v/>
      </c>
      <c r="CL17" s="38" t="str">
        <f>IF(C17="","",IF(COUNT(G17:AZ17)&lt;46,"",SUMPRODUCT(CC17:CK17,'تنظیمات وزن‌دهی'!$C$5:$C$13)/100))</f>
        <v/>
      </c>
      <c r="CM17" s="38" t="str">
        <f t="shared" si="9"/>
        <v/>
      </c>
      <c r="CN17" s="38">
        <v>1</v>
      </c>
      <c r="CO17" s="28">
        <f t="shared" si="10"/>
        <v>0</v>
      </c>
      <c r="CP17" s="58"/>
    </row>
    <row r="18" spans="1:94" ht="17.25" hidden="1">
      <c r="A18" s="33">
        <v>14</v>
      </c>
      <c r="B18" s="55" t="s">
        <v>184</v>
      </c>
      <c r="C18" s="55">
        <f>IF(دانش‌آموزان!E6="","",دانش‌آموزان!B6)</f>
        <v>2</v>
      </c>
      <c r="D18" s="55" t="str">
        <f>IF(دانش‌آموزان!C6="","",دانش‌آموزان!C6)</f>
        <v>0980506328</v>
      </c>
      <c r="E18" s="55" t="str">
        <f>IF(دانش‌آموزان!E6="","",دانش‌آموزان!E6&amp;" "&amp;دانش‌آموزان!F6)</f>
        <v>اميررضا اميري</v>
      </c>
      <c r="F18" s="34">
        <f>IF(دانش‌آموزان!I6="","",دانش‌آموزان!I6)</f>
        <v>901</v>
      </c>
      <c r="G18" s="19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1"/>
      <c r="CC18" s="27" t="str">
        <f t="shared" si="0"/>
        <v/>
      </c>
      <c r="CD18" s="38" t="str">
        <f t="shared" si="1"/>
        <v/>
      </c>
      <c r="CE18" s="38" t="str">
        <f t="shared" si="2"/>
        <v/>
      </c>
      <c r="CF18" s="38" t="str">
        <f t="shared" si="3"/>
        <v/>
      </c>
      <c r="CG18" s="38" t="str">
        <f t="shared" si="4"/>
        <v/>
      </c>
      <c r="CH18" s="38" t="str">
        <f t="shared" si="5"/>
        <v/>
      </c>
      <c r="CI18" s="38" t="str">
        <f t="shared" si="6"/>
        <v/>
      </c>
      <c r="CJ18" s="38" t="str">
        <f t="shared" si="7"/>
        <v/>
      </c>
      <c r="CK18" s="38" t="str">
        <f t="shared" si="8"/>
        <v/>
      </c>
      <c r="CL18" s="38" t="str">
        <f>IF(C18="","",IF(COUNT(G18:AZ18)&lt;46,"",SUMPRODUCT(CC18:CK18,'تنظیمات وزن‌دهی'!$C$5:$C$13)/100))</f>
        <v/>
      </c>
      <c r="CM18" s="38" t="str">
        <f t="shared" si="9"/>
        <v/>
      </c>
      <c r="CN18" s="38">
        <v>2</v>
      </c>
      <c r="CO18" s="28">
        <f t="shared" si="10"/>
        <v>0</v>
      </c>
      <c r="CP18" s="58"/>
    </row>
    <row r="19" spans="1:94" ht="17.25">
      <c r="A19" s="33">
        <v>15</v>
      </c>
      <c r="B19" s="55" t="s">
        <v>185</v>
      </c>
      <c r="C19" s="55">
        <f>IF(دانش‌آموزان!E6="","",دانش‌آموزان!B6)</f>
        <v>2</v>
      </c>
      <c r="D19" s="55" t="str">
        <f>IF(دانش‌آموزان!C6="","",دانش‌آموزان!C6)</f>
        <v>0980506328</v>
      </c>
      <c r="E19" s="55" t="str">
        <f>IF(دانش‌آموزان!E6="","",دانش‌آموزان!E6&amp;" "&amp;دانش‌آموزان!F6)</f>
        <v>اميررضا اميري</v>
      </c>
      <c r="F19" s="34">
        <f>IF(دانش‌آموزان!I6="","",دانش‌آموزان!I6)</f>
        <v>901</v>
      </c>
      <c r="G19" s="19">
        <v>19.27</v>
      </c>
      <c r="H19" s="20">
        <v>-4.2699999999999996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4</v>
      </c>
      <c r="P19" s="20">
        <v>4</v>
      </c>
      <c r="Q19" s="20">
        <v>4</v>
      </c>
      <c r="R19" s="20">
        <v>4</v>
      </c>
      <c r="S19" s="20">
        <v>0</v>
      </c>
      <c r="T19" s="20">
        <v>0</v>
      </c>
      <c r="U19" s="20">
        <v>4</v>
      </c>
      <c r="V19" s="20">
        <v>3</v>
      </c>
      <c r="W19" s="20">
        <v>4</v>
      </c>
      <c r="X19" s="20">
        <v>4</v>
      </c>
      <c r="Y19" s="20">
        <v>4</v>
      </c>
      <c r="Z19" s="20">
        <v>4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1"/>
      <c r="CC19" s="27">
        <f t="shared" si="0"/>
        <v>7.5</v>
      </c>
      <c r="CD19" s="38">
        <f t="shared" si="1"/>
        <v>12.8</v>
      </c>
      <c r="CE19" s="38">
        <f t="shared" si="2"/>
        <v>8</v>
      </c>
      <c r="CF19" s="38">
        <f t="shared" si="3"/>
        <v>15.2</v>
      </c>
      <c r="CG19" s="38">
        <f t="shared" si="4"/>
        <v>0</v>
      </c>
      <c r="CH19" s="38">
        <f t="shared" si="5"/>
        <v>0</v>
      </c>
      <c r="CI19" s="38">
        <f t="shared" si="6"/>
        <v>0</v>
      </c>
      <c r="CJ19" s="38">
        <f t="shared" si="7"/>
        <v>0</v>
      </c>
      <c r="CK19" s="38">
        <f t="shared" si="8"/>
        <v>0</v>
      </c>
      <c r="CL19" s="38" t="e">
        <f>IF(C19="","",IF(COUNT(G19:AZ19)&lt;46,"",SUMPRODUCT(CC19:CK19,'تنظیمات وزن‌دهی'!$C$5:$C$13)/100))</f>
        <v>#VALUE!</v>
      </c>
      <c r="CM19" s="38" t="e">
        <f t="shared" si="9"/>
        <v>#VALUE!</v>
      </c>
      <c r="CN19" s="38">
        <v>3</v>
      </c>
      <c r="CO19" s="28">
        <f t="shared" si="10"/>
        <v>1</v>
      </c>
      <c r="CP19" s="58"/>
    </row>
    <row r="20" spans="1:94" ht="17.25" hidden="1">
      <c r="A20" s="33">
        <v>16</v>
      </c>
      <c r="B20" s="55" t="s">
        <v>186</v>
      </c>
      <c r="C20" s="55">
        <f>IF(دانش‌آموزان!E6="","",دانش‌آموزان!B6)</f>
        <v>2</v>
      </c>
      <c r="D20" s="55" t="str">
        <f>IF(دانش‌آموزان!C6="","",دانش‌آموزان!C6)</f>
        <v>0980506328</v>
      </c>
      <c r="E20" s="55" t="str">
        <f>IF(دانش‌آموزان!E6="","",دانش‌آموزان!E6&amp;" "&amp;دانش‌آموزان!F6)</f>
        <v>اميررضا اميري</v>
      </c>
      <c r="F20" s="34">
        <f>IF(دانش‌آموزان!I6="","",دانش‌آموزان!I6)</f>
        <v>901</v>
      </c>
      <c r="G20" s="19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1"/>
      <c r="CC20" s="27" t="str">
        <f t="shared" si="0"/>
        <v/>
      </c>
      <c r="CD20" s="38" t="str">
        <f t="shared" si="1"/>
        <v/>
      </c>
      <c r="CE20" s="38" t="str">
        <f t="shared" si="2"/>
        <v/>
      </c>
      <c r="CF20" s="38" t="str">
        <f t="shared" si="3"/>
        <v/>
      </c>
      <c r="CG20" s="38" t="str">
        <f t="shared" si="4"/>
        <v/>
      </c>
      <c r="CH20" s="38" t="str">
        <f t="shared" si="5"/>
        <v/>
      </c>
      <c r="CI20" s="38" t="str">
        <f t="shared" si="6"/>
        <v/>
      </c>
      <c r="CJ20" s="38" t="str">
        <f t="shared" si="7"/>
        <v/>
      </c>
      <c r="CK20" s="38" t="str">
        <f t="shared" si="8"/>
        <v/>
      </c>
      <c r="CL20" s="38" t="str">
        <f>IF(C20="","",IF(COUNT(G20:AZ20)&lt;46,"",SUMPRODUCT(CC20:CK20,'تنظیمات وزن‌دهی'!$C$5:$C$13)/100))</f>
        <v/>
      </c>
      <c r="CM20" s="38" t="str">
        <f t="shared" si="9"/>
        <v/>
      </c>
      <c r="CN20" s="38">
        <v>4</v>
      </c>
      <c r="CO20" s="28">
        <f t="shared" si="10"/>
        <v>0</v>
      </c>
      <c r="CP20" s="58"/>
    </row>
    <row r="21" spans="1:94" ht="17.25" hidden="1">
      <c r="A21" s="33">
        <v>17</v>
      </c>
      <c r="B21" s="55" t="s">
        <v>187</v>
      </c>
      <c r="C21" s="55">
        <f>IF(دانش‌آموزان!E6="","",دانش‌آموزان!B6)</f>
        <v>2</v>
      </c>
      <c r="D21" s="55" t="str">
        <f>IF(دانش‌آموزان!C6="","",دانش‌آموزان!C6)</f>
        <v>0980506328</v>
      </c>
      <c r="E21" s="55" t="str">
        <f>IF(دانش‌آموزان!E6="","",دانش‌آموزان!E6&amp;" "&amp;دانش‌آموزان!F6)</f>
        <v>اميررضا اميري</v>
      </c>
      <c r="F21" s="34">
        <f>IF(دانش‌آموزان!I6="","",دانش‌آموزان!I6)</f>
        <v>901</v>
      </c>
      <c r="G21" s="19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1"/>
      <c r="CC21" s="27" t="str">
        <f t="shared" si="0"/>
        <v/>
      </c>
      <c r="CD21" s="38" t="str">
        <f t="shared" si="1"/>
        <v/>
      </c>
      <c r="CE21" s="38" t="str">
        <f t="shared" si="2"/>
        <v/>
      </c>
      <c r="CF21" s="38" t="str">
        <f t="shared" si="3"/>
        <v/>
      </c>
      <c r="CG21" s="38" t="str">
        <f t="shared" si="4"/>
        <v/>
      </c>
      <c r="CH21" s="38" t="str">
        <f t="shared" si="5"/>
        <v/>
      </c>
      <c r="CI21" s="38" t="str">
        <f t="shared" si="6"/>
        <v/>
      </c>
      <c r="CJ21" s="38" t="str">
        <f t="shared" si="7"/>
        <v/>
      </c>
      <c r="CK21" s="38" t="str">
        <f t="shared" si="8"/>
        <v/>
      </c>
      <c r="CL21" s="38" t="str">
        <f>IF(C21="","",IF(COUNT(G21:AZ21)&lt;46,"",SUMPRODUCT(CC21:CK21,'تنظیمات وزن‌دهی'!$C$5:$C$13)/100))</f>
        <v/>
      </c>
      <c r="CM21" s="38" t="str">
        <f t="shared" si="9"/>
        <v/>
      </c>
      <c r="CN21" s="38">
        <v>5</v>
      </c>
      <c r="CO21" s="28">
        <f t="shared" si="10"/>
        <v>0</v>
      </c>
      <c r="CP21" s="58"/>
    </row>
    <row r="22" spans="1:94" ht="17.25" hidden="1">
      <c r="A22" s="33">
        <v>18</v>
      </c>
      <c r="B22" s="55" t="s">
        <v>188</v>
      </c>
      <c r="C22" s="55">
        <f>IF(دانش‌آموزان!E6="","",دانش‌آموزان!B6)</f>
        <v>2</v>
      </c>
      <c r="D22" s="55" t="str">
        <f>IF(دانش‌آموزان!C6="","",دانش‌آموزان!C6)</f>
        <v>0980506328</v>
      </c>
      <c r="E22" s="55" t="str">
        <f>IF(دانش‌آموزان!E6="","",دانش‌آموزان!E6&amp;" "&amp;دانش‌آموزان!F6)</f>
        <v>اميررضا اميري</v>
      </c>
      <c r="F22" s="34">
        <f>IF(دانش‌آموزان!I6="","",دانش‌آموزان!I6)</f>
        <v>901</v>
      </c>
      <c r="G22" s="19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1"/>
      <c r="CC22" s="27" t="str">
        <f t="shared" si="0"/>
        <v/>
      </c>
      <c r="CD22" s="38" t="str">
        <f t="shared" si="1"/>
        <v/>
      </c>
      <c r="CE22" s="38" t="str">
        <f t="shared" si="2"/>
        <v/>
      </c>
      <c r="CF22" s="38" t="str">
        <f t="shared" si="3"/>
        <v/>
      </c>
      <c r="CG22" s="38" t="str">
        <f t="shared" si="4"/>
        <v/>
      </c>
      <c r="CH22" s="38" t="str">
        <f t="shared" si="5"/>
        <v/>
      </c>
      <c r="CI22" s="38" t="str">
        <f t="shared" si="6"/>
        <v/>
      </c>
      <c r="CJ22" s="38" t="str">
        <f t="shared" si="7"/>
        <v/>
      </c>
      <c r="CK22" s="38" t="str">
        <f t="shared" si="8"/>
        <v/>
      </c>
      <c r="CL22" s="38" t="str">
        <f>IF(C22="","",IF(COUNT(G22:AZ22)&lt;46,"",SUMPRODUCT(CC22:CK22,'تنظیمات وزن‌دهی'!$C$5:$C$13)/100))</f>
        <v/>
      </c>
      <c r="CM22" s="38" t="str">
        <f t="shared" si="9"/>
        <v/>
      </c>
      <c r="CN22" s="38">
        <v>6</v>
      </c>
      <c r="CO22" s="28">
        <f t="shared" si="10"/>
        <v>0</v>
      </c>
      <c r="CP22" s="58"/>
    </row>
    <row r="23" spans="1:94" ht="17.25" hidden="1">
      <c r="A23" s="33">
        <v>19</v>
      </c>
      <c r="B23" s="55" t="s">
        <v>189</v>
      </c>
      <c r="C23" s="55">
        <f>IF(دانش‌آموزان!E6="","",دانش‌آموزان!B6)</f>
        <v>2</v>
      </c>
      <c r="D23" s="55" t="str">
        <f>IF(دانش‌آموزان!C6="","",دانش‌آموزان!C6)</f>
        <v>0980506328</v>
      </c>
      <c r="E23" s="55" t="str">
        <f>IF(دانش‌آموزان!E6="","",دانش‌آموزان!E6&amp;" "&amp;دانش‌آموزان!F6)</f>
        <v>اميررضا اميري</v>
      </c>
      <c r="F23" s="34">
        <f>IF(دانش‌آموزان!I6="","",دانش‌آموزان!I6)</f>
        <v>901</v>
      </c>
      <c r="G23" s="19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1"/>
      <c r="CC23" s="27" t="str">
        <f t="shared" si="0"/>
        <v/>
      </c>
      <c r="CD23" s="38" t="str">
        <f t="shared" si="1"/>
        <v/>
      </c>
      <c r="CE23" s="38" t="str">
        <f t="shared" si="2"/>
        <v/>
      </c>
      <c r="CF23" s="38" t="str">
        <f t="shared" si="3"/>
        <v/>
      </c>
      <c r="CG23" s="38" t="str">
        <f t="shared" si="4"/>
        <v/>
      </c>
      <c r="CH23" s="38" t="str">
        <f t="shared" si="5"/>
        <v/>
      </c>
      <c r="CI23" s="38" t="str">
        <f t="shared" si="6"/>
        <v/>
      </c>
      <c r="CJ23" s="38" t="str">
        <f t="shared" si="7"/>
        <v/>
      </c>
      <c r="CK23" s="38" t="str">
        <f t="shared" si="8"/>
        <v/>
      </c>
      <c r="CL23" s="38" t="str">
        <f>IF(C23="","",IF(COUNT(G23:AZ23)&lt;46,"",SUMPRODUCT(CC23:CK23,'تنظیمات وزن‌دهی'!$C$5:$C$13)/100))</f>
        <v/>
      </c>
      <c r="CM23" s="38" t="str">
        <f t="shared" si="9"/>
        <v/>
      </c>
      <c r="CN23" s="38">
        <v>7</v>
      </c>
      <c r="CO23" s="28">
        <f t="shared" si="10"/>
        <v>0</v>
      </c>
      <c r="CP23" s="58"/>
    </row>
    <row r="24" spans="1:94" ht="17.25" hidden="1">
      <c r="A24" s="33">
        <v>20</v>
      </c>
      <c r="B24" s="55" t="s">
        <v>190</v>
      </c>
      <c r="C24" s="55">
        <f>IF(دانش‌آموزان!E6="","",دانش‌آموزان!B6)</f>
        <v>2</v>
      </c>
      <c r="D24" s="55" t="str">
        <f>IF(دانش‌آموزان!C6="","",دانش‌آموزان!C6)</f>
        <v>0980506328</v>
      </c>
      <c r="E24" s="55" t="str">
        <f>IF(دانش‌آموزان!E6="","",دانش‌آموزان!E6&amp;" "&amp;دانش‌آموزان!F6)</f>
        <v>اميررضا اميري</v>
      </c>
      <c r="F24" s="34">
        <f>IF(دانش‌آموزان!I6="","",دانش‌آموزان!I6)</f>
        <v>901</v>
      </c>
      <c r="G24" s="19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1"/>
      <c r="CC24" s="27" t="str">
        <f t="shared" si="0"/>
        <v/>
      </c>
      <c r="CD24" s="38" t="str">
        <f t="shared" si="1"/>
        <v/>
      </c>
      <c r="CE24" s="38" t="str">
        <f t="shared" si="2"/>
        <v/>
      </c>
      <c r="CF24" s="38" t="str">
        <f t="shared" si="3"/>
        <v/>
      </c>
      <c r="CG24" s="38" t="str">
        <f t="shared" si="4"/>
        <v/>
      </c>
      <c r="CH24" s="38" t="str">
        <f t="shared" si="5"/>
        <v/>
      </c>
      <c r="CI24" s="38" t="str">
        <f t="shared" si="6"/>
        <v/>
      </c>
      <c r="CJ24" s="38" t="str">
        <f t="shared" si="7"/>
        <v/>
      </c>
      <c r="CK24" s="38" t="str">
        <f t="shared" si="8"/>
        <v/>
      </c>
      <c r="CL24" s="38" t="str">
        <f>IF(C24="","",IF(COUNT(G24:AZ24)&lt;46,"",SUMPRODUCT(CC24:CK24,'تنظیمات وزن‌دهی'!$C$5:$C$13)/100))</f>
        <v/>
      </c>
      <c r="CM24" s="38" t="str">
        <f t="shared" si="9"/>
        <v/>
      </c>
      <c r="CN24" s="38">
        <v>8</v>
      </c>
      <c r="CO24" s="28">
        <f t="shared" si="10"/>
        <v>0</v>
      </c>
      <c r="CP24" s="58"/>
    </row>
    <row r="25" spans="1:94" ht="17.25" hidden="1">
      <c r="A25" s="33">
        <v>21</v>
      </c>
      <c r="B25" s="55" t="s">
        <v>191</v>
      </c>
      <c r="C25" s="55">
        <f>IF(دانش‌آموزان!E6="","",دانش‌آموزان!B6)</f>
        <v>2</v>
      </c>
      <c r="D25" s="55" t="str">
        <f>IF(دانش‌آموزان!C6="","",دانش‌آموزان!C6)</f>
        <v>0980506328</v>
      </c>
      <c r="E25" s="55" t="str">
        <f>IF(دانش‌آموزان!E6="","",دانش‌آموزان!E6&amp;" "&amp;دانش‌آموزان!F6)</f>
        <v>اميررضا اميري</v>
      </c>
      <c r="F25" s="34">
        <f>IF(دانش‌آموزان!I6="","",دانش‌آموزان!I6)</f>
        <v>901</v>
      </c>
      <c r="G25" s="19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1"/>
      <c r="CC25" s="27" t="str">
        <f t="shared" si="0"/>
        <v/>
      </c>
      <c r="CD25" s="38" t="str">
        <f t="shared" si="1"/>
        <v/>
      </c>
      <c r="CE25" s="38" t="str">
        <f t="shared" si="2"/>
        <v/>
      </c>
      <c r="CF25" s="38" t="str">
        <f t="shared" si="3"/>
        <v/>
      </c>
      <c r="CG25" s="38" t="str">
        <f t="shared" si="4"/>
        <v/>
      </c>
      <c r="CH25" s="38" t="str">
        <f t="shared" si="5"/>
        <v/>
      </c>
      <c r="CI25" s="38" t="str">
        <f t="shared" si="6"/>
        <v/>
      </c>
      <c r="CJ25" s="38" t="str">
        <f t="shared" si="7"/>
        <v/>
      </c>
      <c r="CK25" s="38" t="str">
        <f t="shared" si="8"/>
        <v/>
      </c>
      <c r="CL25" s="38" t="str">
        <f>IF(C25="","",IF(COUNT(G25:AZ25)&lt;46,"",SUMPRODUCT(CC25:CK25,'تنظیمات وزن‌دهی'!$C$5:$C$13)/100))</f>
        <v/>
      </c>
      <c r="CM25" s="38" t="str">
        <f t="shared" si="9"/>
        <v/>
      </c>
      <c r="CN25" s="38">
        <v>9</v>
      </c>
      <c r="CO25" s="28">
        <f t="shared" si="10"/>
        <v>0</v>
      </c>
      <c r="CP25" s="58"/>
    </row>
    <row r="26" spans="1:94" ht="17.25" hidden="1">
      <c r="A26" s="33">
        <v>22</v>
      </c>
      <c r="B26" s="55" t="s">
        <v>192</v>
      </c>
      <c r="C26" s="55">
        <f>IF(دانش‌آموزان!E6="","",دانش‌آموزان!B6)</f>
        <v>2</v>
      </c>
      <c r="D26" s="55" t="str">
        <f>IF(دانش‌آموزان!C6="","",دانش‌آموزان!C6)</f>
        <v>0980506328</v>
      </c>
      <c r="E26" s="55" t="str">
        <f>IF(دانش‌آموزان!E6="","",دانش‌آموزان!E6&amp;" "&amp;دانش‌آموزان!F6)</f>
        <v>اميررضا اميري</v>
      </c>
      <c r="F26" s="34">
        <f>IF(دانش‌آموزان!I6="","",دانش‌آموزان!I6)</f>
        <v>901</v>
      </c>
      <c r="G26" s="19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1"/>
      <c r="CC26" s="27" t="str">
        <f t="shared" si="0"/>
        <v/>
      </c>
      <c r="CD26" s="38" t="str">
        <f t="shared" si="1"/>
        <v/>
      </c>
      <c r="CE26" s="38" t="str">
        <f t="shared" si="2"/>
        <v/>
      </c>
      <c r="CF26" s="38" t="str">
        <f t="shared" si="3"/>
        <v/>
      </c>
      <c r="CG26" s="38" t="str">
        <f t="shared" si="4"/>
        <v/>
      </c>
      <c r="CH26" s="38" t="str">
        <f t="shared" si="5"/>
        <v/>
      </c>
      <c r="CI26" s="38" t="str">
        <f t="shared" si="6"/>
        <v/>
      </c>
      <c r="CJ26" s="38" t="str">
        <f t="shared" si="7"/>
        <v/>
      </c>
      <c r="CK26" s="38" t="str">
        <f t="shared" si="8"/>
        <v/>
      </c>
      <c r="CL26" s="38" t="str">
        <f>IF(C26="","",IF(COUNT(G26:AZ26)&lt;46,"",SUMPRODUCT(CC26:CK26,'تنظیمات وزن‌دهی'!$C$5:$C$13)/100))</f>
        <v/>
      </c>
      <c r="CM26" s="38" t="str">
        <f t="shared" si="9"/>
        <v/>
      </c>
      <c r="CN26" s="38">
        <v>10</v>
      </c>
      <c r="CO26" s="28">
        <f t="shared" si="10"/>
        <v>0</v>
      </c>
      <c r="CP26" s="58"/>
    </row>
    <row r="27" spans="1:94" ht="17.25" hidden="1">
      <c r="A27" s="33">
        <v>23</v>
      </c>
      <c r="B27" s="55" t="s">
        <v>193</v>
      </c>
      <c r="C27" s="55">
        <f>IF(دانش‌آموزان!E6="","",دانش‌آموزان!B6)</f>
        <v>2</v>
      </c>
      <c r="D27" s="55" t="str">
        <f>IF(دانش‌آموزان!C6="","",دانش‌آموزان!C6)</f>
        <v>0980506328</v>
      </c>
      <c r="E27" s="55" t="str">
        <f>IF(دانش‌آموزان!E6="","",دانش‌آموزان!E6&amp;" "&amp;دانش‌آموزان!F6)</f>
        <v>اميررضا اميري</v>
      </c>
      <c r="F27" s="34">
        <f>IF(دانش‌آموزان!I6="","",دانش‌آموزان!I6)</f>
        <v>901</v>
      </c>
      <c r="G27" s="19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1"/>
      <c r="CC27" s="27" t="str">
        <f t="shared" si="0"/>
        <v/>
      </c>
      <c r="CD27" s="38" t="str">
        <f t="shared" si="1"/>
        <v/>
      </c>
      <c r="CE27" s="38" t="str">
        <f t="shared" si="2"/>
        <v/>
      </c>
      <c r="CF27" s="38" t="str">
        <f t="shared" si="3"/>
        <v/>
      </c>
      <c r="CG27" s="38" t="str">
        <f t="shared" si="4"/>
        <v/>
      </c>
      <c r="CH27" s="38" t="str">
        <f t="shared" si="5"/>
        <v/>
      </c>
      <c r="CI27" s="38" t="str">
        <f t="shared" si="6"/>
        <v/>
      </c>
      <c r="CJ27" s="38" t="str">
        <f t="shared" si="7"/>
        <v/>
      </c>
      <c r="CK27" s="38" t="str">
        <f t="shared" si="8"/>
        <v/>
      </c>
      <c r="CL27" s="38" t="str">
        <f>IF(C27="","",IF(COUNT(G27:AZ27)&lt;46,"",SUMPRODUCT(CC27:CK27,'تنظیمات وزن‌دهی'!$C$5:$C$13)/100))</f>
        <v/>
      </c>
      <c r="CM27" s="38" t="str">
        <f t="shared" si="9"/>
        <v/>
      </c>
      <c r="CN27" s="38">
        <v>11</v>
      </c>
      <c r="CO27" s="28">
        <f t="shared" si="10"/>
        <v>0</v>
      </c>
      <c r="CP27" s="58"/>
    </row>
    <row r="28" spans="1:94" ht="17.25" hidden="1">
      <c r="A28" s="33">
        <v>24</v>
      </c>
      <c r="B28" s="55" t="s">
        <v>194</v>
      </c>
      <c r="C28" s="55">
        <f>IF(دانش‌آموزان!E6="","",دانش‌آموزان!B6)</f>
        <v>2</v>
      </c>
      <c r="D28" s="55" t="str">
        <f>IF(دانش‌آموزان!C6="","",دانش‌آموزان!C6)</f>
        <v>0980506328</v>
      </c>
      <c r="E28" s="55" t="str">
        <f>IF(دانش‌آموزان!E6="","",دانش‌آموزان!E6&amp;" "&amp;دانش‌آموزان!F6)</f>
        <v>اميررضا اميري</v>
      </c>
      <c r="F28" s="34">
        <f>IF(دانش‌آموزان!I6="","",دانش‌آموزان!I6)</f>
        <v>901</v>
      </c>
      <c r="G28" s="19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1"/>
      <c r="CC28" s="27" t="str">
        <f t="shared" si="0"/>
        <v/>
      </c>
      <c r="CD28" s="38" t="str">
        <f t="shared" si="1"/>
        <v/>
      </c>
      <c r="CE28" s="38" t="str">
        <f t="shared" si="2"/>
        <v/>
      </c>
      <c r="CF28" s="38" t="str">
        <f t="shared" si="3"/>
        <v/>
      </c>
      <c r="CG28" s="38" t="str">
        <f t="shared" si="4"/>
        <v/>
      </c>
      <c r="CH28" s="38" t="str">
        <f t="shared" si="5"/>
        <v/>
      </c>
      <c r="CI28" s="38" t="str">
        <f t="shared" si="6"/>
        <v/>
      </c>
      <c r="CJ28" s="38" t="str">
        <f t="shared" si="7"/>
        <v/>
      </c>
      <c r="CK28" s="38" t="str">
        <f t="shared" si="8"/>
        <v/>
      </c>
      <c r="CL28" s="38" t="str">
        <f>IF(C28="","",IF(COUNT(G28:AZ28)&lt;46,"",SUMPRODUCT(CC28:CK28,'تنظیمات وزن‌دهی'!$C$5:$C$13)/100))</f>
        <v/>
      </c>
      <c r="CM28" s="38" t="str">
        <f t="shared" si="9"/>
        <v/>
      </c>
      <c r="CN28" s="38">
        <v>12</v>
      </c>
      <c r="CO28" s="28">
        <f t="shared" si="10"/>
        <v>0</v>
      </c>
      <c r="CP28" s="58"/>
    </row>
    <row r="29" spans="1:94" ht="17.25" hidden="1">
      <c r="A29" s="33">
        <v>25</v>
      </c>
      <c r="B29" s="55" t="s">
        <v>183</v>
      </c>
      <c r="C29" s="55">
        <f>IF(دانش‌آموزان!E7="","",دانش‌آموزان!B7)</f>
        <v>3</v>
      </c>
      <c r="D29" s="55" t="str">
        <f>IF(دانش‌آموزان!C7="","",دانش‌آموزان!C7)</f>
        <v>0960300473</v>
      </c>
      <c r="E29" s="55" t="str">
        <f>IF(دانش‌آموزان!E7="","",دانش‌آموزان!E7&amp;" "&amp;دانش‌آموزان!F7)</f>
        <v>محمدامين باقري</v>
      </c>
      <c r="F29" s="34">
        <f>IF(دانش‌آموزان!I7="","",دانش‌آموزان!I7)</f>
        <v>901</v>
      </c>
      <c r="G29" s="19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1"/>
      <c r="CC29" s="27" t="str">
        <f t="shared" si="0"/>
        <v/>
      </c>
      <c r="CD29" s="38" t="str">
        <f t="shared" si="1"/>
        <v/>
      </c>
      <c r="CE29" s="38" t="str">
        <f t="shared" si="2"/>
        <v/>
      </c>
      <c r="CF29" s="38" t="str">
        <f t="shared" si="3"/>
        <v/>
      </c>
      <c r="CG29" s="38" t="str">
        <f t="shared" si="4"/>
        <v/>
      </c>
      <c r="CH29" s="38" t="str">
        <f t="shared" si="5"/>
        <v/>
      </c>
      <c r="CI29" s="38" t="str">
        <f t="shared" si="6"/>
        <v/>
      </c>
      <c r="CJ29" s="38" t="str">
        <f t="shared" si="7"/>
        <v/>
      </c>
      <c r="CK29" s="38" t="str">
        <f t="shared" si="8"/>
        <v/>
      </c>
      <c r="CL29" s="38" t="str">
        <f>IF(C29="","",IF(COUNT(G29:AZ29)&lt;46,"",SUMPRODUCT(CC29:CK29,'تنظیمات وزن‌دهی'!$C$5:$C$13)/100))</f>
        <v/>
      </c>
      <c r="CM29" s="38" t="str">
        <f t="shared" si="9"/>
        <v/>
      </c>
      <c r="CN29" s="38">
        <v>1</v>
      </c>
      <c r="CO29" s="28">
        <f t="shared" si="10"/>
        <v>0</v>
      </c>
      <c r="CP29" s="58"/>
    </row>
    <row r="30" spans="1:94" ht="17.25" hidden="1">
      <c r="A30" s="33">
        <v>26</v>
      </c>
      <c r="B30" s="55" t="s">
        <v>184</v>
      </c>
      <c r="C30" s="55">
        <f>IF(دانش‌آموزان!E7="","",دانش‌آموزان!B7)</f>
        <v>3</v>
      </c>
      <c r="D30" s="55" t="str">
        <f>IF(دانش‌آموزان!C7="","",دانش‌آموزان!C7)</f>
        <v>0960300473</v>
      </c>
      <c r="E30" s="55" t="str">
        <f>IF(دانش‌آموزان!E7="","",دانش‌آموزان!E7&amp;" "&amp;دانش‌آموزان!F7)</f>
        <v>محمدامين باقري</v>
      </c>
      <c r="F30" s="34">
        <f>IF(دانش‌آموزان!I7="","",دانش‌آموزان!I7)</f>
        <v>901</v>
      </c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1"/>
      <c r="CC30" s="27" t="str">
        <f t="shared" si="0"/>
        <v/>
      </c>
      <c r="CD30" s="38" t="str">
        <f t="shared" si="1"/>
        <v/>
      </c>
      <c r="CE30" s="38" t="str">
        <f t="shared" si="2"/>
        <v/>
      </c>
      <c r="CF30" s="38" t="str">
        <f t="shared" si="3"/>
        <v/>
      </c>
      <c r="CG30" s="38" t="str">
        <f t="shared" si="4"/>
        <v/>
      </c>
      <c r="CH30" s="38" t="str">
        <f t="shared" si="5"/>
        <v/>
      </c>
      <c r="CI30" s="38" t="str">
        <f t="shared" si="6"/>
        <v/>
      </c>
      <c r="CJ30" s="38" t="str">
        <f t="shared" si="7"/>
        <v/>
      </c>
      <c r="CK30" s="38" t="str">
        <f t="shared" si="8"/>
        <v/>
      </c>
      <c r="CL30" s="38" t="str">
        <f>IF(C30="","",IF(COUNT(G30:AZ30)&lt;46,"",SUMPRODUCT(CC30:CK30,'تنظیمات وزن‌دهی'!$C$5:$C$13)/100))</f>
        <v/>
      </c>
      <c r="CM30" s="38" t="str">
        <f t="shared" si="9"/>
        <v/>
      </c>
      <c r="CN30" s="38">
        <v>2</v>
      </c>
      <c r="CO30" s="28">
        <f t="shared" si="10"/>
        <v>0</v>
      </c>
      <c r="CP30" s="58"/>
    </row>
    <row r="31" spans="1:94" ht="17.25">
      <c r="A31" s="33">
        <v>27</v>
      </c>
      <c r="B31" s="55" t="s">
        <v>185</v>
      </c>
      <c r="C31" s="55">
        <f>IF(دانش‌آموزان!E7="","",دانش‌آموزان!B7)</f>
        <v>3</v>
      </c>
      <c r="D31" s="55" t="str">
        <f>IF(دانش‌آموزان!C7="","",دانش‌آموزان!C7)</f>
        <v>0960300473</v>
      </c>
      <c r="E31" s="55" t="str">
        <f>IF(دانش‌آموزان!E7="","",دانش‌آموزان!E7&amp;" "&amp;دانش‌آموزان!F7)</f>
        <v>محمدامين باقري</v>
      </c>
      <c r="F31" s="34">
        <f>IF(دانش‌آموزان!I7="","",دانش‌آموزان!I7)</f>
        <v>901</v>
      </c>
      <c r="G31" s="19">
        <v>19.43</v>
      </c>
      <c r="H31" s="20">
        <v>0</v>
      </c>
      <c r="I31" s="20">
        <v>0</v>
      </c>
      <c r="J31" s="20">
        <v>3</v>
      </c>
      <c r="K31" s="20">
        <v>0</v>
      </c>
      <c r="L31" s="20">
        <v>0</v>
      </c>
      <c r="M31" s="20">
        <v>0</v>
      </c>
      <c r="N31" s="20">
        <v>0</v>
      </c>
      <c r="O31" s="20">
        <v>3</v>
      </c>
      <c r="P31" s="20">
        <v>3</v>
      </c>
      <c r="Q31" s="20">
        <v>3</v>
      </c>
      <c r="R31" s="20">
        <v>3</v>
      </c>
      <c r="S31" s="20">
        <v>0</v>
      </c>
      <c r="T31" s="20">
        <v>0</v>
      </c>
      <c r="U31" s="20">
        <v>4</v>
      </c>
      <c r="V31" s="20">
        <v>2</v>
      </c>
      <c r="W31" s="20">
        <v>3</v>
      </c>
      <c r="X31" s="20">
        <v>3</v>
      </c>
      <c r="Y31" s="20">
        <v>4</v>
      </c>
      <c r="Z31" s="20">
        <v>4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1"/>
      <c r="CC31" s="27">
        <f t="shared" si="0"/>
        <v>11.215</v>
      </c>
      <c r="CD31" s="38">
        <f t="shared" si="1"/>
        <v>9.6</v>
      </c>
      <c r="CE31" s="38">
        <f t="shared" si="2"/>
        <v>8</v>
      </c>
      <c r="CF31" s="38">
        <f t="shared" si="3"/>
        <v>12.8</v>
      </c>
      <c r="CG31" s="38">
        <f t="shared" si="4"/>
        <v>0</v>
      </c>
      <c r="CH31" s="38">
        <f t="shared" si="5"/>
        <v>0</v>
      </c>
      <c r="CI31" s="38">
        <f t="shared" si="6"/>
        <v>0</v>
      </c>
      <c r="CJ31" s="38">
        <f t="shared" si="7"/>
        <v>0</v>
      </c>
      <c r="CK31" s="38">
        <f t="shared" si="8"/>
        <v>0</v>
      </c>
      <c r="CL31" s="38" t="e">
        <f>IF(C31="","",IF(COUNT(G31:AZ31)&lt;46,"",SUMPRODUCT(CC31:CK31,'تنظیمات وزن‌دهی'!$C$5:$C$13)/100))</f>
        <v>#VALUE!</v>
      </c>
      <c r="CM31" s="38" t="e">
        <f t="shared" si="9"/>
        <v>#VALUE!</v>
      </c>
      <c r="CN31" s="38">
        <v>3</v>
      </c>
      <c r="CO31" s="28">
        <f t="shared" si="10"/>
        <v>1</v>
      </c>
      <c r="CP31" s="58"/>
    </row>
    <row r="32" spans="1:94" ht="17.25" hidden="1">
      <c r="A32" s="33">
        <v>28</v>
      </c>
      <c r="B32" s="55" t="s">
        <v>186</v>
      </c>
      <c r="C32" s="55">
        <f>IF(دانش‌آموزان!E7="","",دانش‌آموزان!B7)</f>
        <v>3</v>
      </c>
      <c r="D32" s="55" t="str">
        <f>IF(دانش‌آموزان!C7="","",دانش‌آموزان!C7)</f>
        <v>0960300473</v>
      </c>
      <c r="E32" s="55" t="str">
        <f>IF(دانش‌آموزان!E7="","",دانش‌آموزان!E7&amp;" "&amp;دانش‌آموزان!F7)</f>
        <v>محمدامين باقري</v>
      </c>
      <c r="F32" s="34">
        <f>IF(دانش‌آموزان!I7="","",دانش‌آموزان!I7)</f>
        <v>901</v>
      </c>
      <c r="G32" s="19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1"/>
      <c r="CC32" s="27" t="str">
        <f t="shared" si="0"/>
        <v/>
      </c>
      <c r="CD32" s="38" t="str">
        <f t="shared" si="1"/>
        <v/>
      </c>
      <c r="CE32" s="38" t="str">
        <f t="shared" si="2"/>
        <v/>
      </c>
      <c r="CF32" s="38" t="str">
        <f t="shared" si="3"/>
        <v/>
      </c>
      <c r="CG32" s="38" t="str">
        <f t="shared" si="4"/>
        <v/>
      </c>
      <c r="CH32" s="38" t="str">
        <f t="shared" si="5"/>
        <v/>
      </c>
      <c r="CI32" s="38" t="str">
        <f t="shared" si="6"/>
        <v/>
      </c>
      <c r="CJ32" s="38" t="str">
        <f t="shared" si="7"/>
        <v/>
      </c>
      <c r="CK32" s="38" t="str">
        <f t="shared" si="8"/>
        <v/>
      </c>
      <c r="CL32" s="38" t="str">
        <f>IF(C32="","",IF(COUNT(G32:AZ32)&lt;46,"",SUMPRODUCT(CC32:CK32,'تنظیمات وزن‌دهی'!$C$5:$C$13)/100))</f>
        <v/>
      </c>
      <c r="CM32" s="38" t="str">
        <f t="shared" si="9"/>
        <v/>
      </c>
      <c r="CN32" s="38">
        <v>4</v>
      </c>
      <c r="CO32" s="28">
        <f t="shared" si="10"/>
        <v>0</v>
      </c>
      <c r="CP32" s="58"/>
    </row>
    <row r="33" spans="1:94" ht="17.25" hidden="1">
      <c r="A33" s="33">
        <v>29</v>
      </c>
      <c r="B33" s="55" t="s">
        <v>187</v>
      </c>
      <c r="C33" s="55">
        <f>IF(دانش‌آموزان!E7="","",دانش‌آموزان!B7)</f>
        <v>3</v>
      </c>
      <c r="D33" s="55" t="str">
        <f>IF(دانش‌آموزان!C7="","",دانش‌آموزان!C7)</f>
        <v>0960300473</v>
      </c>
      <c r="E33" s="55" t="str">
        <f>IF(دانش‌آموزان!E7="","",دانش‌آموزان!E7&amp;" "&amp;دانش‌آموزان!F7)</f>
        <v>محمدامين باقري</v>
      </c>
      <c r="F33" s="34">
        <f>IF(دانش‌آموزان!I7="","",دانش‌آموزان!I7)</f>
        <v>901</v>
      </c>
      <c r="G33" s="19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1"/>
      <c r="CC33" s="27" t="str">
        <f t="shared" si="0"/>
        <v/>
      </c>
      <c r="CD33" s="38" t="str">
        <f t="shared" si="1"/>
        <v/>
      </c>
      <c r="CE33" s="38" t="str">
        <f t="shared" si="2"/>
        <v/>
      </c>
      <c r="CF33" s="38" t="str">
        <f t="shared" si="3"/>
        <v/>
      </c>
      <c r="CG33" s="38" t="str">
        <f t="shared" si="4"/>
        <v/>
      </c>
      <c r="CH33" s="38" t="str">
        <f t="shared" si="5"/>
        <v/>
      </c>
      <c r="CI33" s="38" t="str">
        <f t="shared" si="6"/>
        <v/>
      </c>
      <c r="CJ33" s="38" t="str">
        <f t="shared" si="7"/>
        <v/>
      </c>
      <c r="CK33" s="38" t="str">
        <f t="shared" si="8"/>
        <v/>
      </c>
      <c r="CL33" s="38" t="str">
        <f>IF(C33="","",IF(COUNT(G33:AZ33)&lt;46,"",SUMPRODUCT(CC33:CK33,'تنظیمات وزن‌دهی'!$C$5:$C$13)/100))</f>
        <v/>
      </c>
      <c r="CM33" s="38" t="str">
        <f t="shared" si="9"/>
        <v/>
      </c>
      <c r="CN33" s="38">
        <v>5</v>
      </c>
      <c r="CO33" s="28">
        <f t="shared" si="10"/>
        <v>0</v>
      </c>
      <c r="CP33" s="58"/>
    </row>
    <row r="34" spans="1:94" ht="17.25" hidden="1">
      <c r="A34" s="33">
        <v>30</v>
      </c>
      <c r="B34" s="55" t="s">
        <v>188</v>
      </c>
      <c r="C34" s="55">
        <f>IF(دانش‌آموزان!E7="","",دانش‌آموزان!B7)</f>
        <v>3</v>
      </c>
      <c r="D34" s="55" t="str">
        <f>IF(دانش‌آموزان!C7="","",دانش‌آموزان!C7)</f>
        <v>0960300473</v>
      </c>
      <c r="E34" s="55" t="str">
        <f>IF(دانش‌آموزان!E7="","",دانش‌آموزان!E7&amp;" "&amp;دانش‌آموزان!F7)</f>
        <v>محمدامين باقري</v>
      </c>
      <c r="F34" s="34">
        <f>IF(دانش‌آموزان!I7="","",دانش‌آموزان!I7)</f>
        <v>901</v>
      </c>
      <c r="G34" s="19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1"/>
      <c r="CC34" s="27" t="str">
        <f t="shared" si="0"/>
        <v/>
      </c>
      <c r="CD34" s="38" t="str">
        <f t="shared" si="1"/>
        <v/>
      </c>
      <c r="CE34" s="38" t="str">
        <f t="shared" si="2"/>
        <v/>
      </c>
      <c r="CF34" s="38" t="str">
        <f t="shared" si="3"/>
        <v/>
      </c>
      <c r="CG34" s="38" t="str">
        <f t="shared" si="4"/>
        <v/>
      </c>
      <c r="CH34" s="38" t="str">
        <f t="shared" si="5"/>
        <v/>
      </c>
      <c r="CI34" s="38" t="str">
        <f t="shared" si="6"/>
        <v/>
      </c>
      <c r="CJ34" s="38" t="str">
        <f t="shared" si="7"/>
        <v/>
      </c>
      <c r="CK34" s="38" t="str">
        <f t="shared" si="8"/>
        <v/>
      </c>
      <c r="CL34" s="38" t="str">
        <f>IF(C34="","",IF(COUNT(G34:AZ34)&lt;46,"",SUMPRODUCT(CC34:CK34,'تنظیمات وزن‌دهی'!$C$5:$C$13)/100))</f>
        <v/>
      </c>
      <c r="CM34" s="38" t="str">
        <f t="shared" si="9"/>
        <v/>
      </c>
      <c r="CN34" s="38">
        <v>6</v>
      </c>
      <c r="CO34" s="28">
        <f t="shared" si="10"/>
        <v>0</v>
      </c>
      <c r="CP34" s="58"/>
    </row>
    <row r="35" spans="1:94" ht="17.25" hidden="1">
      <c r="A35" s="33">
        <v>31</v>
      </c>
      <c r="B35" s="55" t="s">
        <v>189</v>
      </c>
      <c r="C35" s="55">
        <f>IF(دانش‌آموزان!E7="","",دانش‌آموزان!B7)</f>
        <v>3</v>
      </c>
      <c r="D35" s="55" t="str">
        <f>IF(دانش‌آموزان!C7="","",دانش‌آموزان!C7)</f>
        <v>0960300473</v>
      </c>
      <c r="E35" s="55" t="str">
        <f>IF(دانش‌آموزان!E7="","",دانش‌آموزان!E7&amp;" "&amp;دانش‌آموزان!F7)</f>
        <v>محمدامين باقري</v>
      </c>
      <c r="F35" s="34">
        <f>IF(دانش‌آموزان!I7="","",دانش‌آموزان!I7)</f>
        <v>901</v>
      </c>
      <c r="G35" s="19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1"/>
      <c r="CC35" s="27" t="str">
        <f t="shared" si="0"/>
        <v/>
      </c>
      <c r="CD35" s="38" t="str">
        <f t="shared" si="1"/>
        <v/>
      </c>
      <c r="CE35" s="38" t="str">
        <f t="shared" si="2"/>
        <v/>
      </c>
      <c r="CF35" s="38" t="str">
        <f t="shared" si="3"/>
        <v/>
      </c>
      <c r="CG35" s="38" t="str">
        <f t="shared" si="4"/>
        <v/>
      </c>
      <c r="CH35" s="38" t="str">
        <f t="shared" si="5"/>
        <v/>
      </c>
      <c r="CI35" s="38" t="str">
        <f t="shared" si="6"/>
        <v/>
      </c>
      <c r="CJ35" s="38" t="str">
        <f t="shared" si="7"/>
        <v/>
      </c>
      <c r="CK35" s="38" t="str">
        <f t="shared" si="8"/>
        <v/>
      </c>
      <c r="CL35" s="38" t="str">
        <f>IF(C35="","",IF(COUNT(G35:AZ35)&lt;46,"",SUMPRODUCT(CC35:CK35,'تنظیمات وزن‌دهی'!$C$5:$C$13)/100))</f>
        <v/>
      </c>
      <c r="CM35" s="38" t="str">
        <f t="shared" si="9"/>
        <v/>
      </c>
      <c r="CN35" s="38">
        <v>7</v>
      </c>
      <c r="CO35" s="28">
        <f t="shared" si="10"/>
        <v>0</v>
      </c>
      <c r="CP35" s="58"/>
    </row>
    <row r="36" spans="1:94" ht="17.25" hidden="1">
      <c r="A36" s="33">
        <v>32</v>
      </c>
      <c r="B36" s="55" t="s">
        <v>190</v>
      </c>
      <c r="C36" s="55">
        <f>IF(دانش‌آموزان!E7="","",دانش‌آموزان!B7)</f>
        <v>3</v>
      </c>
      <c r="D36" s="55" t="str">
        <f>IF(دانش‌آموزان!C7="","",دانش‌آموزان!C7)</f>
        <v>0960300473</v>
      </c>
      <c r="E36" s="55" t="str">
        <f>IF(دانش‌آموزان!E7="","",دانش‌آموزان!E7&amp;" "&amp;دانش‌آموزان!F7)</f>
        <v>محمدامين باقري</v>
      </c>
      <c r="F36" s="34">
        <f>IF(دانش‌آموزان!I7="","",دانش‌آموزان!I7)</f>
        <v>901</v>
      </c>
      <c r="G36" s="19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1"/>
      <c r="CC36" s="27" t="str">
        <f t="shared" si="0"/>
        <v/>
      </c>
      <c r="CD36" s="38" t="str">
        <f t="shared" si="1"/>
        <v/>
      </c>
      <c r="CE36" s="38" t="str">
        <f t="shared" si="2"/>
        <v/>
      </c>
      <c r="CF36" s="38" t="str">
        <f t="shared" si="3"/>
        <v/>
      </c>
      <c r="CG36" s="38" t="str">
        <f t="shared" si="4"/>
        <v/>
      </c>
      <c r="CH36" s="38" t="str">
        <f t="shared" si="5"/>
        <v/>
      </c>
      <c r="CI36" s="38" t="str">
        <f t="shared" si="6"/>
        <v/>
      </c>
      <c r="CJ36" s="38" t="str">
        <f t="shared" si="7"/>
        <v/>
      </c>
      <c r="CK36" s="38" t="str">
        <f t="shared" si="8"/>
        <v/>
      </c>
      <c r="CL36" s="38" t="str">
        <f>IF(C36="","",IF(COUNT(G36:AZ36)&lt;46,"",SUMPRODUCT(CC36:CK36,'تنظیمات وزن‌دهی'!$C$5:$C$13)/100))</f>
        <v/>
      </c>
      <c r="CM36" s="38" t="str">
        <f t="shared" si="9"/>
        <v/>
      </c>
      <c r="CN36" s="38">
        <v>8</v>
      </c>
      <c r="CO36" s="28">
        <f t="shared" si="10"/>
        <v>0</v>
      </c>
      <c r="CP36" s="58"/>
    </row>
    <row r="37" spans="1:94" ht="17.25" hidden="1">
      <c r="A37" s="33">
        <v>33</v>
      </c>
      <c r="B37" s="55" t="s">
        <v>191</v>
      </c>
      <c r="C37" s="55">
        <f>IF(دانش‌آموزان!E7="","",دانش‌آموزان!B7)</f>
        <v>3</v>
      </c>
      <c r="D37" s="55" t="str">
        <f>IF(دانش‌آموزان!C7="","",دانش‌آموزان!C7)</f>
        <v>0960300473</v>
      </c>
      <c r="E37" s="55" t="str">
        <f>IF(دانش‌آموزان!E7="","",دانش‌آموزان!E7&amp;" "&amp;دانش‌آموزان!F7)</f>
        <v>محمدامين باقري</v>
      </c>
      <c r="F37" s="34">
        <f>IF(دانش‌آموزان!I7="","",دانش‌آموزان!I7)</f>
        <v>901</v>
      </c>
      <c r="G37" s="19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1"/>
      <c r="CC37" s="27" t="str">
        <f t="shared" si="0"/>
        <v/>
      </c>
      <c r="CD37" s="38" t="str">
        <f t="shared" si="1"/>
        <v/>
      </c>
      <c r="CE37" s="38" t="str">
        <f t="shared" si="2"/>
        <v/>
      </c>
      <c r="CF37" s="38" t="str">
        <f t="shared" si="3"/>
        <v/>
      </c>
      <c r="CG37" s="38" t="str">
        <f t="shared" si="4"/>
        <v/>
      </c>
      <c r="CH37" s="38" t="str">
        <f t="shared" si="5"/>
        <v/>
      </c>
      <c r="CI37" s="38" t="str">
        <f t="shared" si="6"/>
        <v/>
      </c>
      <c r="CJ37" s="38" t="str">
        <f t="shared" si="7"/>
        <v/>
      </c>
      <c r="CK37" s="38" t="str">
        <f t="shared" si="8"/>
        <v/>
      </c>
      <c r="CL37" s="38" t="str">
        <f>IF(C37="","",IF(COUNT(G37:AZ37)&lt;46,"",SUMPRODUCT(CC37:CK37,'تنظیمات وزن‌دهی'!$C$5:$C$13)/100))</f>
        <v/>
      </c>
      <c r="CM37" s="38" t="str">
        <f t="shared" si="9"/>
        <v/>
      </c>
      <c r="CN37" s="38">
        <v>9</v>
      </c>
      <c r="CO37" s="28">
        <f t="shared" si="10"/>
        <v>0</v>
      </c>
      <c r="CP37" s="58"/>
    </row>
    <row r="38" spans="1:94" ht="17.25" hidden="1">
      <c r="A38" s="33">
        <v>34</v>
      </c>
      <c r="B38" s="55" t="s">
        <v>192</v>
      </c>
      <c r="C38" s="55">
        <f>IF(دانش‌آموزان!E7="","",دانش‌آموزان!B7)</f>
        <v>3</v>
      </c>
      <c r="D38" s="55" t="str">
        <f>IF(دانش‌آموزان!C7="","",دانش‌آموزان!C7)</f>
        <v>0960300473</v>
      </c>
      <c r="E38" s="55" t="str">
        <f>IF(دانش‌آموزان!E7="","",دانش‌آموزان!E7&amp;" "&amp;دانش‌آموزان!F7)</f>
        <v>محمدامين باقري</v>
      </c>
      <c r="F38" s="34">
        <f>IF(دانش‌آموزان!I7="","",دانش‌آموزان!I7)</f>
        <v>901</v>
      </c>
      <c r="G38" s="19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1"/>
      <c r="CC38" s="27" t="str">
        <f t="shared" si="0"/>
        <v/>
      </c>
      <c r="CD38" s="38" t="str">
        <f t="shared" si="1"/>
        <v/>
      </c>
      <c r="CE38" s="38" t="str">
        <f t="shared" si="2"/>
        <v/>
      </c>
      <c r="CF38" s="38" t="str">
        <f t="shared" si="3"/>
        <v/>
      </c>
      <c r="CG38" s="38" t="str">
        <f t="shared" si="4"/>
        <v/>
      </c>
      <c r="CH38" s="38" t="str">
        <f t="shared" si="5"/>
        <v/>
      </c>
      <c r="CI38" s="38" t="str">
        <f t="shared" si="6"/>
        <v/>
      </c>
      <c r="CJ38" s="38" t="str">
        <f t="shared" si="7"/>
        <v/>
      </c>
      <c r="CK38" s="38" t="str">
        <f t="shared" si="8"/>
        <v/>
      </c>
      <c r="CL38" s="38" t="str">
        <f>IF(C38="","",IF(COUNT(G38:AZ38)&lt;46,"",SUMPRODUCT(CC38:CK38,'تنظیمات وزن‌دهی'!$C$5:$C$13)/100))</f>
        <v/>
      </c>
      <c r="CM38" s="38" t="str">
        <f t="shared" si="9"/>
        <v/>
      </c>
      <c r="CN38" s="38">
        <v>10</v>
      </c>
      <c r="CO38" s="28">
        <f t="shared" si="10"/>
        <v>0</v>
      </c>
      <c r="CP38" s="58"/>
    </row>
    <row r="39" spans="1:94" ht="17.25" hidden="1">
      <c r="A39" s="33">
        <v>35</v>
      </c>
      <c r="B39" s="55" t="s">
        <v>193</v>
      </c>
      <c r="C39" s="55">
        <f>IF(دانش‌آموزان!E7="","",دانش‌آموزان!B7)</f>
        <v>3</v>
      </c>
      <c r="D39" s="55" t="str">
        <f>IF(دانش‌آموزان!C7="","",دانش‌آموزان!C7)</f>
        <v>0960300473</v>
      </c>
      <c r="E39" s="55" t="str">
        <f>IF(دانش‌آموزان!E7="","",دانش‌آموزان!E7&amp;" "&amp;دانش‌آموزان!F7)</f>
        <v>محمدامين باقري</v>
      </c>
      <c r="F39" s="34">
        <f>IF(دانش‌آموزان!I7="","",دانش‌آموزان!I7)</f>
        <v>901</v>
      </c>
      <c r="G39" s="19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1"/>
      <c r="CC39" s="27" t="str">
        <f t="shared" si="0"/>
        <v/>
      </c>
      <c r="CD39" s="38" t="str">
        <f t="shared" si="1"/>
        <v/>
      </c>
      <c r="CE39" s="38" t="str">
        <f t="shared" si="2"/>
        <v/>
      </c>
      <c r="CF39" s="38" t="str">
        <f t="shared" si="3"/>
        <v/>
      </c>
      <c r="CG39" s="38" t="str">
        <f t="shared" si="4"/>
        <v/>
      </c>
      <c r="CH39" s="38" t="str">
        <f t="shared" si="5"/>
        <v/>
      </c>
      <c r="CI39" s="38" t="str">
        <f t="shared" si="6"/>
        <v/>
      </c>
      <c r="CJ39" s="38" t="str">
        <f t="shared" si="7"/>
        <v/>
      </c>
      <c r="CK39" s="38" t="str">
        <f t="shared" si="8"/>
        <v/>
      </c>
      <c r="CL39" s="38" t="str">
        <f>IF(C39="","",IF(COUNT(G39:AZ39)&lt;46,"",SUMPRODUCT(CC39:CK39,'تنظیمات وزن‌دهی'!$C$5:$C$13)/100))</f>
        <v/>
      </c>
      <c r="CM39" s="38" t="str">
        <f t="shared" si="9"/>
        <v/>
      </c>
      <c r="CN39" s="38">
        <v>11</v>
      </c>
      <c r="CO39" s="28">
        <f t="shared" si="10"/>
        <v>0</v>
      </c>
      <c r="CP39" s="58"/>
    </row>
    <row r="40" spans="1:94" ht="17.25" hidden="1">
      <c r="A40" s="33">
        <v>36</v>
      </c>
      <c r="B40" s="55" t="s">
        <v>194</v>
      </c>
      <c r="C40" s="55">
        <f>IF(دانش‌آموزان!E7="","",دانش‌آموزان!B7)</f>
        <v>3</v>
      </c>
      <c r="D40" s="55" t="str">
        <f>IF(دانش‌آموزان!C7="","",دانش‌آموزان!C7)</f>
        <v>0960300473</v>
      </c>
      <c r="E40" s="55" t="str">
        <f>IF(دانش‌آموزان!E7="","",دانش‌آموزان!E7&amp;" "&amp;دانش‌آموزان!F7)</f>
        <v>محمدامين باقري</v>
      </c>
      <c r="F40" s="34">
        <f>IF(دانش‌آموزان!I7="","",دانش‌آموزان!I7)</f>
        <v>901</v>
      </c>
      <c r="G40" s="19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1"/>
      <c r="CC40" s="27" t="str">
        <f t="shared" si="0"/>
        <v/>
      </c>
      <c r="CD40" s="38" t="str">
        <f t="shared" si="1"/>
        <v/>
      </c>
      <c r="CE40" s="38" t="str">
        <f t="shared" si="2"/>
        <v/>
      </c>
      <c r="CF40" s="38" t="str">
        <f t="shared" si="3"/>
        <v/>
      </c>
      <c r="CG40" s="38" t="str">
        <f t="shared" si="4"/>
        <v/>
      </c>
      <c r="CH40" s="38" t="str">
        <f t="shared" si="5"/>
        <v/>
      </c>
      <c r="CI40" s="38" t="str">
        <f t="shared" si="6"/>
        <v/>
      </c>
      <c r="CJ40" s="38" t="str">
        <f t="shared" si="7"/>
        <v/>
      </c>
      <c r="CK40" s="38" t="str">
        <f t="shared" si="8"/>
        <v/>
      </c>
      <c r="CL40" s="38" t="str">
        <f>IF(C40="","",IF(COUNT(G40:AZ40)&lt;46,"",SUMPRODUCT(CC40:CK40,'تنظیمات وزن‌دهی'!$C$5:$C$13)/100))</f>
        <v/>
      </c>
      <c r="CM40" s="38" t="str">
        <f t="shared" si="9"/>
        <v/>
      </c>
      <c r="CN40" s="38">
        <v>12</v>
      </c>
      <c r="CO40" s="28">
        <f t="shared" si="10"/>
        <v>0</v>
      </c>
      <c r="CP40" s="58"/>
    </row>
    <row r="41" spans="1:94" ht="17.25" hidden="1">
      <c r="A41" s="33">
        <v>37</v>
      </c>
      <c r="B41" s="55" t="s">
        <v>183</v>
      </c>
      <c r="C41" s="55">
        <f>IF(دانش‌آموزان!E8="","",دانش‌آموزان!B8)</f>
        <v>4</v>
      </c>
      <c r="D41" s="55" t="str">
        <f>IF(دانش‌آموزان!C8="","",دانش‌آموزان!C8)</f>
        <v>0960412271</v>
      </c>
      <c r="E41" s="55" t="str">
        <f>IF(دانش‌آموزان!E8="","",دانش‌آموزان!E8&amp;" "&amp;دانش‌آموزان!F8)</f>
        <v>اميرحيدر ترابي</v>
      </c>
      <c r="F41" s="34">
        <f>IF(دانش‌آموزان!I8="","",دانش‌آموزان!I8)</f>
        <v>901</v>
      </c>
      <c r="G41" s="19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1"/>
      <c r="CC41" s="27" t="str">
        <f t="shared" si="0"/>
        <v/>
      </c>
      <c r="CD41" s="38" t="str">
        <f t="shared" si="1"/>
        <v/>
      </c>
      <c r="CE41" s="38" t="str">
        <f t="shared" si="2"/>
        <v/>
      </c>
      <c r="CF41" s="38" t="str">
        <f t="shared" si="3"/>
        <v/>
      </c>
      <c r="CG41" s="38" t="str">
        <f t="shared" si="4"/>
        <v/>
      </c>
      <c r="CH41" s="38" t="str">
        <f t="shared" si="5"/>
        <v/>
      </c>
      <c r="CI41" s="38" t="str">
        <f t="shared" si="6"/>
        <v/>
      </c>
      <c r="CJ41" s="38" t="str">
        <f t="shared" si="7"/>
        <v/>
      </c>
      <c r="CK41" s="38" t="str">
        <f t="shared" si="8"/>
        <v/>
      </c>
      <c r="CL41" s="38" t="str">
        <f>IF(C41="","",IF(COUNT(G41:AZ41)&lt;46,"",SUMPRODUCT(CC41:CK41,'تنظیمات وزن‌دهی'!$C$5:$C$13)/100))</f>
        <v/>
      </c>
      <c r="CM41" s="38" t="str">
        <f t="shared" si="9"/>
        <v/>
      </c>
      <c r="CN41" s="38">
        <v>1</v>
      </c>
      <c r="CO41" s="28">
        <f t="shared" si="10"/>
        <v>0</v>
      </c>
      <c r="CP41" s="58"/>
    </row>
    <row r="42" spans="1:94" ht="17.25" hidden="1">
      <c r="A42" s="33">
        <v>38</v>
      </c>
      <c r="B42" s="55" t="s">
        <v>184</v>
      </c>
      <c r="C42" s="55">
        <f>IF(دانش‌آموزان!E8="","",دانش‌آموزان!B8)</f>
        <v>4</v>
      </c>
      <c r="D42" s="55" t="str">
        <f>IF(دانش‌آموزان!C8="","",دانش‌آموزان!C8)</f>
        <v>0960412271</v>
      </c>
      <c r="E42" s="55" t="str">
        <f>IF(دانش‌آموزان!E8="","",دانش‌آموزان!E8&amp;" "&amp;دانش‌آموزان!F8)</f>
        <v>اميرحيدر ترابي</v>
      </c>
      <c r="F42" s="34">
        <f>IF(دانش‌آموزان!I8="","",دانش‌آموزان!I8)</f>
        <v>901</v>
      </c>
      <c r="G42" s="19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1"/>
      <c r="CC42" s="27" t="str">
        <f t="shared" si="0"/>
        <v/>
      </c>
      <c r="CD42" s="38" t="str">
        <f t="shared" si="1"/>
        <v/>
      </c>
      <c r="CE42" s="38" t="str">
        <f t="shared" si="2"/>
        <v/>
      </c>
      <c r="CF42" s="38" t="str">
        <f t="shared" si="3"/>
        <v/>
      </c>
      <c r="CG42" s="38" t="str">
        <f t="shared" si="4"/>
        <v/>
      </c>
      <c r="CH42" s="38" t="str">
        <f t="shared" si="5"/>
        <v/>
      </c>
      <c r="CI42" s="38" t="str">
        <f t="shared" si="6"/>
        <v/>
      </c>
      <c r="CJ42" s="38" t="str">
        <f t="shared" si="7"/>
        <v/>
      </c>
      <c r="CK42" s="38" t="str">
        <f t="shared" si="8"/>
        <v/>
      </c>
      <c r="CL42" s="38" t="str">
        <f>IF(C42="","",IF(COUNT(G42:AZ42)&lt;46,"",SUMPRODUCT(CC42:CK42,'تنظیمات وزن‌دهی'!$C$5:$C$13)/100))</f>
        <v/>
      </c>
      <c r="CM42" s="38" t="str">
        <f t="shared" si="9"/>
        <v/>
      </c>
      <c r="CN42" s="38">
        <v>2</v>
      </c>
      <c r="CO42" s="28">
        <f t="shared" si="10"/>
        <v>0</v>
      </c>
      <c r="CP42" s="58"/>
    </row>
    <row r="43" spans="1:94" ht="17.25">
      <c r="A43" s="33">
        <v>39</v>
      </c>
      <c r="B43" s="55" t="s">
        <v>185</v>
      </c>
      <c r="C43" s="55">
        <f>IF(دانش‌آموزان!E8="","",دانش‌آموزان!B8)</f>
        <v>4</v>
      </c>
      <c r="D43" s="55" t="str">
        <f>IF(دانش‌آموزان!C8="","",دانش‌آموزان!C8)</f>
        <v>0960412271</v>
      </c>
      <c r="E43" s="55" t="str">
        <f>IF(دانش‌آموزان!E8="","",دانش‌آموزان!E8&amp;" "&amp;دانش‌آموزان!F8)</f>
        <v>اميرحيدر ترابي</v>
      </c>
      <c r="F43" s="34">
        <f>IF(دانش‌آموزان!I8="","",دانش‌آموزان!I8)</f>
        <v>901</v>
      </c>
      <c r="G43" s="19">
        <v>19.190000000000001</v>
      </c>
      <c r="H43" s="20">
        <v>-5.1900000000000013</v>
      </c>
      <c r="I43" s="20">
        <v>0</v>
      </c>
      <c r="J43" s="20">
        <v>4</v>
      </c>
      <c r="K43" s="20">
        <v>0</v>
      </c>
      <c r="L43" s="20">
        <v>0</v>
      </c>
      <c r="M43" s="20">
        <v>0</v>
      </c>
      <c r="N43" s="20">
        <v>0</v>
      </c>
      <c r="O43" s="20">
        <v>4</v>
      </c>
      <c r="P43" s="20">
        <v>4</v>
      </c>
      <c r="Q43" s="20">
        <v>4</v>
      </c>
      <c r="R43" s="20">
        <v>5</v>
      </c>
      <c r="S43" s="20">
        <v>4</v>
      </c>
      <c r="T43" s="20">
        <v>0</v>
      </c>
      <c r="U43" s="20">
        <v>4</v>
      </c>
      <c r="V43" s="20">
        <v>4</v>
      </c>
      <c r="W43" s="20">
        <v>5</v>
      </c>
      <c r="X43" s="20">
        <v>4</v>
      </c>
      <c r="Y43" s="20">
        <v>4</v>
      </c>
      <c r="Z43" s="20">
        <v>4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1"/>
      <c r="CC43" s="27">
        <f t="shared" si="0"/>
        <v>9</v>
      </c>
      <c r="CD43" s="38">
        <f t="shared" si="1"/>
        <v>16.8</v>
      </c>
      <c r="CE43" s="38">
        <f t="shared" si="2"/>
        <v>8</v>
      </c>
      <c r="CF43" s="38">
        <f t="shared" si="3"/>
        <v>16.8</v>
      </c>
      <c r="CG43" s="38">
        <f t="shared" si="4"/>
        <v>0</v>
      </c>
      <c r="CH43" s="38">
        <f t="shared" si="5"/>
        <v>0</v>
      </c>
      <c r="CI43" s="38">
        <f t="shared" si="6"/>
        <v>0</v>
      </c>
      <c r="CJ43" s="38">
        <f t="shared" si="7"/>
        <v>0</v>
      </c>
      <c r="CK43" s="38">
        <f t="shared" si="8"/>
        <v>0</v>
      </c>
      <c r="CL43" s="38" t="e">
        <f>IF(C43="","",IF(COUNT(G43:AZ43)&lt;46,"",SUMPRODUCT(CC43:CK43,'تنظیمات وزن‌دهی'!$C$5:$C$13)/100))</f>
        <v>#VALUE!</v>
      </c>
      <c r="CM43" s="38" t="e">
        <f t="shared" si="9"/>
        <v>#VALUE!</v>
      </c>
      <c r="CN43" s="38">
        <v>3</v>
      </c>
      <c r="CO43" s="28">
        <f t="shared" si="10"/>
        <v>1</v>
      </c>
      <c r="CP43" s="58"/>
    </row>
    <row r="44" spans="1:94" ht="17.25" hidden="1">
      <c r="A44" s="33">
        <v>40</v>
      </c>
      <c r="B44" s="55" t="s">
        <v>186</v>
      </c>
      <c r="C44" s="55">
        <f>IF(دانش‌آموزان!E8="","",دانش‌آموزان!B8)</f>
        <v>4</v>
      </c>
      <c r="D44" s="55" t="str">
        <f>IF(دانش‌آموزان!C8="","",دانش‌آموزان!C8)</f>
        <v>0960412271</v>
      </c>
      <c r="E44" s="55" t="str">
        <f>IF(دانش‌آموزان!E8="","",دانش‌آموزان!E8&amp;" "&amp;دانش‌آموزان!F8)</f>
        <v>اميرحيدر ترابي</v>
      </c>
      <c r="F44" s="34">
        <f>IF(دانش‌آموزان!I8="","",دانش‌آموزان!I8)</f>
        <v>901</v>
      </c>
      <c r="G44" s="19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1"/>
      <c r="CC44" s="27" t="str">
        <f t="shared" si="0"/>
        <v/>
      </c>
      <c r="CD44" s="38" t="str">
        <f t="shared" si="1"/>
        <v/>
      </c>
      <c r="CE44" s="38" t="str">
        <f t="shared" si="2"/>
        <v/>
      </c>
      <c r="CF44" s="38" t="str">
        <f t="shared" si="3"/>
        <v/>
      </c>
      <c r="CG44" s="38" t="str">
        <f t="shared" si="4"/>
        <v/>
      </c>
      <c r="CH44" s="38" t="str">
        <f t="shared" si="5"/>
        <v/>
      </c>
      <c r="CI44" s="38" t="str">
        <f t="shared" si="6"/>
        <v/>
      </c>
      <c r="CJ44" s="38" t="str">
        <f t="shared" si="7"/>
        <v/>
      </c>
      <c r="CK44" s="38" t="str">
        <f t="shared" si="8"/>
        <v/>
      </c>
      <c r="CL44" s="38" t="str">
        <f>IF(C44="","",IF(COUNT(G44:AZ44)&lt;46,"",SUMPRODUCT(CC44:CK44,'تنظیمات وزن‌دهی'!$C$5:$C$13)/100))</f>
        <v/>
      </c>
      <c r="CM44" s="38" t="str">
        <f t="shared" si="9"/>
        <v/>
      </c>
      <c r="CN44" s="38">
        <v>4</v>
      </c>
      <c r="CO44" s="28">
        <f t="shared" si="10"/>
        <v>0</v>
      </c>
      <c r="CP44" s="58"/>
    </row>
    <row r="45" spans="1:94" ht="17.25" hidden="1">
      <c r="A45" s="33">
        <v>41</v>
      </c>
      <c r="B45" s="55" t="s">
        <v>187</v>
      </c>
      <c r="C45" s="55">
        <f>IF(دانش‌آموزان!E8="","",دانش‌آموزان!B8)</f>
        <v>4</v>
      </c>
      <c r="D45" s="55" t="str">
        <f>IF(دانش‌آموزان!C8="","",دانش‌آموزان!C8)</f>
        <v>0960412271</v>
      </c>
      <c r="E45" s="55" t="str">
        <f>IF(دانش‌آموزان!E8="","",دانش‌آموزان!E8&amp;" "&amp;دانش‌آموزان!F8)</f>
        <v>اميرحيدر ترابي</v>
      </c>
      <c r="F45" s="34">
        <f>IF(دانش‌آموزان!I8="","",دانش‌آموزان!I8)</f>
        <v>901</v>
      </c>
      <c r="G45" s="19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1"/>
      <c r="CC45" s="27" t="str">
        <f t="shared" si="0"/>
        <v/>
      </c>
      <c r="CD45" s="38" t="str">
        <f t="shared" si="1"/>
        <v/>
      </c>
      <c r="CE45" s="38" t="str">
        <f t="shared" si="2"/>
        <v/>
      </c>
      <c r="CF45" s="38" t="str">
        <f t="shared" si="3"/>
        <v/>
      </c>
      <c r="CG45" s="38" t="str">
        <f t="shared" si="4"/>
        <v/>
      </c>
      <c r="CH45" s="38" t="str">
        <f t="shared" si="5"/>
        <v/>
      </c>
      <c r="CI45" s="38" t="str">
        <f t="shared" si="6"/>
        <v/>
      </c>
      <c r="CJ45" s="38" t="str">
        <f t="shared" si="7"/>
        <v/>
      </c>
      <c r="CK45" s="38" t="str">
        <f t="shared" si="8"/>
        <v/>
      </c>
      <c r="CL45" s="38" t="str">
        <f>IF(C45="","",IF(COUNT(G45:AZ45)&lt;46,"",SUMPRODUCT(CC45:CK45,'تنظیمات وزن‌دهی'!$C$5:$C$13)/100))</f>
        <v/>
      </c>
      <c r="CM45" s="38" t="str">
        <f t="shared" si="9"/>
        <v/>
      </c>
      <c r="CN45" s="38">
        <v>5</v>
      </c>
      <c r="CO45" s="28">
        <f t="shared" si="10"/>
        <v>0</v>
      </c>
      <c r="CP45" s="58"/>
    </row>
    <row r="46" spans="1:94" ht="17.25" hidden="1">
      <c r="A46" s="33">
        <v>42</v>
      </c>
      <c r="B46" s="55" t="s">
        <v>188</v>
      </c>
      <c r="C46" s="55">
        <f>IF(دانش‌آموزان!E8="","",دانش‌آموزان!B8)</f>
        <v>4</v>
      </c>
      <c r="D46" s="55" t="str">
        <f>IF(دانش‌آموزان!C8="","",دانش‌آموزان!C8)</f>
        <v>0960412271</v>
      </c>
      <c r="E46" s="55" t="str">
        <f>IF(دانش‌آموزان!E8="","",دانش‌آموزان!E8&amp;" "&amp;دانش‌آموزان!F8)</f>
        <v>اميرحيدر ترابي</v>
      </c>
      <c r="F46" s="34">
        <f>IF(دانش‌آموزان!I8="","",دانش‌آموزان!I8)</f>
        <v>901</v>
      </c>
      <c r="G46" s="19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1"/>
      <c r="CC46" s="27" t="str">
        <f t="shared" si="0"/>
        <v/>
      </c>
      <c r="CD46" s="38" t="str">
        <f t="shared" si="1"/>
        <v/>
      </c>
      <c r="CE46" s="38" t="str">
        <f t="shared" si="2"/>
        <v/>
      </c>
      <c r="CF46" s="38" t="str">
        <f t="shared" si="3"/>
        <v/>
      </c>
      <c r="CG46" s="38" t="str">
        <f t="shared" si="4"/>
        <v/>
      </c>
      <c r="CH46" s="38" t="str">
        <f t="shared" si="5"/>
        <v/>
      </c>
      <c r="CI46" s="38" t="str">
        <f t="shared" si="6"/>
        <v/>
      </c>
      <c r="CJ46" s="38" t="str">
        <f t="shared" si="7"/>
        <v/>
      </c>
      <c r="CK46" s="38" t="str">
        <f t="shared" si="8"/>
        <v/>
      </c>
      <c r="CL46" s="38" t="str">
        <f>IF(C46="","",IF(COUNT(G46:AZ46)&lt;46,"",SUMPRODUCT(CC46:CK46,'تنظیمات وزن‌دهی'!$C$5:$C$13)/100))</f>
        <v/>
      </c>
      <c r="CM46" s="38" t="str">
        <f t="shared" si="9"/>
        <v/>
      </c>
      <c r="CN46" s="38">
        <v>6</v>
      </c>
      <c r="CO46" s="28">
        <f t="shared" si="10"/>
        <v>0</v>
      </c>
      <c r="CP46" s="58"/>
    </row>
    <row r="47" spans="1:94" ht="17.25" hidden="1">
      <c r="A47" s="33">
        <v>43</v>
      </c>
      <c r="B47" s="55" t="s">
        <v>189</v>
      </c>
      <c r="C47" s="55">
        <f>IF(دانش‌آموزان!E8="","",دانش‌آموزان!B8)</f>
        <v>4</v>
      </c>
      <c r="D47" s="55" t="str">
        <f>IF(دانش‌آموزان!C8="","",دانش‌آموزان!C8)</f>
        <v>0960412271</v>
      </c>
      <c r="E47" s="55" t="str">
        <f>IF(دانش‌آموزان!E8="","",دانش‌آموزان!E8&amp;" "&amp;دانش‌آموزان!F8)</f>
        <v>اميرحيدر ترابي</v>
      </c>
      <c r="F47" s="34">
        <f>IF(دانش‌آموزان!I8="","",دانش‌آموزان!I8)</f>
        <v>901</v>
      </c>
      <c r="G47" s="19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1"/>
      <c r="CC47" s="27" t="str">
        <f t="shared" si="0"/>
        <v/>
      </c>
      <c r="CD47" s="38" t="str">
        <f t="shared" si="1"/>
        <v/>
      </c>
      <c r="CE47" s="38" t="str">
        <f t="shared" si="2"/>
        <v/>
      </c>
      <c r="CF47" s="38" t="str">
        <f t="shared" si="3"/>
        <v/>
      </c>
      <c r="CG47" s="38" t="str">
        <f t="shared" si="4"/>
        <v/>
      </c>
      <c r="CH47" s="38" t="str">
        <f t="shared" si="5"/>
        <v/>
      </c>
      <c r="CI47" s="38" t="str">
        <f t="shared" si="6"/>
        <v/>
      </c>
      <c r="CJ47" s="38" t="str">
        <f t="shared" si="7"/>
        <v/>
      </c>
      <c r="CK47" s="38" t="str">
        <f t="shared" si="8"/>
        <v/>
      </c>
      <c r="CL47" s="38" t="str">
        <f>IF(C47="","",IF(COUNT(G47:AZ47)&lt;46,"",SUMPRODUCT(CC47:CK47,'تنظیمات وزن‌دهی'!$C$5:$C$13)/100))</f>
        <v/>
      </c>
      <c r="CM47" s="38" t="str">
        <f t="shared" si="9"/>
        <v/>
      </c>
      <c r="CN47" s="38">
        <v>7</v>
      </c>
      <c r="CO47" s="28">
        <f t="shared" si="10"/>
        <v>0</v>
      </c>
      <c r="CP47" s="58"/>
    </row>
    <row r="48" spans="1:94" ht="17.25" hidden="1">
      <c r="A48" s="33">
        <v>44</v>
      </c>
      <c r="B48" s="55" t="s">
        <v>190</v>
      </c>
      <c r="C48" s="55">
        <f>IF(دانش‌آموزان!E8="","",دانش‌آموزان!B8)</f>
        <v>4</v>
      </c>
      <c r="D48" s="55" t="str">
        <f>IF(دانش‌آموزان!C8="","",دانش‌آموزان!C8)</f>
        <v>0960412271</v>
      </c>
      <c r="E48" s="55" t="str">
        <f>IF(دانش‌آموزان!E8="","",دانش‌آموزان!E8&amp;" "&amp;دانش‌آموزان!F8)</f>
        <v>اميرحيدر ترابي</v>
      </c>
      <c r="F48" s="34">
        <f>IF(دانش‌آموزان!I8="","",دانش‌آموزان!I8)</f>
        <v>901</v>
      </c>
      <c r="G48" s="19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1"/>
      <c r="CC48" s="27" t="str">
        <f t="shared" si="0"/>
        <v/>
      </c>
      <c r="CD48" s="38" t="str">
        <f t="shared" si="1"/>
        <v/>
      </c>
      <c r="CE48" s="38" t="str">
        <f t="shared" si="2"/>
        <v/>
      </c>
      <c r="CF48" s="38" t="str">
        <f t="shared" si="3"/>
        <v/>
      </c>
      <c r="CG48" s="38" t="str">
        <f t="shared" si="4"/>
        <v/>
      </c>
      <c r="CH48" s="38" t="str">
        <f t="shared" si="5"/>
        <v/>
      </c>
      <c r="CI48" s="38" t="str">
        <f t="shared" si="6"/>
        <v/>
      </c>
      <c r="CJ48" s="38" t="str">
        <f t="shared" si="7"/>
        <v/>
      </c>
      <c r="CK48" s="38" t="str">
        <f t="shared" si="8"/>
        <v/>
      </c>
      <c r="CL48" s="38" t="str">
        <f>IF(C48="","",IF(COUNT(G48:AZ48)&lt;46,"",SUMPRODUCT(CC48:CK48,'تنظیمات وزن‌دهی'!$C$5:$C$13)/100))</f>
        <v/>
      </c>
      <c r="CM48" s="38" t="str">
        <f t="shared" si="9"/>
        <v/>
      </c>
      <c r="CN48" s="38">
        <v>8</v>
      </c>
      <c r="CO48" s="28">
        <f t="shared" si="10"/>
        <v>0</v>
      </c>
      <c r="CP48" s="58"/>
    </row>
    <row r="49" spans="1:94" ht="17.25" hidden="1">
      <c r="A49" s="33">
        <v>45</v>
      </c>
      <c r="B49" s="55" t="s">
        <v>191</v>
      </c>
      <c r="C49" s="55">
        <f>IF(دانش‌آموزان!E8="","",دانش‌آموزان!B8)</f>
        <v>4</v>
      </c>
      <c r="D49" s="55" t="str">
        <f>IF(دانش‌آموزان!C8="","",دانش‌آموزان!C8)</f>
        <v>0960412271</v>
      </c>
      <c r="E49" s="55" t="str">
        <f>IF(دانش‌آموزان!E8="","",دانش‌آموزان!E8&amp;" "&amp;دانش‌آموزان!F8)</f>
        <v>اميرحيدر ترابي</v>
      </c>
      <c r="F49" s="34">
        <f>IF(دانش‌آموزان!I8="","",دانش‌آموزان!I8)</f>
        <v>901</v>
      </c>
      <c r="G49" s="19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1"/>
      <c r="CC49" s="27" t="str">
        <f t="shared" si="0"/>
        <v/>
      </c>
      <c r="CD49" s="38" t="str">
        <f t="shared" si="1"/>
        <v/>
      </c>
      <c r="CE49" s="38" t="str">
        <f t="shared" si="2"/>
        <v/>
      </c>
      <c r="CF49" s="38" t="str">
        <f t="shared" si="3"/>
        <v/>
      </c>
      <c r="CG49" s="38" t="str">
        <f t="shared" si="4"/>
        <v/>
      </c>
      <c r="CH49" s="38" t="str">
        <f t="shared" si="5"/>
        <v/>
      </c>
      <c r="CI49" s="38" t="str">
        <f t="shared" si="6"/>
        <v/>
      </c>
      <c r="CJ49" s="38" t="str">
        <f t="shared" si="7"/>
        <v/>
      </c>
      <c r="CK49" s="38" t="str">
        <f t="shared" si="8"/>
        <v/>
      </c>
      <c r="CL49" s="38" t="str">
        <f>IF(C49="","",IF(COUNT(G49:AZ49)&lt;46,"",SUMPRODUCT(CC49:CK49,'تنظیمات وزن‌دهی'!$C$5:$C$13)/100))</f>
        <v/>
      </c>
      <c r="CM49" s="38" t="str">
        <f t="shared" si="9"/>
        <v/>
      </c>
      <c r="CN49" s="38">
        <v>9</v>
      </c>
      <c r="CO49" s="28">
        <f t="shared" si="10"/>
        <v>0</v>
      </c>
      <c r="CP49" s="58"/>
    </row>
    <row r="50" spans="1:94" ht="17.25" hidden="1">
      <c r="A50" s="33">
        <v>46</v>
      </c>
      <c r="B50" s="55" t="s">
        <v>192</v>
      </c>
      <c r="C50" s="55">
        <f>IF(دانش‌آموزان!E8="","",دانش‌آموزان!B8)</f>
        <v>4</v>
      </c>
      <c r="D50" s="55" t="str">
        <f>IF(دانش‌آموزان!C8="","",دانش‌آموزان!C8)</f>
        <v>0960412271</v>
      </c>
      <c r="E50" s="55" t="str">
        <f>IF(دانش‌آموزان!E8="","",دانش‌آموزان!E8&amp;" "&amp;دانش‌آموزان!F8)</f>
        <v>اميرحيدر ترابي</v>
      </c>
      <c r="F50" s="34">
        <f>IF(دانش‌آموزان!I8="","",دانش‌آموزان!I8)</f>
        <v>901</v>
      </c>
      <c r="G50" s="19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1"/>
      <c r="CC50" s="27" t="str">
        <f t="shared" si="0"/>
        <v/>
      </c>
      <c r="CD50" s="38" t="str">
        <f t="shared" si="1"/>
        <v/>
      </c>
      <c r="CE50" s="38" t="str">
        <f t="shared" si="2"/>
        <v/>
      </c>
      <c r="CF50" s="38" t="str">
        <f t="shared" si="3"/>
        <v/>
      </c>
      <c r="CG50" s="38" t="str">
        <f t="shared" si="4"/>
        <v/>
      </c>
      <c r="CH50" s="38" t="str">
        <f t="shared" si="5"/>
        <v/>
      </c>
      <c r="CI50" s="38" t="str">
        <f t="shared" si="6"/>
        <v/>
      </c>
      <c r="CJ50" s="38" t="str">
        <f t="shared" si="7"/>
        <v/>
      </c>
      <c r="CK50" s="38" t="str">
        <f t="shared" si="8"/>
        <v/>
      </c>
      <c r="CL50" s="38" t="str">
        <f>IF(C50="","",IF(COUNT(G50:AZ50)&lt;46,"",SUMPRODUCT(CC50:CK50,'تنظیمات وزن‌دهی'!$C$5:$C$13)/100))</f>
        <v/>
      </c>
      <c r="CM50" s="38" t="str">
        <f t="shared" si="9"/>
        <v/>
      </c>
      <c r="CN50" s="38">
        <v>10</v>
      </c>
      <c r="CO50" s="28">
        <f t="shared" si="10"/>
        <v>0</v>
      </c>
      <c r="CP50" s="58"/>
    </row>
    <row r="51" spans="1:94" ht="17.25" hidden="1">
      <c r="A51" s="33">
        <v>47</v>
      </c>
      <c r="B51" s="55" t="s">
        <v>193</v>
      </c>
      <c r="C51" s="55">
        <f>IF(دانش‌آموزان!E8="","",دانش‌آموزان!B8)</f>
        <v>4</v>
      </c>
      <c r="D51" s="55" t="str">
        <f>IF(دانش‌آموزان!C8="","",دانش‌آموزان!C8)</f>
        <v>0960412271</v>
      </c>
      <c r="E51" s="55" t="str">
        <f>IF(دانش‌آموزان!E8="","",دانش‌آموزان!E8&amp;" "&amp;دانش‌آموزان!F8)</f>
        <v>اميرحيدر ترابي</v>
      </c>
      <c r="F51" s="34">
        <f>IF(دانش‌آموزان!I8="","",دانش‌آموزان!I8)</f>
        <v>901</v>
      </c>
      <c r="G51" s="19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1"/>
      <c r="CC51" s="27" t="str">
        <f t="shared" si="0"/>
        <v/>
      </c>
      <c r="CD51" s="38" t="str">
        <f t="shared" si="1"/>
        <v/>
      </c>
      <c r="CE51" s="38" t="str">
        <f t="shared" si="2"/>
        <v/>
      </c>
      <c r="CF51" s="38" t="str">
        <f t="shared" si="3"/>
        <v/>
      </c>
      <c r="CG51" s="38" t="str">
        <f t="shared" si="4"/>
        <v/>
      </c>
      <c r="CH51" s="38" t="str">
        <f t="shared" si="5"/>
        <v/>
      </c>
      <c r="CI51" s="38" t="str">
        <f t="shared" si="6"/>
        <v/>
      </c>
      <c r="CJ51" s="38" t="str">
        <f t="shared" si="7"/>
        <v/>
      </c>
      <c r="CK51" s="38" t="str">
        <f t="shared" si="8"/>
        <v/>
      </c>
      <c r="CL51" s="38" t="str">
        <f>IF(C51="","",IF(COUNT(G51:AZ51)&lt;46,"",SUMPRODUCT(CC51:CK51,'تنظیمات وزن‌دهی'!$C$5:$C$13)/100))</f>
        <v/>
      </c>
      <c r="CM51" s="38" t="str">
        <f t="shared" si="9"/>
        <v/>
      </c>
      <c r="CN51" s="38">
        <v>11</v>
      </c>
      <c r="CO51" s="28">
        <f t="shared" si="10"/>
        <v>0</v>
      </c>
      <c r="CP51" s="58"/>
    </row>
    <row r="52" spans="1:94" ht="17.25" hidden="1">
      <c r="A52" s="33">
        <v>48</v>
      </c>
      <c r="B52" s="55" t="s">
        <v>194</v>
      </c>
      <c r="C52" s="55">
        <f>IF(دانش‌آموزان!E8="","",دانش‌آموزان!B8)</f>
        <v>4</v>
      </c>
      <c r="D52" s="55" t="str">
        <f>IF(دانش‌آموزان!C8="","",دانش‌آموزان!C8)</f>
        <v>0960412271</v>
      </c>
      <c r="E52" s="55" t="str">
        <f>IF(دانش‌آموزان!E8="","",دانش‌آموزان!E8&amp;" "&amp;دانش‌آموزان!F8)</f>
        <v>اميرحيدر ترابي</v>
      </c>
      <c r="F52" s="34">
        <f>IF(دانش‌آموزان!I8="","",دانش‌آموزان!I8)</f>
        <v>901</v>
      </c>
      <c r="G52" s="1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1"/>
      <c r="CC52" s="27" t="str">
        <f t="shared" si="0"/>
        <v/>
      </c>
      <c r="CD52" s="38" t="str">
        <f t="shared" si="1"/>
        <v/>
      </c>
      <c r="CE52" s="38" t="str">
        <f t="shared" si="2"/>
        <v/>
      </c>
      <c r="CF52" s="38" t="str">
        <f t="shared" si="3"/>
        <v/>
      </c>
      <c r="CG52" s="38" t="str">
        <f t="shared" si="4"/>
        <v/>
      </c>
      <c r="CH52" s="38" t="str">
        <f t="shared" si="5"/>
        <v/>
      </c>
      <c r="CI52" s="38" t="str">
        <f t="shared" si="6"/>
        <v/>
      </c>
      <c r="CJ52" s="38" t="str">
        <f t="shared" si="7"/>
        <v/>
      </c>
      <c r="CK52" s="38" t="str">
        <f t="shared" si="8"/>
        <v/>
      </c>
      <c r="CL52" s="38" t="str">
        <f>IF(C52="","",IF(COUNT(G52:AZ52)&lt;46,"",SUMPRODUCT(CC52:CK52,'تنظیمات وزن‌دهی'!$C$5:$C$13)/100))</f>
        <v/>
      </c>
      <c r="CM52" s="38" t="str">
        <f t="shared" si="9"/>
        <v/>
      </c>
      <c r="CN52" s="38">
        <v>12</v>
      </c>
      <c r="CO52" s="28">
        <f t="shared" si="10"/>
        <v>0</v>
      </c>
      <c r="CP52" s="58"/>
    </row>
    <row r="53" spans="1:94" ht="17.25" hidden="1">
      <c r="A53" s="33">
        <v>49</v>
      </c>
      <c r="B53" s="55" t="s">
        <v>183</v>
      </c>
      <c r="C53" s="55">
        <f>IF(دانش‌آموزان!E9="","",دانش‌آموزان!B9)</f>
        <v>5</v>
      </c>
      <c r="D53" s="55" t="str">
        <f>IF(دانش‌آموزان!C9="","",دانش‌آموزان!C9)</f>
        <v>0960309799</v>
      </c>
      <c r="E53" s="55" t="str">
        <f>IF(دانش‌آموزان!E9="","",دانش‌آموزان!E9&amp;" "&amp;دانش‌آموزان!F9)</f>
        <v>سيدآرمان تقوي</v>
      </c>
      <c r="F53" s="34">
        <f>IF(دانش‌آموزان!I9="","",دانش‌آموزان!I9)</f>
        <v>901</v>
      </c>
      <c r="G53" s="19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1"/>
      <c r="CC53" s="27" t="str">
        <f t="shared" si="0"/>
        <v/>
      </c>
      <c r="CD53" s="38" t="str">
        <f t="shared" si="1"/>
        <v/>
      </c>
      <c r="CE53" s="38" t="str">
        <f t="shared" si="2"/>
        <v/>
      </c>
      <c r="CF53" s="38" t="str">
        <f t="shared" si="3"/>
        <v/>
      </c>
      <c r="CG53" s="38" t="str">
        <f t="shared" si="4"/>
        <v/>
      </c>
      <c r="CH53" s="38" t="str">
        <f t="shared" si="5"/>
        <v/>
      </c>
      <c r="CI53" s="38" t="str">
        <f t="shared" si="6"/>
        <v/>
      </c>
      <c r="CJ53" s="38" t="str">
        <f t="shared" si="7"/>
        <v/>
      </c>
      <c r="CK53" s="38" t="str">
        <f t="shared" si="8"/>
        <v/>
      </c>
      <c r="CL53" s="38" t="str">
        <f>IF(C53="","",IF(COUNT(G53:AZ53)&lt;46,"",SUMPRODUCT(CC53:CK53,'تنظیمات وزن‌دهی'!$C$5:$C$13)/100))</f>
        <v/>
      </c>
      <c r="CM53" s="38" t="str">
        <f t="shared" si="9"/>
        <v/>
      </c>
      <c r="CN53" s="38">
        <v>1</v>
      </c>
      <c r="CO53" s="28">
        <f t="shared" si="10"/>
        <v>0</v>
      </c>
      <c r="CP53" s="58"/>
    </row>
    <row r="54" spans="1:94" ht="17.25" hidden="1">
      <c r="A54" s="33">
        <v>50</v>
      </c>
      <c r="B54" s="55" t="s">
        <v>184</v>
      </c>
      <c r="C54" s="55">
        <f>IF(دانش‌آموزان!E9="","",دانش‌آموزان!B9)</f>
        <v>5</v>
      </c>
      <c r="D54" s="55" t="str">
        <f>IF(دانش‌آموزان!C9="","",دانش‌آموزان!C9)</f>
        <v>0960309799</v>
      </c>
      <c r="E54" s="55" t="str">
        <f>IF(دانش‌آموزان!E9="","",دانش‌آموزان!E9&amp;" "&amp;دانش‌آموزان!F9)</f>
        <v>سيدآرمان تقوي</v>
      </c>
      <c r="F54" s="34">
        <f>IF(دانش‌آموزان!I9="","",دانش‌آموزان!I9)</f>
        <v>901</v>
      </c>
      <c r="G54" s="1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1"/>
      <c r="CC54" s="27" t="str">
        <f t="shared" si="0"/>
        <v/>
      </c>
      <c r="CD54" s="38" t="str">
        <f t="shared" si="1"/>
        <v/>
      </c>
      <c r="CE54" s="38" t="str">
        <f t="shared" si="2"/>
        <v/>
      </c>
      <c r="CF54" s="38" t="str">
        <f t="shared" si="3"/>
        <v/>
      </c>
      <c r="CG54" s="38" t="str">
        <f t="shared" si="4"/>
        <v/>
      </c>
      <c r="CH54" s="38" t="str">
        <f t="shared" si="5"/>
        <v/>
      </c>
      <c r="CI54" s="38" t="str">
        <f t="shared" si="6"/>
        <v/>
      </c>
      <c r="CJ54" s="38" t="str">
        <f t="shared" si="7"/>
        <v/>
      </c>
      <c r="CK54" s="38" t="str">
        <f t="shared" si="8"/>
        <v/>
      </c>
      <c r="CL54" s="38" t="str">
        <f>IF(C54="","",IF(COUNT(G54:AZ54)&lt;46,"",SUMPRODUCT(CC54:CK54,'تنظیمات وزن‌دهی'!$C$5:$C$13)/100))</f>
        <v/>
      </c>
      <c r="CM54" s="38" t="str">
        <f t="shared" si="9"/>
        <v/>
      </c>
      <c r="CN54" s="38">
        <v>2</v>
      </c>
      <c r="CO54" s="28">
        <f t="shared" si="10"/>
        <v>0</v>
      </c>
      <c r="CP54" s="58"/>
    </row>
    <row r="55" spans="1:94" ht="17.25">
      <c r="A55" s="33">
        <v>51</v>
      </c>
      <c r="B55" s="55" t="s">
        <v>185</v>
      </c>
      <c r="C55" s="55">
        <f>IF(دانش‌آموزان!E9="","",دانش‌آموزان!B9)</f>
        <v>5</v>
      </c>
      <c r="D55" s="55" t="str">
        <f>IF(دانش‌آموزان!C9="","",دانش‌آموزان!C9)</f>
        <v>0960309799</v>
      </c>
      <c r="E55" s="55" t="str">
        <f>IF(دانش‌آموزان!E9="","",دانش‌آموزان!E9&amp;" "&amp;دانش‌آموزان!F9)</f>
        <v>سيدآرمان تقوي</v>
      </c>
      <c r="F55" s="34">
        <f>IF(دانش‌آموزان!I9="","",دانش‌آموزان!I9)</f>
        <v>901</v>
      </c>
      <c r="G55" s="19">
        <v>18.12</v>
      </c>
      <c r="H55" s="20">
        <v>-8.120000000000001</v>
      </c>
      <c r="I55" s="20">
        <v>0</v>
      </c>
      <c r="J55" s="20">
        <v>4</v>
      </c>
      <c r="K55" s="20">
        <v>0</v>
      </c>
      <c r="L55" s="20">
        <v>0</v>
      </c>
      <c r="M55" s="20">
        <v>0</v>
      </c>
      <c r="N55" s="20">
        <v>0</v>
      </c>
      <c r="O55" s="20">
        <v>3</v>
      </c>
      <c r="P55" s="20">
        <v>3</v>
      </c>
      <c r="Q55" s="20">
        <v>3</v>
      </c>
      <c r="R55" s="20">
        <v>3</v>
      </c>
      <c r="S55" s="20">
        <v>4</v>
      </c>
      <c r="T55" s="20">
        <v>0</v>
      </c>
      <c r="U55" s="20">
        <v>3</v>
      </c>
      <c r="V55" s="20">
        <v>3</v>
      </c>
      <c r="W55" s="20">
        <v>0</v>
      </c>
      <c r="X55" s="20">
        <v>3</v>
      </c>
      <c r="Y55" s="20">
        <v>4</v>
      </c>
      <c r="Z55" s="20">
        <v>3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0</v>
      </c>
      <c r="AY55" s="20">
        <v>0</v>
      </c>
      <c r="AZ55" s="20">
        <v>0</v>
      </c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1"/>
      <c r="CC55" s="27">
        <f t="shared" si="0"/>
        <v>7</v>
      </c>
      <c r="CD55" s="38">
        <f t="shared" si="1"/>
        <v>12.8</v>
      </c>
      <c r="CE55" s="38">
        <f t="shared" si="2"/>
        <v>6</v>
      </c>
      <c r="CF55" s="38">
        <f t="shared" si="3"/>
        <v>10.4</v>
      </c>
      <c r="CG55" s="38">
        <f t="shared" si="4"/>
        <v>0</v>
      </c>
      <c r="CH55" s="38">
        <f t="shared" si="5"/>
        <v>0</v>
      </c>
      <c r="CI55" s="38">
        <f t="shared" si="6"/>
        <v>0</v>
      </c>
      <c r="CJ55" s="38">
        <f t="shared" si="7"/>
        <v>0</v>
      </c>
      <c r="CK55" s="38">
        <f t="shared" si="8"/>
        <v>0</v>
      </c>
      <c r="CL55" s="38" t="e">
        <f>IF(C55="","",IF(COUNT(G55:AZ55)&lt;46,"",SUMPRODUCT(CC55:CK55,'تنظیمات وزن‌دهی'!$C$5:$C$13)/100))</f>
        <v>#VALUE!</v>
      </c>
      <c r="CM55" s="38" t="e">
        <f t="shared" si="9"/>
        <v>#VALUE!</v>
      </c>
      <c r="CN55" s="38">
        <v>3</v>
      </c>
      <c r="CO55" s="28">
        <f t="shared" si="10"/>
        <v>1</v>
      </c>
      <c r="CP55" s="58"/>
    </row>
    <row r="56" spans="1:94" ht="17.25" hidden="1">
      <c r="A56" s="33">
        <v>52</v>
      </c>
      <c r="B56" s="55" t="s">
        <v>186</v>
      </c>
      <c r="C56" s="55">
        <f>IF(دانش‌آموزان!E9="","",دانش‌آموزان!B9)</f>
        <v>5</v>
      </c>
      <c r="D56" s="55" t="str">
        <f>IF(دانش‌آموزان!C9="","",دانش‌آموزان!C9)</f>
        <v>0960309799</v>
      </c>
      <c r="E56" s="55" t="str">
        <f>IF(دانش‌آموزان!E9="","",دانش‌آموزان!E9&amp;" "&amp;دانش‌آموزان!F9)</f>
        <v>سيدآرمان تقوي</v>
      </c>
      <c r="F56" s="34">
        <f>IF(دانش‌آموزان!I9="","",دانش‌آموزان!I9)</f>
        <v>901</v>
      </c>
      <c r="G56" s="19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1"/>
      <c r="CC56" s="27" t="str">
        <f t="shared" si="0"/>
        <v/>
      </c>
      <c r="CD56" s="38" t="str">
        <f t="shared" si="1"/>
        <v/>
      </c>
      <c r="CE56" s="38" t="str">
        <f t="shared" si="2"/>
        <v/>
      </c>
      <c r="CF56" s="38" t="str">
        <f t="shared" si="3"/>
        <v/>
      </c>
      <c r="CG56" s="38" t="str">
        <f t="shared" si="4"/>
        <v/>
      </c>
      <c r="CH56" s="38" t="str">
        <f t="shared" si="5"/>
        <v/>
      </c>
      <c r="CI56" s="38" t="str">
        <f t="shared" si="6"/>
        <v/>
      </c>
      <c r="CJ56" s="38" t="str">
        <f t="shared" si="7"/>
        <v/>
      </c>
      <c r="CK56" s="38" t="str">
        <f t="shared" si="8"/>
        <v/>
      </c>
      <c r="CL56" s="38" t="str">
        <f>IF(C56="","",IF(COUNT(G56:AZ56)&lt;46,"",SUMPRODUCT(CC56:CK56,'تنظیمات وزن‌دهی'!$C$5:$C$13)/100))</f>
        <v/>
      </c>
      <c r="CM56" s="38" t="str">
        <f t="shared" si="9"/>
        <v/>
      </c>
      <c r="CN56" s="38">
        <v>4</v>
      </c>
      <c r="CO56" s="28">
        <f t="shared" si="10"/>
        <v>0</v>
      </c>
      <c r="CP56" s="58"/>
    </row>
    <row r="57" spans="1:94" ht="17.25" hidden="1">
      <c r="A57" s="33">
        <v>53</v>
      </c>
      <c r="B57" s="55" t="s">
        <v>187</v>
      </c>
      <c r="C57" s="55">
        <f>IF(دانش‌آموزان!E9="","",دانش‌آموزان!B9)</f>
        <v>5</v>
      </c>
      <c r="D57" s="55" t="str">
        <f>IF(دانش‌آموزان!C9="","",دانش‌آموزان!C9)</f>
        <v>0960309799</v>
      </c>
      <c r="E57" s="55" t="str">
        <f>IF(دانش‌آموزان!E9="","",دانش‌آموزان!E9&amp;" "&amp;دانش‌آموزان!F9)</f>
        <v>سيدآرمان تقوي</v>
      </c>
      <c r="F57" s="34">
        <f>IF(دانش‌آموزان!I9="","",دانش‌آموزان!I9)</f>
        <v>901</v>
      </c>
      <c r="G57" s="19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1"/>
      <c r="CC57" s="27" t="str">
        <f t="shared" si="0"/>
        <v/>
      </c>
      <c r="CD57" s="38" t="str">
        <f t="shared" si="1"/>
        <v/>
      </c>
      <c r="CE57" s="38" t="str">
        <f t="shared" si="2"/>
        <v/>
      </c>
      <c r="CF57" s="38" t="str">
        <f t="shared" si="3"/>
        <v/>
      </c>
      <c r="CG57" s="38" t="str">
        <f t="shared" si="4"/>
        <v/>
      </c>
      <c r="CH57" s="38" t="str">
        <f t="shared" si="5"/>
        <v/>
      </c>
      <c r="CI57" s="38" t="str">
        <f t="shared" si="6"/>
        <v/>
      </c>
      <c r="CJ57" s="38" t="str">
        <f t="shared" si="7"/>
        <v/>
      </c>
      <c r="CK57" s="38" t="str">
        <f t="shared" si="8"/>
        <v/>
      </c>
      <c r="CL57" s="38" t="str">
        <f>IF(C57="","",IF(COUNT(G57:AZ57)&lt;46,"",SUMPRODUCT(CC57:CK57,'تنظیمات وزن‌دهی'!$C$5:$C$13)/100))</f>
        <v/>
      </c>
      <c r="CM57" s="38" t="str">
        <f t="shared" si="9"/>
        <v/>
      </c>
      <c r="CN57" s="38">
        <v>5</v>
      </c>
      <c r="CO57" s="28">
        <f t="shared" si="10"/>
        <v>0</v>
      </c>
      <c r="CP57" s="58"/>
    </row>
    <row r="58" spans="1:94" ht="17.25" hidden="1">
      <c r="A58" s="33">
        <v>54</v>
      </c>
      <c r="B58" s="55" t="s">
        <v>188</v>
      </c>
      <c r="C58" s="55">
        <f>IF(دانش‌آموزان!E9="","",دانش‌آموزان!B9)</f>
        <v>5</v>
      </c>
      <c r="D58" s="55" t="str">
        <f>IF(دانش‌آموزان!C9="","",دانش‌آموزان!C9)</f>
        <v>0960309799</v>
      </c>
      <c r="E58" s="55" t="str">
        <f>IF(دانش‌آموزان!E9="","",دانش‌آموزان!E9&amp;" "&amp;دانش‌آموزان!F9)</f>
        <v>سيدآرمان تقوي</v>
      </c>
      <c r="F58" s="34">
        <f>IF(دانش‌آموزان!I9="","",دانش‌آموزان!I9)</f>
        <v>901</v>
      </c>
      <c r="G58" s="19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1"/>
      <c r="CC58" s="27" t="str">
        <f t="shared" si="0"/>
        <v/>
      </c>
      <c r="CD58" s="38" t="str">
        <f t="shared" si="1"/>
        <v/>
      </c>
      <c r="CE58" s="38" t="str">
        <f t="shared" si="2"/>
        <v/>
      </c>
      <c r="CF58" s="38" t="str">
        <f t="shared" si="3"/>
        <v/>
      </c>
      <c r="CG58" s="38" t="str">
        <f t="shared" si="4"/>
        <v/>
      </c>
      <c r="CH58" s="38" t="str">
        <f t="shared" si="5"/>
        <v/>
      </c>
      <c r="CI58" s="38" t="str">
        <f t="shared" si="6"/>
        <v/>
      </c>
      <c r="CJ58" s="38" t="str">
        <f t="shared" si="7"/>
        <v/>
      </c>
      <c r="CK58" s="38" t="str">
        <f t="shared" si="8"/>
        <v/>
      </c>
      <c r="CL58" s="38" t="str">
        <f>IF(C58="","",IF(COUNT(G58:AZ58)&lt;46,"",SUMPRODUCT(CC58:CK58,'تنظیمات وزن‌دهی'!$C$5:$C$13)/100))</f>
        <v/>
      </c>
      <c r="CM58" s="38" t="str">
        <f t="shared" si="9"/>
        <v/>
      </c>
      <c r="CN58" s="38">
        <v>6</v>
      </c>
      <c r="CO58" s="28">
        <f t="shared" si="10"/>
        <v>0</v>
      </c>
      <c r="CP58" s="58"/>
    </row>
    <row r="59" spans="1:94" ht="17.25" hidden="1">
      <c r="A59" s="33">
        <v>55</v>
      </c>
      <c r="B59" s="55" t="s">
        <v>189</v>
      </c>
      <c r="C59" s="55">
        <f>IF(دانش‌آموزان!E9="","",دانش‌آموزان!B9)</f>
        <v>5</v>
      </c>
      <c r="D59" s="55" t="str">
        <f>IF(دانش‌آموزان!C9="","",دانش‌آموزان!C9)</f>
        <v>0960309799</v>
      </c>
      <c r="E59" s="55" t="str">
        <f>IF(دانش‌آموزان!E9="","",دانش‌آموزان!E9&amp;" "&amp;دانش‌آموزان!F9)</f>
        <v>سيدآرمان تقوي</v>
      </c>
      <c r="F59" s="34">
        <f>IF(دانش‌آموزان!I9="","",دانش‌آموزان!I9)</f>
        <v>901</v>
      </c>
      <c r="G59" s="19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1"/>
      <c r="CC59" s="27" t="str">
        <f t="shared" si="0"/>
        <v/>
      </c>
      <c r="CD59" s="38" t="str">
        <f t="shared" si="1"/>
        <v/>
      </c>
      <c r="CE59" s="38" t="str">
        <f t="shared" si="2"/>
        <v/>
      </c>
      <c r="CF59" s="38" t="str">
        <f t="shared" si="3"/>
        <v/>
      </c>
      <c r="CG59" s="38" t="str">
        <f t="shared" si="4"/>
        <v/>
      </c>
      <c r="CH59" s="38" t="str">
        <f t="shared" si="5"/>
        <v/>
      </c>
      <c r="CI59" s="38" t="str">
        <f t="shared" si="6"/>
        <v/>
      </c>
      <c r="CJ59" s="38" t="str">
        <f t="shared" si="7"/>
        <v/>
      </c>
      <c r="CK59" s="38" t="str">
        <f t="shared" si="8"/>
        <v/>
      </c>
      <c r="CL59" s="38" t="str">
        <f>IF(C59="","",IF(COUNT(G59:AZ59)&lt;46,"",SUMPRODUCT(CC59:CK59,'تنظیمات وزن‌دهی'!$C$5:$C$13)/100))</f>
        <v/>
      </c>
      <c r="CM59" s="38" t="str">
        <f t="shared" si="9"/>
        <v/>
      </c>
      <c r="CN59" s="38">
        <v>7</v>
      </c>
      <c r="CO59" s="28">
        <f t="shared" si="10"/>
        <v>0</v>
      </c>
      <c r="CP59" s="58"/>
    </row>
    <row r="60" spans="1:94" ht="17.25" hidden="1">
      <c r="A60" s="33">
        <v>56</v>
      </c>
      <c r="B60" s="55" t="s">
        <v>190</v>
      </c>
      <c r="C60" s="55">
        <f>IF(دانش‌آموزان!E9="","",دانش‌آموزان!B9)</f>
        <v>5</v>
      </c>
      <c r="D60" s="55" t="str">
        <f>IF(دانش‌آموزان!C9="","",دانش‌آموزان!C9)</f>
        <v>0960309799</v>
      </c>
      <c r="E60" s="55" t="str">
        <f>IF(دانش‌آموزان!E9="","",دانش‌آموزان!E9&amp;" "&amp;دانش‌آموزان!F9)</f>
        <v>سيدآرمان تقوي</v>
      </c>
      <c r="F60" s="34">
        <f>IF(دانش‌آموزان!I9="","",دانش‌آموزان!I9)</f>
        <v>901</v>
      </c>
      <c r="G60" s="19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1"/>
      <c r="CC60" s="27" t="str">
        <f t="shared" si="0"/>
        <v/>
      </c>
      <c r="CD60" s="38" t="str">
        <f t="shared" si="1"/>
        <v/>
      </c>
      <c r="CE60" s="38" t="str">
        <f t="shared" si="2"/>
        <v/>
      </c>
      <c r="CF60" s="38" t="str">
        <f t="shared" si="3"/>
        <v/>
      </c>
      <c r="CG60" s="38" t="str">
        <f t="shared" si="4"/>
        <v/>
      </c>
      <c r="CH60" s="38" t="str">
        <f t="shared" si="5"/>
        <v/>
      </c>
      <c r="CI60" s="38" t="str">
        <f t="shared" si="6"/>
        <v/>
      </c>
      <c r="CJ60" s="38" t="str">
        <f t="shared" si="7"/>
        <v/>
      </c>
      <c r="CK60" s="38" t="str">
        <f t="shared" si="8"/>
        <v/>
      </c>
      <c r="CL60" s="38" t="str">
        <f>IF(C60="","",IF(COUNT(G60:AZ60)&lt;46,"",SUMPRODUCT(CC60:CK60,'تنظیمات وزن‌دهی'!$C$5:$C$13)/100))</f>
        <v/>
      </c>
      <c r="CM60" s="38" t="str">
        <f t="shared" si="9"/>
        <v/>
      </c>
      <c r="CN60" s="38">
        <v>8</v>
      </c>
      <c r="CO60" s="28">
        <f t="shared" si="10"/>
        <v>0</v>
      </c>
      <c r="CP60" s="58"/>
    </row>
    <row r="61" spans="1:94" ht="17.25" hidden="1">
      <c r="A61" s="33">
        <v>57</v>
      </c>
      <c r="B61" s="55" t="s">
        <v>191</v>
      </c>
      <c r="C61" s="55">
        <f>IF(دانش‌آموزان!E9="","",دانش‌آموزان!B9)</f>
        <v>5</v>
      </c>
      <c r="D61" s="55" t="str">
        <f>IF(دانش‌آموزان!C9="","",دانش‌آموزان!C9)</f>
        <v>0960309799</v>
      </c>
      <c r="E61" s="55" t="str">
        <f>IF(دانش‌آموزان!E9="","",دانش‌آموزان!E9&amp;" "&amp;دانش‌آموزان!F9)</f>
        <v>سيدآرمان تقوي</v>
      </c>
      <c r="F61" s="34">
        <f>IF(دانش‌آموزان!I9="","",دانش‌آموزان!I9)</f>
        <v>901</v>
      </c>
      <c r="G61" s="19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1"/>
      <c r="CC61" s="27" t="str">
        <f t="shared" si="0"/>
        <v/>
      </c>
      <c r="CD61" s="38" t="str">
        <f t="shared" si="1"/>
        <v/>
      </c>
      <c r="CE61" s="38" t="str">
        <f t="shared" si="2"/>
        <v/>
      </c>
      <c r="CF61" s="38" t="str">
        <f t="shared" si="3"/>
        <v/>
      </c>
      <c r="CG61" s="38" t="str">
        <f t="shared" si="4"/>
        <v/>
      </c>
      <c r="CH61" s="38" t="str">
        <f t="shared" si="5"/>
        <v/>
      </c>
      <c r="CI61" s="38" t="str">
        <f t="shared" si="6"/>
        <v/>
      </c>
      <c r="CJ61" s="38" t="str">
        <f t="shared" si="7"/>
        <v/>
      </c>
      <c r="CK61" s="38" t="str">
        <f t="shared" si="8"/>
        <v/>
      </c>
      <c r="CL61" s="38" t="str">
        <f>IF(C61="","",IF(COUNT(G61:AZ61)&lt;46,"",SUMPRODUCT(CC61:CK61,'تنظیمات وزن‌دهی'!$C$5:$C$13)/100))</f>
        <v/>
      </c>
      <c r="CM61" s="38" t="str">
        <f t="shared" si="9"/>
        <v/>
      </c>
      <c r="CN61" s="38">
        <v>9</v>
      </c>
      <c r="CO61" s="28">
        <f t="shared" si="10"/>
        <v>0</v>
      </c>
      <c r="CP61" s="58"/>
    </row>
    <row r="62" spans="1:94" ht="17.25" hidden="1">
      <c r="A62" s="33">
        <v>58</v>
      </c>
      <c r="B62" s="55" t="s">
        <v>192</v>
      </c>
      <c r="C62" s="55">
        <f>IF(دانش‌آموزان!E9="","",دانش‌آموزان!B9)</f>
        <v>5</v>
      </c>
      <c r="D62" s="55" t="str">
        <f>IF(دانش‌آموزان!C9="","",دانش‌آموزان!C9)</f>
        <v>0960309799</v>
      </c>
      <c r="E62" s="55" t="str">
        <f>IF(دانش‌آموزان!E9="","",دانش‌آموزان!E9&amp;" "&amp;دانش‌آموزان!F9)</f>
        <v>سيدآرمان تقوي</v>
      </c>
      <c r="F62" s="34">
        <f>IF(دانش‌آموزان!I9="","",دانش‌آموزان!I9)</f>
        <v>901</v>
      </c>
      <c r="G62" s="19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1"/>
      <c r="CC62" s="27" t="str">
        <f t="shared" si="0"/>
        <v/>
      </c>
      <c r="CD62" s="38" t="str">
        <f t="shared" si="1"/>
        <v/>
      </c>
      <c r="CE62" s="38" t="str">
        <f t="shared" si="2"/>
        <v/>
      </c>
      <c r="CF62" s="38" t="str">
        <f t="shared" si="3"/>
        <v/>
      </c>
      <c r="CG62" s="38" t="str">
        <f t="shared" si="4"/>
        <v/>
      </c>
      <c r="CH62" s="38" t="str">
        <f t="shared" si="5"/>
        <v/>
      </c>
      <c r="CI62" s="38" t="str">
        <f t="shared" si="6"/>
        <v/>
      </c>
      <c r="CJ62" s="38" t="str">
        <f t="shared" si="7"/>
        <v/>
      </c>
      <c r="CK62" s="38" t="str">
        <f t="shared" si="8"/>
        <v/>
      </c>
      <c r="CL62" s="38" t="str">
        <f>IF(C62="","",IF(COUNT(G62:AZ62)&lt;46,"",SUMPRODUCT(CC62:CK62,'تنظیمات وزن‌دهی'!$C$5:$C$13)/100))</f>
        <v/>
      </c>
      <c r="CM62" s="38" t="str">
        <f t="shared" si="9"/>
        <v/>
      </c>
      <c r="CN62" s="38">
        <v>10</v>
      </c>
      <c r="CO62" s="28">
        <f t="shared" si="10"/>
        <v>0</v>
      </c>
      <c r="CP62" s="58"/>
    </row>
    <row r="63" spans="1:94" ht="17.25" hidden="1">
      <c r="A63" s="33">
        <v>59</v>
      </c>
      <c r="B63" s="55" t="s">
        <v>193</v>
      </c>
      <c r="C63" s="55">
        <f>IF(دانش‌آموزان!E9="","",دانش‌آموزان!B9)</f>
        <v>5</v>
      </c>
      <c r="D63" s="55" t="str">
        <f>IF(دانش‌آموزان!C9="","",دانش‌آموزان!C9)</f>
        <v>0960309799</v>
      </c>
      <c r="E63" s="55" t="str">
        <f>IF(دانش‌آموزان!E9="","",دانش‌آموزان!E9&amp;" "&amp;دانش‌آموزان!F9)</f>
        <v>سيدآرمان تقوي</v>
      </c>
      <c r="F63" s="34">
        <f>IF(دانش‌آموزان!I9="","",دانش‌آموزان!I9)</f>
        <v>901</v>
      </c>
      <c r="G63" s="19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1"/>
      <c r="CC63" s="27" t="str">
        <f t="shared" si="0"/>
        <v/>
      </c>
      <c r="CD63" s="38" t="str">
        <f t="shared" si="1"/>
        <v/>
      </c>
      <c r="CE63" s="38" t="str">
        <f t="shared" si="2"/>
        <v/>
      </c>
      <c r="CF63" s="38" t="str">
        <f t="shared" si="3"/>
        <v/>
      </c>
      <c r="CG63" s="38" t="str">
        <f t="shared" si="4"/>
        <v/>
      </c>
      <c r="CH63" s="38" t="str">
        <f t="shared" si="5"/>
        <v/>
      </c>
      <c r="CI63" s="38" t="str">
        <f t="shared" si="6"/>
        <v/>
      </c>
      <c r="CJ63" s="38" t="str">
        <f t="shared" si="7"/>
        <v/>
      </c>
      <c r="CK63" s="38" t="str">
        <f t="shared" si="8"/>
        <v/>
      </c>
      <c r="CL63" s="38" t="str">
        <f>IF(C63="","",IF(COUNT(G63:AZ63)&lt;46,"",SUMPRODUCT(CC63:CK63,'تنظیمات وزن‌دهی'!$C$5:$C$13)/100))</f>
        <v/>
      </c>
      <c r="CM63" s="38" t="str">
        <f t="shared" si="9"/>
        <v/>
      </c>
      <c r="CN63" s="38">
        <v>11</v>
      </c>
      <c r="CO63" s="28">
        <f t="shared" si="10"/>
        <v>0</v>
      </c>
      <c r="CP63" s="58"/>
    </row>
    <row r="64" spans="1:94" ht="17.25" hidden="1">
      <c r="A64" s="33">
        <v>60</v>
      </c>
      <c r="B64" s="55" t="s">
        <v>194</v>
      </c>
      <c r="C64" s="55">
        <f>IF(دانش‌آموزان!E9="","",دانش‌آموزان!B9)</f>
        <v>5</v>
      </c>
      <c r="D64" s="55" t="str">
        <f>IF(دانش‌آموزان!C9="","",دانش‌آموزان!C9)</f>
        <v>0960309799</v>
      </c>
      <c r="E64" s="55" t="str">
        <f>IF(دانش‌آموزان!E9="","",دانش‌آموزان!E9&amp;" "&amp;دانش‌آموزان!F9)</f>
        <v>سيدآرمان تقوي</v>
      </c>
      <c r="F64" s="34">
        <f>IF(دانش‌آموزان!I9="","",دانش‌آموزان!I9)</f>
        <v>901</v>
      </c>
      <c r="G64" s="19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1"/>
      <c r="CC64" s="27" t="str">
        <f t="shared" si="0"/>
        <v/>
      </c>
      <c r="CD64" s="38" t="str">
        <f t="shared" si="1"/>
        <v/>
      </c>
      <c r="CE64" s="38" t="str">
        <f t="shared" si="2"/>
        <v/>
      </c>
      <c r="CF64" s="38" t="str">
        <f t="shared" si="3"/>
        <v/>
      </c>
      <c r="CG64" s="38" t="str">
        <f t="shared" si="4"/>
        <v/>
      </c>
      <c r="CH64" s="38" t="str">
        <f t="shared" si="5"/>
        <v/>
      </c>
      <c r="CI64" s="38" t="str">
        <f t="shared" si="6"/>
        <v/>
      </c>
      <c r="CJ64" s="38" t="str">
        <f t="shared" si="7"/>
        <v/>
      </c>
      <c r="CK64" s="38" t="str">
        <f t="shared" si="8"/>
        <v/>
      </c>
      <c r="CL64" s="38" t="str">
        <f>IF(C64="","",IF(COUNT(G64:AZ64)&lt;46,"",SUMPRODUCT(CC64:CK64,'تنظیمات وزن‌دهی'!$C$5:$C$13)/100))</f>
        <v/>
      </c>
      <c r="CM64" s="38" t="str">
        <f t="shared" si="9"/>
        <v/>
      </c>
      <c r="CN64" s="38">
        <v>12</v>
      </c>
      <c r="CO64" s="28">
        <f t="shared" si="10"/>
        <v>0</v>
      </c>
      <c r="CP64" s="58"/>
    </row>
    <row r="65" spans="1:94" ht="17.25" hidden="1">
      <c r="A65" s="33">
        <v>61</v>
      </c>
      <c r="B65" s="55" t="s">
        <v>183</v>
      </c>
      <c r="C65" s="55">
        <f>IF(دانش‌آموزان!E10="","",دانش‌آموزان!B10)</f>
        <v>6</v>
      </c>
      <c r="D65" s="55" t="str">
        <f>IF(دانش‌آموزان!C10="","",دانش‌آموزان!C10)</f>
        <v>0980449561</v>
      </c>
      <c r="E65" s="55" t="str">
        <f>IF(دانش‌آموزان!E10="","",دانش‌آموزان!E10&amp;" "&amp;دانش‌آموزان!F10)</f>
        <v>كيان تقي پور حصاري</v>
      </c>
      <c r="F65" s="34">
        <f>IF(دانش‌آموزان!I10="","",دانش‌آموزان!I10)</f>
        <v>901</v>
      </c>
      <c r="G65" s="19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1"/>
      <c r="CC65" s="27" t="str">
        <f t="shared" si="0"/>
        <v/>
      </c>
      <c r="CD65" s="38" t="str">
        <f t="shared" si="1"/>
        <v/>
      </c>
      <c r="CE65" s="38" t="str">
        <f t="shared" si="2"/>
        <v/>
      </c>
      <c r="CF65" s="38" t="str">
        <f t="shared" si="3"/>
        <v/>
      </c>
      <c r="CG65" s="38" t="str">
        <f t="shared" si="4"/>
        <v/>
      </c>
      <c r="CH65" s="38" t="str">
        <f t="shared" si="5"/>
        <v/>
      </c>
      <c r="CI65" s="38" t="str">
        <f t="shared" si="6"/>
        <v/>
      </c>
      <c r="CJ65" s="38" t="str">
        <f t="shared" si="7"/>
        <v/>
      </c>
      <c r="CK65" s="38" t="str">
        <f t="shared" si="8"/>
        <v/>
      </c>
      <c r="CL65" s="38" t="str">
        <f>IF(C65="","",IF(COUNT(G65:AZ65)&lt;46,"",SUMPRODUCT(CC65:CK65,'تنظیمات وزن‌دهی'!$C$5:$C$13)/100))</f>
        <v/>
      </c>
      <c r="CM65" s="38" t="str">
        <f t="shared" si="9"/>
        <v/>
      </c>
      <c r="CN65" s="38">
        <v>1</v>
      </c>
      <c r="CO65" s="28">
        <f t="shared" si="10"/>
        <v>0</v>
      </c>
      <c r="CP65" s="58"/>
    </row>
    <row r="66" spans="1:94" ht="17.25" hidden="1">
      <c r="A66" s="33">
        <v>62</v>
      </c>
      <c r="B66" s="55" t="s">
        <v>184</v>
      </c>
      <c r="C66" s="55">
        <f>IF(دانش‌آموزان!E10="","",دانش‌آموزان!B10)</f>
        <v>6</v>
      </c>
      <c r="D66" s="55" t="str">
        <f>IF(دانش‌آموزان!C10="","",دانش‌آموزان!C10)</f>
        <v>0980449561</v>
      </c>
      <c r="E66" s="55" t="str">
        <f>IF(دانش‌آموزان!E10="","",دانش‌آموزان!E10&amp;" "&amp;دانش‌آموزان!F10)</f>
        <v>كيان تقي پور حصاري</v>
      </c>
      <c r="F66" s="34">
        <f>IF(دانش‌آموزان!I10="","",دانش‌آموزان!I10)</f>
        <v>901</v>
      </c>
      <c r="G66" s="19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1"/>
      <c r="CC66" s="27" t="str">
        <f t="shared" si="0"/>
        <v/>
      </c>
      <c r="CD66" s="38" t="str">
        <f t="shared" si="1"/>
        <v/>
      </c>
      <c r="CE66" s="38" t="str">
        <f t="shared" si="2"/>
        <v/>
      </c>
      <c r="CF66" s="38" t="str">
        <f t="shared" si="3"/>
        <v/>
      </c>
      <c r="CG66" s="38" t="str">
        <f t="shared" si="4"/>
        <v/>
      </c>
      <c r="CH66" s="38" t="str">
        <f t="shared" si="5"/>
        <v/>
      </c>
      <c r="CI66" s="38" t="str">
        <f t="shared" si="6"/>
        <v/>
      </c>
      <c r="CJ66" s="38" t="str">
        <f t="shared" si="7"/>
        <v/>
      </c>
      <c r="CK66" s="38" t="str">
        <f t="shared" si="8"/>
        <v/>
      </c>
      <c r="CL66" s="38" t="str">
        <f>IF(C66="","",IF(COUNT(G66:AZ66)&lt;46,"",SUMPRODUCT(CC66:CK66,'تنظیمات وزن‌دهی'!$C$5:$C$13)/100))</f>
        <v/>
      </c>
      <c r="CM66" s="38" t="str">
        <f t="shared" si="9"/>
        <v/>
      </c>
      <c r="CN66" s="38">
        <v>2</v>
      </c>
      <c r="CO66" s="28">
        <f t="shared" si="10"/>
        <v>0</v>
      </c>
      <c r="CP66" s="58"/>
    </row>
    <row r="67" spans="1:94" ht="17.25">
      <c r="A67" s="33">
        <v>63</v>
      </c>
      <c r="B67" s="55" t="s">
        <v>185</v>
      </c>
      <c r="C67" s="55">
        <f>IF(دانش‌آموزان!E10="","",دانش‌آموزان!B10)</f>
        <v>6</v>
      </c>
      <c r="D67" s="55" t="str">
        <f>IF(دانش‌آموزان!C10="","",دانش‌آموزان!C10)</f>
        <v>0980449561</v>
      </c>
      <c r="E67" s="55" t="str">
        <f>IF(دانش‌آموزان!E10="","",دانش‌آموزان!E10&amp;" "&amp;دانش‌آموزان!F10)</f>
        <v>كيان تقي پور حصاري</v>
      </c>
      <c r="F67" s="34">
        <f>IF(دانش‌آموزان!I10="","",دانش‌آموزان!I10)</f>
        <v>901</v>
      </c>
      <c r="G67" s="19">
        <v>19.239999999999998</v>
      </c>
      <c r="H67" s="20">
        <v>-2.2399999999999984</v>
      </c>
      <c r="I67" s="20">
        <v>0</v>
      </c>
      <c r="J67" s="20">
        <v>4</v>
      </c>
      <c r="K67" s="20">
        <v>0</v>
      </c>
      <c r="L67" s="20">
        <v>0</v>
      </c>
      <c r="M67" s="20">
        <v>0</v>
      </c>
      <c r="N67" s="20">
        <v>0</v>
      </c>
      <c r="O67" s="20">
        <v>4</v>
      </c>
      <c r="P67" s="20">
        <v>4</v>
      </c>
      <c r="Q67" s="20">
        <v>4</v>
      </c>
      <c r="R67" s="20">
        <v>4</v>
      </c>
      <c r="S67" s="20">
        <v>4</v>
      </c>
      <c r="T67" s="20">
        <v>0</v>
      </c>
      <c r="U67" s="20">
        <v>4</v>
      </c>
      <c r="V67" s="20">
        <v>5</v>
      </c>
      <c r="W67" s="20">
        <v>5</v>
      </c>
      <c r="X67" s="20">
        <v>4</v>
      </c>
      <c r="Y67" s="20">
        <v>4</v>
      </c>
      <c r="Z67" s="20">
        <v>4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0</v>
      </c>
      <c r="AY67" s="20">
        <v>0</v>
      </c>
      <c r="AZ67" s="20">
        <v>0</v>
      </c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1"/>
      <c r="CC67" s="27">
        <f t="shared" si="0"/>
        <v>10.5</v>
      </c>
      <c r="CD67" s="38">
        <f t="shared" si="1"/>
        <v>16</v>
      </c>
      <c r="CE67" s="38">
        <f t="shared" si="2"/>
        <v>8</v>
      </c>
      <c r="CF67" s="38">
        <f t="shared" si="3"/>
        <v>17.600000000000001</v>
      </c>
      <c r="CG67" s="38">
        <f t="shared" si="4"/>
        <v>0</v>
      </c>
      <c r="CH67" s="38">
        <f t="shared" si="5"/>
        <v>0</v>
      </c>
      <c r="CI67" s="38">
        <f t="shared" si="6"/>
        <v>0</v>
      </c>
      <c r="CJ67" s="38">
        <f t="shared" si="7"/>
        <v>0</v>
      </c>
      <c r="CK67" s="38">
        <f t="shared" si="8"/>
        <v>0</v>
      </c>
      <c r="CL67" s="38" t="e">
        <f>IF(C67="","",IF(COUNT(G67:AZ67)&lt;46,"",SUMPRODUCT(CC67:CK67,'تنظیمات وزن‌دهی'!$C$5:$C$13)/100))</f>
        <v>#VALUE!</v>
      </c>
      <c r="CM67" s="38" t="e">
        <f t="shared" si="9"/>
        <v>#VALUE!</v>
      </c>
      <c r="CN67" s="38">
        <v>3</v>
      </c>
      <c r="CO67" s="28">
        <f t="shared" si="10"/>
        <v>1</v>
      </c>
      <c r="CP67" s="58"/>
    </row>
    <row r="68" spans="1:94" ht="17.25" hidden="1">
      <c r="A68" s="33">
        <v>64</v>
      </c>
      <c r="B68" s="55" t="s">
        <v>186</v>
      </c>
      <c r="C68" s="55">
        <f>IF(دانش‌آموزان!E10="","",دانش‌آموزان!B10)</f>
        <v>6</v>
      </c>
      <c r="D68" s="55" t="str">
        <f>IF(دانش‌آموزان!C10="","",دانش‌آموزان!C10)</f>
        <v>0980449561</v>
      </c>
      <c r="E68" s="55" t="str">
        <f>IF(دانش‌آموزان!E10="","",دانش‌آموزان!E10&amp;" "&amp;دانش‌آموزان!F10)</f>
        <v>كيان تقي پور حصاري</v>
      </c>
      <c r="F68" s="34">
        <f>IF(دانش‌آموزان!I10="","",دانش‌آموزان!I10)</f>
        <v>901</v>
      </c>
      <c r="G68" s="19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1"/>
      <c r="CC68" s="27" t="str">
        <f t="shared" si="0"/>
        <v/>
      </c>
      <c r="CD68" s="38" t="str">
        <f t="shared" si="1"/>
        <v/>
      </c>
      <c r="CE68" s="38" t="str">
        <f t="shared" si="2"/>
        <v/>
      </c>
      <c r="CF68" s="38" t="str">
        <f t="shared" si="3"/>
        <v/>
      </c>
      <c r="CG68" s="38" t="str">
        <f t="shared" si="4"/>
        <v/>
      </c>
      <c r="CH68" s="38" t="str">
        <f t="shared" si="5"/>
        <v/>
      </c>
      <c r="CI68" s="38" t="str">
        <f t="shared" si="6"/>
        <v/>
      </c>
      <c r="CJ68" s="38" t="str">
        <f t="shared" si="7"/>
        <v/>
      </c>
      <c r="CK68" s="38" t="str">
        <f t="shared" si="8"/>
        <v/>
      </c>
      <c r="CL68" s="38" t="str">
        <f>IF(C68="","",IF(COUNT(G68:AZ68)&lt;46,"",SUMPRODUCT(CC68:CK68,'تنظیمات وزن‌دهی'!$C$5:$C$13)/100))</f>
        <v/>
      </c>
      <c r="CM68" s="38" t="str">
        <f t="shared" si="9"/>
        <v/>
      </c>
      <c r="CN68" s="38">
        <v>4</v>
      </c>
      <c r="CO68" s="28">
        <f t="shared" si="10"/>
        <v>0</v>
      </c>
      <c r="CP68" s="58"/>
    </row>
    <row r="69" spans="1:94" ht="17.25" hidden="1">
      <c r="A69" s="33">
        <v>65</v>
      </c>
      <c r="B69" s="55" t="s">
        <v>187</v>
      </c>
      <c r="C69" s="55">
        <f>IF(دانش‌آموزان!E10="","",دانش‌آموزان!B10)</f>
        <v>6</v>
      </c>
      <c r="D69" s="55" t="str">
        <f>IF(دانش‌آموزان!C10="","",دانش‌آموزان!C10)</f>
        <v>0980449561</v>
      </c>
      <c r="E69" s="55" t="str">
        <f>IF(دانش‌آموزان!E10="","",دانش‌آموزان!E10&amp;" "&amp;دانش‌آموزان!F10)</f>
        <v>كيان تقي پور حصاري</v>
      </c>
      <c r="F69" s="34">
        <f>IF(دانش‌آموزان!I10="","",دانش‌آموزان!I10)</f>
        <v>901</v>
      </c>
      <c r="G69" s="19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1"/>
      <c r="CC69" s="27" t="str">
        <f t="shared" ref="CC69:CC132" si="11">IF(COUNT(G69:N69)=0,"",AVERAGE(G69:N69)*4)</f>
        <v/>
      </c>
      <c r="CD69" s="38" t="str">
        <f t="shared" ref="CD69:CD132" si="12">IF(COUNT(O69:S69)=0,"",AVERAGE(O69:S69)*4)</f>
        <v/>
      </c>
      <c r="CE69" s="38" t="str">
        <f t="shared" ref="CE69:CE132" si="13">IF(COUNT(T69:U69)=0,"",AVERAGE(T69:U69)*4)</f>
        <v/>
      </c>
      <c r="CF69" s="38" t="str">
        <f t="shared" ref="CF69:CF132" si="14">IF(COUNT(V69:Z69)=0,"",AVERAGE(V69:Z69)*4)</f>
        <v/>
      </c>
      <c r="CG69" s="38" t="str">
        <f t="shared" ref="CG69:CG132" si="15">IF(COUNT(AA69:AC69)=0,"",AVERAGE(AA69:AC69)*4)</f>
        <v/>
      </c>
      <c r="CH69" s="38" t="str">
        <f t="shared" ref="CH69:CH132" si="16">IF(COUNT(AD69:AI69)=0,"",AVERAGE(AD69:AI69)*4)</f>
        <v/>
      </c>
      <c r="CI69" s="38" t="str">
        <f t="shared" ref="CI69:CI132" si="17">IF(COUNT(AJ69:AP69)=0,"",AVERAGE(AJ69:AP69)*4)</f>
        <v/>
      </c>
      <c r="CJ69" s="38" t="str">
        <f t="shared" ref="CJ69:CJ132" si="18">IF(COUNT(AQ69:AW69)=0,"",AVERAGE(AQ69:AW69)*4)</f>
        <v/>
      </c>
      <c r="CK69" s="38" t="str">
        <f t="shared" ref="CK69:CK132" si="19">IF(COUNT(AX69:AZ69)=0,"",AVERAGE(AX69:AZ69)*4)</f>
        <v/>
      </c>
      <c r="CL69" s="38" t="str">
        <f>IF(C69="","",IF(COUNT(G69:AZ69)&lt;46,"",SUMPRODUCT(CC69:CK69,'تنظیمات وزن‌دهی'!$C$5:$C$13)/100))</f>
        <v/>
      </c>
      <c r="CM69" s="38" t="str">
        <f t="shared" ref="CM69:CM132" si="20">IF(C69="","",IF(COUNT(G69:AZ69)=0,"",IF(COUNT(G69:AZ69)&lt;46,"موقت - اطلاعات ناقص",IF(CL69&gt;=17,"عالی",IF(CL69&gt;=14,"خوب",IF(CL69&gt;=10,"متوسط","ضعیف"))))))</f>
        <v/>
      </c>
      <c r="CN69" s="38">
        <v>5</v>
      </c>
      <c r="CO69" s="28">
        <f t="shared" ref="CO69:CO132" si="21">IF(C69="","",COUNT(G69:AZ69)/46)</f>
        <v>0</v>
      </c>
      <c r="CP69" s="58"/>
    </row>
    <row r="70" spans="1:94" ht="17.25" hidden="1">
      <c r="A70" s="33">
        <v>66</v>
      </c>
      <c r="B70" s="55" t="s">
        <v>188</v>
      </c>
      <c r="C70" s="55">
        <f>IF(دانش‌آموزان!E10="","",دانش‌آموزان!B10)</f>
        <v>6</v>
      </c>
      <c r="D70" s="55" t="str">
        <f>IF(دانش‌آموزان!C10="","",دانش‌آموزان!C10)</f>
        <v>0980449561</v>
      </c>
      <c r="E70" s="55" t="str">
        <f>IF(دانش‌آموزان!E10="","",دانش‌آموزان!E10&amp;" "&amp;دانش‌آموزان!F10)</f>
        <v>كيان تقي پور حصاري</v>
      </c>
      <c r="F70" s="34">
        <f>IF(دانش‌آموزان!I10="","",دانش‌آموزان!I10)</f>
        <v>901</v>
      </c>
      <c r="G70" s="19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1"/>
      <c r="CC70" s="27" t="str">
        <f t="shared" si="11"/>
        <v/>
      </c>
      <c r="CD70" s="38" t="str">
        <f t="shared" si="12"/>
        <v/>
      </c>
      <c r="CE70" s="38" t="str">
        <f t="shared" si="13"/>
        <v/>
      </c>
      <c r="CF70" s="38" t="str">
        <f t="shared" si="14"/>
        <v/>
      </c>
      <c r="CG70" s="38" t="str">
        <f t="shared" si="15"/>
        <v/>
      </c>
      <c r="CH70" s="38" t="str">
        <f t="shared" si="16"/>
        <v/>
      </c>
      <c r="CI70" s="38" t="str">
        <f t="shared" si="17"/>
        <v/>
      </c>
      <c r="CJ70" s="38" t="str">
        <f t="shared" si="18"/>
        <v/>
      </c>
      <c r="CK70" s="38" t="str">
        <f t="shared" si="19"/>
        <v/>
      </c>
      <c r="CL70" s="38" t="str">
        <f>IF(C70="","",IF(COUNT(G70:AZ70)&lt;46,"",SUMPRODUCT(CC70:CK70,'تنظیمات وزن‌دهی'!$C$5:$C$13)/100))</f>
        <v/>
      </c>
      <c r="CM70" s="38" t="str">
        <f t="shared" si="20"/>
        <v/>
      </c>
      <c r="CN70" s="38">
        <v>6</v>
      </c>
      <c r="CO70" s="28">
        <f t="shared" si="21"/>
        <v>0</v>
      </c>
      <c r="CP70" s="58"/>
    </row>
    <row r="71" spans="1:94" ht="17.25" hidden="1">
      <c r="A71" s="33">
        <v>67</v>
      </c>
      <c r="B71" s="55" t="s">
        <v>189</v>
      </c>
      <c r="C71" s="55">
        <f>IF(دانش‌آموزان!E10="","",دانش‌آموزان!B10)</f>
        <v>6</v>
      </c>
      <c r="D71" s="55" t="str">
        <f>IF(دانش‌آموزان!C10="","",دانش‌آموزان!C10)</f>
        <v>0980449561</v>
      </c>
      <c r="E71" s="55" t="str">
        <f>IF(دانش‌آموزان!E10="","",دانش‌آموزان!E10&amp;" "&amp;دانش‌آموزان!F10)</f>
        <v>كيان تقي پور حصاري</v>
      </c>
      <c r="F71" s="34">
        <f>IF(دانش‌آموزان!I10="","",دانش‌آموزان!I10)</f>
        <v>901</v>
      </c>
      <c r="G71" s="19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1"/>
      <c r="CC71" s="27" t="str">
        <f t="shared" si="11"/>
        <v/>
      </c>
      <c r="CD71" s="38" t="str">
        <f t="shared" si="12"/>
        <v/>
      </c>
      <c r="CE71" s="38" t="str">
        <f t="shared" si="13"/>
        <v/>
      </c>
      <c r="CF71" s="38" t="str">
        <f t="shared" si="14"/>
        <v/>
      </c>
      <c r="CG71" s="38" t="str">
        <f t="shared" si="15"/>
        <v/>
      </c>
      <c r="CH71" s="38" t="str">
        <f t="shared" si="16"/>
        <v/>
      </c>
      <c r="CI71" s="38" t="str">
        <f t="shared" si="17"/>
        <v/>
      </c>
      <c r="CJ71" s="38" t="str">
        <f t="shared" si="18"/>
        <v/>
      </c>
      <c r="CK71" s="38" t="str">
        <f t="shared" si="19"/>
        <v/>
      </c>
      <c r="CL71" s="38" t="str">
        <f>IF(C71="","",IF(COUNT(G71:AZ71)&lt;46,"",SUMPRODUCT(CC71:CK71,'تنظیمات وزن‌دهی'!$C$5:$C$13)/100))</f>
        <v/>
      </c>
      <c r="CM71" s="38" t="str">
        <f t="shared" si="20"/>
        <v/>
      </c>
      <c r="CN71" s="38">
        <v>7</v>
      </c>
      <c r="CO71" s="28">
        <f t="shared" si="21"/>
        <v>0</v>
      </c>
      <c r="CP71" s="58"/>
    </row>
    <row r="72" spans="1:94" ht="17.25" hidden="1">
      <c r="A72" s="33">
        <v>68</v>
      </c>
      <c r="B72" s="55" t="s">
        <v>190</v>
      </c>
      <c r="C72" s="55">
        <f>IF(دانش‌آموزان!E10="","",دانش‌آموزان!B10)</f>
        <v>6</v>
      </c>
      <c r="D72" s="55" t="str">
        <f>IF(دانش‌آموزان!C10="","",دانش‌آموزان!C10)</f>
        <v>0980449561</v>
      </c>
      <c r="E72" s="55" t="str">
        <f>IF(دانش‌آموزان!E10="","",دانش‌آموزان!E10&amp;" "&amp;دانش‌آموزان!F10)</f>
        <v>كيان تقي پور حصاري</v>
      </c>
      <c r="F72" s="34">
        <f>IF(دانش‌آموزان!I10="","",دانش‌آموزان!I10)</f>
        <v>901</v>
      </c>
      <c r="G72" s="19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1"/>
      <c r="CC72" s="27" t="str">
        <f t="shared" si="11"/>
        <v/>
      </c>
      <c r="CD72" s="38" t="str">
        <f t="shared" si="12"/>
        <v/>
      </c>
      <c r="CE72" s="38" t="str">
        <f t="shared" si="13"/>
        <v/>
      </c>
      <c r="CF72" s="38" t="str">
        <f t="shared" si="14"/>
        <v/>
      </c>
      <c r="CG72" s="38" t="str">
        <f t="shared" si="15"/>
        <v/>
      </c>
      <c r="CH72" s="38" t="str">
        <f t="shared" si="16"/>
        <v/>
      </c>
      <c r="CI72" s="38" t="str">
        <f t="shared" si="17"/>
        <v/>
      </c>
      <c r="CJ72" s="38" t="str">
        <f t="shared" si="18"/>
        <v/>
      </c>
      <c r="CK72" s="38" t="str">
        <f t="shared" si="19"/>
        <v/>
      </c>
      <c r="CL72" s="38" t="str">
        <f>IF(C72="","",IF(COUNT(G72:AZ72)&lt;46,"",SUMPRODUCT(CC72:CK72,'تنظیمات وزن‌دهی'!$C$5:$C$13)/100))</f>
        <v/>
      </c>
      <c r="CM72" s="38" t="str">
        <f t="shared" si="20"/>
        <v/>
      </c>
      <c r="CN72" s="38">
        <v>8</v>
      </c>
      <c r="CO72" s="28">
        <f t="shared" si="21"/>
        <v>0</v>
      </c>
      <c r="CP72" s="58"/>
    </row>
    <row r="73" spans="1:94" ht="17.25" hidden="1">
      <c r="A73" s="33">
        <v>69</v>
      </c>
      <c r="B73" s="55" t="s">
        <v>191</v>
      </c>
      <c r="C73" s="55">
        <f>IF(دانش‌آموزان!E10="","",دانش‌آموزان!B10)</f>
        <v>6</v>
      </c>
      <c r="D73" s="55" t="str">
        <f>IF(دانش‌آموزان!C10="","",دانش‌آموزان!C10)</f>
        <v>0980449561</v>
      </c>
      <c r="E73" s="55" t="str">
        <f>IF(دانش‌آموزان!E10="","",دانش‌آموزان!E10&amp;" "&amp;دانش‌آموزان!F10)</f>
        <v>كيان تقي پور حصاري</v>
      </c>
      <c r="F73" s="34">
        <f>IF(دانش‌آموزان!I10="","",دانش‌آموزان!I10)</f>
        <v>901</v>
      </c>
      <c r="G73" s="19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1"/>
      <c r="CC73" s="27" t="str">
        <f t="shared" si="11"/>
        <v/>
      </c>
      <c r="CD73" s="38" t="str">
        <f t="shared" si="12"/>
        <v/>
      </c>
      <c r="CE73" s="38" t="str">
        <f t="shared" si="13"/>
        <v/>
      </c>
      <c r="CF73" s="38" t="str">
        <f t="shared" si="14"/>
        <v/>
      </c>
      <c r="CG73" s="38" t="str">
        <f t="shared" si="15"/>
        <v/>
      </c>
      <c r="CH73" s="38" t="str">
        <f t="shared" si="16"/>
        <v/>
      </c>
      <c r="CI73" s="38" t="str">
        <f t="shared" si="17"/>
        <v/>
      </c>
      <c r="CJ73" s="38" t="str">
        <f t="shared" si="18"/>
        <v/>
      </c>
      <c r="CK73" s="38" t="str">
        <f t="shared" si="19"/>
        <v/>
      </c>
      <c r="CL73" s="38" t="str">
        <f>IF(C73="","",IF(COUNT(G73:AZ73)&lt;46,"",SUMPRODUCT(CC73:CK73,'تنظیمات وزن‌دهی'!$C$5:$C$13)/100))</f>
        <v/>
      </c>
      <c r="CM73" s="38" t="str">
        <f t="shared" si="20"/>
        <v/>
      </c>
      <c r="CN73" s="38">
        <v>9</v>
      </c>
      <c r="CO73" s="28">
        <f t="shared" si="21"/>
        <v>0</v>
      </c>
      <c r="CP73" s="58"/>
    </row>
    <row r="74" spans="1:94" ht="17.25" hidden="1">
      <c r="A74" s="33">
        <v>70</v>
      </c>
      <c r="B74" s="55" t="s">
        <v>192</v>
      </c>
      <c r="C74" s="55">
        <f>IF(دانش‌آموزان!E10="","",دانش‌آموزان!B10)</f>
        <v>6</v>
      </c>
      <c r="D74" s="55" t="str">
        <f>IF(دانش‌آموزان!C10="","",دانش‌آموزان!C10)</f>
        <v>0980449561</v>
      </c>
      <c r="E74" s="55" t="str">
        <f>IF(دانش‌آموزان!E10="","",دانش‌آموزان!E10&amp;" "&amp;دانش‌آموزان!F10)</f>
        <v>كيان تقي پور حصاري</v>
      </c>
      <c r="F74" s="34">
        <f>IF(دانش‌آموزان!I10="","",دانش‌آموزان!I10)</f>
        <v>901</v>
      </c>
      <c r="G74" s="19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1"/>
      <c r="CC74" s="27" t="str">
        <f t="shared" si="11"/>
        <v/>
      </c>
      <c r="CD74" s="38" t="str">
        <f t="shared" si="12"/>
        <v/>
      </c>
      <c r="CE74" s="38" t="str">
        <f t="shared" si="13"/>
        <v/>
      </c>
      <c r="CF74" s="38" t="str">
        <f t="shared" si="14"/>
        <v/>
      </c>
      <c r="CG74" s="38" t="str">
        <f t="shared" si="15"/>
        <v/>
      </c>
      <c r="CH74" s="38" t="str">
        <f t="shared" si="16"/>
        <v/>
      </c>
      <c r="CI74" s="38" t="str">
        <f t="shared" si="17"/>
        <v/>
      </c>
      <c r="CJ74" s="38" t="str">
        <f t="shared" si="18"/>
        <v/>
      </c>
      <c r="CK74" s="38" t="str">
        <f t="shared" si="19"/>
        <v/>
      </c>
      <c r="CL74" s="38" t="str">
        <f>IF(C74="","",IF(COUNT(G74:AZ74)&lt;46,"",SUMPRODUCT(CC74:CK74,'تنظیمات وزن‌دهی'!$C$5:$C$13)/100))</f>
        <v/>
      </c>
      <c r="CM74" s="38" t="str">
        <f t="shared" si="20"/>
        <v/>
      </c>
      <c r="CN74" s="38">
        <v>10</v>
      </c>
      <c r="CO74" s="28">
        <f t="shared" si="21"/>
        <v>0</v>
      </c>
      <c r="CP74" s="58"/>
    </row>
    <row r="75" spans="1:94" ht="17.25" hidden="1">
      <c r="A75" s="33">
        <v>71</v>
      </c>
      <c r="B75" s="55" t="s">
        <v>193</v>
      </c>
      <c r="C75" s="55">
        <f>IF(دانش‌آموزان!E10="","",دانش‌آموزان!B10)</f>
        <v>6</v>
      </c>
      <c r="D75" s="55" t="str">
        <f>IF(دانش‌آموزان!C10="","",دانش‌آموزان!C10)</f>
        <v>0980449561</v>
      </c>
      <c r="E75" s="55" t="str">
        <f>IF(دانش‌آموزان!E10="","",دانش‌آموزان!E10&amp;" "&amp;دانش‌آموزان!F10)</f>
        <v>كيان تقي پور حصاري</v>
      </c>
      <c r="F75" s="34">
        <f>IF(دانش‌آموزان!I10="","",دانش‌آموزان!I10)</f>
        <v>901</v>
      </c>
      <c r="G75" s="19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1"/>
      <c r="CC75" s="27" t="str">
        <f t="shared" si="11"/>
        <v/>
      </c>
      <c r="CD75" s="38" t="str">
        <f t="shared" si="12"/>
        <v/>
      </c>
      <c r="CE75" s="38" t="str">
        <f t="shared" si="13"/>
        <v/>
      </c>
      <c r="CF75" s="38" t="str">
        <f t="shared" si="14"/>
        <v/>
      </c>
      <c r="CG75" s="38" t="str">
        <f t="shared" si="15"/>
        <v/>
      </c>
      <c r="CH75" s="38" t="str">
        <f t="shared" si="16"/>
        <v/>
      </c>
      <c r="CI75" s="38" t="str">
        <f t="shared" si="17"/>
        <v/>
      </c>
      <c r="CJ75" s="38" t="str">
        <f t="shared" si="18"/>
        <v/>
      </c>
      <c r="CK75" s="38" t="str">
        <f t="shared" si="19"/>
        <v/>
      </c>
      <c r="CL75" s="38" t="str">
        <f>IF(C75="","",IF(COUNT(G75:AZ75)&lt;46,"",SUMPRODUCT(CC75:CK75,'تنظیمات وزن‌دهی'!$C$5:$C$13)/100))</f>
        <v/>
      </c>
      <c r="CM75" s="38" t="str">
        <f t="shared" si="20"/>
        <v/>
      </c>
      <c r="CN75" s="38">
        <v>11</v>
      </c>
      <c r="CO75" s="28">
        <f t="shared" si="21"/>
        <v>0</v>
      </c>
      <c r="CP75" s="58"/>
    </row>
    <row r="76" spans="1:94" ht="17.25" hidden="1">
      <c r="A76" s="33">
        <v>72</v>
      </c>
      <c r="B76" s="55" t="s">
        <v>194</v>
      </c>
      <c r="C76" s="55">
        <f>IF(دانش‌آموزان!E10="","",دانش‌آموزان!B10)</f>
        <v>6</v>
      </c>
      <c r="D76" s="55" t="str">
        <f>IF(دانش‌آموزان!C10="","",دانش‌آموزان!C10)</f>
        <v>0980449561</v>
      </c>
      <c r="E76" s="55" t="str">
        <f>IF(دانش‌آموزان!E10="","",دانش‌آموزان!E10&amp;" "&amp;دانش‌آموزان!F10)</f>
        <v>كيان تقي پور حصاري</v>
      </c>
      <c r="F76" s="34">
        <f>IF(دانش‌آموزان!I10="","",دانش‌آموزان!I10)</f>
        <v>901</v>
      </c>
      <c r="G76" s="19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1"/>
      <c r="CC76" s="27" t="str">
        <f t="shared" si="11"/>
        <v/>
      </c>
      <c r="CD76" s="38" t="str">
        <f t="shared" si="12"/>
        <v/>
      </c>
      <c r="CE76" s="38" t="str">
        <f t="shared" si="13"/>
        <v/>
      </c>
      <c r="CF76" s="38" t="str">
        <f t="shared" si="14"/>
        <v/>
      </c>
      <c r="CG76" s="38" t="str">
        <f t="shared" si="15"/>
        <v/>
      </c>
      <c r="CH76" s="38" t="str">
        <f t="shared" si="16"/>
        <v/>
      </c>
      <c r="CI76" s="38" t="str">
        <f t="shared" si="17"/>
        <v/>
      </c>
      <c r="CJ76" s="38" t="str">
        <f t="shared" si="18"/>
        <v/>
      </c>
      <c r="CK76" s="38" t="str">
        <f t="shared" si="19"/>
        <v/>
      </c>
      <c r="CL76" s="38" t="str">
        <f>IF(C76="","",IF(COUNT(G76:AZ76)&lt;46,"",SUMPRODUCT(CC76:CK76,'تنظیمات وزن‌دهی'!$C$5:$C$13)/100))</f>
        <v/>
      </c>
      <c r="CM76" s="38" t="str">
        <f t="shared" si="20"/>
        <v/>
      </c>
      <c r="CN76" s="38">
        <v>12</v>
      </c>
      <c r="CO76" s="28">
        <f t="shared" si="21"/>
        <v>0</v>
      </c>
      <c r="CP76" s="58"/>
    </row>
    <row r="77" spans="1:94" ht="17.25" hidden="1">
      <c r="A77" s="33">
        <v>73</v>
      </c>
      <c r="B77" s="55" t="s">
        <v>183</v>
      </c>
      <c r="C77" s="55">
        <f>IF(دانش‌آموزان!E11="","",دانش‌آموزان!B11)</f>
        <v>7</v>
      </c>
      <c r="D77" s="55" t="str">
        <f>IF(دانش‌آموزان!C11="","",دانش‌آموزان!C11)</f>
        <v>0970629982</v>
      </c>
      <c r="E77" s="55" t="str">
        <f>IF(دانش‌آموزان!E11="","",دانش‌آموزان!E11&amp;" "&amp;دانش‌آموزان!F11)</f>
        <v>اميررضا جاجرمي</v>
      </c>
      <c r="F77" s="34">
        <f>IF(دانش‌آموزان!I11="","",دانش‌آموزان!I11)</f>
        <v>901</v>
      </c>
      <c r="G77" s="19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1"/>
      <c r="CC77" s="27" t="str">
        <f t="shared" si="11"/>
        <v/>
      </c>
      <c r="CD77" s="38" t="str">
        <f t="shared" si="12"/>
        <v/>
      </c>
      <c r="CE77" s="38" t="str">
        <f t="shared" si="13"/>
        <v/>
      </c>
      <c r="CF77" s="38" t="str">
        <f t="shared" si="14"/>
        <v/>
      </c>
      <c r="CG77" s="38" t="str">
        <f t="shared" si="15"/>
        <v/>
      </c>
      <c r="CH77" s="38" t="str">
        <f t="shared" si="16"/>
        <v/>
      </c>
      <c r="CI77" s="38" t="str">
        <f t="shared" si="17"/>
        <v/>
      </c>
      <c r="CJ77" s="38" t="str">
        <f t="shared" si="18"/>
        <v/>
      </c>
      <c r="CK77" s="38" t="str">
        <f t="shared" si="19"/>
        <v/>
      </c>
      <c r="CL77" s="38" t="str">
        <f>IF(C77="","",IF(COUNT(G77:AZ77)&lt;46,"",SUMPRODUCT(CC77:CK77,'تنظیمات وزن‌دهی'!$C$5:$C$13)/100))</f>
        <v/>
      </c>
      <c r="CM77" s="38" t="str">
        <f t="shared" si="20"/>
        <v/>
      </c>
      <c r="CN77" s="38">
        <v>1</v>
      </c>
      <c r="CO77" s="28">
        <f t="shared" si="21"/>
        <v>0</v>
      </c>
      <c r="CP77" s="58"/>
    </row>
    <row r="78" spans="1:94" ht="17.25" hidden="1">
      <c r="A78" s="33">
        <v>74</v>
      </c>
      <c r="B78" s="55" t="s">
        <v>184</v>
      </c>
      <c r="C78" s="55">
        <f>IF(دانش‌آموزان!E11="","",دانش‌آموزان!B11)</f>
        <v>7</v>
      </c>
      <c r="D78" s="55" t="str">
        <f>IF(دانش‌آموزان!C11="","",دانش‌آموزان!C11)</f>
        <v>0970629982</v>
      </c>
      <c r="E78" s="55" t="str">
        <f>IF(دانش‌آموزان!E11="","",دانش‌آموزان!E11&amp;" "&amp;دانش‌آموزان!F11)</f>
        <v>اميررضا جاجرمي</v>
      </c>
      <c r="F78" s="34">
        <f>IF(دانش‌آموزان!I11="","",دانش‌آموزان!I11)</f>
        <v>901</v>
      </c>
      <c r="G78" s="19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1"/>
      <c r="CC78" s="27" t="str">
        <f t="shared" si="11"/>
        <v/>
      </c>
      <c r="CD78" s="38" t="str">
        <f t="shared" si="12"/>
        <v/>
      </c>
      <c r="CE78" s="38" t="str">
        <f t="shared" si="13"/>
        <v/>
      </c>
      <c r="CF78" s="38" t="str">
        <f t="shared" si="14"/>
        <v/>
      </c>
      <c r="CG78" s="38" t="str">
        <f t="shared" si="15"/>
        <v/>
      </c>
      <c r="CH78" s="38" t="str">
        <f t="shared" si="16"/>
        <v/>
      </c>
      <c r="CI78" s="38" t="str">
        <f t="shared" si="17"/>
        <v/>
      </c>
      <c r="CJ78" s="38" t="str">
        <f t="shared" si="18"/>
        <v/>
      </c>
      <c r="CK78" s="38" t="str">
        <f t="shared" si="19"/>
        <v/>
      </c>
      <c r="CL78" s="38" t="str">
        <f>IF(C78="","",IF(COUNT(G78:AZ78)&lt;46,"",SUMPRODUCT(CC78:CK78,'تنظیمات وزن‌دهی'!$C$5:$C$13)/100))</f>
        <v/>
      </c>
      <c r="CM78" s="38" t="str">
        <f t="shared" si="20"/>
        <v/>
      </c>
      <c r="CN78" s="38">
        <v>2</v>
      </c>
      <c r="CO78" s="28">
        <f t="shared" si="21"/>
        <v>0</v>
      </c>
      <c r="CP78" s="58"/>
    </row>
    <row r="79" spans="1:94" ht="17.25">
      <c r="A79" s="33">
        <v>75</v>
      </c>
      <c r="B79" s="55" t="s">
        <v>185</v>
      </c>
      <c r="C79" s="55">
        <f>IF(دانش‌آموزان!E11="","",دانش‌آموزان!B11)</f>
        <v>7</v>
      </c>
      <c r="D79" s="55" t="str">
        <f>IF(دانش‌آموزان!C11="","",دانش‌آموزان!C11)</f>
        <v>0970629982</v>
      </c>
      <c r="E79" s="55" t="str">
        <f>IF(دانش‌آموزان!E11="","",دانش‌آموزان!E11&amp;" "&amp;دانش‌آموزان!F11)</f>
        <v>اميررضا جاجرمي</v>
      </c>
      <c r="F79" s="34">
        <f>IF(دانش‌آموزان!I11="","",دانش‌آموزان!I11)</f>
        <v>901</v>
      </c>
      <c r="G79" s="19">
        <v>18.91</v>
      </c>
      <c r="H79" s="20">
        <v>-3.91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4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0</v>
      </c>
      <c r="AZ79" s="20">
        <v>0</v>
      </c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1"/>
      <c r="CC79" s="27">
        <f t="shared" si="11"/>
        <v>7.5</v>
      </c>
      <c r="CD79" s="38">
        <f t="shared" si="12"/>
        <v>0</v>
      </c>
      <c r="CE79" s="38">
        <f t="shared" si="13"/>
        <v>0</v>
      </c>
      <c r="CF79" s="38">
        <f t="shared" si="14"/>
        <v>3.2</v>
      </c>
      <c r="CG79" s="38">
        <f t="shared" si="15"/>
        <v>0</v>
      </c>
      <c r="CH79" s="38">
        <f t="shared" si="16"/>
        <v>0</v>
      </c>
      <c r="CI79" s="38">
        <f t="shared" si="17"/>
        <v>0</v>
      </c>
      <c r="CJ79" s="38">
        <f t="shared" si="18"/>
        <v>0</v>
      </c>
      <c r="CK79" s="38">
        <f t="shared" si="19"/>
        <v>0</v>
      </c>
      <c r="CL79" s="38" t="e">
        <f>IF(C79="","",IF(COUNT(G79:AZ79)&lt;46,"",SUMPRODUCT(CC79:CK79,'تنظیمات وزن‌دهی'!$C$5:$C$13)/100))</f>
        <v>#VALUE!</v>
      </c>
      <c r="CM79" s="38" t="e">
        <f t="shared" si="20"/>
        <v>#VALUE!</v>
      </c>
      <c r="CN79" s="38">
        <v>3</v>
      </c>
      <c r="CO79" s="28">
        <f t="shared" si="21"/>
        <v>1</v>
      </c>
      <c r="CP79" s="58"/>
    </row>
    <row r="80" spans="1:94" ht="17.25" hidden="1">
      <c r="A80" s="33">
        <v>76</v>
      </c>
      <c r="B80" s="55" t="s">
        <v>186</v>
      </c>
      <c r="C80" s="55">
        <f>IF(دانش‌آموزان!E11="","",دانش‌آموزان!B11)</f>
        <v>7</v>
      </c>
      <c r="D80" s="55" t="str">
        <f>IF(دانش‌آموزان!C11="","",دانش‌آموزان!C11)</f>
        <v>0970629982</v>
      </c>
      <c r="E80" s="55" t="str">
        <f>IF(دانش‌آموزان!E11="","",دانش‌آموزان!E11&amp;" "&amp;دانش‌آموزان!F11)</f>
        <v>اميررضا جاجرمي</v>
      </c>
      <c r="F80" s="34">
        <f>IF(دانش‌آموزان!I11="","",دانش‌آموزان!I11)</f>
        <v>901</v>
      </c>
      <c r="G80" s="19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1"/>
      <c r="CC80" s="27" t="str">
        <f t="shared" si="11"/>
        <v/>
      </c>
      <c r="CD80" s="38" t="str">
        <f t="shared" si="12"/>
        <v/>
      </c>
      <c r="CE80" s="38" t="str">
        <f t="shared" si="13"/>
        <v/>
      </c>
      <c r="CF80" s="38" t="str">
        <f t="shared" si="14"/>
        <v/>
      </c>
      <c r="CG80" s="38" t="str">
        <f t="shared" si="15"/>
        <v/>
      </c>
      <c r="CH80" s="38" t="str">
        <f t="shared" si="16"/>
        <v/>
      </c>
      <c r="CI80" s="38" t="str">
        <f t="shared" si="17"/>
        <v/>
      </c>
      <c r="CJ80" s="38" t="str">
        <f t="shared" si="18"/>
        <v/>
      </c>
      <c r="CK80" s="38" t="str">
        <f t="shared" si="19"/>
        <v/>
      </c>
      <c r="CL80" s="38" t="str">
        <f>IF(C80="","",IF(COUNT(G80:AZ80)&lt;46,"",SUMPRODUCT(CC80:CK80,'تنظیمات وزن‌دهی'!$C$5:$C$13)/100))</f>
        <v/>
      </c>
      <c r="CM80" s="38" t="str">
        <f t="shared" si="20"/>
        <v/>
      </c>
      <c r="CN80" s="38">
        <v>4</v>
      </c>
      <c r="CO80" s="28">
        <f t="shared" si="21"/>
        <v>0</v>
      </c>
      <c r="CP80" s="58"/>
    </row>
    <row r="81" spans="1:94" ht="17.25" hidden="1">
      <c r="A81" s="33">
        <v>77</v>
      </c>
      <c r="B81" s="55" t="s">
        <v>187</v>
      </c>
      <c r="C81" s="55">
        <f>IF(دانش‌آموزان!E11="","",دانش‌آموزان!B11)</f>
        <v>7</v>
      </c>
      <c r="D81" s="55" t="str">
        <f>IF(دانش‌آموزان!C11="","",دانش‌آموزان!C11)</f>
        <v>0970629982</v>
      </c>
      <c r="E81" s="55" t="str">
        <f>IF(دانش‌آموزان!E11="","",دانش‌آموزان!E11&amp;" "&amp;دانش‌آموزان!F11)</f>
        <v>اميررضا جاجرمي</v>
      </c>
      <c r="F81" s="34">
        <f>IF(دانش‌آموزان!I11="","",دانش‌آموزان!I11)</f>
        <v>901</v>
      </c>
      <c r="G81" s="19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1"/>
      <c r="CC81" s="27" t="str">
        <f t="shared" si="11"/>
        <v/>
      </c>
      <c r="CD81" s="38" t="str">
        <f t="shared" si="12"/>
        <v/>
      </c>
      <c r="CE81" s="38" t="str">
        <f t="shared" si="13"/>
        <v/>
      </c>
      <c r="CF81" s="38" t="str">
        <f t="shared" si="14"/>
        <v/>
      </c>
      <c r="CG81" s="38" t="str">
        <f t="shared" si="15"/>
        <v/>
      </c>
      <c r="CH81" s="38" t="str">
        <f t="shared" si="16"/>
        <v/>
      </c>
      <c r="CI81" s="38" t="str">
        <f t="shared" si="17"/>
        <v/>
      </c>
      <c r="CJ81" s="38" t="str">
        <f t="shared" si="18"/>
        <v/>
      </c>
      <c r="CK81" s="38" t="str">
        <f t="shared" si="19"/>
        <v/>
      </c>
      <c r="CL81" s="38" t="str">
        <f>IF(C81="","",IF(COUNT(G81:AZ81)&lt;46,"",SUMPRODUCT(CC81:CK81,'تنظیمات وزن‌دهی'!$C$5:$C$13)/100))</f>
        <v/>
      </c>
      <c r="CM81" s="38" t="str">
        <f t="shared" si="20"/>
        <v/>
      </c>
      <c r="CN81" s="38">
        <v>5</v>
      </c>
      <c r="CO81" s="28">
        <f t="shared" si="21"/>
        <v>0</v>
      </c>
      <c r="CP81" s="58"/>
    </row>
    <row r="82" spans="1:94" ht="17.25" hidden="1">
      <c r="A82" s="33">
        <v>78</v>
      </c>
      <c r="B82" s="55" t="s">
        <v>188</v>
      </c>
      <c r="C82" s="55">
        <f>IF(دانش‌آموزان!E11="","",دانش‌آموزان!B11)</f>
        <v>7</v>
      </c>
      <c r="D82" s="55" t="str">
        <f>IF(دانش‌آموزان!C11="","",دانش‌آموزان!C11)</f>
        <v>0970629982</v>
      </c>
      <c r="E82" s="55" t="str">
        <f>IF(دانش‌آموزان!E11="","",دانش‌آموزان!E11&amp;" "&amp;دانش‌آموزان!F11)</f>
        <v>اميررضا جاجرمي</v>
      </c>
      <c r="F82" s="34">
        <f>IF(دانش‌آموزان!I11="","",دانش‌آموزان!I11)</f>
        <v>901</v>
      </c>
      <c r="G82" s="19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1"/>
      <c r="CC82" s="27" t="str">
        <f t="shared" si="11"/>
        <v/>
      </c>
      <c r="CD82" s="38" t="str">
        <f t="shared" si="12"/>
        <v/>
      </c>
      <c r="CE82" s="38" t="str">
        <f t="shared" si="13"/>
        <v/>
      </c>
      <c r="CF82" s="38" t="str">
        <f t="shared" si="14"/>
        <v/>
      </c>
      <c r="CG82" s="38" t="str">
        <f t="shared" si="15"/>
        <v/>
      </c>
      <c r="CH82" s="38" t="str">
        <f t="shared" si="16"/>
        <v/>
      </c>
      <c r="CI82" s="38" t="str">
        <f t="shared" si="17"/>
        <v/>
      </c>
      <c r="CJ82" s="38" t="str">
        <f t="shared" si="18"/>
        <v/>
      </c>
      <c r="CK82" s="38" t="str">
        <f t="shared" si="19"/>
        <v/>
      </c>
      <c r="CL82" s="38" t="str">
        <f>IF(C82="","",IF(COUNT(G82:AZ82)&lt;46,"",SUMPRODUCT(CC82:CK82,'تنظیمات وزن‌دهی'!$C$5:$C$13)/100))</f>
        <v/>
      </c>
      <c r="CM82" s="38" t="str">
        <f t="shared" si="20"/>
        <v/>
      </c>
      <c r="CN82" s="38">
        <v>6</v>
      </c>
      <c r="CO82" s="28">
        <f t="shared" si="21"/>
        <v>0</v>
      </c>
      <c r="CP82" s="58"/>
    </row>
    <row r="83" spans="1:94" ht="17.25" hidden="1">
      <c r="A83" s="33">
        <v>79</v>
      </c>
      <c r="B83" s="55" t="s">
        <v>189</v>
      </c>
      <c r="C83" s="55">
        <f>IF(دانش‌آموزان!E11="","",دانش‌آموزان!B11)</f>
        <v>7</v>
      </c>
      <c r="D83" s="55" t="str">
        <f>IF(دانش‌آموزان!C11="","",دانش‌آموزان!C11)</f>
        <v>0970629982</v>
      </c>
      <c r="E83" s="55" t="str">
        <f>IF(دانش‌آموزان!E11="","",دانش‌آموزان!E11&amp;" "&amp;دانش‌آموزان!F11)</f>
        <v>اميررضا جاجرمي</v>
      </c>
      <c r="F83" s="34">
        <f>IF(دانش‌آموزان!I11="","",دانش‌آموزان!I11)</f>
        <v>901</v>
      </c>
      <c r="G83" s="19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1"/>
      <c r="CC83" s="27" t="str">
        <f t="shared" si="11"/>
        <v/>
      </c>
      <c r="CD83" s="38" t="str">
        <f t="shared" si="12"/>
        <v/>
      </c>
      <c r="CE83" s="38" t="str">
        <f t="shared" si="13"/>
        <v/>
      </c>
      <c r="CF83" s="38" t="str">
        <f t="shared" si="14"/>
        <v/>
      </c>
      <c r="CG83" s="38" t="str">
        <f t="shared" si="15"/>
        <v/>
      </c>
      <c r="CH83" s="38" t="str">
        <f t="shared" si="16"/>
        <v/>
      </c>
      <c r="CI83" s="38" t="str">
        <f t="shared" si="17"/>
        <v/>
      </c>
      <c r="CJ83" s="38" t="str">
        <f t="shared" si="18"/>
        <v/>
      </c>
      <c r="CK83" s="38" t="str">
        <f t="shared" si="19"/>
        <v/>
      </c>
      <c r="CL83" s="38" t="str">
        <f>IF(C83="","",IF(COUNT(G83:AZ83)&lt;46,"",SUMPRODUCT(CC83:CK83,'تنظیمات وزن‌دهی'!$C$5:$C$13)/100))</f>
        <v/>
      </c>
      <c r="CM83" s="38" t="str">
        <f t="shared" si="20"/>
        <v/>
      </c>
      <c r="CN83" s="38">
        <v>7</v>
      </c>
      <c r="CO83" s="28">
        <f t="shared" si="21"/>
        <v>0</v>
      </c>
      <c r="CP83" s="58"/>
    </row>
    <row r="84" spans="1:94" ht="17.25" hidden="1">
      <c r="A84" s="33">
        <v>80</v>
      </c>
      <c r="B84" s="55" t="s">
        <v>190</v>
      </c>
      <c r="C84" s="55">
        <f>IF(دانش‌آموزان!E11="","",دانش‌آموزان!B11)</f>
        <v>7</v>
      </c>
      <c r="D84" s="55" t="str">
        <f>IF(دانش‌آموزان!C11="","",دانش‌آموزان!C11)</f>
        <v>0970629982</v>
      </c>
      <c r="E84" s="55" t="str">
        <f>IF(دانش‌آموزان!E11="","",دانش‌آموزان!E11&amp;" "&amp;دانش‌آموزان!F11)</f>
        <v>اميررضا جاجرمي</v>
      </c>
      <c r="F84" s="34">
        <f>IF(دانش‌آموزان!I11="","",دانش‌آموزان!I11)</f>
        <v>901</v>
      </c>
      <c r="G84" s="19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1"/>
      <c r="CC84" s="27" t="str">
        <f t="shared" si="11"/>
        <v/>
      </c>
      <c r="CD84" s="38" t="str">
        <f t="shared" si="12"/>
        <v/>
      </c>
      <c r="CE84" s="38" t="str">
        <f t="shared" si="13"/>
        <v/>
      </c>
      <c r="CF84" s="38" t="str">
        <f t="shared" si="14"/>
        <v/>
      </c>
      <c r="CG84" s="38" t="str">
        <f t="shared" si="15"/>
        <v/>
      </c>
      <c r="CH84" s="38" t="str">
        <f t="shared" si="16"/>
        <v/>
      </c>
      <c r="CI84" s="38" t="str">
        <f t="shared" si="17"/>
        <v/>
      </c>
      <c r="CJ84" s="38" t="str">
        <f t="shared" si="18"/>
        <v/>
      </c>
      <c r="CK84" s="38" t="str">
        <f t="shared" si="19"/>
        <v/>
      </c>
      <c r="CL84" s="38" t="str">
        <f>IF(C84="","",IF(COUNT(G84:AZ84)&lt;46,"",SUMPRODUCT(CC84:CK84,'تنظیمات وزن‌دهی'!$C$5:$C$13)/100))</f>
        <v/>
      </c>
      <c r="CM84" s="38" t="str">
        <f t="shared" si="20"/>
        <v/>
      </c>
      <c r="CN84" s="38">
        <v>8</v>
      </c>
      <c r="CO84" s="28">
        <f t="shared" si="21"/>
        <v>0</v>
      </c>
      <c r="CP84" s="58"/>
    </row>
    <row r="85" spans="1:94" ht="17.25" hidden="1">
      <c r="A85" s="33">
        <v>81</v>
      </c>
      <c r="B85" s="55" t="s">
        <v>191</v>
      </c>
      <c r="C85" s="55">
        <f>IF(دانش‌آموزان!E11="","",دانش‌آموزان!B11)</f>
        <v>7</v>
      </c>
      <c r="D85" s="55" t="str">
        <f>IF(دانش‌آموزان!C11="","",دانش‌آموزان!C11)</f>
        <v>0970629982</v>
      </c>
      <c r="E85" s="55" t="str">
        <f>IF(دانش‌آموزان!E11="","",دانش‌آموزان!E11&amp;" "&amp;دانش‌آموزان!F11)</f>
        <v>اميررضا جاجرمي</v>
      </c>
      <c r="F85" s="34">
        <f>IF(دانش‌آموزان!I11="","",دانش‌آموزان!I11)</f>
        <v>901</v>
      </c>
      <c r="G85" s="19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1"/>
      <c r="CC85" s="27" t="str">
        <f t="shared" si="11"/>
        <v/>
      </c>
      <c r="CD85" s="38" t="str">
        <f t="shared" si="12"/>
        <v/>
      </c>
      <c r="CE85" s="38" t="str">
        <f t="shared" si="13"/>
        <v/>
      </c>
      <c r="CF85" s="38" t="str">
        <f t="shared" si="14"/>
        <v/>
      </c>
      <c r="CG85" s="38" t="str">
        <f t="shared" si="15"/>
        <v/>
      </c>
      <c r="CH85" s="38" t="str">
        <f t="shared" si="16"/>
        <v/>
      </c>
      <c r="CI85" s="38" t="str">
        <f t="shared" si="17"/>
        <v/>
      </c>
      <c r="CJ85" s="38" t="str">
        <f t="shared" si="18"/>
        <v/>
      </c>
      <c r="CK85" s="38" t="str">
        <f t="shared" si="19"/>
        <v/>
      </c>
      <c r="CL85" s="38" t="str">
        <f>IF(C85="","",IF(COUNT(G85:AZ85)&lt;46,"",SUMPRODUCT(CC85:CK85,'تنظیمات وزن‌دهی'!$C$5:$C$13)/100))</f>
        <v/>
      </c>
      <c r="CM85" s="38" t="str">
        <f t="shared" si="20"/>
        <v/>
      </c>
      <c r="CN85" s="38">
        <v>9</v>
      </c>
      <c r="CO85" s="28">
        <f t="shared" si="21"/>
        <v>0</v>
      </c>
      <c r="CP85" s="58"/>
    </row>
    <row r="86" spans="1:94" ht="17.25" hidden="1">
      <c r="A86" s="33">
        <v>82</v>
      </c>
      <c r="B86" s="55" t="s">
        <v>192</v>
      </c>
      <c r="C86" s="55">
        <f>IF(دانش‌آموزان!E11="","",دانش‌آموزان!B11)</f>
        <v>7</v>
      </c>
      <c r="D86" s="55" t="str">
        <f>IF(دانش‌آموزان!C11="","",دانش‌آموزان!C11)</f>
        <v>0970629982</v>
      </c>
      <c r="E86" s="55" t="str">
        <f>IF(دانش‌آموزان!E11="","",دانش‌آموزان!E11&amp;" "&amp;دانش‌آموزان!F11)</f>
        <v>اميررضا جاجرمي</v>
      </c>
      <c r="F86" s="34">
        <f>IF(دانش‌آموزان!I11="","",دانش‌آموزان!I11)</f>
        <v>901</v>
      </c>
      <c r="G86" s="19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1"/>
      <c r="CC86" s="27" t="str">
        <f t="shared" si="11"/>
        <v/>
      </c>
      <c r="CD86" s="38" t="str">
        <f t="shared" si="12"/>
        <v/>
      </c>
      <c r="CE86" s="38" t="str">
        <f t="shared" si="13"/>
        <v/>
      </c>
      <c r="CF86" s="38" t="str">
        <f t="shared" si="14"/>
        <v/>
      </c>
      <c r="CG86" s="38" t="str">
        <f t="shared" si="15"/>
        <v/>
      </c>
      <c r="CH86" s="38" t="str">
        <f t="shared" si="16"/>
        <v/>
      </c>
      <c r="CI86" s="38" t="str">
        <f t="shared" si="17"/>
        <v/>
      </c>
      <c r="CJ86" s="38" t="str">
        <f t="shared" si="18"/>
        <v/>
      </c>
      <c r="CK86" s="38" t="str">
        <f t="shared" si="19"/>
        <v/>
      </c>
      <c r="CL86" s="38" t="str">
        <f>IF(C86="","",IF(COUNT(G86:AZ86)&lt;46,"",SUMPRODUCT(CC86:CK86,'تنظیمات وزن‌دهی'!$C$5:$C$13)/100))</f>
        <v/>
      </c>
      <c r="CM86" s="38" t="str">
        <f t="shared" si="20"/>
        <v/>
      </c>
      <c r="CN86" s="38">
        <v>10</v>
      </c>
      <c r="CO86" s="28">
        <f t="shared" si="21"/>
        <v>0</v>
      </c>
      <c r="CP86" s="58"/>
    </row>
    <row r="87" spans="1:94" ht="17.25" hidden="1">
      <c r="A87" s="33">
        <v>83</v>
      </c>
      <c r="B87" s="55" t="s">
        <v>193</v>
      </c>
      <c r="C87" s="55">
        <f>IF(دانش‌آموزان!E11="","",دانش‌آموزان!B11)</f>
        <v>7</v>
      </c>
      <c r="D87" s="55" t="str">
        <f>IF(دانش‌آموزان!C11="","",دانش‌آموزان!C11)</f>
        <v>0970629982</v>
      </c>
      <c r="E87" s="55" t="str">
        <f>IF(دانش‌آموزان!E11="","",دانش‌آموزان!E11&amp;" "&amp;دانش‌آموزان!F11)</f>
        <v>اميررضا جاجرمي</v>
      </c>
      <c r="F87" s="34">
        <f>IF(دانش‌آموزان!I11="","",دانش‌آموزان!I11)</f>
        <v>901</v>
      </c>
      <c r="G87" s="19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1"/>
      <c r="CC87" s="27" t="str">
        <f t="shared" si="11"/>
        <v/>
      </c>
      <c r="CD87" s="38" t="str">
        <f t="shared" si="12"/>
        <v/>
      </c>
      <c r="CE87" s="38" t="str">
        <f t="shared" si="13"/>
        <v/>
      </c>
      <c r="CF87" s="38" t="str">
        <f t="shared" si="14"/>
        <v/>
      </c>
      <c r="CG87" s="38" t="str">
        <f t="shared" si="15"/>
        <v/>
      </c>
      <c r="CH87" s="38" t="str">
        <f t="shared" si="16"/>
        <v/>
      </c>
      <c r="CI87" s="38" t="str">
        <f t="shared" si="17"/>
        <v/>
      </c>
      <c r="CJ87" s="38" t="str">
        <f t="shared" si="18"/>
        <v/>
      </c>
      <c r="CK87" s="38" t="str">
        <f t="shared" si="19"/>
        <v/>
      </c>
      <c r="CL87" s="38" t="str">
        <f>IF(C87="","",IF(COUNT(G87:AZ87)&lt;46,"",SUMPRODUCT(CC87:CK87,'تنظیمات وزن‌دهی'!$C$5:$C$13)/100))</f>
        <v/>
      </c>
      <c r="CM87" s="38" t="str">
        <f t="shared" si="20"/>
        <v/>
      </c>
      <c r="CN87" s="38">
        <v>11</v>
      </c>
      <c r="CO87" s="28">
        <f t="shared" si="21"/>
        <v>0</v>
      </c>
      <c r="CP87" s="58"/>
    </row>
    <row r="88" spans="1:94" ht="17.25" hidden="1">
      <c r="A88" s="33">
        <v>84</v>
      </c>
      <c r="B88" s="55" t="s">
        <v>194</v>
      </c>
      <c r="C88" s="55">
        <f>IF(دانش‌آموزان!E11="","",دانش‌آموزان!B11)</f>
        <v>7</v>
      </c>
      <c r="D88" s="55" t="str">
        <f>IF(دانش‌آموزان!C11="","",دانش‌آموزان!C11)</f>
        <v>0970629982</v>
      </c>
      <c r="E88" s="55" t="str">
        <f>IF(دانش‌آموزان!E11="","",دانش‌آموزان!E11&amp;" "&amp;دانش‌آموزان!F11)</f>
        <v>اميررضا جاجرمي</v>
      </c>
      <c r="F88" s="34">
        <f>IF(دانش‌آموزان!I11="","",دانش‌آموزان!I11)</f>
        <v>901</v>
      </c>
      <c r="G88" s="19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1"/>
      <c r="CC88" s="27" t="str">
        <f t="shared" si="11"/>
        <v/>
      </c>
      <c r="CD88" s="38" t="str">
        <f t="shared" si="12"/>
        <v/>
      </c>
      <c r="CE88" s="38" t="str">
        <f t="shared" si="13"/>
        <v/>
      </c>
      <c r="CF88" s="38" t="str">
        <f t="shared" si="14"/>
        <v/>
      </c>
      <c r="CG88" s="38" t="str">
        <f t="shared" si="15"/>
        <v/>
      </c>
      <c r="CH88" s="38" t="str">
        <f t="shared" si="16"/>
        <v/>
      </c>
      <c r="CI88" s="38" t="str">
        <f t="shared" si="17"/>
        <v/>
      </c>
      <c r="CJ88" s="38" t="str">
        <f t="shared" si="18"/>
        <v/>
      </c>
      <c r="CK88" s="38" t="str">
        <f t="shared" si="19"/>
        <v/>
      </c>
      <c r="CL88" s="38" t="str">
        <f>IF(C88="","",IF(COUNT(G88:AZ88)&lt;46,"",SUMPRODUCT(CC88:CK88,'تنظیمات وزن‌دهی'!$C$5:$C$13)/100))</f>
        <v/>
      </c>
      <c r="CM88" s="38" t="str">
        <f t="shared" si="20"/>
        <v/>
      </c>
      <c r="CN88" s="38">
        <v>12</v>
      </c>
      <c r="CO88" s="28">
        <f t="shared" si="21"/>
        <v>0</v>
      </c>
      <c r="CP88" s="58"/>
    </row>
    <row r="89" spans="1:94" ht="17.25" hidden="1">
      <c r="A89" s="33">
        <v>85</v>
      </c>
      <c r="B89" s="55" t="s">
        <v>183</v>
      </c>
      <c r="C89" s="55">
        <f>IF(دانش‌آموزان!E12="","",دانش‌آموزان!B12)</f>
        <v>8</v>
      </c>
      <c r="D89" s="55" t="str">
        <f>IF(دانش‌آموزان!C12="","",دانش‌آموزان!C12)</f>
        <v>0960433929</v>
      </c>
      <c r="E89" s="55" t="str">
        <f>IF(دانش‌آموزان!E12="","",دانش‌آموزان!E12&amp;" "&amp;دانش‌آموزان!F12)</f>
        <v>سپهر جمشيديان مجاور</v>
      </c>
      <c r="F89" s="34">
        <f>IF(دانش‌آموزان!I12="","",دانش‌آموزان!I12)</f>
        <v>901</v>
      </c>
      <c r="G89" s="19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1"/>
      <c r="CC89" s="27" t="str">
        <f t="shared" si="11"/>
        <v/>
      </c>
      <c r="CD89" s="38" t="str">
        <f t="shared" si="12"/>
        <v/>
      </c>
      <c r="CE89" s="38" t="str">
        <f t="shared" si="13"/>
        <v/>
      </c>
      <c r="CF89" s="38" t="str">
        <f t="shared" si="14"/>
        <v/>
      </c>
      <c r="CG89" s="38" t="str">
        <f t="shared" si="15"/>
        <v/>
      </c>
      <c r="CH89" s="38" t="str">
        <f t="shared" si="16"/>
        <v/>
      </c>
      <c r="CI89" s="38" t="str">
        <f t="shared" si="17"/>
        <v/>
      </c>
      <c r="CJ89" s="38" t="str">
        <f t="shared" si="18"/>
        <v/>
      </c>
      <c r="CK89" s="38" t="str">
        <f t="shared" si="19"/>
        <v/>
      </c>
      <c r="CL89" s="38" t="str">
        <f>IF(C89="","",IF(COUNT(G89:AZ89)&lt;46,"",SUMPRODUCT(CC89:CK89,'تنظیمات وزن‌دهی'!$C$5:$C$13)/100))</f>
        <v/>
      </c>
      <c r="CM89" s="38" t="str">
        <f t="shared" si="20"/>
        <v/>
      </c>
      <c r="CN89" s="38">
        <v>1</v>
      </c>
      <c r="CO89" s="28">
        <f t="shared" si="21"/>
        <v>0</v>
      </c>
      <c r="CP89" s="58"/>
    </row>
    <row r="90" spans="1:94" ht="17.25" hidden="1">
      <c r="A90" s="33">
        <v>86</v>
      </c>
      <c r="B90" s="55" t="s">
        <v>184</v>
      </c>
      <c r="C90" s="55">
        <f>IF(دانش‌آموزان!E12="","",دانش‌آموزان!B12)</f>
        <v>8</v>
      </c>
      <c r="D90" s="55" t="str">
        <f>IF(دانش‌آموزان!C12="","",دانش‌آموزان!C12)</f>
        <v>0960433929</v>
      </c>
      <c r="E90" s="55" t="str">
        <f>IF(دانش‌آموزان!E12="","",دانش‌آموزان!E12&amp;" "&amp;دانش‌آموزان!F12)</f>
        <v>سپهر جمشيديان مجاور</v>
      </c>
      <c r="F90" s="34">
        <f>IF(دانش‌آموزان!I12="","",دانش‌آموزان!I12)</f>
        <v>901</v>
      </c>
      <c r="G90" s="19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1"/>
      <c r="CC90" s="27" t="str">
        <f t="shared" si="11"/>
        <v/>
      </c>
      <c r="CD90" s="38" t="str">
        <f t="shared" si="12"/>
        <v/>
      </c>
      <c r="CE90" s="38" t="str">
        <f t="shared" si="13"/>
        <v/>
      </c>
      <c r="CF90" s="38" t="str">
        <f t="shared" si="14"/>
        <v/>
      </c>
      <c r="CG90" s="38" t="str">
        <f t="shared" si="15"/>
        <v/>
      </c>
      <c r="CH90" s="38" t="str">
        <f t="shared" si="16"/>
        <v/>
      </c>
      <c r="CI90" s="38" t="str">
        <f t="shared" si="17"/>
        <v/>
      </c>
      <c r="CJ90" s="38" t="str">
        <f t="shared" si="18"/>
        <v/>
      </c>
      <c r="CK90" s="38" t="str">
        <f t="shared" si="19"/>
        <v/>
      </c>
      <c r="CL90" s="38" t="str">
        <f>IF(C90="","",IF(COUNT(G90:AZ90)&lt;46,"",SUMPRODUCT(CC90:CK90,'تنظیمات وزن‌دهی'!$C$5:$C$13)/100))</f>
        <v/>
      </c>
      <c r="CM90" s="38" t="str">
        <f t="shared" si="20"/>
        <v/>
      </c>
      <c r="CN90" s="38">
        <v>2</v>
      </c>
      <c r="CO90" s="28">
        <f t="shared" si="21"/>
        <v>0</v>
      </c>
      <c r="CP90" s="58"/>
    </row>
    <row r="91" spans="1:94" ht="17.25">
      <c r="A91" s="33">
        <v>87</v>
      </c>
      <c r="B91" s="55" t="s">
        <v>185</v>
      </c>
      <c r="C91" s="55">
        <f>IF(دانش‌آموزان!E12="","",دانش‌آموزان!B12)</f>
        <v>8</v>
      </c>
      <c r="D91" s="55" t="str">
        <f>IF(دانش‌آموزان!C12="","",دانش‌آموزان!C12)</f>
        <v>0960433929</v>
      </c>
      <c r="E91" s="55" t="str">
        <f>IF(دانش‌آموزان!E12="","",دانش‌آموزان!E12&amp;" "&amp;دانش‌آموزان!F12)</f>
        <v>سپهر جمشيديان مجاور</v>
      </c>
      <c r="F91" s="34">
        <f>IF(دانش‌آموزان!I12="","",دانش‌آموزان!I12)</f>
        <v>901</v>
      </c>
      <c r="G91" s="19">
        <v>18.5</v>
      </c>
      <c r="H91" s="20">
        <v>-4.5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5</v>
      </c>
      <c r="P91" s="20">
        <v>4</v>
      </c>
      <c r="Q91" s="20">
        <v>4</v>
      </c>
      <c r="R91" s="20">
        <v>5</v>
      </c>
      <c r="S91" s="20">
        <v>4</v>
      </c>
      <c r="T91" s="20">
        <v>0</v>
      </c>
      <c r="U91" s="20">
        <v>4</v>
      </c>
      <c r="V91" s="20">
        <v>4</v>
      </c>
      <c r="W91" s="20">
        <v>5</v>
      </c>
      <c r="X91" s="20">
        <v>5</v>
      </c>
      <c r="Y91" s="20">
        <v>5</v>
      </c>
      <c r="Z91" s="20">
        <v>4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0</v>
      </c>
      <c r="AK91" s="20">
        <v>0</v>
      </c>
      <c r="AL91" s="20">
        <v>0</v>
      </c>
      <c r="AM91" s="20">
        <v>0</v>
      </c>
      <c r="AN91" s="20">
        <v>0</v>
      </c>
      <c r="AO91" s="20">
        <v>0</v>
      </c>
      <c r="AP91" s="20">
        <v>0</v>
      </c>
      <c r="AQ91" s="20">
        <v>0</v>
      </c>
      <c r="AR91" s="20">
        <v>0</v>
      </c>
      <c r="AS91" s="20">
        <v>0</v>
      </c>
      <c r="AT91" s="20">
        <v>0</v>
      </c>
      <c r="AU91" s="20">
        <v>0</v>
      </c>
      <c r="AV91" s="20">
        <v>0</v>
      </c>
      <c r="AW91" s="20">
        <v>0</v>
      </c>
      <c r="AX91" s="20">
        <v>0</v>
      </c>
      <c r="AY91" s="20">
        <v>0</v>
      </c>
      <c r="AZ91" s="20">
        <v>0</v>
      </c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1"/>
      <c r="CC91" s="27">
        <f t="shared" si="11"/>
        <v>7</v>
      </c>
      <c r="CD91" s="38">
        <f t="shared" si="12"/>
        <v>17.600000000000001</v>
      </c>
      <c r="CE91" s="38">
        <f t="shared" si="13"/>
        <v>8</v>
      </c>
      <c r="CF91" s="38">
        <f t="shared" si="14"/>
        <v>18.399999999999999</v>
      </c>
      <c r="CG91" s="38">
        <f t="shared" si="15"/>
        <v>0</v>
      </c>
      <c r="CH91" s="38">
        <f t="shared" si="16"/>
        <v>0</v>
      </c>
      <c r="CI91" s="38">
        <f t="shared" si="17"/>
        <v>0</v>
      </c>
      <c r="CJ91" s="38">
        <f t="shared" si="18"/>
        <v>0</v>
      </c>
      <c r="CK91" s="38">
        <f t="shared" si="19"/>
        <v>0</v>
      </c>
      <c r="CL91" s="38" t="e">
        <f>IF(C91="","",IF(COUNT(G91:AZ91)&lt;46,"",SUMPRODUCT(CC91:CK91,'تنظیمات وزن‌دهی'!$C$5:$C$13)/100))</f>
        <v>#VALUE!</v>
      </c>
      <c r="CM91" s="38" t="e">
        <f t="shared" si="20"/>
        <v>#VALUE!</v>
      </c>
      <c r="CN91" s="38">
        <v>3</v>
      </c>
      <c r="CO91" s="28">
        <f t="shared" si="21"/>
        <v>1</v>
      </c>
      <c r="CP91" s="58"/>
    </row>
    <row r="92" spans="1:94" ht="17.25" hidden="1">
      <c r="A92" s="33">
        <v>88</v>
      </c>
      <c r="B92" s="55" t="s">
        <v>186</v>
      </c>
      <c r="C92" s="55">
        <f>IF(دانش‌آموزان!E12="","",دانش‌آموزان!B12)</f>
        <v>8</v>
      </c>
      <c r="D92" s="55" t="str">
        <f>IF(دانش‌آموزان!C12="","",دانش‌آموزان!C12)</f>
        <v>0960433929</v>
      </c>
      <c r="E92" s="55" t="str">
        <f>IF(دانش‌آموزان!E12="","",دانش‌آموزان!E12&amp;" "&amp;دانش‌آموزان!F12)</f>
        <v>سپهر جمشيديان مجاور</v>
      </c>
      <c r="F92" s="34">
        <f>IF(دانش‌آموزان!I12="","",دانش‌آموزان!I12)</f>
        <v>901</v>
      </c>
      <c r="G92" s="19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1"/>
      <c r="CC92" s="27" t="str">
        <f t="shared" si="11"/>
        <v/>
      </c>
      <c r="CD92" s="38" t="str">
        <f t="shared" si="12"/>
        <v/>
      </c>
      <c r="CE92" s="38" t="str">
        <f t="shared" si="13"/>
        <v/>
      </c>
      <c r="CF92" s="38" t="str">
        <f t="shared" si="14"/>
        <v/>
      </c>
      <c r="CG92" s="38" t="str">
        <f t="shared" si="15"/>
        <v/>
      </c>
      <c r="CH92" s="38" t="str">
        <f t="shared" si="16"/>
        <v/>
      </c>
      <c r="CI92" s="38" t="str">
        <f t="shared" si="17"/>
        <v/>
      </c>
      <c r="CJ92" s="38" t="str">
        <f t="shared" si="18"/>
        <v/>
      </c>
      <c r="CK92" s="38" t="str">
        <f t="shared" si="19"/>
        <v/>
      </c>
      <c r="CL92" s="38" t="str">
        <f>IF(C92="","",IF(COUNT(G92:AZ92)&lt;46,"",SUMPRODUCT(CC92:CK92,'تنظیمات وزن‌دهی'!$C$5:$C$13)/100))</f>
        <v/>
      </c>
      <c r="CM92" s="38" t="str">
        <f t="shared" si="20"/>
        <v/>
      </c>
      <c r="CN92" s="38">
        <v>4</v>
      </c>
      <c r="CO92" s="28">
        <f t="shared" si="21"/>
        <v>0</v>
      </c>
      <c r="CP92" s="58"/>
    </row>
    <row r="93" spans="1:94" ht="17.25" hidden="1">
      <c r="A93" s="33">
        <v>89</v>
      </c>
      <c r="B93" s="55" t="s">
        <v>187</v>
      </c>
      <c r="C93" s="55">
        <f>IF(دانش‌آموزان!E12="","",دانش‌آموزان!B12)</f>
        <v>8</v>
      </c>
      <c r="D93" s="55" t="str">
        <f>IF(دانش‌آموزان!C12="","",دانش‌آموزان!C12)</f>
        <v>0960433929</v>
      </c>
      <c r="E93" s="55" t="str">
        <f>IF(دانش‌آموزان!E12="","",دانش‌آموزان!E12&amp;" "&amp;دانش‌آموزان!F12)</f>
        <v>سپهر جمشيديان مجاور</v>
      </c>
      <c r="F93" s="34">
        <f>IF(دانش‌آموزان!I12="","",دانش‌آموزان!I12)</f>
        <v>901</v>
      </c>
      <c r="G93" s="19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1"/>
      <c r="CC93" s="27" t="str">
        <f t="shared" si="11"/>
        <v/>
      </c>
      <c r="CD93" s="38" t="str">
        <f t="shared" si="12"/>
        <v/>
      </c>
      <c r="CE93" s="38" t="str">
        <f t="shared" si="13"/>
        <v/>
      </c>
      <c r="CF93" s="38" t="str">
        <f t="shared" si="14"/>
        <v/>
      </c>
      <c r="CG93" s="38" t="str">
        <f t="shared" si="15"/>
        <v/>
      </c>
      <c r="CH93" s="38" t="str">
        <f t="shared" si="16"/>
        <v/>
      </c>
      <c r="CI93" s="38" t="str">
        <f t="shared" si="17"/>
        <v/>
      </c>
      <c r="CJ93" s="38" t="str">
        <f t="shared" si="18"/>
        <v/>
      </c>
      <c r="CK93" s="38" t="str">
        <f t="shared" si="19"/>
        <v/>
      </c>
      <c r="CL93" s="38" t="str">
        <f>IF(C93="","",IF(COUNT(G93:AZ93)&lt;46,"",SUMPRODUCT(CC93:CK93,'تنظیمات وزن‌دهی'!$C$5:$C$13)/100))</f>
        <v/>
      </c>
      <c r="CM93" s="38" t="str">
        <f t="shared" si="20"/>
        <v/>
      </c>
      <c r="CN93" s="38">
        <v>5</v>
      </c>
      <c r="CO93" s="28">
        <f t="shared" si="21"/>
        <v>0</v>
      </c>
      <c r="CP93" s="58"/>
    </row>
    <row r="94" spans="1:94" ht="17.25" hidden="1">
      <c r="A94" s="33">
        <v>90</v>
      </c>
      <c r="B94" s="55" t="s">
        <v>188</v>
      </c>
      <c r="C94" s="55">
        <f>IF(دانش‌آموزان!E12="","",دانش‌آموزان!B12)</f>
        <v>8</v>
      </c>
      <c r="D94" s="55" t="str">
        <f>IF(دانش‌آموزان!C12="","",دانش‌آموزان!C12)</f>
        <v>0960433929</v>
      </c>
      <c r="E94" s="55" t="str">
        <f>IF(دانش‌آموزان!E12="","",دانش‌آموزان!E12&amp;" "&amp;دانش‌آموزان!F12)</f>
        <v>سپهر جمشيديان مجاور</v>
      </c>
      <c r="F94" s="34">
        <f>IF(دانش‌آموزان!I12="","",دانش‌آموزان!I12)</f>
        <v>901</v>
      </c>
      <c r="G94" s="19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1"/>
      <c r="CC94" s="27" t="str">
        <f t="shared" si="11"/>
        <v/>
      </c>
      <c r="CD94" s="38" t="str">
        <f t="shared" si="12"/>
        <v/>
      </c>
      <c r="CE94" s="38" t="str">
        <f t="shared" si="13"/>
        <v/>
      </c>
      <c r="CF94" s="38" t="str">
        <f t="shared" si="14"/>
        <v/>
      </c>
      <c r="CG94" s="38" t="str">
        <f t="shared" si="15"/>
        <v/>
      </c>
      <c r="CH94" s="38" t="str">
        <f t="shared" si="16"/>
        <v/>
      </c>
      <c r="CI94" s="38" t="str">
        <f t="shared" si="17"/>
        <v/>
      </c>
      <c r="CJ94" s="38" t="str">
        <f t="shared" si="18"/>
        <v/>
      </c>
      <c r="CK94" s="38" t="str">
        <f t="shared" si="19"/>
        <v/>
      </c>
      <c r="CL94" s="38" t="str">
        <f>IF(C94="","",IF(COUNT(G94:AZ94)&lt;46,"",SUMPRODUCT(CC94:CK94,'تنظیمات وزن‌دهی'!$C$5:$C$13)/100))</f>
        <v/>
      </c>
      <c r="CM94" s="38" t="str">
        <f t="shared" si="20"/>
        <v/>
      </c>
      <c r="CN94" s="38">
        <v>6</v>
      </c>
      <c r="CO94" s="28">
        <f t="shared" si="21"/>
        <v>0</v>
      </c>
      <c r="CP94" s="58"/>
    </row>
    <row r="95" spans="1:94" ht="17.25" hidden="1">
      <c r="A95" s="33">
        <v>91</v>
      </c>
      <c r="B95" s="55" t="s">
        <v>189</v>
      </c>
      <c r="C95" s="55">
        <f>IF(دانش‌آموزان!E12="","",دانش‌آموزان!B12)</f>
        <v>8</v>
      </c>
      <c r="D95" s="55" t="str">
        <f>IF(دانش‌آموزان!C12="","",دانش‌آموزان!C12)</f>
        <v>0960433929</v>
      </c>
      <c r="E95" s="55" t="str">
        <f>IF(دانش‌آموزان!E12="","",دانش‌آموزان!E12&amp;" "&amp;دانش‌آموزان!F12)</f>
        <v>سپهر جمشيديان مجاور</v>
      </c>
      <c r="F95" s="34">
        <f>IF(دانش‌آموزان!I12="","",دانش‌آموزان!I12)</f>
        <v>901</v>
      </c>
      <c r="G95" s="19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1"/>
      <c r="CC95" s="27" t="str">
        <f t="shared" si="11"/>
        <v/>
      </c>
      <c r="CD95" s="38" t="str">
        <f t="shared" si="12"/>
        <v/>
      </c>
      <c r="CE95" s="38" t="str">
        <f t="shared" si="13"/>
        <v/>
      </c>
      <c r="CF95" s="38" t="str">
        <f t="shared" si="14"/>
        <v/>
      </c>
      <c r="CG95" s="38" t="str">
        <f t="shared" si="15"/>
        <v/>
      </c>
      <c r="CH95" s="38" t="str">
        <f t="shared" si="16"/>
        <v/>
      </c>
      <c r="CI95" s="38" t="str">
        <f t="shared" si="17"/>
        <v/>
      </c>
      <c r="CJ95" s="38" t="str">
        <f t="shared" si="18"/>
        <v/>
      </c>
      <c r="CK95" s="38" t="str">
        <f t="shared" si="19"/>
        <v/>
      </c>
      <c r="CL95" s="38" t="str">
        <f>IF(C95="","",IF(COUNT(G95:AZ95)&lt;46,"",SUMPRODUCT(CC95:CK95,'تنظیمات وزن‌دهی'!$C$5:$C$13)/100))</f>
        <v/>
      </c>
      <c r="CM95" s="38" t="str">
        <f t="shared" si="20"/>
        <v/>
      </c>
      <c r="CN95" s="38">
        <v>7</v>
      </c>
      <c r="CO95" s="28">
        <f t="shared" si="21"/>
        <v>0</v>
      </c>
      <c r="CP95" s="58"/>
    </row>
    <row r="96" spans="1:94" ht="17.25" hidden="1">
      <c r="A96" s="33">
        <v>92</v>
      </c>
      <c r="B96" s="55" t="s">
        <v>190</v>
      </c>
      <c r="C96" s="55">
        <f>IF(دانش‌آموزان!E12="","",دانش‌آموزان!B12)</f>
        <v>8</v>
      </c>
      <c r="D96" s="55" t="str">
        <f>IF(دانش‌آموزان!C12="","",دانش‌آموزان!C12)</f>
        <v>0960433929</v>
      </c>
      <c r="E96" s="55" t="str">
        <f>IF(دانش‌آموزان!E12="","",دانش‌آموزان!E12&amp;" "&amp;دانش‌آموزان!F12)</f>
        <v>سپهر جمشيديان مجاور</v>
      </c>
      <c r="F96" s="34">
        <f>IF(دانش‌آموزان!I12="","",دانش‌آموزان!I12)</f>
        <v>901</v>
      </c>
      <c r="G96" s="19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1"/>
      <c r="CC96" s="27" t="str">
        <f t="shared" si="11"/>
        <v/>
      </c>
      <c r="CD96" s="38" t="str">
        <f t="shared" si="12"/>
        <v/>
      </c>
      <c r="CE96" s="38" t="str">
        <f t="shared" si="13"/>
        <v/>
      </c>
      <c r="CF96" s="38" t="str">
        <f t="shared" si="14"/>
        <v/>
      </c>
      <c r="CG96" s="38" t="str">
        <f t="shared" si="15"/>
        <v/>
      </c>
      <c r="CH96" s="38" t="str">
        <f t="shared" si="16"/>
        <v/>
      </c>
      <c r="CI96" s="38" t="str">
        <f t="shared" si="17"/>
        <v/>
      </c>
      <c r="CJ96" s="38" t="str">
        <f t="shared" si="18"/>
        <v/>
      </c>
      <c r="CK96" s="38" t="str">
        <f t="shared" si="19"/>
        <v/>
      </c>
      <c r="CL96" s="38" t="str">
        <f>IF(C96="","",IF(COUNT(G96:AZ96)&lt;46,"",SUMPRODUCT(CC96:CK96,'تنظیمات وزن‌دهی'!$C$5:$C$13)/100))</f>
        <v/>
      </c>
      <c r="CM96" s="38" t="str">
        <f t="shared" si="20"/>
        <v/>
      </c>
      <c r="CN96" s="38">
        <v>8</v>
      </c>
      <c r="CO96" s="28">
        <f t="shared" si="21"/>
        <v>0</v>
      </c>
      <c r="CP96" s="58"/>
    </row>
    <row r="97" spans="1:94" ht="17.25" hidden="1">
      <c r="A97" s="33">
        <v>93</v>
      </c>
      <c r="B97" s="55" t="s">
        <v>191</v>
      </c>
      <c r="C97" s="55">
        <f>IF(دانش‌آموزان!E12="","",دانش‌آموزان!B12)</f>
        <v>8</v>
      </c>
      <c r="D97" s="55" t="str">
        <f>IF(دانش‌آموزان!C12="","",دانش‌آموزان!C12)</f>
        <v>0960433929</v>
      </c>
      <c r="E97" s="55" t="str">
        <f>IF(دانش‌آموزان!E12="","",دانش‌آموزان!E12&amp;" "&amp;دانش‌آموزان!F12)</f>
        <v>سپهر جمشيديان مجاور</v>
      </c>
      <c r="F97" s="34">
        <f>IF(دانش‌آموزان!I12="","",دانش‌آموزان!I12)</f>
        <v>901</v>
      </c>
      <c r="G97" s="19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1"/>
      <c r="CC97" s="27" t="str">
        <f t="shared" si="11"/>
        <v/>
      </c>
      <c r="CD97" s="38" t="str">
        <f t="shared" si="12"/>
        <v/>
      </c>
      <c r="CE97" s="38" t="str">
        <f t="shared" si="13"/>
        <v/>
      </c>
      <c r="CF97" s="38" t="str">
        <f t="shared" si="14"/>
        <v/>
      </c>
      <c r="CG97" s="38" t="str">
        <f t="shared" si="15"/>
        <v/>
      </c>
      <c r="CH97" s="38" t="str">
        <f t="shared" si="16"/>
        <v/>
      </c>
      <c r="CI97" s="38" t="str">
        <f t="shared" si="17"/>
        <v/>
      </c>
      <c r="CJ97" s="38" t="str">
        <f t="shared" si="18"/>
        <v/>
      </c>
      <c r="CK97" s="38" t="str">
        <f t="shared" si="19"/>
        <v/>
      </c>
      <c r="CL97" s="38" t="str">
        <f>IF(C97="","",IF(COUNT(G97:AZ97)&lt;46,"",SUMPRODUCT(CC97:CK97,'تنظیمات وزن‌دهی'!$C$5:$C$13)/100))</f>
        <v/>
      </c>
      <c r="CM97" s="38" t="str">
        <f t="shared" si="20"/>
        <v/>
      </c>
      <c r="CN97" s="38">
        <v>9</v>
      </c>
      <c r="CO97" s="28">
        <f t="shared" si="21"/>
        <v>0</v>
      </c>
      <c r="CP97" s="58"/>
    </row>
    <row r="98" spans="1:94" ht="17.25" hidden="1">
      <c r="A98" s="33">
        <v>94</v>
      </c>
      <c r="B98" s="55" t="s">
        <v>192</v>
      </c>
      <c r="C98" s="55">
        <f>IF(دانش‌آموزان!E12="","",دانش‌آموزان!B12)</f>
        <v>8</v>
      </c>
      <c r="D98" s="55" t="str">
        <f>IF(دانش‌آموزان!C12="","",دانش‌آموزان!C12)</f>
        <v>0960433929</v>
      </c>
      <c r="E98" s="55" t="str">
        <f>IF(دانش‌آموزان!E12="","",دانش‌آموزان!E12&amp;" "&amp;دانش‌آموزان!F12)</f>
        <v>سپهر جمشيديان مجاور</v>
      </c>
      <c r="F98" s="34">
        <f>IF(دانش‌آموزان!I12="","",دانش‌آموزان!I12)</f>
        <v>901</v>
      </c>
      <c r="G98" s="19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1"/>
      <c r="CC98" s="27" t="str">
        <f t="shared" si="11"/>
        <v/>
      </c>
      <c r="CD98" s="38" t="str">
        <f t="shared" si="12"/>
        <v/>
      </c>
      <c r="CE98" s="38" t="str">
        <f t="shared" si="13"/>
        <v/>
      </c>
      <c r="CF98" s="38" t="str">
        <f t="shared" si="14"/>
        <v/>
      </c>
      <c r="CG98" s="38" t="str">
        <f t="shared" si="15"/>
        <v/>
      </c>
      <c r="CH98" s="38" t="str">
        <f t="shared" si="16"/>
        <v/>
      </c>
      <c r="CI98" s="38" t="str">
        <f t="shared" si="17"/>
        <v/>
      </c>
      <c r="CJ98" s="38" t="str">
        <f t="shared" si="18"/>
        <v/>
      </c>
      <c r="CK98" s="38" t="str">
        <f t="shared" si="19"/>
        <v/>
      </c>
      <c r="CL98" s="38" t="str">
        <f>IF(C98="","",IF(COUNT(G98:AZ98)&lt;46,"",SUMPRODUCT(CC98:CK98,'تنظیمات وزن‌دهی'!$C$5:$C$13)/100))</f>
        <v/>
      </c>
      <c r="CM98" s="38" t="str">
        <f t="shared" si="20"/>
        <v/>
      </c>
      <c r="CN98" s="38">
        <v>10</v>
      </c>
      <c r="CO98" s="28">
        <f t="shared" si="21"/>
        <v>0</v>
      </c>
      <c r="CP98" s="58"/>
    </row>
    <row r="99" spans="1:94" ht="17.25" hidden="1">
      <c r="A99" s="33">
        <v>95</v>
      </c>
      <c r="B99" s="55" t="s">
        <v>193</v>
      </c>
      <c r="C99" s="55">
        <f>IF(دانش‌آموزان!E12="","",دانش‌آموزان!B12)</f>
        <v>8</v>
      </c>
      <c r="D99" s="55" t="str">
        <f>IF(دانش‌آموزان!C12="","",دانش‌آموزان!C12)</f>
        <v>0960433929</v>
      </c>
      <c r="E99" s="55" t="str">
        <f>IF(دانش‌آموزان!E12="","",دانش‌آموزان!E12&amp;" "&amp;دانش‌آموزان!F12)</f>
        <v>سپهر جمشيديان مجاور</v>
      </c>
      <c r="F99" s="34">
        <f>IF(دانش‌آموزان!I12="","",دانش‌آموزان!I12)</f>
        <v>901</v>
      </c>
      <c r="G99" s="19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1"/>
      <c r="CC99" s="27" t="str">
        <f t="shared" si="11"/>
        <v/>
      </c>
      <c r="CD99" s="38" t="str">
        <f t="shared" si="12"/>
        <v/>
      </c>
      <c r="CE99" s="38" t="str">
        <f t="shared" si="13"/>
        <v/>
      </c>
      <c r="CF99" s="38" t="str">
        <f t="shared" si="14"/>
        <v/>
      </c>
      <c r="CG99" s="38" t="str">
        <f t="shared" si="15"/>
        <v/>
      </c>
      <c r="CH99" s="38" t="str">
        <f t="shared" si="16"/>
        <v/>
      </c>
      <c r="CI99" s="38" t="str">
        <f t="shared" si="17"/>
        <v/>
      </c>
      <c r="CJ99" s="38" t="str">
        <f t="shared" si="18"/>
        <v/>
      </c>
      <c r="CK99" s="38" t="str">
        <f t="shared" si="19"/>
        <v/>
      </c>
      <c r="CL99" s="38" t="str">
        <f>IF(C99="","",IF(COUNT(G99:AZ99)&lt;46,"",SUMPRODUCT(CC99:CK99,'تنظیمات وزن‌دهی'!$C$5:$C$13)/100))</f>
        <v/>
      </c>
      <c r="CM99" s="38" t="str">
        <f t="shared" si="20"/>
        <v/>
      </c>
      <c r="CN99" s="38">
        <v>11</v>
      </c>
      <c r="CO99" s="28">
        <f t="shared" si="21"/>
        <v>0</v>
      </c>
      <c r="CP99" s="58"/>
    </row>
    <row r="100" spans="1:94" ht="17.25" hidden="1">
      <c r="A100" s="33">
        <v>96</v>
      </c>
      <c r="B100" s="55" t="s">
        <v>194</v>
      </c>
      <c r="C100" s="55">
        <f>IF(دانش‌آموزان!E12="","",دانش‌آموزان!B12)</f>
        <v>8</v>
      </c>
      <c r="D100" s="55" t="str">
        <f>IF(دانش‌آموزان!C12="","",دانش‌آموزان!C12)</f>
        <v>0960433929</v>
      </c>
      <c r="E100" s="55" t="str">
        <f>IF(دانش‌آموزان!E12="","",دانش‌آموزان!E12&amp;" "&amp;دانش‌آموزان!F12)</f>
        <v>سپهر جمشيديان مجاور</v>
      </c>
      <c r="F100" s="34">
        <f>IF(دانش‌آموزان!I12="","",دانش‌آموزان!I12)</f>
        <v>901</v>
      </c>
      <c r="G100" s="19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1"/>
      <c r="CC100" s="27" t="str">
        <f t="shared" si="11"/>
        <v/>
      </c>
      <c r="CD100" s="38" t="str">
        <f t="shared" si="12"/>
        <v/>
      </c>
      <c r="CE100" s="38" t="str">
        <f t="shared" si="13"/>
        <v/>
      </c>
      <c r="CF100" s="38" t="str">
        <f t="shared" si="14"/>
        <v/>
      </c>
      <c r="CG100" s="38" t="str">
        <f t="shared" si="15"/>
        <v/>
      </c>
      <c r="CH100" s="38" t="str">
        <f t="shared" si="16"/>
        <v/>
      </c>
      <c r="CI100" s="38" t="str">
        <f t="shared" si="17"/>
        <v/>
      </c>
      <c r="CJ100" s="38" t="str">
        <f t="shared" si="18"/>
        <v/>
      </c>
      <c r="CK100" s="38" t="str">
        <f t="shared" si="19"/>
        <v/>
      </c>
      <c r="CL100" s="38" t="str">
        <f>IF(C100="","",IF(COUNT(G100:AZ100)&lt;46,"",SUMPRODUCT(CC100:CK100,'تنظیمات وزن‌دهی'!$C$5:$C$13)/100))</f>
        <v/>
      </c>
      <c r="CM100" s="38" t="str">
        <f t="shared" si="20"/>
        <v/>
      </c>
      <c r="CN100" s="38">
        <v>12</v>
      </c>
      <c r="CO100" s="28">
        <f t="shared" si="21"/>
        <v>0</v>
      </c>
      <c r="CP100" s="58"/>
    </row>
    <row r="101" spans="1:94" ht="17.25" hidden="1">
      <c r="A101" s="33">
        <v>97</v>
      </c>
      <c r="B101" s="55" t="s">
        <v>183</v>
      </c>
      <c r="C101" s="55">
        <f>IF(دانش‌آموزان!E13="","",دانش‌آموزان!B13)</f>
        <v>9</v>
      </c>
      <c r="D101" s="55" t="str">
        <f>IF(دانش‌آموزان!C13="","",دانش‌آموزان!C13)</f>
        <v>0960426116</v>
      </c>
      <c r="E101" s="55" t="str">
        <f>IF(دانش‌آموزان!E13="","",دانش‌آموزان!E13&amp;" "&amp;دانش‌آموزان!F13)</f>
        <v>محمدحسين حسن پورويراني</v>
      </c>
      <c r="F101" s="34">
        <f>IF(دانش‌آموزان!I13="","",دانش‌آموزان!I13)</f>
        <v>901</v>
      </c>
      <c r="G101" s="19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1"/>
      <c r="CC101" s="27" t="str">
        <f t="shared" si="11"/>
        <v/>
      </c>
      <c r="CD101" s="38" t="str">
        <f t="shared" si="12"/>
        <v/>
      </c>
      <c r="CE101" s="38" t="str">
        <f t="shared" si="13"/>
        <v/>
      </c>
      <c r="CF101" s="38" t="str">
        <f t="shared" si="14"/>
        <v/>
      </c>
      <c r="CG101" s="38" t="str">
        <f t="shared" si="15"/>
        <v/>
      </c>
      <c r="CH101" s="38" t="str">
        <f t="shared" si="16"/>
        <v/>
      </c>
      <c r="CI101" s="38" t="str">
        <f t="shared" si="17"/>
        <v/>
      </c>
      <c r="CJ101" s="38" t="str">
        <f t="shared" si="18"/>
        <v/>
      </c>
      <c r="CK101" s="38" t="str">
        <f t="shared" si="19"/>
        <v/>
      </c>
      <c r="CL101" s="38" t="str">
        <f>IF(C101="","",IF(COUNT(G101:AZ101)&lt;46,"",SUMPRODUCT(CC101:CK101,'تنظیمات وزن‌دهی'!$C$5:$C$13)/100))</f>
        <v/>
      </c>
      <c r="CM101" s="38" t="str">
        <f t="shared" si="20"/>
        <v/>
      </c>
      <c r="CN101" s="38">
        <v>1</v>
      </c>
      <c r="CO101" s="28">
        <f t="shared" si="21"/>
        <v>0</v>
      </c>
      <c r="CP101" s="58"/>
    </row>
    <row r="102" spans="1:94" ht="17.25" hidden="1">
      <c r="A102" s="33">
        <v>98</v>
      </c>
      <c r="B102" s="55" t="s">
        <v>184</v>
      </c>
      <c r="C102" s="55">
        <f>IF(دانش‌آموزان!E13="","",دانش‌آموزان!B13)</f>
        <v>9</v>
      </c>
      <c r="D102" s="55" t="str">
        <f>IF(دانش‌آموزان!C13="","",دانش‌آموزان!C13)</f>
        <v>0960426116</v>
      </c>
      <c r="E102" s="55" t="str">
        <f>IF(دانش‌آموزان!E13="","",دانش‌آموزان!E13&amp;" "&amp;دانش‌آموزان!F13)</f>
        <v>محمدحسين حسن پورويراني</v>
      </c>
      <c r="F102" s="34">
        <f>IF(دانش‌آموزان!I13="","",دانش‌آموزان!I13)</f>
        <v>901</v>
      </c>
      <c r="G102" s="19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1"/>
      <c r="CC102" s="27" t="str">
        <f t="shared" si="11"/>
        <v/>
      </c>
      <c r="CD102" s="38" t="str">
        <f t="shared" si="12"/>
        <v/>
      </c>
      <c r="CE102" s="38" t="str">
        <f t="shared" si="13"/>
        <v/>
      </c>
      <c r="CF102" s="38" t="str">
        <f t="shared" si="14"/>
        <v/>
      </c>
      <c r="CG102" s="38" t="str">
        <f t="shared" si="15"/>
        <v/>
      </c>
      <c r="CH102" s="38" t="str">
        <f t="shared" si="16"/>
        <v/>
      </c>
      <c r="CI102" s="38" t="str">
        <f t="shared" si="17"/>
        <v/>
      </c>
      <c r="CJ102" s="38" t="str">
        <f t="shared" si="18"/>
        <v/>
      </c>
      <c r="CK102" s="38" t="str">
        <f t="shared" si="19"/>
        <v/>
      </c>
      <c r="CL102" s="38" t="str">
        <f>IF(C102="","",IF(COUNT(G102:AZ102)&lt;46,"",SUMPRODUCT(CC102:CK102,'تنظیمات وزن‌دهی'!$C$5:$C$13)/100))</f>
        <v/>
      </c>
      <c r="CM102" s="38" t="str">
        <f t="shared" si="20"/>
        <v/>
      </c>
      <c r="CN102" s="38">
        <v>2</v>
      </c>
      <c r="CO102" s="28">
        <f t="shared" si="21"/>
        <v>0</v>
      </c>
      <c r="CP102" s="58"/>
    </row>
    <row r="103" spans="1:94" ht="17.25">
      <c r="A103" s="33">
        <v>99</v>
      </c>
      <c r="B103" s="55" t="s">
        <v>185</v>
      </c>
      <c r="C103" s="55">
        <f>IF(دانش‌آموزان!E13="","",دانش‌آموزان!B13)</f>
        <v>9</v>
      </c>
      <c r="D103" s="55" t="str">
        <f>IF(دانش‌آموزان!C13="","",دانش‌آموزان!C13)</f>
        <v>0960426116</v>
      </c>
      <c r="E103" s="55" t="str">
        <f>IF(دانش‌آموزان!E13="","",دانش‌آموزان!E13&amp;" "&amp;دانش‌آموزان!F13)</f>
        <v>محمدحسين حسن پورويراني</v>
      </c>
      <c r="F103" s="34">
        <f>IF(دانش‌آموزان!I13="","",دانش‌آموزان!I13)</f>
        <v>901</v>
      </c>
      <c r="G103" s="19">
        <v>17.91</v>
      </c>
      <c r="H103" s="20">
        <v>-10.91</v>
      </c>
      <c r="I103" s="20">
        <v>0</v>
      </c>
      <c r="J103" s="20">
        <v>3</v>
      </c>
      <c r="K103" s="20">
        <v>2</v>
      </c>
      <c r="L103" s="20">
        <v>0</v>
      </c>
      <c r="M103" s="20">
        <v>0</v>
      </c>
      <c r="N103" s="20">
        <v>0</v>
      </c>
      <c r="O103" s="20">
        <v>2</v>
      </c>
      <c r="P103" s="20">
        <v>2</v>
      </c>
      <c r="Q103" s="20">
        <v>3</v>
      </c>
      <c r="R103" s="20">
        <v>2</v>
      </c>
      <c r="S103" s="20">
        <v>3</v>
      </c>
      <c r="T103" s="20">
        <v>0</v>
      </c>
      <c r="U103" s="20">
        <v>3</v>
      </c>
      <c r="V103" s="20">
        <v>4</v>
      </c>
      <c r="W103" s="20">
        <v>3</v>
      </c>
      <c r="X103" s="20">
        <v>3</v>
      </c>
      <c r="Y103" s="20">
        <v>4</v>
      </c>
      <c r="Z103" s="20">
        <v>3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1"/>
      <c r="CC103" s="27">
        <f t="shared" si="11"/>
        <v>6</v>
      </c>
      <c r="CD103" s="38">
        <f t="shared" si="12"/>
        <v>9.6</v>
      </c>
      <c r="CE103" s="38">
        <f t="shared" si="13"/>
        <v>6</v>
      </c>
      <c r="CF103" s="38">
        <f t="shared" si="14"/>
        <v>13.6</v>
      </c>
      <c r="CG103" s="38">
        <f t="shared" si="15"/>
        <v>0</v>
      </c>
      <c r="CH103" s="38">
        <f t="shared" si="16"/>
        <v>0</v>
      </c>
      <c r="CI103" s="38">
        <f t="shared" si="17"/>
        <v>0</v>
      </c>
      <c r="CJ103" s="38">
        <f t="shared" si="18"/>
        <v>0</v>
      </c>
      <c r="CK103" s="38">
        <f t="shared" si="19"/>
        <v>0</v>
      </c>
      <c r="CL103" s="38" t="e">
        <f>IF(C103="","",IF(COUNT(G103:AZ103)&lt;46,"",SUMPRODUCT(CC103:CK103,'تنظیمات وزن‌دهی'!$C$5:$C$13)/100))</f>
        <v>#VALUE!</v>
      </c>
      <c r="CM103" s="38" t="e">
        <f t="shared" si="20"/>
        <v>#VALUE!</v>
      </c>
      <c r="CN103" s="38">
        <v>3</v>
      </c>
      <c r="CO103" s="28">
        <f t="shared" si="21"/>
        <v>1</v>
      </c>
      <c r="CP103" s="58"/>
    </row>
    <row r="104" spans="1:94" ht="17.25" hidden="1">
      <c r="A104" s="33">
        <v>100</v>
      </c>
      <c r="B104" s="55" t="s">
        <v>186</v>
      </c>
      <c r="C104" s="55">
        <f>IF(دانش‌آموزان!E13="","",دانش‌آموزان!B13)</f>
        <v>9</v>
      </c>
      <c r="D104" s="55" t="str">
        <f>IF(دانش‌آموزان!C13="","",دانش‌آموزان!C13)</f>
        <v>0960426116</v>
      </c>
      <c r="E104" s="55" t="str">
        <f>IF(دانش‌آموزان!E13="","",دانش‌آموزان!E13&amp;" "&amp;دانش‌آموزان!F13)</f>
        <v>محمدحسين حسن پورويراني</v>
      </c>
      <c r="F104" s="34">
        <f>IF(دانش‌آموزان!I13="","",دانش‌آموزان!I13)</f>
        <v>901</v>
      </c>
      <c r="G104" s="19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1"/>
      <c r="CC104" s="27" t="str">
        <f t="shared" si="11"/>
        <v/>
      </c>
      <c r="CD104" s="38" t="str">
        <f t="shared" si="12"/>
        <v/>
      </c>
      <c r="CE104" s="38" t="str">
        <f t="shared" si="13"/>
        <v/>
      </c>
      <c r="CF104" s="38" t="str">
        <f t="shared" si="14"/>
        <v/>
      </c>
      <c r="CG104" s="38" t="str">
        <f t="shared" si="15"/>
        <v/>
      </c>
      <c r="CH104" s="38" t="str">
        <f t="shared" si="16"/>
        <v/>
      </c>
      <c r="CI104" s="38" t="str">
        <f t="shared" si="17"/>
        <v/>
      </c>
      <c r="CJ104" s="38" t="str">
        <f t="shared" si="18"/>
        <v/>
      </c>
      <c r="CK104" s="38" t="str">
        <f t="shared" si="19"/>
        <v/>
      </c>
      <c r="CL104" s="38" t="str">
        <f>IF(C104="","",IF(COUNT(G104:AZ104)&lt;46,"",SUMPRODUCT(CC104:CK104,'تنظیمات وزن‌دهی'!$C$5:$C$13)/100))</f>
        <v/>
      </c>
      <c r="CM104" s="38" t="str">
        <f t="shared" si="20"/>
        <v/>
      </c>
      <c r="CN104" s="38">
        <v>4</v>
      </c>
      <c r="CO104" s="28">
        <f t="shared" si="21"/>
        <v>0</v>
      </c>
      <c r="CP104" s="58"/>
    </row>
    <row r="105" spans="1:94" ht="17.25" hidden="1">
      <c r="A105" s="33">
        <v>101</v>
      </c>
      <c r="B105" s="55" t="s">
        <v>187</v>
      </c>
      <c r="C105" s="55">
        <f>IF(دانش‌آموزان!E13="","",دانش‌آموزان!B13)</f>
        <v>9</v>
      </c>
      <c r="D105" s="55" t="str">
        <f>IF(دانش‌آموزان!C13="","",دانش‌آموزان!C13)</f>
        <v>0960426116</v>
      </c>
      <c r="E105" s="55" t="str">
        <f>IF(دانش‌آموزان!E13="","",دانش‌آموزان!E13&amp;" "&amp;دانش‌آموزان!F13)</f>
        <v>محمدحسين حسن پورويراني</v>
      </c>
      <c r="F105" s="34">
        <f>IF(دانش‌آموزان!I13="","",دانش‌آموزان!I13)</f>
        <v>901</v>
      </c>
      <c r="G105" s="19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1"/>
      <c r="CC105" s="27" t="str">
        <f t="shared" si="11"/>
        <v/>
      </c>
      <c r="CD105" s="38" t="str">
        <f t="shared" si="12"/>
        <v/>
      </c>
      <c r="CE105" s="38" t="str">
        <f t="shared" si="13"/>
        <v/>
      </c>
      <c r="CF105" s="38" t="str">
        <f t="shared" si="14"/>
        <v/>
      </c>
      <c r="CG105" s="38" t="str">
        <f t="shared" si="15"/>
        <v/>
      </c>
      <c r="CH105" s="38" t="str">
        <f t="shared" si="16"/>
        <v/>
      </c>
      <c r="CI105" s="38" t="str">
        <f t="shared" si="17"/>
        <v/>
      </c>
      <c r="CJ105" s="38" t="str">
        <f t="shared" si="18"/>
        <v/>
      </c>
      <c r="CK105" s="38" t="str">
        <f t="shared" si="19"/>
        <v/>
      </c>
      <c r="CL105" s="38" t="str">
        <f>IF(C105="","",IF(COUNT(G105:AZ105)&lt;46,"",SUMPRODUCT(CC105:CK105,'تنظیمات وزن‌دهی'!$C$5:$C$13)/100))</f>
        <v/>
      </c>
      <c r="CM105" s="38" t="str">
        <f t="shared" si="20"/>
        <v/>
      </c>
      <c r="CN105" s="38">
        <v>5</v>
      </c>
      <c r="CO105" s="28">
        <f t="shared" si="21"/>
        <v>0</v>
      </c>
      <c r="CP105" s="58"/>
    </row>
    <row r="106" spans="1:94" ht="17.25" hidden="1">
      <c r="A106" s="33">
        <v>102</v>
      </c>
      <c r="B106" s="55" t="s">
        <v>188</v>
      </c>
      <c r="C106" s="55">
        <f>IF(دانش‌آموزان!E13="","",دانش‌آموزان!B13)</f>
        <v>9</v>
      </c>
      <c r="D106" s="55" t="str">
        <f>IF(دانش‌آموزان!C13="","",دانش‌آموزان!C13)</f>
        <v>0960426116</v>
      </c>
      <c r="E106" s="55" t="str">
        <f>IF(دانش‌آموزان!E13="","",دانش‌آموزان!E13&amp;" "&amp;دانش‌آموزان!F13)</f>
        <v>محمدحسين حسن پورويراني</v>
      </c>
      <c r="F106" s="34">
        <f>IF(دانش‌آموزان!I13="","",دانش‌آموزان!I13)</f>
        <v>901</v>
      </c>
      <c r="G106" s="19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1"/>
      <c r="CC106" s="27" t="str">
        <f t="shared" si="11"/>
        <v/>
      </c>
      <c r="CD106" s="38" t="str">
        <f t="shared" si="12"/>
        <v/>
      </c>
      <c r="CE106" s="38" t="str">
        <f t="shared" si="13"/>
        <v/>
      </c>
      <c r="CF106" s="38" t="str">
        <f t="shared" si="14"/>
        <v/>
      </c>
      <c r="CG106" s="38" t="str">
        <f t="shared" si="15"/>
        <v/>
      </c>
      <c r="CH106" s="38" t="str">
        <f t="shared" si="16"/>
        <v/>
      </c>
      <c r="CI106" s="38" t="str">
        <f t="shared" si="17"/>
        <v/>
      </c>
      <c r="CJ106" s="38" t="str">
        <f t="shared" si="18"/>
        <v/>
      </c>
      <c r="CK106" s="38" t="str">
        <f t="shared" si="19"/>
        <v/>
      </c>
      <c r="CL106" s="38" t="str">
        <f>IF(C106="","",IF(COUNT(G106:AZ106)&lt;46,"",SUMPRODUCT(CC106:CK106,'تنظیمات وزن‌دهی'!$C$5:$C$13)/100))</f>
        <v/>
      </c>
      <c r="CM106" s="38" t="str">
        <f t="shared" si="20"/>
        <v/>
      </c>
      <c r="CN106" s="38">
        <v>6</v>
      </c>
      <c r="CO106" s="28">
        <f t="shared" si="21"/>
        <v>0</v>
      </c>
      <c r="CP106" s="58"/>
    </row>
    <row r="107" spans="1:94" ht="17.25" hidden="1">
      <c r="A107" s="33">
        <v>103</v>
      </c>
      <c r="B107" s="55" t="s">
        <v>189</v>
      </c>
      <c r="C107" s="55">
        <f>IF(دانش‌آموزان!E13="","",دانش‌آموزان!B13)</f>
        <v>9</v>
      </c>
      <c r="D107" s="55" t="str">
        <f>IF(دانش‌آموزان!C13="","",دانش‌آموزان!C13)</f>
        <v>0960426116</v>
      </c>
      <c r="E107" s="55" t="str">
        <f>IF(دانش‌آموزان!E13="","",دانش‌آموزان!E13&amp;" "&amp;دانش‌آموزان!F13)</f>
        <v>محمدحسين حسن پورويراني</v>
      </c>
      <c r="F107" s="34">
        <f>IF(دانش‌آموزان!I13="","",دانش‌آموزان!I13)</f>
        <v>901</v>
      </c>
      <c r="G107" s="19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1"/>
      <c r="CC107" s="27" t="str">
        <f t="shared" si="11"/>
        <v/>
      </c>
      <c r="CD107" s="38" t="str">
        <f t="shared" si="12"/>
        <v/>
      </c>
      <c r="CE107" s="38" t="str">
        <f t="shared" si="13"/>
        <v/>
      </c>
      <c r="CF107" s="38" t="str">
        <f t="shared" si="14"/>
        <v/>
      </c>
      <c r="CG107" s="38" t="str">
        <f t="shared" si="15"/>
        <v/>
      </c>
      <c r="CH107" s="38" t="str">
        <f t="shared" si="16"/>
        <v/>
      </c>
      <c r="CI107" s="38" t="str">
        <f t="shared" si="17"/>
        <v/>
      </c>
      <c r="CJ107" s="38" t="str">
        <f t="shared" si="18"/>
        <v/>
      </c>
      <c r="CK107" s="38" t="str">
        <f t="shared" si="19"/>
        <v/>
      </c>
      <c r="CL107" s="38" t="str">
        <f>IF(C107="","",IF(COUNT(G107:AZ107)&lt;46,"",SUMPRODUCT(CC107:CK107,'تنظیمات وزن‌دهی'!$C$5:$C$13)/100))</f>
        <v/>
      </c>
      <c r="CM107" s="38" t="str">
        <f t="shared" si="20"/>
        <v/>
      </c>
      <c r="CN107" s="38">
        <v>7</v>
      </c>
      <c r="CO107" s="28">
        <f t="shared" si="21"/>
        <v>0</v>
      </c>
      <c r="CP107" s="58"/>
    </row>
    <row r="108" spans="1:94" ht="17.25" hidden="1">
      <c r="A108" s="33">
        <v>104</v>
      </c>
      <c r="B108" s="55" t="s">
        <v>190</v>
      </c>
      <c r="C108" s="55">
        <f>IF(دانش‌آموزان!E13="","",دانش‌آموزان!B13)</f>
        <v>9</v>
      </c>
      <c r="D108" s="55" t="str">
        <f>IF(دانش‌آموزان!C13="","",دانش‌آموزان!C13)</f>
        <v>0960426116</v>
      </c>
      <c r="E108" s="55" t="str">
        <f>IF(دانش‌آموزان!E13="","",دانش‌آموزان!E13&amp;" "&amp;دانش‌آموزان!F13)</f>
        <v>محمدحسين حسن پورويراني</v>
      </c>
      <c r="F108" s="34">
        <f>IF(دانش‌آموزان!I13="","",دانش‌آموزان!I13)</f>
        <v>901</v>
      </c>
      <c r="G108" s="19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1"/>
      <c r="CC108" s="27" t="str">
        <f t="shared" si="11"/>
        <v/>
      </c>
      <c r="CD108" s="38" t="str">
        <f t="shared" si="12"/>
        <v/>
      </c>
      <c r="CE108" s="38" t="str">
        <f t="shared" si="13"/>
        <v/>
      </c>
      <c r="CF108" s="38" t="str">
        <f t="shared" si="14"/>
        <v/>
      </c>
      <c r="CG108" s="38" t="str">
        <f t="shared" si="15"/>
        <v/>
      </c>
      <c r="CH108" s="38" t="str">
        <f t="shared" si="16"/>
        <v/>
      </c>
      <c r="CI108" s="38" t="str">
        <f t="shared" si="17"/>
        <v/>
      </c>
      <c r="CJ108" s="38" t="str">
        <f t="shared" si="18"/>
        <v/>
      </c>
      <c r="CK108" s="38" t="str">
        <f t="shared" si="19"/>
        <v/>
      </c>
      <c r="CL108" s="38" t="str">
        <f>IF(C108="","",IF(COUNT(G108:AZ108)&lt;46,"",SUMPRODUCT(CC108:CK108,'تنظیمات وزن‌دهی'!$C$5:$C$13)/100))</f>
        <v/>
      </c>
      <c r="CM108" s="38" t="str">
        <f t="shared" si="20"/>
        <v/>
      </c>
      <c r="CN108" s="38">
        <v>8</v>
      </c>
      <c r="CO108" s="28">
        <f t="shared" si="21"/>
        <v>0</v>
      </c>
      <c r="CP108" s="58"/>
    </row>
    <row r="109" spans="1:94" ht="17.25" hidden="1">
      <c r="A109" s="33">
        <v>105</v>
      </c>
      <c r="B109" s="55" t="s">
        <v>191</v>
      </c>
      <c r="C109" s="55">
        <f>IF(دانش‌آموزان!E13="","",دانش‌آموزان!B13)</f>
        <v>9</v>
      </c>
      <c r="D109" s="55" t="str">
        <f>IF(دانش‌آموزان!C13="","",دانش‌آموزان!C13)</f>
        <v>0960426116</v>
      </c>
      <c r="E109" s="55" t="str">
        <f>IF(دانش‌آموزان!E13="","",دانش‌آموزان!E13&amp;" "&amp;دانش‌آموزان!F13)</f>
        <v>محمدحسين حسن پورويراني</v>
      </c>
      <c r="F109" s="34">
        <f>IF(دانش‌آموزان!I13="","",دانش‌آموزان!I13)</f>
        <v>901</v>
      </c>
      <c r="G109" s="19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1"/>
      <c r="CC109" s="27" t="str">
        <f t="shared" si="11"/>
        <v/>
      </c>
      <c r="CD109" s="38" t="str">
        <f t="shared" si="12"/>
        <v/>
      </c>
      <c r="CE109" s="38" t="str">
        <f t="shared" si="13"/>
        <v/>
      </c>
      <c r="CF109" s="38" t="str">
        <f t="shared" si="14"/>
        <v/>
      </c>
      <c r="CG109" s="38" t="str">
        <f t="shared" si="15"/>
        <v/>
      </c>
      <c r="CH109" s="38" t="str">
        <f t="shared" si="16"/>
        <v/>
      </c>
      <c r="CI109" s="38" t="str">
        <f t="shared" si="17"/>
        <v/>
      </c>
      <c r="CJ109" s="38" t="str">
        <f t="shared" si="18"/>
        <v/>
      </c>
      <c r="CK109" s="38" t="str">
        <f t="shared" si="19"/>
        <v/>
      </c>
      <c r="CL109" s="38" t="str">
        <f>IF(C109="","",IF(COUNT(G109:AZ109)&lt;46,"",SUMPRODUCT(CC109:CK109,'تنظیمات وزن‌دهی'!$C$5:$C$13)/100))</f>
        <v/>
      </c>
      <c r="CM109" s="38" t="str">
        <f t="shared" si="20"/>
        <v/>
      </c>
      <c r="CN109" s="38">
        <v>9</v>
      </c>
      <c r="CO109" s="28">
        <f t="shared" si="21"/>
        <v>0</v>
      </c>
      <c r="CP109" s="58"/>
    </row>
    <row r="110" spans="1:94" ht="17.25" hidden="1">
      <c r="A110" s="33">
        <v>106</v>
      </c>
      <c r="B110" s="55" t="s">
        <v>192</v>
      </c>
      <c r="C110" s="55">
        <f>IF(دانش‌آموزان!E13="","",دانش‌آموزان!B13)</f>
        <v>9</v>
      </c>
      <c r="D110" s="55" t="str">
        <f>IF(دانش‌آموزان!C13="","",دانش‌آموزان!C13)</f>
        <v>0960426116</v>
      </c>
      <c r="E110" s="55" t="str">
        <f>IF(دانش‌آموزان!E13="","",دانش‌آموزان!E13&amp;" "&amp;دانش‌آموزان!F13)</f>
        <v>محمدحسين حسن پورويراني</v>
      </c>
      <c r="F110" s="34">
        <f>IF(دانش‌آموزان!I13="","",دانش‌آموزان!I13)</f>
        <v>901</v>
      </c>
      <c r="G110" s="19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1"/>
      <c r="CC110" s="27" t="str">
        <f t="shared" si="11"/>
        <v/>
      </c>
      <c r="CD110" s="38" t="str">
        <f t="shared" si="12"/>
        <v/>
      </c>
      <c r="CE110" s="38" t="str">
        <f t="shared" si="13"/>
        <v/>
      </c>
      <c r="CF110" s="38" t="str">
        <f t="shared" si="14"/>
        <v/>
      </c>
      <c r="CG110" s="38" t="str">
        <f t="shared" si="15"/>
        <v/>
      </c>
      <c r="CH110" s="38" t="str">
        <f t="shared" si="16"/>
        <v/>
      </c>
      <c r="CI110" s="38" t="str">
        <f t="shared" si="17"/>
        <v/>
      </c>
      <c r="CJ110" s="38" t="str">
        <f t="shared" si="18"/>
        <v/>
      </c>
      <c r="CK110" s="38" t="str">
        <f t="shared" si="19"/>
        <v/>
      </c>
      <c r="CL110" s="38" t="str">
        <f>IF(C110="","",IF(COUNT(G110:AZ110)&lt;46,"",SUMPRODUCT(CC110:CK110,'تنظیمات وزن‌دهی'!$C$5:$C$13)/100))</f>
        <v/>
      </c>
      <c r="CM110" s="38" t="str">
        <f t="shared" si="20"/>
        <v/>
      </c>
      <c r="CN110" s="38">
        <v>10</v>
      </c>
      <c r="CO110" s="28">
        <f t="shared" si="21"/>
        <v>0</v>
      </c>
      <c r="CP110" s="58"/>
    </row>
    <row r="111" spans="1:94" ht="17.25" hidden="1">
      <c r="A111" s="33">
        <v>107</v>
      </c>
      <c r="B111" s="55" t="s">
        <v>193</v>
      </c>
      <c r="C111" s="55">
        <f>IF(دانش‌آموزان!E13="","",دانش‌آموزان!B13)</f>
        <v>9</v>
      </c>
      <c r="D111" s="55" t="str">
        <f>IF(دانش‌آموزان!C13="","",دانش‌آموزان!C13)</f>
        <v>0960426116</v>
      </c>
      <c r="E111" s="55" t="str">
        <f>IF(دانش‌آموزان!E13="","",دانش‌آموزان!E13&amp;" "&amp;دانش‌آموزان!F13)</f>
        <v>محمدحسين حسن پورويراني</v>
      </c>
      <c r="F111" s="34">
        <f>IF(دانش‌آموزان!I13="","",دانش‌آموزان!I13)</f>
        <v>901</v>
      </c>
      <c r="G111" s="19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1"/>
      <c r="CC111" s="27" t="str">
        <f t="shared" si="11"/>
        <v/>
      </c>
      <c r="CD111" s="38" t="str">
        <f t="shared" si="12"/>
        <v/>
      </c>
      <c r="CE111" s="38" t="str">
        <f t="shared" si="13"/>
        <v/>
      </c>
      <c r="CF111" s="38" t="str">
        <f t="shared" si="14"/>
        <v/>
      </c>
      <c r="CG111" s="38" t="str">
        <f t="shared" si="15"/>
        <v/>
      </c>
      <c r="CH111" s="38" t="str">
        <f t="shared" si="16"/>
        <v/>
      </c>
      <c r="CI111" s="38" t="str">
        <f t="shared" si="17"/>
        <v/>
      </c>
      <c r="CJ111" s="38" t="str">
        <f t="shared" si="18"/>
        <v/>
      </c>
      <c r="CK111" s="38" t="str">
        <f t="shared" si="19"/>
        <v/>
      </c>
      <c r="CL111" s="38" t="str">
        <f>IF(C111="","",IF(COUNT(G111:AZ111)&lt;46,"",SUMPRODUCT(CC111:CK111,'تنظیمات وزن‌دهی'!$C$5:$C$13)/100))</f>
        <v/>
      </c>
      <c r="CM111" s="38" t="str">
        <f t="shared" si="20"/>
        <v/>
      </c>
      <c r="CN111" s="38">
        <v>11</v>
      </c>
      <c r="CO111" s="28">
        <f t="shared" si="21"/>
        <v>0</v>
      </c>
      <c r="CP111" s="58"/>
    </row>
    <row r="112" spans="1:94" ht="17.25" hidden="1">
      <c r="A112" s="33">
        <v>108</v>
      </c>
      <c r="B112" s="55" t="s">
        <v>194</v>
      </c>
      <c r="C112" s="55">
        <f>IF(دانش‌آموزان!E13="","",دانش‌آموزان!B13)</f>
        <v>9</v>
      </c>
      <c r="D112" s="55" t="str">
        <f>IF(دانش‌آموزان!C13="","",دانش‌آموزان!C13)</f>
        <v>0960426116</v>
      </c>
      <c r="E112" s="55" t="str">
        <f>IF(دانش‌آموزان!E13="","",دانش‌آموزان!E13&amp;" "&amp;دانش‌آموزان!F13)</f>
        <v>محمدحسين حسن پورويراني</v>
      </c>
      <c r="F112" s="34">
        <f>IF(دانش‌آموزان!I13="","",دانش‌آموزان!I13)</f>
        <v>901</v>
      </c>
      <c r="G112" s="19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1"/>
      <c r="CC112" s="27" t="str">
        <f t="shared" si="11"/>
        <v/>
      </c>
      <c r="CD112" s="38" t="str">
        <f t="shared" si="12"/>
        <v/>
      </c>
      <c r="CE112" s="38" t="str">
        <f t="shared" si="13"/>
        <v/>
      </c>
      <c r="CF112" s="38" t="str">
        <f t="shared" si="14"/>
        <v/>
      </c>
      <c r="CG112" s="38" t="str">
        <f t="shared" si="15"/>
        <v/>
      </c>
      <c r="CH112" s="38" t="str">
        <f t="shared" si="16"/>
        <v/>
      </c>
      <c r="CI112" s="38" t="str">
        <f t="shared" si="17"/>
        <v/>
      </c>
      <c r="CJ112" s="38" t="str">
        <f t="shared" si="18"/>
        <v/>
      </c>
      <c r="CK112" s="38" t="str">
        <f t="shared" si="19"/>
        <v/>
      </c>
      <c r="CL112" s="38" t="str">
        <f>IF(C112="","",IF(COUNT(G112:AZ112)&lt;46,"",SUMPRODUCT(CC112:CK112,'تنظیمات وزن‌دهی'!$C$5:$C$13)/100))</f>
        <v/>
      </c>
      <c r="CM112" s="38" t="str">
        <f t="shared" si="20"/>
        <v/>
      </c>
      <c r="CN112" s="38">
        <v>12</v>
      </c>
      <c r="CO112" s="28">
        <f t="shared" si="21"/>
        <v>0</v>
      </c>
      <c r="CP112" s="58"/>
    </row>
    <row r="113" spans="1:94" ht="17.25" hidden="1">
      <c r="A113" s="33">
        <v>109</v>
      </c>
      <c r="B113" s="55" t="s">
        <v>183</v>
      </c>
      <c r="C113" s="55">
        <f>IF(دانش‌آموزان!E14="","",دانش‌آموزان!B14)</f>
        <v>10</v>
      </c>
      <c r="D113" s="55" t="str">
        <f>IF(دانش‌آموزان!C14="","",دانش‌آموزان!C14)</f>
        <v>0970739664</v>
      </c>
      <c r="E113" s="55" t="str">
        <f>IF(دانش‌آموزان!E14="","",دانش‌آموزان!E14&amp;" "&amp;دانش‌آموزان!F14)</f>
        <v>ماهان حسن زاده</v>
      </c>
      <c r="F113" s="34">
        <f>IF(دانش‌آموزان!I14="","",دانش‌آموزان!I14)</f>
        <v>901</v>
      </c>
      <c r="G113" s="19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1"/>
      <c r="CC113" s="27" t="str">
        <f t="shared" si="11"/>
        <v/>
      </c>
      <c r="CD113" s="38" t="str">
        <f t="shared" si="12"/>
        <v/>
      </c>
      <c r="CE113" s="38" t="str">
        <f t="shared" si="13"/>
        <v/>
      </c>
      <c r="CF113" s="38" t="str">
        <f t="shared" si="14"/>
        <v/>
      </c>
      <c r="CG113" s="38" t="str">
        <f t="shared" si="15"/>
        <v/>
      </c>
      <c r="CH113" s="38" t="str">
        <f t="shared" si="16"/>
        <v/>
      </c>
      <c r="CI113" s="38" t="str">
        <f t="shared" si="17"/>
        <v/>
      </c>
      <c r="CJ113" s="38" t="str">
        <f t="shared" si="18"/>
        <v/>
      </c>
      <c r="CK113" s="38" t="str">
        <f t="shared" si="19"/>
        <v/>
      </c>
      <c r="CL113" s="38" t="str">
        <f>IF(C113="","",IF(COUNT(G113:AZ113)&lt;46,"",SUMPRODUCT(CC113:CK113,'تنظیمات وزن‌دهی'!$C$5:$C$13)/100))</f>
        <v/>
      </c>
      <c r="CM113" s="38" t="str">
        <f t="shared" si="20"/>
        <v/>
      </c>
      <c r="CN113" s="38">
        <v>1</v>
      </c>
      <c r="CO113" s="28">
        <f t="shared" si="21"/>
        <v>0</v>
      </c>
      <c r="CP113" s="58"/>
    </row>
    <row r="114" spans="1:94" ht="17.25" hidden="1">
      <c r="A114" s="33">
        <v>110</v>
      </c>
      <c r="B114" s="55" t="s">
        <v>184</v>
      </c>
      <c r="C114" s="55">
        <f>IF(دانش‌آموزان!E14="","",دانش‌آموزان!B14)</f>
        <v>10</v>
      </c>
      <c r="D114" s="55" t="str">
        <f>IF(دانش‌آموزان!C14="","",دانش‌آموزان!C14)</f>
        <v>0970739664</v>
      </c>
      <c r="E114" s="55" t="str">
        <f>IF(دانش‌آموزان!E14="","",دانش‌آموزان!E14&amp;" "&amp;دانش‌آموزان!F14)</f>
        <v>ماهان حسن زاده</v>
      </c>
      <c r="F114" s="34">
        <f>IF(دانش‌آموزان!I14="","",دانش‌آموزان!I14)</f>
        <v>901</v>
      </c>
      <c r="G114" s="19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1"/>
      <c r="CC114" s="27" t="str">
        <f t="shared" si="11"/>
        <v/>
      </c>
      <c r="CD114" s="38" t="str">
        <f t="shared" si="12"/>
        <v/>
      </c>
      <c r="CE114" s="38" t="str">
        <f t="shared" si="13"/>
        <v/>
      </c>
      <c r="CF114" s="38" t="str">
        <f t="shared" si="14"/>
        <v/>
      </c>
      <c r="CG114" s="38" t="str">
        <f t="shared" si="15"/>
        <v/>
      </c>
      <c r="CH114" s="38" t="str">
        <f t="shared" si="16"/>
        <v/>
      </c>
      <c r="CI114" s="38" t="str">
        <f t="shared" si="17"/>
        <v/>
      </c>
      <c r="CJ114" s="38" t="str">
        <f t="shared" si="18"/>
        <v/>
      </c>
      <c r="CK114" s="38" t="str">
        <f t="shared" si="19"/>
        <v/>
      </c>
      <c r="CL114" s="38" t="str">
        <f>IF(C114="","",IF(COUNT(G114:AZ114)&lt;46,"",SUMPRODUCT(CC114:CK114,'تنظیمات وزن‌دهی'!$C$5:$C$13)/100))</f>
        <v/>
      </c>
      <c r="CM114" s="38" t="str">
        <f t="shared" si="20"/>
        <v/>
      </c>
      <c r="CN114" s="38">
        <v>2</v>
      </c>
      <c r="CO114" s="28">
        <f t="shared" si="21"/>
        <v>0</v>
      </c>
      <c r="CP114" s="58"/>
    </row>
    <row r="115" spans="1:94" ht="17.25">
      <c r="A115" s="33">
        <v>111</v>
      </c>
      <c r="B115" s="55" t="s">
        <v>185</v>
      </c>
      <c r="C115" s="55">
        <f>IF(دانش‌آموزان!E14="","",دانش‌آموزان!B14)</f>
        <v>10</v>
      </c>
      <c r="D115" s="55" t="str">
        <f>IF(دانش‌آموزان!C14="","",دانش‌آموزان!C14)</f>
        <v>0970739664</v>
      </c>
      <c r="E115" s="55" t="str">
        <f>IF(دانش‌آموزان!E14="","",دانش‌آموزان!E14&amp;" "&amp;دانش‌آموزان!F14)</f>
        <v>ماهان حسن زاده</v>
      </c>
      <c r="F115" s="34">
        <f>IF(دانش‌آموزان!I14="","",دانش‌آموزان!I14)</f>
        <v>901</v>
      </c>
      <c r="G115" s="19">
        <v>19.77</v>
      </c>
      <c r="H115" s="20">
        <v>-1.77</v>
      </c>
      <c r="I115" s="20">
        <v>0</v>
      </c>
      <c r="J115" s="20">
        <v>3</v>
      </c>
      <c r="K115" s="20">
        <v>4</v>
      </c>
      <c r="L115" s="20">
        <v>0</v>
      </c>
      <c r="M115" s="20">
        <v>0</v>
      </c>
      <c r="N115" s="20">
        <v>0</v>
      </c>
      <c r="O115" s="20">
        <v>4</v>
      </c>
      <c r="P115" s="20">
        <v>4</v>
      </c>
      <c r="Q115" s="20">
        <v>4</v>
      </c>
      <c r="R115" s="20">
        <v>5</v>
      </c>
      <c r="S115" s="20">
        <v>4</v>
      </c>
      <c r="T115" s="20">
        <v>0</v>
      </c>
      <c r="U115" s="20">
        <v>4</v>
      </c>
      <c r="V115" s="20">
        <v>4</v>
      </c>
      <c r="W115" s="20">
        <v>5</v>
      </c>
      <c r="X115" s="20">
        <v>5</v>
      </c>
      <c r="Y115" s="20">
        <v>5</v>
      </c>
      <c r="Z115" s="20">
        <v>5</v>
      </c>
      <c r="AA115" s="20">
        <v>0</v>
      </c>
      <c r="AB115" s="20">
        <v>0</v>
      </c>
      <c r="AC115" s="20">
        <v>0</v>
      </c>
      <c r="AD115" s="20">
        <v>0</v>
      </c>
      <c r="AE115" s="20">
        <v>0</v>
      </c>
      <c r="AF115" s="20">
        <v>0</v>
      </c>
      <c r="AG115" s="20">
        <v>0</v>
      </c>
      <c r="AH115" s="20">
        <v>0</v>
      </c>
      <c r="AI115" s="20">
        <v>0</v>
      </c>
      <c r="AJ115" s="20">
        <v>0</v>
      </c>
      <c r="AK115" s="20">
        <v>0</v>
      </c>
      <c r="AL115" s="20">
        <v>0</v>
      </c>
      <c r="AM115" s="20">
        <v>0</v>
      </c>
      <c r="AN115" s="20">
        <v>0</v>
      </c>
      <c r="AO115" s="20">
        <v>0</v>
      </c>
      <c r="AP115" s="20">
        <v>0</v>
      </c>
      <c r="AQ115" s="20">
        <v>0</v>
      </c>
      <c r="AR115" s="20">
        <v>0</v>
      </c>
      <c r="AS115" s="20">
        <v>0</v>
      </c>
      <c r="AT115" s="20">
        <v>0</v>
      </c>
      <c r="AU115" s="20">
        <v>0</v>
      </c>
      <c r="AV115" s="20">
        <v>0</v>
      </c>
      <c r="AW115" s="20">
        <v>0</v>
      </c>
      <c r="AX115" s="20">
        <v>0</v>
      </c>
      <c r="AY115" s="20">
        <v>0</v>
      </c>
      <c r="AZ115" s="20">
        <v>0</v>
      </c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1"/>
      <c r="CC115" s="27">
        <f t="shared" si="11"/>
        <v>12.5</v>
      </c>
      <c r="CD115" s="38">
        <f t="shared" si="12"/>
        <v>16.8</v>
      </c>
      <c r="CE115" s="38">
        <f t="shared" si="13"/>
        <v>8</v>
      </c>
      <c r="CF115" s="38">
        <f t="shared" si="14"/>
        <v>19.2</v>
      </c>
      <c r="CG115" s="38">
        <f t="shared" si="15"/>
        <v>0</v>
      </c>
      <c r="CH115" s="38">
        <f t="shared" si="16"/>
        <v>0</v>
      </c>
      <c r="CI115" s="38">
        <f t="shared" si="17"/>
        <v>0</v>
      </c>
      <c r="CJ115" s="38">
        <f t="shared" si="18"/>
        <v>0</v>
      </c>
      <c r="CK115" s="38">
        <f t="shared" si="19"/>
        <v>0</v>
      </c>
      <c r="CL115" s="38" t="e">
        <f>IF(C115="","",IF(COUNT(G115:AZ115)&lt;46,"",SUMPRODUCT(CC115:CK115,'تنظیمات وزن‌دهی'!$C$5:$C$13)/100))</f>
        <v>#VALUE!</v>
      </c>
      <c r="CM115" s="38" t="e">
        <f t="shared" si="20"/>
        <v>#VALUE!</v>
      </c>
      <c r="CN115" s="38">
        <v>3</v>
      </c>
      <c r="CO115" s="28">
        <f t="shared" si="21"/>
        <v>1</v>
      </c>
      <c r="CP115" s="58"/>
    </row>
    <row r="116" spans="1:94" ht="17.25" hidden="1">
      <c r="A116" s="33">
        <v>112</v>
      </c>
      <c r="B116" s="55" t="s">
        <v>186</v>
      </c>
      <c r="C116" s="55">
        <f>IF(دانش‌آموزان!E14="","",دانش‌آموزان!B14)</f>
        <v>10</v>
      </c>
      <c r="D116" s="55" t="str">
        <f>IF(دانش‌آموزان!C14="","",دانش‌آموزان!C14)</f>
        <v>0970739664</v>
      </c>
      <c r="E116" s="55" t="str">
        <f>IF(دانش‌آموزان!E14="","",دانش‌آموزان!E14&amp;" "&amp;دانش‌آموزان!F14)</f>
        <v>ماهان حسن زاده</v>
      </c>
      <c r="F116" s="34">
        <f>IF(دانش‌آموزان!I14="","",دانش‌آموزان!I14)</f>
        <v>901</v>
      </c>
      <c r="G116" s="19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1"/>
      <c r="CC116" s="27" t="str">
        <f t="shared" si="11"/>
        <v/>
      </c>
      <c r="CD116" s="38" t="str">
        <f t="shared" si="12"/>
        <v/>
      </c>
      <c r="CE116" s="38" t="str">
        <f t="shared" si="13"/>
        <v/>
      </c>
      <c r="CF116" s="38" t="str">
        <f t="shared" si="14"/>
        <v/>
      </c>
      <c r="CG116" s="38" t="str">
        <f t="shared" si="15"/>
        <v/>
      </c>
      <c r="CH116" s="38" t="str">
        <f t="shared" si="16"/>
        <v/>
      </c>
      <c r="CI116" s="38" t="str">
        <f t="shared" si="17"/>
        <v/>
      </c>
      <c r="CJ116" s="38" t="str">
        <f t="shared" si="18"/>
        <v/>
      </c>
      <c r="CK116" s="38" t="str">
        <f t="shared" si="19"/>
        <v/>
      </c>
      <c r="CL116" s="38" t="str">
        <f>IF(C116="","",IF(COUNT(G116:AZ116)&lt;46,"",SUMPRODUCT(CC116:CK116,'تنظیمات وزن‌دهی'!$C$5:$C$13)/100))</f>
        <v/>
      </c>
      <c r="CM116" s="38" t="str">
        <f t="shared" si="20"/>
        <v/>
      </c>
      <c r="CN116" s="38">
        <v>4</v>
      </c>
      <c r="CO116" s="28">
        <f t="shared" si="21"/>
        <v>0</v>
      </c>
      <c r="CP116" s="58"/>
    </row>
    <row r="117" spans="1:94" ht="17.25" hidden="1">
      <c r="A117" s="33">
        <v>113</v>
      </c>
      <c r="B117" s="55" t="s">
        <v>187</v>
      </c>
      <c r="C117" s="55">
        <f>IF(دانش‌آموزان!E14="","",دانش‌آموزان!B14)</f>
        <v>10</v>
      </c>
      <c r="D117" s="55" t="str">
        <f>IF(دانش‌آموزان!C14="","",دانش‌آموزان!C14)</f>
        <v>0970739664</v>
      </c>
      <c r="E117" s="55" t="str">
        <f>IF(دانش‌آموزان!E14="","",دانش‌آموزان!E14&amp;" "&amp;دانش‌آموزان!F14)</f>
        <v>ماهان حسن زاده</v>
      </c>
      <c r="F117" s="34">
        <f>IF(دانش‌آموزان!I14="","",دانش‌آموزان!I14)</f>
        <v>901</v>
      </c>
      <c r="G117" s="19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1"/>
      <c r="CC117" s="27" t="str">
        <f t="shared" si="11"/>
        <v/>
      </c>
      <c r="CD117" s="38" t="str">
        <f t="shared" si="12"/>
        <v/>
      </c>
      <c r="CE117" s="38" t="str">
        <f t="shared" si="13"/>
        <v/>
      </c>
      <c r="CF117" s="38" t="str">
        <f t="shared" si="14"/>
        <v/>
      </c>
      <c r="CG117" s="38" t="str">
        <f t="shared" si="15"/>
        <v/>
      </c>
      <c r="CH117" s="38" t="str">
        <f t="shared" si="16"/>
        <v/>
      </c>
      <c r="CI117" s="38" t="str">
        <f t="shared" si="17"/>
        <v/>
      </c>
      <c r="CJ117" s="38" t="str">
        <f t="shared" si="18"/>
        <v/>
      </c>
      <c r="CK117" s="38" t="str">
        <f t="shared" si="19"/>
        <v/>
      </c>
      <c r="CL117" s="38" t="str">
        <f>IF(C117="","",IF(COUNT(G117:AZ117)&lt;46,"",SUMPRODUCT(CC117:CK117,'تنظیمات وزن‌دهی'!$C$5:$C$13)/100))</f>
        <v/>
      </c>
      <c r="CM117" s="38" t="str">
        <f t="shared" si="20"/>
        <v/>
      </c>
      <c r="CN117" s="38">
        <v>5</v>
      </c>
      <c r="CO117" s="28">
        <f t="shared" si="21"/>
        <v>0</v>
      </c>
      <c r="CP117" s="58"/>
    </row>
    <row r="118" spans="1:94" ht="17.25" hidden="1">
      <c r="A118" s="33">
        <v>114</v>
      </c>
      <c r="B118" s="55" t="s">
        <v>188</v>
      </c>
      <c r="C118" s="55">
        <f>IF(دانش‌آموزان!E14="","",دانش‌آموزان!B14)</f>
        <v>10</v>
      </c>
      <c r="D118" s="55" t="str">
        <f>IF(دانش‌آموزان!C14="","",دانش‌آموزان!C14)</f>
        <v>0970739664</v>
      </c>
      <c r="E118" s="55" t="str">
        <f>IF(دانش‌آموزان!E14="","",دانش‌آموزان!E14&amp;" "&amp;دانش‌آموزان!F14)</f>
        <v>ماهان حسن زاده</v>
      </c>
      <c r="F118" s="34">
        <f>IF(دانش‌آموزان!I14="","",دانش‌آموزان!I14)</f>
        <v>901</v>
      </c>
      <c r="G118" s="19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1"/>
      <c r="CC118" s="27" t="str">
        <f t="shared" si="11"/>
        <v/>
      </c>
      <c r="CD118" s="38" t="str">
        <f t="shared" si="12"/>
        <v/>
      </c>
      <c r="CE118" s="38" t="str">
        <f t="shared" si="13"/>
        <v/>
      </c>
      <c r="CF118" s="38" t="str">
        <f t="shared" si="14"/>
        <v/>
      </c>
      <c r="CG118" s="38" t="str">
        <f t="shared" si="15"/>
        <v/>
      </c>
      <c r="CH118" s="38" t="str">
        <f t="shared" si="16"/>
        <v/>
      </c>
      <c r="CI118" s="38" t="str">
        <f t="shared" si="17"/>
        <v/>
      </c>
      <c r="CJ118" s="38" t="str">
        <f t="shared" si="18"/>
        <v/>
      </c>
      <c r="CK118" s="38" t="str">
        <f t="shared" si="19"/>
        <v/>
      </c>
      <c r="CL118" s="38" t="str">
        <f>IF(C118="","",IF(COUNT(G118:AZ118)&lt;46,"",SUMPRODUCT(CC118:CK118,'تنظیمات وزن‌دهی'!$C$5:$C$13)/100))</f>
        <v/>
      </c>
      <c r="CM118" s="38" t="str">
        <f t="shared" si="20"/>
        <v/>
      </c>
      <c r="CN118" s="38">
        <v>6</v>
      </c>
      <c r="CO118" s="28">
        <f t="shared" si="21"/>
        <v>0</v>
      </c>
      <c r="CP118" s="58"/>
    </row>
    <row r="119" spans="1:94" ht="17.25" hidden="1">
      <c r="A119" s="33">
        <v>115</v>
      </c>
      <c r="B119" s="55" t="s">
        <v>189</v>
      </c>
      <c r="C119" s="55">
        <f>IF(دانش‌آموزان!E14="","",دانش‌آموزان!B14)</f>
        <v>10</v>
      </c>
      <c r="D119" s="55" t="str">
        <f>IF(دانش‌آموزان!C14="","",دانش‌آموزان!C14)</f>
        <v>0970739664</v>
      </c>
      <c r="E119" s="55" t="str">
        <f>IF(دانش‌آموزان!E14="","",دانش‌آموزان!E14&amp;" "&amp;دانش‌آموزان!F14)</f>
        <v>ماهان حسن زاده</v>
      </c>
      <c r="F119" s="34">
        <f>IF(دانش‌آموزان!I14="","",دانش‌آموزان!I14)</f>
        <v>901</v>
      </c>
      <c r="G119" s="19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1"/>
      <c r="CC119" s="27" t="str">
        <f t="shared" si="11"/>
        <v/>
      </c>
      <c r="CD119" s="38" t="str">
        <f t="shared" si="12"/>
        <v/>
      </c>
      <c r="CE119" s="38" t="str">
        <f t="shared" si="13"/>
        <v/>
      </c>
      <c r="CF119" s="38" t="str">
        <f t="shared" si="14"/>
        <v/>
      </c>
      <c r="CG119" s="38" t="str">
        <f t="shared" si="15"/>
        <v/>
      </c>
      <c r="CH119" s="38" t="str">
        <f t="shared" si="16"/>
        <v/>
      </c>
      <c r="CI119" s="38" t="str">
        <f t="shared" si="17"/>
        <v/>
      </c>
      <c r="CJ119" s="38" t="str">
        <f t="shared" si="18"/>
        <v/>
      </c>
      <c r="CK119" s="38" t="str">
        <f t="shared" si="19"/>
        <v/>
      </c>
      <c r="CL119" s="38" t="str">
        <f>IF(C119="","",IF(COUNT(G119:AZ119)&lt;46,"",SUMPRODUCT(CC119:CK119,'تنظیمات وزن‌دهی'!$C$5:$C$13)/100))</f>
        <v/>
      </c>
      <c r="CM119" s="38" t="str">
        <f t="shared" si="20"/>
        <v/>
      </c>
      <c r="CN119" s="38">
        <v>7</v>
      </c>
      <c r="CO119" s="28">
        <f t="shared" si="21"/>
        <v>0</v>
      </c>
      <c r="CP119" s="58"/>
    </row>
    <row r="120" spans="1:94" ht="17.25" hidden="1">
      <c r="A120" s="33">
        <v>116</v>
      </c>
      <c r="B120" s="55" t="s">
        <v>190</v>
      </c>
      <c r="C120" s="55">
        <f>IF(دانش‌آموزان!E14="","",دانش‌آموزان!B14)</f>
        <v>10</v>
      </c>
      <c r="D120" s="55" t="str">
        <f>IF(دانش‌آموزان!C14="","",دانش‌آموزان!C14)</f>
        <v>0970739664</v>
      </c>
      <c r="E120" s="55" t="str">
        <f>IF(دانش‌آموزان!E14="","",دانش‌آموزان!E14&amp;" "&amp;دانش‌آموزان!F14)</f>
        <v>ماهان حسن زاده</v>
      </c>
      <c r="F120" s="34">
        <f>IF(دانش‌آموزان!I14="","",دانش‌آموزان!I14)</f>
        <v>901</v>
      </c>
      <c r="G120" s="19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1"/>
      <c r="CC120" s="27" t="str">
        <f t="shared" si="11"/>
        <v/>
      </c>
      <c r="CD120" s="38" t="str">
        <f t="shared" si="12"/>
        <v/>
      </c>
      <c r="CE120" s="38" t="str">
        <f t="shared" si="13"/>
        <v/>
      </c>
      <c r="CF120" s="38" t="str">
        <f t="shared" si="14"/>
        <v/>
      </c>
      <c r="CG120" s="38" t="str">
        <f t="shared" si="15"/>
        <v/>
      </c>
      <c r="CH120" s="38" t="str">
        <f t="shared" si="16"/>
        <v/>
      </c>
      <c r="CI120" s="38" t="str">
        <f t="shared" si="17"/>
        <v/>
      </c>
      <c r="CJ120" s="38" t="str">
        <f t="shared" si="18"/>
        <v/>
      </c>
      <c r="CK120" s="38" t="str">
        <f t="shared" si="19"/>
        <v/>
      </c>
      <c r="CL120" s="38" t="str">
        <f>IF(C120="","",IF(COUNT(G120:AZ120)&lt;46,"",SUMPRODUCT(CC120:CK120,'تنظیمات وزن‌دهی'!$C$5:$C$13)/100))</f>
        <v/>
      </c>
      <c r="CM120" s="38" t="str">
        <f t="shared" si="20"/>
        <v/>
      </c>
      <c r="CN120" s="38">
        <v>8</v>
      </c>
      <c r="CO120" s="28">
        <f t="shared" si="21"/>
        <v>0</v>
      </c>
      <c r="CP120" s="58"/>
    </row>
    <row r="121" spans="1:94" ht="17.25" hidden="1">
      <c r="A121" s="33">
        <v>117</v>
      </c>
      <c r="B121" s="55" t="s">
        <v>191</v>
      </c>
      <c r="C121" s="55">
        <f>IF(دانش‌آموزان!E14="","",دانش‌آموزان!B14)</f>
        <v>10</v>
      </c>
      <c r="D121" s="55" t="str">
        <f>IF(دانش‌آموزان!C14="","",دانش‌آموزان!C14)</f>
        <v>0970739664</v>
      </c>
      <c r="E121" s="55" t="str">
        <f>IF(دانش‌آموزان!E14="","",دانش‌آموزان!E14&amp;" "&amp;دانش‌آموزان!F14)</f>
        <v>ماهان حسن زاده</v>
      </c>
      <c r="F121" s="34">
        <f>IF(دانش‌آموزان!I14="","",دانش‌آموزان!I14)</f>
        <v>901</v>
      </c>
      <c r="G121" s="19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1"/>
      <c r="CC121" s="27" t="str">
        <f t="shared" si="11"/>
        <v/>
      </c>
      <c r="CD121" s="38" t="str">
        <f t="shared" si="12"/>
        <v/>
      </c>
      <c r="CE121" s="38" t="str">
        <f t="shared" si="13"/>
        <v/>
      </c>
      <c r="CF121" s="38" t="str">
        <f t="shared" si="14"/>
        <v/>
      </c>
      <c r="CG121" s="38" t="str">
        <f t="shared" si="15"/>
        <v/>
      </c>
      <c r="CH121" s="38" t="str">
        <f t="shared" si="16"/>
        <v/>
      </c>
      <c r="CI121" s="38" t="str">
        <f t="shared" si="17"/>
        <v/>
      </c>
      <c r="CJ121" s="38" t="str">
        <f t="shared" si="18"/>
        <v/>
      </c>
      <c r="CK121" s="38" t="str">
        <f t="shared" si="19"/>
        <v/>
      </c>
      <c r="CL121" s="38" t="str">
        <f>IF(C121="","",IF(COUNT(G121:AZ121)&lt;46,"",SUMPRODUCT(CC121:CK121,'تنظیمات وزن‌دهی'!$C$5:$C$13)/100))</f>
        <v/>
      </c>
      <c r="CM121" s="38" t="str">
        <f t="shared" si="20"/>
        <v/>
      </c>
      <c r="CN121" s="38">
        <v>9</v>
      </c>
      <c r="CO121" s="28">
        <f t="shared" si="21"/>
        <v>0</v>
      </c>
      <c r="CP121" s="58"/>
    </row>
    <row r="122" spans="1:94" ht="17.25" hidden="1">
      <c r="A122" s="33">
        <v>118</v>
      </c>
      <c r="B122" s="55" t="s">
        <v>192</v>
      </c>
      <c r="C122" s="55">
        <f>IF(دانش‌آموزان!E14="","",دانش‌آموزان!B14)</f>
        <v>10</v>
      </c>
      <c r="D122" s="55" t="str">
        <f>IF(دانش‌آموزان!C14="","",دانش‌آموزان!C14)</f>
        <v>0970739664</v>
      </c>
      <c r="E122" s="55" t="str">
        <f>IF(دانش‌آموزان!E14="","",دانش‌آموزان!E14&amp;" "&amp;دانش‌آموزان!F14)</f>
        <v>ماهان حسن زاده</v>
      </c>
      <c r="F122" s="34">
        <f>IF(دانش‌آموزان!I14="","",دانش‌آموزان!I14)</f>
        <v>901</v>
      </c>
      <c r="G122" s="19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1"/>
      <c r="CC122" s="27" t="str">
        <f t="shared" si="11"/>
        <v/>
      </c>
      <c r="CD122" s="38" t="str">
        <f t="shared" si="12"/>
        <v/>
      </c>
      <c r="CE122" s="38" t="str">
        <f t="shared" si="13"/>
        <v/>
      </c>
      <c r="CF122" s="38" t="str">
        <f t="shared" si="14"/>
        <v/>
      </c>
      <c r="CG122" s="38" t="str">
        <f t="shared" si="15"/>
        <v/>
      </c>
      <c r="CH122" s="38" t="str">
        <f t="shared" si="16"/>
        <v/>
      </c>
      <c r="CI122" s="38" t="str">
        <f t="shared" si="17"/>
        <v/>
      </c>
      <c r="CJ122" s="38" t="str">
        <f t="shared" si="18"/>
        <v/>
      </c>
      <c r="CK122" s="38" t="str">
        <f t="shared" si="19"/>
        <v/>
      </c>
      <c r="CL122" s="38" t="str">
        <f>IF(C122="","",IF(COUNT(G122:AZ122)&lt;46,"",SUMPRODUCT(CC122:CK122,'تنظیمات وزن‌دهی'!$C$5:$C$13)/100))</f>
        <v/>
      </c>
      <c r="CM122" s="38" t="str">
        <f t="shared" si="20"/>
        <v/>
      </c>
      <c r="CN122" s="38">
        <v>10</v>
      </c>
      <c r="CO122" s="28">
        <f t="shared" si="21"/>
        <v>0</v>
      </c>
      <c r="CP122" s="58"/>
    </row>
    <row r="123" spans="1:94" ht="17.25" hidden="1">
      <c r="A123" s="33">
        <v>119</v>
      </c>
      <c r="B123" s="55" t="s">
        <v>193</v>
      </c>
      <c r="C123" s="55">
        <f>IF(دانش‌آموزان!E14="","",دانش‌آموزان!B14)</f>
        <v>10</v>
      </c>
      <c r="D123" s="55" t="str">
        <f>IF(دانش‌آموزان!C14="","",دانش‌آموزان!C14)</f>
        <v>0970739664</v>
      </c>
      <c r="E123" s="55" t="str">
        <f>IF(دانش‌آموزان!E14="","",دانش‌آموزان!E14&amp;" "&amp;دانش‌آموزان!F14)</f>
        <v>ماهان حسن زاده</v>
      </c>
      <c r="F123" s="34">
        <f>IF(دانش‌آموزان!I14="","",دانش‌آموزان!I14)</f>
        <v>901</v>
      </c>
      <c r="G123" s="19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1"/>
      <c r="CC123" s="27" t="str">
        <f t="shared" si="11"/>
        <v/>
      </c>
      <c r="CD123" s="38" t="str">
        <f t="shared" si="12"/>
        <v/>
      </c>
      <c r="CE123" s="38" t="str">
        <f t="shared" si="13"/>
        <v/>
      </c>
      <c r="CF123" s="38" t="str">
        <f t="shared" si="14"/>
        <v/>
      </c>
      <c r="CG123" s="38" t="str">
        <f t="shared" si="15"/>
        <v/>
      </c>
      <c r="CH123" s="38" t="str">
        <f t="shared" si="16"/>
        <v/>
      </c>
      <c r="CI123" s="38" t="str">
        <f t="shared" si="17"/>
        <v/>
      </c>
      <c r="CJ123" s="38" t="str">
        <f t="shared" si="18"/>
        <v/>
      </c>
      <c r="CK123" s="38" t="str">
        <f t="shared" si="19"/>
        <v/>
      </c>
      <c r="CL123" s="38" t="str">
        <f>IF(C123="","",IF(COUNT(G123:AZ123)&lt;46,"",SUMPRODUCT(CC123:CK123,'تنظیمات وزن‌دهی'!$C$5:$C$13)/100))</f>
        <v/>
      </c>
      <c r="CM123" s="38" t="str">
        <f t="shared" si="20"/>
        <v/>
      </c>
      <c r="CN123" s="38">
        <v>11</v>
      </c>
      <c r="CO123" s="28">
        <f t="shared" si="21"/>
        <v>0</v>
      </c>
      <c r="CP123" s="58"/>
    </row>
    <row r="124" spans="1:94" ht="17.25" hidden="1">
      <c r="A124" s="33">
        <v>120</v>
      </c>
      <c r="B124" s="55" t="s">
        <v>194</v>
      </c>
      <c r="C124" s="55">
        <f>IF(دانش‌آموزان!E14="","",دانش‌آموزان!B14)</f>
        <v>10</v>
      </c>
      <c r="D124" s="55" t="str">
        <f>IF(دانش‌آموزان!C14="","",دانش‌آموزان!C14)</f>
        <v>0970739664</v>
      </c>
      <c r="E124" s="55" t="str">
        <f>IF(دانش‌آموزان!E14="","",دانش‌آموزان!E14&amp;" "&amp;دانش‌آموزان!F14)</f>
        <v>ماهان حسن زاده</v>
      </c>
      <c r="F124" s="34">
        <f>IF(دانش‌آموزان!I14="","",دانش‌آموزان!I14)</f>
        <v>901</v>
      </c>
      <c r="G124" s="19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1"/>
      <c r="CC124" s="27" t="str">
        <f t="shared" si="11"/>
        <v/>
      </c>
      <c r="CD124" s="38" t="str">
        <f t="shared" si="12"/>
        <v/>
      </c>
      <c r="CE124" s="38" t="str">
        <f t="shared" si="13"/>
        <v/>
      </c>
      <c r="CF124" s="38" t="str">
        <f t="shared" si="14"/>
        <v/>
      </c>
      <c r="CG124" s="38" t="str">
        <f t="shared" si="15"/>
        <v/>
      </c>
      <c r="CH124" s="38" t="str">
        <f t="shared" si="16"/>
        <v/>
      </c>
      <c r="CI124" s="38" t="str">
        <f t="shared" si="17"/>
        <v/>
      </c>
      <c r="CJ124" s="38" t="str">
        <f t="shared" si="18"/>
        <v/>
      </c>
      <c r="CK124" s="38" t="str">
        <f t="shared" si="19"/>
        <v/>
      </c>
      <c r="CL124" s="38" t="str">
        <f>IF(C124="","",IF(COUNT(G124:AZ124)&lt;46,"",SUMPRODUCT(CC124:CK124,'تنظیمات وزن‌دهی'!$C$5:$C$13)/100))</f>
        <v/>
      </c>
      <c r="CM124" s="38" t="str">
        <f t="shared" si="20"/>
        <v/>
      </c>
      <c r="CN124" s="38">
        <v>12</v>
      </c>
      <c r="CO124" s="28">
        <f t="shared" si="21"/>
        <v>0</v>
      </c>
      <c r="CP124" s="58"/>
    </row>
    <row r="125" spans="1:94" ht="17.25" hidden="1">
      <c r="A125" s="33">
        <v>121</v>
      </c>
      <c r="B125" s="55" t="s">
        <v>183</v>
      </c>
      <c r="C125" s="55">
        <f>IF(دانش‌آموزان!E15="","",دانش‌آموزان!B15)</f>
        <v>11</v>
      </c>
      <c r="D125" s="55" t="str">
        <f>IF(دانش‌آموزان!C15="","",دانش‌آموزان!C15)</f>
        <v>0980347335</v>
      </c>
      <c r="E125" s="55" t="str">
        <f>IF(دانش‌آموزان!E15="","",دانش‌آموزان!E15&amp;" "&amp;دانش‌آموزان!F15)</f>
        <v>علي حسين زاده</v>
      </c>
      <c r="F125" s="34">
        <f>IF(دانش‌آموزان!I15="","",دانش‌آموزان!I15)</f>
        <v>901</v>
      </c>
      <c r="G125" s="1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1"/>
      <c r="CC125" s="27" t="str">
        <f t="shared" si="11"/>
        <v/>
      </c>
      <c r="CD125" s="38" t="str">
        <f t="shared" si="12"/>
        <v/>
      </c>
      <c r="CE125" s="38" t="str">
        <f t="shared" si="13"/>
        <v/>
      </c>
      <c r="CF125" s="38" t="str">
        <f t="shared" si="14"/>
        <v/>
      </c>
      <c r="CG125" s="38" t="str">
        <f t="shared" si="15"/>
        <v/>
      </c>
      <c r="CH125" s="38" t="str">
        <f t="shared" si="16"/>
        <v/>
      </c>
      <c r="CI125" s="38" t="str">
        <f t="shared" si="17"/>
        <v/>
      </c>
      <c r="CJ125" s="38" t="str">
        <f t="shared" si="18"/>
        <v/>
      </c>
      <c r="CK125" s="38" t="str">
        <f t="shared" si="19"/>
        <v/>
      </c>
      <c r="CL125" s="38" t="str">
        <f>IF(C125="","",IF(COUNT(G125:AZ125)&lt;46,"",SUMPRODUCT(CC125:CK125,'تنظیمات وزن‌دهی'!$C$5:$C$13)/100))</f>
        <v/>
      </c>
      <c r="CM125" s="38" t="str">
        <f t="shared" si="20"/>
        <v/>
      </c>
      <c r="CN125" s="38">
        <v>1</v>
      </c>
      <c r="CO125" s="28">
        <f t="shared" si="21"/>
        <v>0</v>
      </c>
      <c r="CP125" s="58"/>
    </row>
    <row r="126" spans="1:94" ht="17.25" hidden="1">
      <c r="A126" s="33">
        <v>122</v>
      </c>
      <c r="B126" s="55" t="s">
        <v>184</v>
      </c>
      <c r="C126" s="55">
        <f>IF(دانش‌آموزان!E15="","",دانش‌آموزان!B15)</f>
        <v>11</v>
      </c>
      <c r="D126" s="55" t="str">
        <f>IF(دانش‌آموزان!C15="","",دانش‌آموزان!C15)</f>
        <v>0980347335</v>
      </c>
      <c r="E126" s="55" t="str">
        <f>IF(دانش‌آموزان!E15="","",دانش‌آموزان!E15&amp;" "&amp;دانش‌آموزان!F15)</f>
        <v>علي حسين زاده</v>
      </c>
      <c r="F126" s="34">
        <f>IF(دانش‌آموزان!I15="","",دانش‌آموزان!I15)</f>
        <v>901</v>
      </c>
      <c r="G126" s="1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1"/>
      <c r="CC126" s="27" t="str">
        <f t="shared" si="11"/>
        <v/>
      </c>
      <c r="CD126" s="38" t="str">
        <f t="shared" si="12"/>
        <v/>
      </c>
      <c r="CE126" s="38" t="str">
        <f t="shared" si="13"/>
        <v/>
      </c>
      <c r="CF126" s="38" t="str">
        <f t="shared" si="14"/>
        <v/>
      </c>
      <c r="CG126" s="38" t="str">
        <f t="shared" si="15"/>
        <v/>
      </c>
      <c r="CH126" s="38" t="str">
        <f t="shared" si="16"/>
        <v/>
      </c>
      <c r="CI126" s="38" t="str">
        <f t="shared" si="17"/>
        <v/>
      </c>
      <c r="CJ126" s="38" t="str">
        <f t="shared" si="18"/>
        <v/>
      </c>
      <c r="CK126" s="38" t="str">
        <f t="shared" si="19"/>
        <v/>
      </c>
      <c r="CL126" s="38" t="str">
        <f>IF(C126="","",IF(COUNT(G126:AZ126)&lt;46,"",SUMPRODUCT(CC126:CK126,'تنظیمات وزن‌دهی'!$C$5:$C$13)/100))</f>
        <v/>
      </c>
      <c r="CM126" s="38" t="str">
        <f t="shared" si="20"/>
        <v/>
      </c>
      <c r="CN126" s="38">
        <v>2</v>
      </c>
      <c r="CO126" s="28">
        <f t="shared" si="21"/>
        <v>0</v>
      </c>
      <c r="CP126" s="58"/>
    </row>
    <row r="127" spans="1:94" ht="17.25">
      <c r="A127" s="33">
        <v>123</v>
      </c>
      <c r="B127" s="55" t="s">
        <v>185</v>
      </c>
      <c r="C127" s="55">
        <f>IF(دانش‌آموزان!E15="","",دانش‌آموزان!B15)</f>
        <v>11</v>
      </c>
      <c r="D127" s="55" t="str">
        <f>IF(دانش‌آموزان!C15="","",دانش‌آموزان!C15)</f>
        <v>0980347335</v>
      </c>
      <c r="E127" s="55" t="str">
        <f>IF(دانش‌آموزان!E15="","",دانش‌آموزان!E15&amp;" "&amp;دانش‌آموزان!F15)</f>
        <v>علي حسين زاده</v>
      </c>
      <c r="F127" s="34">
        <f>IF(دانش‌آموزان!I15="","",دانش‌آموزان!I15)</f>
        <v>901</v>
      </c>
      <c r="G127" s="19">
        <v>19.84</v>
      </c>
      <c r="H127" s="20">
        <v>-1.84</v>
      </c>
      <c r="I127" s="20">
        <v>0</v>
      </c>
      <c r="J127" s="20">
        <v>4</v>
      </c>
      <c r="K127" s="20">
        <v>0</v>
      </c>
      <c r="L127" s="20">
        <v>0</v>
      </c>
      <c r="M127" s="20">
        <v>0</v>
      </c>
      <c r="N127" s="20">
        <v>0</v>
      </c>
      <c r="O127" s="20">
        <v>4</v>
      </c>
      <c r="P127" s="20">
        <v>4</v>
      </c>
      <c r="Q127" s="20">
        <v>4</v>
      </c>
      <c r="R127" s="20">
        <v>4</v>
      </c>
      <c r="S127" s="20">
        <v>4</v>
      </c>
      <c r="T127" s="20">
        <v>0</v>
      </c>
      <c r="U127" s="20">
        <v>4</v>
      </c>
      <c r="V127" s="20">
        <v>4</v>
      </c>
      <c r="W127" s="20">
        <v>5</v>
      </c>
      <c r="X127" s="20">
        <v>4</v>
      </c>
      <c r="Y127" s="20">
        <v>4</v>
      </c>
      <c r="Z127" s="20">
        <v>4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20">
        <v>0</v>
      </c>
      <c r="AG127" s="20">
        <v>0</v>
      </c>
      <c r="AH127" s="20">
        <v>0</v>
      </c>
      <c r="AI127" s="20">
        <v>0</v>
      </c>
      <c r="AJ127" s="20">
        <v>0</v>
      </c>
      <c r="AK127" s="20">
        <v>0</v>
      </c>
      <c r="AL127" s="20">
        <v>0</v>
      </c>
      <c r="AM127" s="20">
        <v>0</v>
      </c>
      <c r="AN127" s="20">
        <v>0</v>
      </c>
      <c r="AO127" s="20">
        <v>0</v>
      </c>
      <c r="AP127" s="20">
        <v>0</v>
      </c>
      <c r="AQ127" s="20">
        <v>0</v>
      </c>
      <c r="AR127" s="20">
        <v>0</v>
      </c>
      <c r="AS127" s="20">
        <v>0</v>
      </c>
      <c r="AT127" s="20">
        <v>0</v>
      </c>
      <c r="AU127" s="20">
        <v>0</v>
      </c>
      <c r="AV127" s="20">
        <v>0</v>
      </c>
      <c r="AW127" s="20">
        <v>0</v>
      </c>
      <c r="AX127" s="20">
        <v>0</v>
      </c>
      <c r="AY127" s="20">
        <v>0</v>
      </c>
      <c r="AZ127" s="20">
        <v>0</v>
      </c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1"/>
      <c r="CC127" s="27">
        <f t="shared" si="11"/>
        <v>11</v>
      </c>
      <c r="CD127" s="38">
        <f t="shared" si="12"/>
        <v>16</v>
      </c>
      <c r="CE127" s="38">
        <f t="shared" si="13"/>
        <v>8</v>
      </c>
      <c r="CF127" s="38">
        <f t="shared" si="14"/>
        <v>16.8</v>
      </c>
      <c r="CG127" s="38">
        <f t="shared" si="15"/>
        <v>0</v>
      </c>
      <c r="CH127" s="38">
        <f t="shared" si="16"/>
        <v>0</v>
      </c>
      <c r="CI127" s="38">
        <f t="shared" si="17"/>
        <v>0</v>
      </c>
      <c r="CJ127" s="38">
        <f t="shared" si="18"/>
        <v>0</v>
      </c>
      <c r="CK127" s="38">
        <f t="shared" si="19"/>
        <v>0</v>
      </c>
      <c r="CL127" s="38" t="e">
        <f>IF(C127="","",IF(COUNT(G127:AZ127)&lt;46,"",SUMPRODUCT(CC127:CK127,'تنظیمات وزن‌دهی'!$C$5:$C$13)/100))</f>
        <v>#VALUE!</v>
      </c>
      <c r="CM127" s="38" t="e">
        <f t="shared" si="20"/>
        <v>#VALUE!</v>
      </c>
      <c r="CN127" s="38">
        <v>3</v>
      </c>
      <c r="CO127" s="28">
        <f t="shared" si="21"/>
        <v>1</v>
      </c>
      <c r="CP127" s="58"/>
    </row>
    <row r="128" spans="1:94" ht="17.25" hidden="1">
      <c r="A128" s="33">
        <v>124</v>
      </c>
      <c r="B128" s="55" t="s">
        <v>186</v>
      </c>
      <c r="C128" s="55">
        <f>IF(دانش‌آموزان!E15="","",دانش‌آموزان!B15)</f>
        <v>11</v>
      </c>
      <c r="D128" s="55" t="str">
        <f>IF(دانش‌آموزان!C15="","",دانش‌آموزان!C15)</f>
        <v>0980347335</v>
      </c>
      <c r="E128" s="55" t="str">
        <f>IF(دانش‌آموزان!E15="","",دانش‌آموزان!E15&amp;" "&amp;دانش‌آموزان!F15)</f>
        <v>علي حسين زاده</v>
      </c>
      <c r="F128" s="34">
        <f>IF(دانش‌آموزان!I15="","",دانش‌آموزان!I15)</f>
        <v>901</v>
      </c>
      <c r="G128" s="1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1"/>
      <c r="CC128" s="27" t="str">
        <f t="shared" si="11"/>
        <v/>
      </c>
      <c r="CD128" s="38" t="str">
        <f t="shared" si="12"/>
        <v/>
      </c>
      <c r="CE128" s="38" t="str">
        <f t="shared" si="13"/>
        <v/>
      </c>
      <c r="CF128" s="38" t="str">
        <f t="shared" si="14"/>
        <v/>
      </c>
      <c r="CG128" s="38" t="str">
        <f t="shared" si="15"/>
        <v/>
      </c>
      <c r="CH128" s="38" t="str">
        <f t="shared" si="16"/>
        <v/>
      </c>
      <c r="CI128" s="38" t="str">
        <f t="shared" si="17"/>
        <v/>
      </c>
      <c r="CJ128" s="38" t="str">
        <f t="shared" si="18"/>
        <v/>
      </c>
      <c r="CK128" s="38" t="str">
        <f t="shared" si="19"/>
        <v/>
      </c>
      <c r="CL128" s="38" t="str">
        <f>IF(C128="","",IF(COUNT(G128:AZ128)&lt;46,"",SUMPRODUCT(CC128:CK128,'تنظیمات وزن‌دهی'!$C$5:$C$13)/100))</f>
        <v/>
      </c>
      <c r="CM128" s="38" t="str">
        <f t="shared" si="20"/>
        <v/>
      </c>
      <c r="CN128" s="38">
        <v>4</v>
      </c>
      <c r="CO128" s="28">
        <f t="shared" si="21"/>
        <v>0</v>
      </c>
      <c r="CP128" s="58"/>
    </row>
    <row r="129" spans="1:94" ht="17.25" hidden="1">
      <c r="A129" s="33">
        <v>125</v>
      </c>
      <c r="B129" s="55" t="s">
        <v>187</v>
      </c>
      <c r="C129" s="55">
        <f>IF(دانش‌آموزان!E15="","",دانش‌آموزان!B15)</f>
        <v>11</v>
      </c>
      <c r="D129" s="55" t="str">
        <f>IF(دانش‌آموزان!C15="","",دانش‌آموزان!C15)</f>
        <v>0980347335</v>
      </c>
      <c r="E129" s="55" t="str">
        <f>IF(دانش‌آموزان!E15="","",دانش‌آموزان!E15&amp;" "&amp;دانش‌آموزان!F15)</f>
        <v>علي حسين زاده</v>
      </c>
      <c r="F129" s="34">
        <f>IF(دانش‌آموزان!I15="","",دانش‌آموزان!I15)</f>
        <v>901</v>
      </c>
      <c r="G129" s="1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1"/>
      <c r="CC129" s="27" t="str">
        <f t="shared" si="11"/>
        <v/>
      </c>
      <c r="CD129" s="38" t="str">
        <f t="shared" si="12"/>
        <v/>
      </c>
      <c r="CE129" s="38" t="str">
        <f t="shared" si="13"/>
        <v/>
      </c>
      <c r="CF129" s="38" t="str">
        <f t="shared" si="14"/>
        <v/>
      </c>
      <c r="CG129" s="38" t="str">
        <f t="shared" si="15"/>
        <v/>
      </c>
      <c r="CH129" s="38" t="str">
        <f t="shared" si="16"/>
        <v/>
      </c>
      <c r="CI129" s="38" t="str">
        <f t="shared" si="17"/>
        <v/>
      </c>
      <c r="CJ129" s="38" t="str">
        <f t="shared" si="18"/>
        <v/>
      </c>
      <c r="CK129" s="38" t="str">
        <f t="shared" si="19"/>
        <v/>
      </c>
      <c r="CL129" s="38" t="str">
        <f>IF(C129="","",IF(COUNT(G129:AZ129)&lt;46,"",SUMPRODUCT(CC129:CK129,'تنظیمات وزن‌دهی'!$C$5:$C$13)/100))</f>
        <v/>
      </c>
      <c r="CM129" s="38" t="str">
        <f t="shared" si="20"/>
        <v/>
      </c>
      <c r="CN129" s="38">
        <v>5</v>
      </c>
      <c r="CO129" s="28">
        <f t="shared" si="21"/>
        <v>0</v>
      </c>
      <c r="CP129" s="58"/>
    </row>
    <row r="130" spans="1:94" ht="17.25" hidden="1">
      <c r="A130" s="33">
        <v>126</v>
      </c>
      <c r="B130" s="55" t="s">
        <v>188</v>
      </c>
      <c r="C130" s="55">
        <f>IF(دانش‌آموزان!E15="","",دانش‌آموزان!B15)</f>
        <v>11</v>
      </c>
      <c r="D130" s="55" t="str">
        <f>IF(دانش‌آموزان!C15="","",دانش‌آموزان!C15)</f>
        <v>0980347335</v>
      </c>
      <c r="E130" s="55" t="str">
        <f>IF(دانش‌آموزان!E15="","",دانش‌آموزان!E15&amp;" "&amp;دانش‌آموزان!F15)</f>
        <v>علي حسين زاده</v>
      </c>
      <c r="F130" s="34">
        <f>IF(دانش‌آموزان!I15="","",دانش‌آموزان!I15)</f>
        <v>901</v>
      </c>
      <c r="G130" s="1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1"/>
      <c r="CC130" s="27" t="str">
        <f t="shared" si="11"/>
        <v/>
      </c>
      <c r="CD130" s="38" t="str">
        <f t="shared" si="12"/>
        <v/>
      </c>
      <c r="CE130" s="38" t="str">
        <f t="shared" si="13"/>
        <v/>
      </c>
      <c r="CF130" s="38" t="str">
        <f t="shared" si="14"/>
        <v/>
      </c>
      <c r="CG130" s="38" t="str">
        <f t="shared" si="15"/>
        <v/>
      </c>
      <c r="CH130" s="38" t="str">
        <f t="shared" si="16"/>
        <v/>
      </c>
      <c r="CI130" s="38" t="str">
        <f t="shared" si="17"/>
        <v/>
      </c>
      <c r="CJ130" s="38" t="str">
        <f t="shared" si="18"/>
        <v/>
      </c>
      <c r="CK130" s="38" t="str">
        <f t="shared" si="19"/>
        <v/>
      </c>
      <c r="CL130" s="38" t="str">
        <f>IF(C130="","",IF(COUNT(G130:AZ130)&lt;46,"",SUMPRODUCT(CC130:CK130,'تنظیمات وزن‌دهی'!$C$5:$C$13)/100))</f>
        <v/>
      </c>
      <c r="CM130" s="38" t="str">
        <f t="shared" si="20"/>
        <v/>
      </c>
      <c r="CN130" s="38">
        <v>6</v>
      </c>
      <c r="CO130" s="28">
        <f t="shared" si="21"/>
        <v>0</v>
      </c>
      <c r="CP130" s="58"/>
    </row>
    <row r="131" spans="1:94" ht="17.25" hidden="1">
      <c r="A131" s="33">
        <v>127</v>
      </c>
      <c r="B131" s="55" t="s">
        <v>189</v>
      </c>
      <c r="C131" s="55">
        <f>IF(دانش‌آموزان!E15="","",دانش‌آموزان!B15)</f>
        <v>11</v>
      </c>
      <c r="D131" s="55" t="str">
        <f>IF(دانش‌آموزان!C15="","",دانش‌آموزان!C15)</f>
        <v>0980347335</v>
      </c>
      <c r="E131" s="55" t="str">
        <f>IF(دانش‌آموزان!E15="","",دانش‌آموزان!E15&amp;" "&amp;دانش‌آموزان!F15)</f>
        <v>علي حسين زاده</v>
      </c>
      <c r="F131" s="34">
        <f>IF(دانش‌آموزان!I15="","",دانش‌آموزان!I15)</f>
        <v>901</v>
      </c>
      <c r="G131" s="19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1"/>
      <c r="CC131" s="27" t="str">
        <f t="shared" si="11"/>
        <v/>
      </c>
      <c r="CD131" s="38" t="str">
        <f t="shared" si="12"/>
        <v/>
      </c>
      <c r="CE131" s="38" t="str">
        <f t="shared" si="13"/>
        <v/>
      </c>
      <c r="CF131" s="38" t="str">
        <f t="shared" si="14"/>
        <v/>
      </c>
      <c r="CG131" s="38" t="str">
        <f t="shared" si="15"/>
        <v/>
      </c>
      <c r="CH131" s="38" t="str">
        <f t="shared" si="16"/>
        <v/>
      </c>
      <c r="CI131" s="38" t="str">
        <f t="shared" si="17"/>
        <v/>
      </c>
      <c r="CJ131" s="38" t="str">
        <f t="shared" si="18"/>
        <v/>
      </c>
      <c r="CK131" s="38" t="str">
        <f t="shared" si="19"/>
        <v/>
      </c>
      <c r="CL131" s="38" t="str">
        <f>IF(C131="","",IF(COUNT(G131:AZ131)&lt;46,"",SUMPRODUCT(CC131:CK131,'تنظیمات وزن‌دهی'!$C$5:$C$13)/100))</f>
        <v/>
      </c>
      <c r="CM131" s="38" t="str">
        <f t="shared" si="20"/>
        <v/>
      </c>
      <c r="CN131" s="38">
        <v>7</v>
      </c>
      <c r="CO131" s="28">
        <f t="shared" si="21"/>
        <v>0</v>
      </c>
      <c r="CP131" s="58"/>
    </row>
    <row r="132" spans="1:94" ht="17.25" hidden="1">
      <c r="A132" s="33">
        <v>128</v>
      </c>
      <c r="B132" s="55" t="s">
        <v>190</v>
      </c>
      <c r="C132" s="55">
        <f>IF(دانش‌آموزان!E15="","",دانش‌آموزان!B15)</f>
        <v>11</v>
      </c>
      <c r="D132" s="55" t="str">
        <f>IF(دانش‌آموزان!C15="","",دانش‌آموزان!C15)</f>
        <v>0980347335</v>
      </c>
      <c r="E132" s="55" t="str">
        <f>IF(دانش‌آموزان!E15="","",دانش‌آموزان!E15&amp;" "&amp;دانش‌آموزان!F15)</f>
        <v>علي حسين زاده</v>
      </c>
      <c r="F132" s="34">
        <f>IF(دانش‌آموزان!I15="","",دانش‌آموزان!I15)</f>
        <v>901</v>
      </c>
      <c r="G132" s="19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1"/>
      <c r="CC132" s="27" t="str">
        <f t="shared" si="11"/>
        <v/>
      </c>
      <c r="CD132" s="38" t="str">
        <f t="shared" si="12"/>
        <v/>
      </c>
      <c r="CE132" s="38" t="str">
        <f t="shared" si="13"/>
        <v/>
      </c>
      <c r="CF132" s="38" t="str">
        <f t="shared" si="14"/>
        <v/>
      </c>
      <c r="CG132" s="38" t="str">
        <f t="shared" si="15"/>
        <v/>
      </c>
      <c r="CH132" s="38" t="str">
        <f t="shared" si="16"/>
        <v/>
      </c>
      <c r="CI132" s="38" t="str">
        <f t="shared" si="17"/>
        <v/>
      </c>
      <c r="CJ132" s="38" t="str">
        <f t="shared" si="18"/>
        <v/>
      </c>
      <c r="CK132" s="38" t="str">
        <f t="shared" si="19"/>
        <v/>
      </c>
      <c r="CL132" s="38" t="str">
        <f>IF(C132="","",IF(COUNT(G132:AZ132)&lt;46,"",SUMPRODUCT(CC132:CK132,'تنظیمات وزن‌دهی'!$C$5:$C$13)/100))</f>
        <v/>
      </c>
      <c r="CM132" s="38" t="str">
        <f t="shared" si="20"/>
        <v/>
      </c>
      <c r="CN132" s="38">
        <v>8</v>
      </c>
      <c r="CO132" s="28">
        <f t="shared" si="21"/>
        <v>0</v>
      </c>
      <c r="CP132" s="58"/>
    </row>
    <row r="133" spans="1:94" ht="17.25" hidden="1">
      <c r="A133" s="33">
        <v>129</v>
      </c>
      <c r="B133" s="55" t="s">
        <v>191</v>
      </c>
      <c r="C133" s="55">
        <f>IF(دانش‌آموزان!E15="","",دانش‌آموزان!B15)</f>
        <v>11</v>
      </c>
      <c r="D133" s="55" t="str">
        <f>IF(دانش‌آموزان!C15="","",دانش‌آموزان!C15)</f>
        <v>0980347335</v>
      </c>
      <c r="E133" s="55" t="str">
        <f>IF(دانش‌آموزان!E15="","",دانش‌آموزان!E15&amp;" "&amp;دانش‌آموزان!F15)</f>
        <v>علي حسين زاده</v>
      </c>
      <c r="F133" s="34">
        <f>IF(دانش‌آموزان!I15="","",دانش‌آموزان!I15)</f>
        <v>901</v>
      </c>
      <c r="G133" s="19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1"/>
      <c r="CC133" s="27" t="str">
        <f t="shared" ref="CC133:CC196" si="22">IF(COUNT(G133:N133)=0,"",AVERAGE(G133:N133)*4)</f>
        <v/>
      </c>
      <c r="CD133" s="38" t="str">
        <f t="shared" ref="CD133:CD196" si="23">IF(COUNT(O133:S133)=0,"",AVERAGE(O133:S133)*4)</f>
        <v/>
      </c>
      <c r="CE133" s="38" t="str">
        <f t="shared" ref="CE133:CE196" si="24">IF(COUNT(T133:U133)=0,"",AVERAGE(T133:U133)*4)</f>
        <v/>
      </c>
      <c r="CF133" s="38" t="str">
        <f t="shared" ref="CF133:CF196" si="25">IF(COUNT(V133:Z133)=0,"",AVERAGE(V133:Z133)*4)</f>
        <v/>
      </c>
      <c r="CG133" s="38" t="str">
        <f t="shared" ref="CG133:CG196" si="26">IF(COUNT(AA133:AC133)=0,"",AVERAGE(AA133:AC133)*4)</f>
        <v/>
      </c>
      <c r="CH133" s="38" t="str">
        <f t="shared" ref="CH133:CH196" si="27">IF(COUNT(AD133:AI133)=0,"",AVERAGE(AD133:AI133)*4)</f>
        <v/>
      </c>
      <c r="CI133" s="38" t="str">
        <f t="shared" ref="CI133:CI196" si="28">IF(COUNT(AJ133:AP133)=0,"",AVERAGE(AJ133:AP133)*4)</f>
        <v/>
      </c>
      <c r="CJ133" s="38" t="str">
        <f t="shared" ref="CJ133:CJ196" si="29">IF(COUNT(AQ133:AW133)=0,"",AVERAGE(AQ133:AW133)*4)</f>
        <v/>
      </c>
      <c r="CK133" s="38" t="str">
        <f t="shared" ref="CK133:CK196" si="30">IF(COUNT(AX133:AZ133)=0,"",AVERAGE(AX133:AZ133)*4)</f>
        <v/>
      </c>
      <c r="CL133" s="38" t="str">
        <f>IF(C133="","",IF(COUNT(G133:AZ133)&lt;46,"",SUMPRODUCT(CC133:CK133,'تنظیمات وزن‌دهی'!$C$5:$C$13)/100))</f>
        <v/>
      </c>
      <c r="CM133" s="38" t="str">
        <f t="shared" ref="CM133:CM196" si="31">IF(C133="","",IF(COUNT(G133:AZ133)=0,"",IF(COUNT(G133:AZ133)&lt;46,"موقت - اطلاعات ناقص",IF(CL133&gt;=17,"عالی",IF(CL133&gt;=14,"خوب",IF(CL133&gt;=10,"متوسط","ضعیف"))))))</f>
        <v/>
      </c>
      <c r="CN133" s="38">
        <v>9</v>
      </c>
      <c r="CO133" s="28">
        <f t="shared" ref="CO133:CO196" si="32">IF(C133="","",COUNT(G133:AZ133)/46)</f>
        <v>0</v>
      </c>
      <c r="CP133" s="58"/>
    </row>
    <row r="134" spans="1:94" ht="17.25" hidden="1">
      <c r="A134" s="33">
        <v>130</v>
      </c>
      <c r="B134" s="55" t="s">
        <v>192</v>
      </c>
      <c r="C134" s="55">
        <f>IF(دانش‌آموزان!E15="","",دانش‌آموزان!B15)</f>
        <v>11</v>
      </c>
      <c r="D134" s="55" t="str">
        <f>IF(دانش‌آموزان!C15="","",دانش‌آموزان!C15)</f>
        <v>0980347335</v>
      </c>
      <c r="E134" s="55" t="str">
        <f>IF(دانش‌آموزان!E15="","",دانش‌آموزان!E15&amp;" "&amp;دانش‌آموزان!F15)</f>
        <v>علي حسين زاده</v>
      </c>
      <c r="F134" s="34">
        <f>IF(دانش‌آموزان!I15="","",دانش‌آموزان!I15)</f>
        <v>901</v>
      </c>
      <c r="G134" s="19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1"/>
      <c r="CC134" s="27" t="str">
        <f t="shared" si="22"/>
        <v/>
      </c>
      <c r="CD134" s="38" t="str">
        <f t="shared" si="23"/>
        <v/>
      </c>
      <c r="CE134" s="38" t="str">
        <f t="shared" si="24"/>
        <v/>
      </c>
      <c r="CF134" s="38" t="str">
        <f t="shared" si="25"/>
        <v/>
      </c>
      <c r="CG134" s="38" t="str">
        <f t="shared" si="26"/>
        <v/>
      </c>
      <c r="CH134" s="38" t="str">
        <f t="shared" si="27"/>
        <v/>
      </c>
      <c r="CI134" s="38" t="str">
        <f t="shared" si="28"/>
        <v/>
      </c>
      <c r="CJ134" s="38" t="str">
        <f t="shared" si="29"/>
        <v/>
      </c>
      <c r="CK134" s="38" t="str">
        <f t="shared" si="30"/>
        <v/>
      </c>
      <c r="CL134" s="38" t="str">
        <f>IF(C134="","",IF(COUNT(G134:AZ134)&lt;46,"",SUMPRODUCT(CC134:CK134,'تنظیمات وزن‌دهی'!$C$5:$C$13)/100))</f>
        <v/>
      </c>
      <c r="CM134" s="38" t="str">
        <f t="shared" si="31"/>
        <v/>
      </c>
      <c r="CN134" s="38">
        <v>10</v>
      </c>
      <c r="CO134" s="28">
        <f t="shared" si="32"/>
        <v>0</v>
      </c>
      <c r="CP134" s="58"/>
    </row>
    <row r="135" spans="1:94" ht="17.25" hidden="1">
      <c r="A135" s="33">
        <v>131</v>
      </c>
      <c r="B135" s="55" t="s">
        <v>193</v>
      </c>
      <c r="C135" s="55">
        <f>IF(دانش‌آموزان!E15="","",دانش‌آموزان!B15)</f>
        <v>11</v>
      </c>
      <c r="D135" s="55" t="str">
        <f>IF(دانش‌آموزان!C15="","",دانش‌آموزان!C15)</f>
        <v>0980347335</v>
      </c>
      <c r="E135" s="55" t="str">
        <f>IF(دانش‌آموزان!E15="","",دانش‌آموزان!E15&amp;" "&amp;دانش‌آموزان!F15)</f>
        <v>علي حسين زاده</v>
      </c>
      <c r="F135" s="34">
        <f>IF(دانش‌آموزان!I15="","",دانش‌آموزان!I15)</f>
        <v>901</v>
      </c>
      <c r="G135" s="19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1"/>
      <c r="CC135" s="27" t="str">
        <f t="shared" si="22"/>
        <v/>
      </c>
      <c r="CD135" s="38" t="str">
        <f t="shared" si="23"/>
        <v/>
      </c>
      <c r="CE135" s="38" t="str">
        <f t="shared" si="24"/>
        <v/>
      </c>
      <c r="CF135" s="38" t="str">
        <f t="shared" si="25"/>
        <v/>
      </c>
      <c r="CG135" s="38" t="str">
        <f t="shared" si="26"/>
        <v/>
      </c>
      <c r="CH135" s="38" t="str">
        <f t="shared" si="27"/>
        <v/>
      </c>
      <c r="CI135" s="38" t="str">
        <f t="shared" si="28"/>
        <v/>
      </c>
      <c r="CJ135" s="38" t="str">
        <f t="shared" si="29"/>
        <v/>
      </c>
      <c r="CK135" s="38" t="str">
        <f t="shared" si="30"/>
        <v/>
      </c>
      <c r="CL135" s="38" t="str">
        <f>IF(C135="","",IF(COUNT(G135:AZ135)&lt;46,"",SUMPRODUCT(CC135:CK135,'تنظیمات وزن‌دهی'!$C$5:$C$13)/100))</f>
        <v/>
      </c>
      <c r="CM135" s="38" t="str">
        <f t="shared" si="31"/>
        <v/>
      </c>
      <c r="CN135" s="38">
        <v>11</v>
      </c>
      <c r="CO135" s="28">
        <f t="shared" si="32"/>
        <v>0</v>
      </c>
      <c r="CP135" s="58"/>
    </row>
    <row r="136" spans="1:94" ht="17.25" hidden="1">
      <c r="A136" s="33">
        <v>132</v>
      </c>
      <c r="B136" s="55" t="s">
        <v>194</v>
      </c>
      <c r="C136" s="55">
        <f>IF(دانش‌آموزان!E15="","",دانش‌آموزان!B15)</f>
        <v>11</v>
      </c>
      <c r="D136" s="55" t="str">
        <f>IF(دانش‌آموزان!C15="","",دانش‌آموزان!C15)</f>
        <v>0980347335</v>
      </c>
      <c r="E136" s="55" t="str">
        <f>IF(دانش‌آموزان!E15="","",دانش‌آموزان!E15&amp;" "&amp;دانش‌آموزان!F15)</f>
        <v>علي حسين زاده</v>
      </c>
      <c r="F136" s="34">
        <f>IF(دانش‌آموزان!I15="","",دانش‌آموزان!I15)</f>
        <v>901</v>
      </c>
      <c r="G136" s="19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1"/>
      <c r="CC136" s="27" t="str">
        <f t="shared" si="22"/>
        <v/>
      </c>
      <c r="CD136" s="38" t="str">
        <f t="shared" si="23"/>
        <v/>
      </c>
      <c r="CE136" s="38" t="str">
        <f t="shared" si="24"/>
        <v/>
      </c>
      <c r="CF136" s="38" t="str">
        <f t="shared" si="25"/>
        <v/>
      </c>
      <c r="CG136" s="38" t="str">
        <f t="shared" si="26"/>
        <v/>
      </c>
      <c r="CH136" s="38" t="str">
        <f t="shared" si="27"/>
        <v/>
      </c>
      <c r="CI136" s="38" t="str">
        <f t="shared" si="28"/>
        <v/>
      </c>
      <c r="CJ136" s="38" t="str">
        <f t="shared" si="29"/>
        <v/>
      </c>
      <c r="CK136" s="38" t="str">
        <f t="shared" si="30"/>
        <v/>
      </c>
      <c r="CL136" s="38" t="str">
        <f>IF(C136="","",IF(COUNT(G136:AZ136)&lt;46,"",SUMPRODUCT(CC136:CK136,'تنظیمات وزن‌دهی'!$C$5:$C$13)/100))</f>
        <v/>
      </c>
      <c r="CM136" s="38" t="str">
        <f t="shared" si="31"/>
        <v/>
      </c>
      <c r="CN136" s="38">
        <v>12</v>
      </c>
      <c r="CO136" s="28">
        <f t="shared" si="32"/>
        <v>0</v>
      </c>
      <c r="CP136" s="58"/>
    </row>
    <row r="137" spans="1:94" ht="17.25" hidden="1">
      <c r="A137" s="33">
        <v>133</v>
      </c>
      <c r="B137" s="55" t="s">
        <v>183</v>
      </c>
      <c r="C137" s="55">
        <f>IF(دانش‌آموزان!E16="","",دانش‌آموزان!B16)</f>
        <v>12</v>
      </c>
      <c r="D137" s="55" t="str">
        <f>IF(دانش‌آموزان!C16="","",دانش‌آموزان!C16)</f>
        <v>0960322051</v>
      </c>
      <c r="E137" s="55" t="str">
        <f>IF(دانش‌آموزان!E16="","",دانش‌آموزان!E16&amp;" "&amp;دانش‌آموزان!F16)</f>
        <v>اميرحسين خواجوي</v>
      </c>
      <c r="F137" s="34">
        <f>IF(دانش‌آموزان!I16="","",دانش‌آموزان!I16)</f>
        <v>901</v>
      </c>
      <c r="G137" s="19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1"/>
      <c r="CC137" s="27" t="str">
        <f t="shared" si="22"/>
        <v/>
      </c>
      <c r="CD137" s="38" t="str">
        <f t="shared" si="23"/>
        <v/>
      </c>
      <c r="CE137" s="38" t="str">
        <f t="shared" si="24"/>
        <v/>
      </c>
      <c r="CF137" s="38" t="str">
        <f t="shared" si="25"/>
        <v/>
      </c>
      <c r="CG137" s="38" t="str">
        <f t="shared" si="26"/>
        <v/>
      </c>
      <c r="CH137" s="38" t="str">
        <f t="shared" si="27"/>
        <v/>
      </c>
      <c r="CI137" s="38" t="str">
        <f t="shared" si="28"/>
        <v/>
      </c>
      <c r="CJ137" s="38" t="str">
        <f t="shared" si="29"/>
        <v/>
      </c>
      <c r="CK137" s="38" t="str">
        <f t="shared" si="30"/>
        <v/>
      </c>
      <c r="CL137" s="38" t="str">
        <f>IF(C137="","",IF(COUNT(G137:AZ137)&lt;46,"",SUMPRODUCT(CC137:CK137,'تنظیمات وزن‌دهی'!$C$5:$C$13)/100))</f>
        <v/>
      </c>
      <c r="CM137" s="38" t="str">
        <f t="shared" si="31"/>
        <v/>
      </c>
      <c r="CN137" s="38">
        <v>1</v>
      </c>
      <c r="CO137" s="28">
        <f t="shared" si="32"/>
        <v>0</v>
      </c>
      <c r="CP137" s="58"/>
    </row>
    <row r="138" spans="1:94" ht="17.25" hidden="1">
      <c r="A138" s="33">
        <v>134</v>
      </c>
      <c r="B138" s="55" t="s">
        <v>184</v>
      </c>
      <c r="C138" s="55">
        <f>IF(دانش‌آموزان!E16="","",دانش‌آموزان!B16)</f>
        <v>12</v>
      </c>
      <c r="D138" s="55" t="str">
        <f>IF(دانش‌آموزان!C16="","",دانش‌آموزان!C16)</f>
        <v>0960322051</v>
      </c>
      <c r="E138" s="55" t="str">
        <f>IF(دانش‌آموزان!E16="","",دانش‌آموزان!E16&amp;" "&amp;دانش‌آموزان!F16)</f>
        <v>اميرحسين خواجوي</v>
      </c>
      <c r="F138" s="34">
        <f>IF(دانش‌آموزان!I16="","",دانش‌آموزان!I16)</f>
        <v>901</v>
      </c>
      <c r="G138" s="19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1"/>
      <c r="CC138" s="27" t="str">
        <f t="shared" si="22"/>
        <v/>
      </c>
      <c r="CD138" s="38" t="str">
        <f t="shared" si="23"/>
        <v/>
      </c>
      <c r="CE138" s="38" t="str">
        <f t="shared" si="24"/>
        <v/>
      </c>
      <c r="CF138" s="38" t="str">
        <f t="shared" si="25"/>
        <v/>
      </c>
      <c r="CG138" s="38" t="str">
        <f t="shared" si="26"/>
        <v/>
      </c>
      <c r="CH138" s="38" t="str">
        <f t="shared" si="27"/>
        <v/>
      </c>
      <c r="CI138" s="38" t="str">
        <f t="shared" si="28"/>
        <v/>
      </c>
      <c r="CJ138" s="38" t="str">
        <f t="shared" si="29"/>
        <v/>
      </c>
      <c r="CK138" s="38" t="str">
        <f t="shared" si="30"/>
        <v/>
      </c>
      <c r="CL138" s="38" t="str">
        <f>IF(C138="","",IF(COUNT(G138:AZ138)&lt;46,"",SUMPRODUCT(CC138:CK138,'تنظیمات وزن‌دهی'!$C$5:$C$13)/100))</f>
        <v/>
      </c>
      <c r="CM138" s="38" t="str">
        <f t="shared" si="31"/>
        <v/>
      </c>
      <c r="CN138" s="38">
        <v>2</v>
      </c>
      <c r="CO138" s="28">
        <f t="shared" si="32"/>
        <v>0</v>
      </c>
      <c r="CP138" s="58"/>
    </row>
    <row r="139" spans="1:94" ht="17.25">
      <c r="A139" s="33">
        <v>135</v>
      </c>
      <c r="B139" s="55" t="s">
        <v>185</v>
      </c>
      <c r="C139" s="55">
        <f>IF(دانش‌آموزان!E16="","",دانش‌آموزان!B16)</f>
        <v>12</v>
      </c>
      <c r="D139" s="55" t="str">
        <f>IF(دانش‌آموزان!C16="","",دانش‌آموزان!C16)</f>
        <v>0960322051</v>
      </c>
      <c r="E139" s="55" t="str">
        <f>IF(دانش‌آموزان!E16="","",دانش‌آموزان!E16&amp;" "&amp;دانش‌آموزان!F16)</f>
        <v>اميرحسين خواجوي</v>
      </c>
      <c r="F139" s="34">
        <f>IF(دانش‌آموزان!I16="","",دانش‌آموزان!I16)</f>
        <v>901</v>
      </c>
      <c r="G139" s="19">
        <v>18.43</v>
      </c>
      <c r="H139" s="20">
        <v>0</v>
      </c>
      <c r="I139" s="20">
        <v>0</v>
      </c>
      <c r="J139" s="20">
        <v>4</v>
      </c>
      <c r="K139" s="20">
        <v>0</v>
      </c>
      <c r="L139" s="20">
        <v>0</v>
      </c>
      <c r="M139" s="20">
        <v>0</v>
      </c>
      <c r="N139" s="20">
        <v>0</v>
      </c>
      <c r="O139" s="20">
        <v>4</v>
      </c>
      <c r="P139" s="20">
        <v>4</v>
      </c>
      <c r="Q139" s="20">
        <v>4</v>
      </c>
      <c r="R139" s="20">
        <v>4</v>
      </c>
      <c r="S139" s="20">
        <v>4</v>
      </c>
      <c r="T139" s="20">
        <v>0</v>
      </c>
      <c r="U139" s="20">
        <v>0</v>
      </c>
      <c r="V139" s="20">
        <v>3</v>
      </c>
      <c r="W139" s="20">
        <v>5</v>
      </c>
      <c r="X139" s="20">
        <v>4</v>
      </c>
      <c r="Y139" s="20">
        <v>4</v>
      </c>
      <c r="Z139" s="20">
        <v>4</v>
      </c>
      <c r="AA139" s="20">
        <v>0</v>
      </c>
      <c r="AB139" s="20">
        <v>0</v>
      </c>
      <c r="AC139" s="20">
        <v>0</v>
      </c>
      <c r="AD139" s="20">
        <v>0</v>
      </c>
      <c r="AE139" s="20">
        <v>0</v>
      </c>
      <c r="AF139" s="20">
        <v>0</v>
      </c>
      <c r="AG139" s="20">
        <v>0</v>
      </c>
      <c r="AH139" s="20">
        <v>0</v>
      </c>
      <c r="AI139" s="20">
        <v>0</v>
      </c>
      <c r="AJ139" s="20">
        <v>0</v>
      </c>
      <c r="AK139" s="20">
        <v>0</v>
      </c>
      <c r="AL139" s="20">
        <v>0</v>
      </c>
      <c r="AM139" s="20">
        <v>0</v>
      </c>
      <c r="AN139" s="20">
        <v>0</v>
      </c>
      <c r="AO139" s="20">
        <v>0</v>
      </c>
      <c r="AP139" s="20">
        <v>0</v>
      </c>
      <c r="AQ139" s="20">
        <v>0</v>
      </c>
      <c r="AR139" s="20">
        <v>0</v>
      </c>
      <c r="AS139" s="20">
        <v>0</v>
      </c>
      <c r="AT139" s="20">
        <v>0</v>
      </c>
      <c r="AU139" s="20">
        <v>0</v>
      </c>
      <c r="AV139" s="20">
        <v>0</v>
      </c>
      <c r="AW139" s="20">
        <v>0</v>
      </c>
      <c r="AX139" s="20">
        <v>0</v>
      </c>
      <c r="AY139" s="20">
        <v>0</v>
      </c>
      <c r="AZ139" s="20">
        <v>0</v>
      </c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1"/>
      <c r="CC139" s="27">
        <f t="shared" si="22"/>
        <v>11.215</v>
      </c>
      <c r="CD139" s="38">
        <f t="shared" si="23"/>
        <v>16</v>
      </c>
      <c r="CE139" s="38">
        <f t="shared" si="24"/>
        <v>0</v>
      </c>
      <c r="CF139" s="38">
        <f t="shared" si="25"/>
        <v>16</v>
      </c>
      <c r="CG139" s="38">
        <f t="shared" si="26"/>
        <v>0</v>
      </c>
      <c r="CH139" s="38">
        <f t="shared" si="27"/>
        <v>0</v>
      </c>
      <c r="CI139" s="38">
        <f t="shared" si="28"/>
        <v>0</v>
      </c>
      <c r="CJ139" s="38">
        <f t="shared" si="29"/>
        <v>0</v>
      </c>
      <c r="CK139" s="38">
        <f t="shared" si="30"/>
        <v>0</v>
      </c>
      <c r="CL139" s="38" t="e">
        <f>IF(C139="","",IF(COUNT(G139:AZ139)&lt;46,"",SUMPRODUCT(CC139:CK139,'تنظیمات وزن‌دهی'!$C$5:$C$13)/100))</f>
        <v>#VALUE!</v>
      </c>
      <c r="CM139" s="38" t="e">
        <f t="shared" si="31"/>
        <v>#VALUE!</v>
      </c>
      <c r="CN139" s="38">
        <v>3</v>
      </c>
      <c r="CO139" s="28">
        <f t="shared" si="32"/>
        <v>1</v>
      </c>
      <c r="CP139" s="58"/>
    </row>
    <row r="140" spans="1:94" ht="17.25" hidden="1">
      <c r="A140" s="33">
        <v>136</v>
      </c>
      <c r="B140" s="55" t="s">
        <v>186</v>
      </c>
      <c r="C140" s="55">
        <f>IF(دانش‌آموزان!E16="","",دانش‌آموزان!B16)</f>
        <v>12</v>
      </c>
      <c r="D140" s="55" t="str">
        <f>IF(دانش‌آموزان!C16="","",دانش‌آموزان!C16)</f>
        <v>0960322051</v>
      </c>
      <c r="E140" s="55" t="str">
        <f>IF(دانش‌آموزان!E16="","",دانش‌آموزان!E16&amp;" "&amp;دانش‌آموزان!F16)</f>
        <v>اميرحسين خواجوي</v>
      </c>
      <c r="F140" s="34">
        <f>IF(دانش‌آموزان!I16="","",دانش‌آموزان!I16)</f>
        <v>901</v>
      </c>
      <c r="G140" s="19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1"/>
      <c r="CC140" s="27" t="str">
        <f t="shared" si="22"/>
        <v/>
      </c>
      <c r="CD140" s="38" t="str">
        <f t="shared" si="23"/>
        <v/>
      </c>
      <c r="CE140" s="38" t="str">
        <f t="shared" si="24"/>
        <v/>
      </c>
      <c r="CF140" s="38" t="str">
        <f t="shared" si="25"/>
        <v/>
      </c>
      <c r="CG140" s="38" t="str">
        <f t="shared" si="26"/>
        <v/>
      </c>
      <c r="CH140" s="38" t="str">
        <f t="shared" si="27"/>
        <v/>
      </c>
      <c r="CI140" s="38" t="str">
        <f t="shared" si="28"/>
        <v/>
      </c>
      <c r="CJ140" s="38" t="str">
        <f t="shared" si="29"/>
        <v/>
      </c>
      <c r="CK140" s="38" t="str">
        <f t="shared" si="30"/>
        <v/>
      </c>
      <c r="CL140" s="38" t="str">
        <f>IF(C140="","",IF(COUNT(G140:AZ140)&lt;46,"",SUMPRODUCT(CC140:CK140,'تنظیمات وزن‌دهی'!$C$5:$C$13)/100))</f>
        <v/>
      </c>
      <c r="CM140" s="38" t="str">
        <f t="shared" si="31"/>
        <v/>
      </c>
      <c r="CN140" s="38">
        <v>4</v>
      </c>
      <c r="CO140" s="28">
        <f t="shared" si="32"/>
        <v>0</v>
      </c>
      <c r="CP140" s="58"/>
    </row>
    <row r="141" spans="1:94" ht="17.25" hidden="1">
      <c r="A141" s="33">
        <v>137</v>
      </c>
      <c r="B141" s="55" t="s">
        <v>187</v>
      </c>
      <c r="C141" s="55">
        <f>IF(دانش‌آموزان!E16="","",دانش‌آموزان!B16)</f>
        <v>12</v>
      </c>
      <c r="D141" s="55" t="str">
        <f>IF(دانش‌آموزان!C16="","",دانش‌آموزان!C16)</f>
        <v>0960322051</v>
      </c>
      <c r="E141" s="55" t="str">
        <f>IF(دانش‌آموزان!E16="","",دانش‌آموزان!E16&amp;" "&amp;دانش‌آموزان!F16)</f>
        <v>اميرحسين خواجوي</v>
      </c>
      <c r="F141" s="34">
        <f>IF(دانش‌آموزان!I16="","",دانش‌آموزان!I16)</f>
        <v>901</v>
      </c>
      <c r="G141" s="19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1"/>
      <c r="CC141" s="27" t="str">
        <f t="shared" si="22"/>
        <v/>
      </c>
      <c r="CD141" s="38" t="str">
        <f t="shared" si="23"/>
        <v/>
      </c>
      <c r="CE141" s="38" t="str">
        <f t="shared" si="24"/>
        <v/>
      </c>
      <c r="CF141" s="38" t="str">
        <f t="shared" si="25"/>
        <v/>
      </c>
      <c r="CG141" s="38" t="str">
        <f t="shared" si="26"/>
        <v/>
      </c>
      <c r="CH141" s="38" t="str">
        <f t="shared" si="27"/>
        <v/>
      </c>
      <c r="CI141" s="38" t="str">
        <f t="shared" si="28"/>
        <v/>
      </c>
      <c r="CJ141" s="38" t="str">
        <f t="shared" si="29"/>
        <v/>
      </c>
      <c r="CK141" s="38" t="str">
        <f t="shared" si="30"/>
        <v/>
      </c>
      <c r="CL141" s="38" t="str">
        <f>IF(C141="","",IF(COUNT(G141:AZ141)&lt;46,"",SUMPRODUCT(CC141:CK141,'تنظیمات وزن‌دهی'!$C$5:$C$13)/100))</f>
        <v/>
      </c>
      <c r="CM141" s="38" t="str">
        <f t="shared" si="31"/>
        <v/>
      </c>
      <c r="CN141" s="38">
        <v>5</v>
      </c>
      <c r="CO141" s="28">
        <f t="shared" si="32"/>
        <v>0</v>
      </c>
      <c r="CP141" s="58"/>
    </row>
    <row r="142" spans="1:94" ht="17.25" hidden="1">
      <c r="A142" s="33">
        <v>138</v>
      </c>
      <c r="B142" s="55" t="s">
        <v>188</v>
      </c>
      <c r="C142" s="55">
        <f>IF(دانش‌آموزان!E16="","",دانش‌آموزان!B16)</f>
        <v>12</v>
      </c>
      <c r="D142" s="55" t="str">
        <f>IF(دانش‌آموزان!C16="","",دانش‌آموزان!C16)</f>
        <v>0960322051</v>
      </c>
      <c r="E142" s="55" t="str">
        <f>IF(دانش‌آموزان!E16="","",دانش‌آموزان!E16&amp;" "&amp;دانش‌آموزان!F16)</f>
        <v>اميرحسين خواجوي</v>
      </c>
      <c r="F142" s="34">
        <f>IF(دانش‌آموزان!I16="","",دانش‌آموزان!I16)</f>
        <v>901</v>
      </c>
      <c r="G142" s="19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1"/>
      <c r="CC142" s="27" t="str">
        <f t="shared" si="22"/>
        <v/>
      </c>
      <c r="CD142" s="38" t="str">
        <f t="shared" si="23"/>
        <v/>
      </c>
      <c r="CE142" s="38" t="str">
        <f t="shared" si="24"/>
        <v/>
      </c>
      <c r="CF142" s="38" t="str">
        <f t="shared" si="25"/>
        <v/>
      </c>
      <c r="CG142" s="38" t="str">
        <f t="shared" si="26"/>
        <v/>
      </c>
      <c r="CH142" s="38" t="str">
        <f t="shared" si="27"/>
        <v/>
      </c>
      <c r="CI142" s="38" t="str">
        <f t="shared" si="28"/>
        <v/>
      </c>
      <c r="CJ142" s="38" t="str">
        <f t="shared" si="29"/>
        <v/>
      </c>
      <c r="CK142" s="38" t="str">
        <f t="shared" si="30"/>
        <v/>
      </c>
      <c r="CL142" s="38" t="str">
        <f>IF(C142="","",IF(COUNT(G142:AZ142)&lt;46,"",SUMPRODUCT(CC142:CK142,'تنظیمات وزن‌دهی'!$C$5:$C$13)/100))</f>
        <v/>
      </c>
      <c r="CM142" s="38" t="str">
        <f t="shared" si="31"/>
        <v/>
      </c>
      <c r="CN142" s="38">
        <v>6</v>
      </c>
      <c r="CO142" s="28">
        <f t="shared" si="32"/>
        <v>0</v>
      </c>
      <c r="CP142" s="58"/>
    </row>
    <row r="143" spans="1:94" ht="17.25" hidden="1">
      <c r="A143" s="33">
        <v>139</v>
      </c>
      <c r="B143" s="55" t="s">
        <v>189</v>
      </c>
      <c r="C143" s="55">
        <f>IF(دانش‌آموزان!E16="","",دانش‌آموزان!B16)</f>
        <v>12</v>
      </c>
      <c r="D143" s="55" t="str">
        <f>IF(دانش‌آموزان!C16="","",دانش‌آموزان!C16)</f>
        <v>0960322051</v>
      </c>
      <c r="E143" s="55" t="str">
        <f>IF(دانش‌آموزان!E16="","",دانش‌آموزان!E16&amp;" "&amp;دانش‌آموزان!F16)</f>
        <v>اميرحسين خواجوي</v>
      </c>
      <c r="F143" s="34">
        <f>IF(دانش‌آموزان!I16="","",دانش‌آموزان!I16)</f>
        <v>901</v>
      </c>
      <c r="G143" s="19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1"/>
      <c r="CC143" s="27" t="str">
        <f t="shared" si="22"/>
        <v/>
      </c>
      <c r="CD143" s="38" t="str">
        <f t="shared" si="23"/>
        <v/>
      </c>
      <c r="CE143" s="38" t="str">
        <f t="shared" si="24"/>
        <v/>
      </c>
      <c r="CF143" s="38" t="str">
        <f t="shared" si="25"/>
        <v/>
      </c>
      <c r="CG143" s="38" t="str">
        <f t="shared" si="26"/>
        <v/>
      </c>
      <c r="CH143" s="38" t="str">
        <f t="shared" si="27"/>
        <v/>
      </c>
      <c r="CI143" s="38" t="str">
        <f t="shared" si="28"/>
        <v/>
      </c>
      <c r="CJ143" s="38" t="str">
        <f t="shared" si="29"/>
        <v/>
      </c>
      <c r="CK143" s="38" t="str">
        <f t="shared" si="30"/>
        <v/>
      </c>
      <c r="CL143" s="38" t="str">
        <f>IF(C143="","",IF(COUNT(G143:AZ143)&lt;46,"",SUMPRODUCT(CC143:CK143,'تنظیمات وزن‌دهی'!$C$5:$C$13)/100))</f>
        <v/>
      </c>
      <c r="CM143" s="38" t="str">
        <f t="shared" si="31"/>
        <v/>
      </c>
      <c r="CN143" s="38">
        <v>7</v>
      </c>
      <c r="CO143" s="28">
        <f t="shared" si="32"/>
        <v>0</v>
      </c>
      <c r="CP143" s="58"/>
    </row>
    <row r="144" spans="1:94" ht="17.25" hidden="1">
      <c r="A144" s="33">
        <v>140</v>
      </c>
      <c r="B144" s="55" t="s">
        <v>190</v>
      </c>
      <c r="C144" s="55">
        <f>IF(دانش‌آموزان!E16="","",دانش‌آموزان!B16)</f>
        <v>12</v>
      </c>
      <c r="D144" s="55" t="str">
        <f>IF(دانش‌آموزان!C16="","",دانش‌آموزان!C16)</f>
        <v>0960322051</v>
      </c>
      <c r="E144" s="55" t="str">
        <f>IF(دانش‌آموزان!E16="","",دانش‌آموزان!E16&amp;" "&amp;دانش‌آموزان!F16)</f>
        <v>اميرحسين خواجوي</v>
      </c>
      <c r="F144" s="34">
        <f>IF(دانش‌آموزان!I16="","",دانش‌آموزان!I16)</f>
        <v>901</v>
      </c>
      <c r="G144" s="19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1"/>
      <c r="CC144" s="27" t="str">
        <f t="shared" si="22"/>
        <v/>
      </c>
      <c r="CD144" s="38" t="str">
        <f t="shared" si="23"/>
        <v/>
      </c>
      <c r="CE144" s="38" t="str">
        <f t="shared" si="24"/>
        <v/>
      </c>
      <c r="CF144" s="38" t="str">
        <f t="shared" si="25"/>
        <v/>
      </c>
      <c r="CG144" s="38" t="str">
        <f t="shared" si="26"/>
        <v/>
      </c>
      <c r="CH144" s="38" t="str">
        <f t="shared" si="27"/>
        <v/>
      </c>
      <c r="CI144" s="38" t="str">
        <f t="shared" si="28"/>
        <v/>
      </c>
      <c r="CJ144" s="38" t="str">
        <f t="shared" si="29"/>
        <v/>
      </c>
      <c r="CK144" s="38" t="str">
        <f t="shared" si="30"/>
        <v/>
      </c>
      <c r="CL144" s="38" t="str">
        <f>IF(C144="","",IF(COUNT(G144:AZ144)&lt;46,"",SUMPRODUCT(CC144:CK144,'تنظیمات وزن‌دهی'!$C$5:$C$13)/100))</f>
        <v/>
      </c>
      <c r="CM144" s="38" t="str">
        <f t="shared" si="31"/>
        <v/>
      </c>
      <c r="CN144" s="38">
        <v>8</v>
      </c>
      <c r="CO144" s="28">
        <f t="shared" si="32"/>
        <v>0</v>
      </c>
      <c r="CP144" s="58"/>
    </row>
    <row r="145" spans="1:94" ht="17.25" hidden="1">
      <c r="A145" s="33">
        <v>141</v>
      </c>
      <c r="B145" s="55" t="s">
        <v>191</v>
      </c>
      <c r="C145" s="55">
        <f>IF(دانش‌آموزان!E16="","",دانش‌آموزان!B16)</f>
        <v>12</v>
      </c>
      <c r="D145" s="55" t="str">
        <f>IF(دانش‌آموزان!C16="","",دانش‌آموزان!C16)</f>
        <v>0960322051</v>
      </c>
      <c r="E145" s="55" t="str">
        <f>IF(دانش‌آموزان!E16="","",دانش‌آموزان!E16&amp;" "&amp;دانش‌آموزان!F16)</f>
        <v>اميرحسين خواجوي</v>
      </c>
      <c r="F145" s="34">
        <f>IF(دانش‌آموزان!I16="","",دانش‌آموزان!I16)</f>
        <v>901</v>
      </c>
      <c r="G145" s="19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1"/>
      <c r="CC145" s="27" t="str">
        <f t="shared" si="22"/>
        <v/>
      </c>
      <c r="CD145" s="38" t="str">
        <f t="shared" si="23"/>
        <v/>
      </c>
      <c r="CE145" s="38" t="str">
        <f t="shared" si="24"/>
        <v/>
      </c>
      <c r="CF145" s="38" t="str">
        <f t="shared" si="25"/>
        <v/>
      </c>
      <c r="CG145" s="38" t="str">
        <f t="shared" si="26"/>
        <v/>
      </c>
      <c r="CH145" s="38" t="str">
        <f t="shared" si="27"/>
        <v/>
      </c>
      <c r="CI145" s="38" t="str">
        <f t="shared" si="28"/>
        <v/>
      </c>
      <c r="CJ145" s="38" t="str">
        <f t="shared" si="29"/>
        <v/>
      </c>
      <c r="CK145" s="38" t="str">
        <f t="shared" si="30"/>
        <v/>
      </c>
      <c r="CL145" s="38" t="str">
        <f>IF(C145="","",IF(COUNT(G145:AZ145)&lt;46,"",SUMPRODUCT(CC145:CK145,'تنظیمات وزن‌دهی'!$C$5:$C$13)/100))</f>
        <v/>
      </c>
      <c r="CM145" s="38" t="str">
        <f t="shared" si="31"/>
        <v/>
      </c>
      <c r="CN145" s="38">
        <v>9</v>
      </c>
      <c r="CO145" s="28">
        <f t="shared" si="32"/>
        <v>0</v>
      </c>
      <c r="CP145" s="58"/>
    </row>
    <row r="146" spans="1:94" ht="17.25" hidden="1">
      <c r="A146" s="33">
        <v>142</v>
      </c>
      <c r="B146" s="55" t="s">
        <v>192</v>
      </c>
      <c r="C146" s="55">
        <f>IF(دانش‌آموزان!E16="","",دانش‌آموزان!B16)</f>
        <v>12</v>
      </c>
      <c r="D146" s="55" t="str">
        <f>IF(دانش‌آموزان!C16="","",دانش‌آموزان!C16)</f>
        <v>0960322051</v>
      </c>
      <c r="E146" s="55" t="str">
        <f>IF(دانش‌آموزان!E16="","",دانش‌آموزان!E16&amp;" "&amp;دانش‌آموزان!F16)</f>
        <v>اميرحسين خواجوي</v>
      </c>
      <c r="F146" s="34">
        <f>IF(دانش‌آموزان!I16="","",دانش‌آموزان!I16)</f>
        <v>901</v>
      </c>
      <c r="G146" s="19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1"/>
      <c r="CC146" s="27" t="str">
        <f t="shared" si="22"/>
        <v/>
      </c>
      <c r="CD146" s="38" t="str">
        <f t="shared" si="23"/>
        <v/>
      </c>
      <c r="CE146" s="38" t="str">
        <f t="shared" si="24"/>
        <v/>
      </c>
      <c r="CF146" s="38" t="str">
        <f t="shared" si="25"/>
        <v/>
      </c>
      <c r="CG146" s="38" t="str">
        <f t="shared" si="26"/>
        <v/>
      </c>
      <c r="CH146" s="38" t="str">
        <f t="shared" si="27"/>
        <v/>
      </c>
      <c r="CI146" s="38" t="str">
        <f t="shared" si="28"/>
        <v/>
      </c>
      <c r="CJ146" s="38" t="str">
        <f t="shared" si="29"/>
        <v/>
      </c>
      <c r="CK146" s="38" t="str">
        <f t="shared" si="30"/>
        <v/>
      </c>
      <c r="CL146" s="38" t="str">
        <f>IF(C146="","",IF(COUNT(G146:AZ146)&lt;46,"",SUMPRODUCT(CC146:CK146,'تنظیمات وزن‌دهی'!$C$5:$C$13)/100))</f>
        <v/>
      </c>
      <c r="CM146" s="38" t="str">
        <f t="shared" si="31"/>
        <v/>
      </c>
      <c r="CN146" s="38">
        <v>10</v>
      </c>
      <c r="CO146" s="28">
        <f t="shared" si="32"/>
        <v>0</v>
      </c>
      <c r="CP146" s="58"/>
    </row>
    <row r="147" spans="1:94" ht="17.25" hidden="1">
      <c r="A147" s="33">
        <v>143</v>
      </c>
      <c r="B147" s="55" t="s">
        <v>193</v>
      </c>
      <c r="C147" s="55">
        <f>IF(دانش‌آموزان!E16="","",دانش‌آموزان!B16)</f>
        <v>12</v>
      </c>
      <c r="D147" s="55" t="str">
        <f>IF(دانش‌آموزان!C16="","",دانش‌آموزان!C16)</f>
        <v>0960322051</v>
      </c>
      <c r="E147" s="55" t="str">
        <f>IF(دانش‌آموزان!E16="","",دانش‌آموزان!E16&amp;" "&amp;دانش‌آموزان!F16)</f>
        <v>اميرحسين خواجوي</v>
      </c>
      <c r="F147" s="34">
        <f>IF(دانش‌آموزان!I16="","",دانش‌آموزان!I16)</f>
        <v>901</v>
      </c>
      <c r="G147" s="19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1"/>
      <c r="CC147" s="27" t="str">
        <f t="shared" si="22"/>
        <v/>
      </c>
      <c r="CD147" s="38" t="str">
        <f t="shared" si="23"/>
        <v/>
      </c>
      <c r="CE147" s="38" t="str">
        <f t="shared" si="24"/>
        <v/>
      </c>
      <c r="CF147" s="38" t="str">
        <f t="shared" si="25"/>
        <v/>
      </c>
      <c r="CG147" s="38" t="str">
        <f t="shared" si="26"/>
        <v/>
      </c>
      <c r="CH147" s="38" t="str">
        <f t="shared" si="27"/>
        <v/>
      </c>
      <c r="CI147" s="38" t="str">
        <f t="shared" si="28"/>
        <v/>
      </c>
      <c r="CJ147" s="38" t="str">
        <f t="shared" si="29"/>
        <v/>
      </c>
      <c r="CK147" s="38" t="str">
        <f t="shared" si="30"/>
        <v/>
      </c>
      <c r="CL147" s="38" t="str">
        <f>IF(C147="","",IF(COUNT(G147:AZ147)&lt;46,"",SUMPRODUCT(CC147:CK147,'تنظیمات وزن‌دهی'!$C$5:$C$13)/100))</f>
        <v/>
      </c>
      <c r="CM147" s="38" t="str">
        <f t="shared" si="31"/>
        <v/>
      </c>
      <c r="CN147" s="38">
        <v>11</v>
      </c>
      <c r="CO147" s="28">
        <f t="shared" si="32"/>
        <v>0</v>
      </c>
      <c r="CP147" s="58"/>
    </row>
    <row r="148" spans="1:94" ht="17.25" hidden="1">
      <c r="A148" s="33">
        <v>144</v>
      </c>
      <c r="B148" s="55" t="s">
        <v>194</v>
      </c>
      <c r="C148" s="55">
        <f>IF(دانش‌آموزان!E16="","",دانش‌آموزان!B16)</f>
        <v>12</v>
      </c>
      <c r="D148" s="55" t="str">
        <f>IF(دانش‌آموزان!C16="","",دانش‌آموزان!C16)</f>
        <v>0960322051</v>
      </c>
      <c r="E148" s="55" t="str">
        <f>IF(دانش‌آموزان!E16="","",دانش‌آموزان!E16&amp;" "&amp;دانش‌آموزان!F16)</f>
        <v>اميرحسين خواجوي</v>
      </c>
      <c r="F148" s="34">
        <f>IF(دانش‌آموزان!I16="","",دانش‌آموزان!I16)</f>
        <v>901</v>
      </c>
      <c r="G148" s="19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1"/>
      <c r="CC148" s="27" t="str">
        <f t="shared" si="22"/>
        <v/>
      </c>
      <c r="CD148" s="38" t="str">
        <f t="shared" si="23"/>
        <v/>
      </c>
      <c r="CE148" s="38" t="str">
        <f t="shared" si="24"/>
        <v/>
      </c>
      <c r="CF148" s="38" t="str">
        <f t="shared" si="25"/>
        <v/>
      </c>
      <c r="CG148" s="38" t="str">
        <f t="shared" si="26"/>
        <v/>
      </c>
      <c r="CH148" s="38" t="str">
        <f t="shared" si="27"/>
        <v/>
      </c>
      <c r="CI148" s="38" t="str">
        <f t="shared" si="28"/>
        <v/>
      </c>
      <c r="CJ148" s="38" t="str">
        <f t="shared" si="29"/>
        <v/>
      </c>
      <c r="CK148" s="38" t="str">
        <f t="shared" si="30"/>
        <v/>
      </c>
      <c r="CL148" s="38" t="str">
        <f>IF(C148="","",IF(COUNT(G148:AZ148)&lt;46,"",SUMPRODUCT(CC148:CK148,'تنظیمات وزن‌دهی'!$C$5:$C$13)/100))</f>
        <v/>
      </c>
      <c r="CM148" s="38" t="str">
        <f t="shared" si="31"/>
        <v/>
      </c>
      <c r="CN148" s="38">
        <v>12</v>
      </c>
      <c r="CO148" s="28">
        <f t="shared" si="32"/>
        <v>0</v>
      </c>
      <c r="CP148" s="58"/>
    </row>
    <row r="149" spans="1:94" ht="17.25" hidden="1">
      <c r="A149" s="33">
        <v>145</v>
      </c>
      <c r="B149" s="55" t="s">
        <v>183</v>
      </c>
      <c r="C149" s="55">
        <f>IF(دانش‌آموزان!E17="","",دانش‌آموزان!B17)</f>
        <v>13</v>
      </c>
      <c r="D149" s="55" t="str">
        <f>IF(دانش‌آموزان!C17="","",دانش‌آموزان!C17)</f>
        <v>0960402675</v>
      </c>
      <c r="E149" s="55" t="str">
        <f>IF(دانش‌آموزان!E17="","",دانش‌آموزان!E17&amp;" "&amp;دانش‌آموزان!F17)</f>
        <v>كسري خوشبين</v>
      </c>
      <c r="F149" s="34">
        <f>IF(دانش‌آموزان!I17="","",دانش‌آموزان!I17)</f>
        <v>901</v>
      </c>
      <c r="G149" s="19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1"/>
      <c r="CC149" s="27" t="str">
        <f t="shared" si="22"/>
        <v/>
      </c>
      <c r="CD149" s="38" t="str">
        <f t="shared" si="23"/>
        <v/>
      </c>
      <c r="CE149" s="38" t="str">
        <f t="shared" si="24"/>
        <v/>
      </c>
      <c r="CF149" s="38" t="str">
        <f t="shared" si="25"/>
        <v/>
      </c>
      <c r="CG149" s="38" t="str">
        <f t="shared" si="26"/>
        <v/>
      </c>
      <c r="CH149" s="38" t="str">
        <f t="shared" si="27"/>
        <v/>
      </c>
      <c r="CI149" s="38" t="str">
        <f t="shared" si="28"/>
        <v/>
      </c>
      <c r="CJ149" s="38" t="str">
        <f t="shared" si="29"/>
        <v/>
      </c>
      <c r="CK149" s="38" t="str">
        <f t="shared" si="30"/>
        <v/>
      </c>
      <c r="CL149" s="38" t="str">
        <f>IF(C149="","",IF(COUNT(G149:AZ149)&lt;46,"",SUMPRODUCT(CC149:CK149,'تنظیمات وزن‌دهی'!$C$5:$C$13)/100))</f>
        <v/>
      </c>
      <c r="CM149" s="38" t="str">
        <f t="shared" si="31"/>
        <v/>
      </c>
      <c r="CN149" s="38">
        <v>1</v>
      </c>
      <c r="CO149" s="28">
        <f t="shared" si="32"/>
        <v>0</v>
      </c>
      <c r="CP149" s="58"/>
    </row>
    <row r="150" spans="1:94" ht="17.25" hidden="1">
      <c r="A150" s="33">
        <v>146</v>
      </c>
      <c r="B150" s="55" t="s">
        <v>184</v>
      </c>
      <c r="C150" s="55">
        <f>IF(دانش‌آموزان!E17="","",دانش‌آموزان!B17)</f>
        <v>13</v>
      </c>
      <c r="D150" s="55" t="str">
        <f>IF(دانش‌آموزان!C17="","",دانش‌آموزان!C17)</f>
        <v>0960402675</v>
      </c>
      <c r="E150" s="55" t="str">
        <f>IF(دانش‌آموزان!E17="","",دانش‌آموزان!E17&amp;" "&amp;دانش‌آموزان!F17)</f>
        <v>كسري خوشبين</v>
      </c>
      <c r="F150" s="34">
        <f>IF(دانش‌آموزان!I17="","",دانش‌آموزان!I17)</f>
        <v>901</v>
      </c>
      <c r="G150" s="19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1"/>
      <c r="CC150" s="27" t="str">
        <f t="shared" si="22"/>
        <v/>
      </c>
      <c r="CD150" s="38" t="str">
        <f t="shared" si="23"/>
        <v/>
      </c>
      <c r="CE150" s="38" t="str">
        <f t="shared" si="24"/>
        <v/>
      </c>
      <c r="CF150" s="38" t="str">
        <f t="shared" si="25"/>
        <v/>
      </c>
      <c r="CG150" s="38" t="str">
        <f t="shared" si="26"/>
        <v/>
      </c>
      <c r="CH150" s="38" t="str">
        <f t="shared" si="27"/>
        <v/>
      </c>
      <c r="CI150" s="38" t="str">
        <f t="shared" si="28"/>
        <v/>
      </c>
      <c r="CJ150" s="38" t="str">
        <f t="shared" si="29"/>
        <v/>
      </c>
      <c r="CK150" s="38" t="str">
        <f t="shared" si="30"/>
        <v/>
      </c>
      <c r="CL150" s="38" t="str">
        <f>IF(C150="","",IF(COUNT(G150:AZ150)&lt;46,"",SUMPRODUCT(CC150:CK150,'تنظیمات وزن‌دهی'!$C$5:$C$13)/100))</f>
        <v/>
      </c>
      <c r="CM150" s="38" t="str">
        <f t="shared" si="31"/>
        <v/>
      </c>
      <c r="CN150" s="38">
        <v>2</v>
      </c>
      <c r="CO150" s="28">
        <f t="shared" si="32"/>
        <v>0</v>
      </c>
      <c r="CP150" s="58"/>
    </row>
    <row r="151" spans="1:94" ht="17.25">
      <c r="A151" s="33">
        <v>147</v>
      </c>
      <c r="B151" s="55" t="s">
        <v>185</v>
      </c>
      <c r="C151" s="55">
        <f>IF(دانش‌آموزان!E17="","",دانش‌آموزان!B17)</f>
        <v>13</v>
      </c>
      <c r="D151" s="55" t="str">
        <f>IF(دانش‌آموزان!C17="","",دانش‌آموزان!C17)</f>
        <v>0960402675</v>
      </c>
      <c r="E151" s="55" t="str">
        <f>IF(دانش‌آموزان!E17="","",دانش‌آموزان!E17&amp;" "&amp;دانش‌آموزان!F17)</f>
        <v>كسري خوشبين</v>
      </c>
      <c r="F151" s="34">
        <f>IF(دانش‌آموزان!I17="","",دانش‌آموزان!I17)</f>
        <v>901</v>
      </c>
      <c r="G151" s="19">
        <v>19.77</v>
      </c>
      <c r="H151" s="20">
        <v>-1.77</v>
      </c>
      <c r="I151" s="20">
        <v>0</v>
      </c>
      <c r="J151" s="20">
        <v>5</v>
      </c>
      <c r="K151" s="20">
        <v>0</v>
      </c>
      <c r="L151" s="20">
        <v>0</v>
      </c>
      <c r="M151" s="20">
        <v>0</v>
      </c>
      <c r="N151" s="20">
        <v>0</v>
      </c>
      <c r="O151" s="20">
        <v>5</v>
      </c>
      <c r="P151" s="20">
        <v>5</v>
      </c>
      <c r="Q151" s="20">
        <v>4</v>
      </c>
      <c r="R151" s="20">
        <v>4</v>
      </c>
      <c r="S151" s="20">
        <v>4</v>
      </c>
      <c r="T151" s="20">
        <v>0</v>
      </c>
      <c r="U151" s="20">
        <v>4</v>
      </c>
      <c r="V151" s="20">
        <v>4</v>
      </c>
      <c r="W151" s="20">
        <v>4</v>
      </c>
      <c r="X151" s="20">
        <v>4</v>
      </c>
      <c r="Y151" s="20">
        <v>5</v>
      </c>
      <c r="Z151" s="20">
        <v>4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20">
        <v>0</v>
      </c>
      <c r="AG151" s="20">
        <v>0</v>
      </c>
      <c r="AH151" s="20">
        <v>0</v>
      </c>
      <c r="AI151" s="20">
        <v>0</v>
      </c>
      <c r="AJ151" s="20">
        <v>0</v>
      </c>
      <c r="AK151" s="20">
        <v>0</v>
      </c>
      <c r="AL151" s="20">
        <v>0</v>
      </c>
      <c r="AM151" s="20">
        <v>0</v>
      </c>
      <c r="AN151" s="20">
        <v>0</v>
      </c>
      <c r="AO151" s="20">
        <v>0</v>
      </c>
      <c r="AP151" s="20">
        <v>0</v>
      </c>
      <c r="AQ151" s="20">
        <v>0</v>
      </c>
      <c r="AR151" s="20">
        <v>0</v>
      </c>
      <c r="AS151" s="20">
        <v>0</v>
      </c>
      <c r="AT151" s="20">
        <v>0</v>
      </c>
      <c r="AU151" s="20">
        <v>0</v>
      </c>
      <c r="AV151" s="20">
        <v>0</v>
      </c>
      <c r="AW151" s="20">
        <v>0</v>
      </c>
      <c r="AX151" s="20">
        <v>0</v>
      </c>
      <c r="AY151" s="20">
        <v>0</v>
      </c>
      <c r="AZ151" s="20">
        <v>0</v>
      </c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1"/>
      <c r="CC151" s="27">
        <f t="shared" si="22"/>
        <v>11.5</v>
      </c>
      <c r="CD151" s="38">
        <f t="shared" si="23"/>
        <v>17.600000000000001</v>
      </c>
      <c r="CE151" s="38">
        <f t="shared" si="24"/>
        <v>8</v>
      </c>
      <c r="CF151" s="38">
        <f t="shared" si="25"/>
        <v>16.8</v>
      </c>
      <c r="CG151" s="38">
        <f t="shared" si="26"/>
        <v>0</v>
      </c>
      <c r="CH151" s="38">
        <f t="shared" si="27"/>
        <v>0</v>
      </c>
      <c r="CI151" s="38">
        <f t="shared" si="28"/>
        <v>0</v>
      </c>
      <c r="CJ151" s="38">
        <f t="shared" si="29"/>
        <v>0</v>
      </c>
      <c r="CK151" s="38">
        <f t="shared" si="30"/>
        <v>0</v>
      </c>
      <c r="CL151" s="38" t="e">
        <f>IF(C151="","",IF(COUNT(G151:AZ151)&lt;46,"",SUMPRODUCT(CC151:CK151,'تنظیمات وزن‌دهی'!$C$5:$C$13)/100))</f>
        <v>#VALUE!</v>
      </c>
      <c r="CM151" s="38" t="e">
        <f t="shared" si="31"/>
        <v>#VALUE!</v>
      </c>
      <c r="CN151" s="38">
        <v>3</v>
      </c>
      <c r="CO151" s="28">
        <f t="shared" si="32"/>
        <v>1</v>
      </c>
      <c r="CP151" s="58"/>
    </row>
    <row r="152" spans="1:94" ht="17.25" hidden="1">
      <c r="A152" s="33">
        <v>148</v>
      </c>
      <c r="B152" s="55" t="s">
        <v>186</v>
      </c>
      <c r="C152" s="55">
        <f>IF(دانش‌آموزان!E17="","",دانش‌آموزان!B17)</f>
        <v>13</v>
      </c>
      <c r="D152" s="55" t="str">
        <f>IF(دانش‌آموزان!C17="","",دانش‌آموزان!C17)</f>
        <v>0960402675</v>
      </c>
      <c r="E152" s="55" t="str">
        <f>IF(دانش‌آموزان!E17="","",دانش‌آموزان!E17&amp;" "&amp;دانش‌آموزان!F17)</f>
        <v>كسري خوشبين</v>
      </c>
      <c r="F152" s="34">
        <f>IF(دانش‌آموزان!I17="","",دانش‌آموزان!I17)</f>
        <v>901</v>
      </c>
      <c r="G152" s="19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1"/>
      <c r="CC152" s="27" t="str">
        <f t="shared" si="22"/>
        <v/>
      </c>
      <c r="CD152" s="38" t="str">
        <f t="shared" si="23"/>
        <v/>
      </c>
      <c r="CE152" s="38" t="str">
        <f t="shared" si="24"/>
        <v/>
      </c>
      <c r="CF152" s="38" t="str">
        <f t="shared" si="25"/>
        <v/>
      </c>
      <c r="CG152" s="38" t="str">
        <f t="shared" si="26"/>
        <v/>
      </c>
      <c r="CH152" s="38" t="str">
        <f t="shared" si="27"/>
        <v/>
      </c>
      <c r="CI152" s="38" t="str">
        <f t="shared" si="28"/>
        <v/>
      </c>
      <c r="CJ152" s="38" t="str">
        <f t="shared" si="29"/>
        <v/>
      </c>
      <c r="CK152" s="38" t="str">
        <f t="shared" si="30"/>
        <v/>
      </c>
      <c r="CL152" s="38" t="str">
        <f>IF(C152="","",IF(COUNT(G152:AZ152)&lt;46,"",SUMPRODUCT(CC152:CK152,'تنظیمات وزن‌دهی'!$C$5:$C$13)/100))</f>
        <v/>
      </c>
      <c r="CM152" s="38" t="str">
        <f t="shared" si="31"/>
        <v/>
      </c>
      <c r="CN152" s="38">
        <v>4</v>
      </c>
      <c r="CO152" s="28">
        <f t="shared" si="32"/>
        <v>0</v>
      </c>
      <c r="CP152" s="58"/>
    </row>
    <row r="153" spans="1:94" ht="17.25" hidden="1">
      <c r="A153" s="33">
        <v>149</v>
      </c>
      <c r="B153" s="55" t="s">
        <v>187</v>
      </c>
      <c r="C153" s="55">
        <f>IF(دانش‌آموزان!E17="","",دانش‌آموزان!B17)</f>
        <v>13</v>
      </c>
      <c r="D153" s="55" t="str">
        <f>IF(دانش‌آموزان!C17="","",دانش‌آموزان!C17)</f>
        <v>0960402675</v>
      </c>
      <c r="E153" s="55" t="str">
        <f>IF(دانش‌آموزان!E17="","",دانش‌آموزان!E17&amp;" "&amp;دانش‌آموزان!F17)</f>
        <v>كسري خوشبين</v>
      </c>
      <c r="F153" s="34">
        <f>IF(دانش‌آموزان!I17="","",دانش‌آموزان!I17)</f>
        <v>901</v>
      </c>
      <c r="G153" s="19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1"/>
      <c r="CC153" s="27" t="str">
        <f t="shared" si="22"/>
        <v/>
      </c>
      <c r="CD153" s="38" t="str">
        <f t="shared" si="23"/>
        <v/>
      </c>
      <c r="CE153" s="38" t="str">
        <f t="shared" si="24"/>
        <v/>
      </c>
      <c r="CF153" s="38" t="str">
        <f t="shared" si="25"/>
        <v/>
      </c>
      <c r="CG153" s="38" t="str">
        <f t="shared" si="26"/>
        <v/>
      </c>
      <c r="CH153" s="38" t="str">
        <f t="shared" si="27"/>
        <v/>
      </c>
      <c r="CI153" s="38" t="str">
        <f t="shared" si="28"/>
        <v/>
      </c>
      <c r="CJ153" s="38" t="str">
        <f t="shared" si="29"/>
        <v/>
      </c>
      <c r="CK153" s="38" t="str">
        <f t="shared" si="30"/>
        <v/>
      </c>
      <c r="CL153" s="38" t="str">
        <f>IF(C153="","",IF(COUNT(G153:AZ153)&lt;46,"",SUMPRODUCT(CC153:CK153,'تنظیمات وزن‌دهی'!$C$5:$C$13)/100))</f>
        <v/>
      </c>
      <c r="CM153" s="38" t="str">
        <f t="shared" si="31"/>
        <v/>
      </c>
      <c r="CN153" s="38">
        <v>5</v>
      </c>
      <c r="CO153" s="28">
        <f t="shared" si="32"/>
        <v>0</v>
      </c>
      <c r="CP153" s="58"/>
    </row>
    <row r="154" spans="1:94" ht="17.25" hidden="1">
      <c r="A154" s="33">
        <v>150</v>
      </c>
      <c r="B154" s="55" t="s">
        <v>188</v>
      </c>
      <c r="C154" s="55">
        <f>IF(دانش‌آموزان!E17="","",دانش‌آموزان!B17)</f>
        <v>13</v>
      </c>
      <c r="D154" s="55" t="str">
        <f>IF(دانش‌آموزان!C17="","",دانش‌آموزان!C17)</f>
        <v>0960402675</v>
      </c>
      <c r="E154" s="55" t="str">
        <f>IF(دانش‌آموزان!E17="","",دانش‌آموزان!E17&amp;" "&amp;دانش‌آموزان!F17)</f>
        <v>كسري خوشبين</v>
      </c>
      <c r="F154" s="34">
        <f>IF(دانش‌آموزان!I17="","",دانش‌آموزان!I17)</f>
        <v>901</v>
      </c>
      <c r="G154" s="19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1"/>
      <c r="CC154" s="27" t="str">
        <f t="shared" si="22"/>
        <v/>
      </c>
      <c r="CD154" s="38" t="str">
        <f t="shared" si="23"/>
        <v/>
      </c>
      <c r="CE154" s="38" t="str">
        <f t="shared" si="24"/>
        <v/>
      </c>
      <c r="CF154" s="38" t="str">
        <f t="shared" si="25"/>
        <v/>
      </c>
      <c r="CG154" s="38" t="str">
        <f t="shared" si="26"/>
        <v/>
      </c>
      <c r="CH154" s="38" t="str">
        <f t="shared" si="27"/>
        <v/>
      </c>
      <c r="CI154" s="38" t="str">
        <f t="shared" si="28"/>
        <v/>
      </c>
      <c r="CJ154" s="38" t="str">
        <f t="shared" si="29"/>
        <v/>
      </c>
      <c r="CK154" s="38" t="str">
        <f t="shared" si="30"/>
        <v/>
      </c>
      <c r="CL154" s="38" t="str">
        <f>IF(C154="","",IF(COUNT(G154:AZ154)&lt;46,"",SUMPRODUCT(CC154:CK154,'تنظیمات وزن‌دهی'!$C$5:$C$13)/100))</f>
        <v/>
      </c>
      <c r="CM154" s="38" t="str">
        <f t="shared" si="31"/>
        <v/>
      </c>
      <c r="CN154" s="38">
        <v>6</v>
      </c>
      <c r="CO154" s="28">
        <f t="shared" si="32"/>
        <v>0</v>
      </c>
      <c r="CP154" s="58"/>
    </row>
    <row r="155" spans="1:94" ht="17.25" hidden="1">
      <c r="A155" s="33">
        <v>151</v>
      </c>
      <c r="B155" s="55" t="s">
        <v>189</v>
      </c>
      <c r="C155" s="55">
        <f>IF(دانش‌آموزان!E17="","",دانش‌آموزان!B17)</f>
        <v>13</v>
      </c>
      <c r="D155" s="55" t="str">
        <f>IF(دانش‌آموزان!C17="","",دانش‌آموزان!C17)</f>
        <v>0960402675</v>
      </c>
      <c r="E155" s="55" t="str">
        <f>IF(دانش‌آموزان!E17="","",دانش‌آموزان!E17&amp;" "&amp;دانش‌آموزان!F17)</f>
        <v>كسري خوشبين</v>
      </c>
      <c r="F155" s="34">
        <f>IF(دانش‌آموزان!I17="","",دانش‌آموزان!I17)</f>
        <v>901</v>
      </c>
      <c r="G155" s="19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1"/>
      <c r="CC155" s="27" t="str">
        <f t="shared" si="22"/>
        <v/>
      </c>
      <c r="CD155" s="38" t="str">
        <f t="shared" si="23"/>
        <v/>
      </c>
      <c r="CE155" s="38" t="str">
        <f t="shared" si="24"/>
        <v/>
      </c>
      <c r="CF155" s="38" t="str">
        <f t="shared" si="25"/>
        <v/>
      </c>
      <c r="CG155" s="38" t="str">
        <f t="shared" si="26"/>
        <v/>
      </c>
      <c r="CH155" s="38" t="str">
        <f t="shared" si="27"/>
        <v/>
      </c>
      <c r="CI155" s="38" t="str">
        <f t="shared" si="28"/>
        <v/>
      </c>
      <c r="CJ155" s="38" t="str">
        <f t="shared" si="29"/>
        <v/>
      </c>
      <c r="CK155" s="38" t="str">
        <f t="shared" si="30"/>
        <v/>
      </c>
      <c r="CL155" s="38" t="str">
        <f>IF(C155="","",IF(COUNT(G155:AZ155)&lt;46,"",SUMPRODUCT(CC155:CK155,'تنظیمات وزن‌دهی'!$C$5:$C$13)/100))</f>
        <v/>
      </c>
      <c r="CM155" s="38" t="str">
        <f t="shared" si="31"/>
        <v/>
      </c>
      <c r="CN155" s="38">
        <v>7</v>
      </c>
      <c r="CO155" s="28">
        <f t="shared" si="32"/>
        <v>0</v>
      </c>
      <c r="CP155" s="58"/>
    </row>
    <row r="156" spans="1:94" ht="17.25" hidden="1">
      <c r="A156" s="33">
        <v>152</v>
      </c>
      <c r="B156" s="55" t="s">
        <v>190</v>
      </c>
      <c r="C156" s="55">
        <f>IF(دانش‌آموزان!E17="","",دانش‌آموزان!B17)</f>
        <v>13</v>
      </c>
      <c r="D156" s="55" t="str">
        <f>IF(دانش‌آموزان!C17="","",دانش‌آموزان!C17)</f>
        <v>0960402675</v>
      </c>
      <c r="E156" s="55" t="str">
        <f>IF(دانش‌آموزان!E17="","",دانش‌آموزان!E17&amp;" "&amp;دانش‌آموزان!F17)</f>
        <v>كسري خوشبين</v>
      </c>
      <c r="F156" s="34">
        <f>IF(دانش‌آموزان!I17="","",دانش‌آموزان!I17)</f>
        <v>901</v>
      </c>
      <c r="G156" s="19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1"/>
      <c r="CC156" s="27" t="str">
        <f t="shared" si="22"/>
        <v/>
      </c>
      <c r="CD156" s="38" t="str">
        <f t="shared" si="23"/>
        <v/>
      </c>
      <c r="CE156" s="38" t="str">
        <f t="shared" si="24"/>
        <v/>
      </c>
      <c r="CF156" s="38" t="str">
        <f t="shared" si="25"/>
        <v/>
      </c>
      <c r="CG156" s="38" t="str">
        <f t="shared" si="26"/>
        <v/>
      </c>
      <c r="CH156" s="38" t="str">
        <f t="shared" si="27"/>
        <v/>
      </c>
      <c r="CI156" s="38" t="str">
        <f t="shared" si="28"/>
        <v/>
      </c>
      <c r="CJ156" s="38" t="str">
        <f t="shared" si="29"/>
        <v/>
      </c>
      <c r="CK156" s="38" t="str">
        <f t="shared" si="30"/>
        <v/>
      </c>
      <c r="CL156" s="38" t="str">
        <f>IF(C156="","",IF(COUNT(G156:AZ156)&lt;46,"",SUMPRODUCT(CC156:CK156,'تنظیمات وزن‌دهی'!$C$5:$C$13)/100))</f>
        <v/>
      </c>
      <c r="CM156" s="38" t="str">
        <f t="shared" si="31"/>
        <v/>
      </c>
      <c r="CN156" s="38">
        <v>8</v>
      </c>
      <c r="CO156" s="28">
        <f t="shared" si="32"/>
        <v>0</v>
      </c>
      <c r="CP156" s="58"/>
    </row>
    <row r="157" spans="1:94" ht="17.25" hidden="1">
      <c r="A157" s="33">
        <v>153</v>
      </c>
      <c r="B157" s="55" t="s">
        <v>191</v>
      </c>
      <c r="C157" s="55">
        <f>IF(دانش‌آموزان!E17="","",دانش‌آموزان!B17)</f>
        <v>13</v>
      </c>
      <c r="D157" s="55" t="str">
        <f>IF(دانش‌آموزان!C17="","",دانش‌آموزان!C17)</f>
        <v>0960402675</v>
      </c>
      <c r="E157" s="55" t="str">
        <f>IF(دانش‌آموزان!E17="","",دانش‌آموزان!E17&amp;" "&amp;دانش‌آموزان!F17)</f>
        <v>كسري خوشبين</v>
      </c>
      <c r="F157" s="34">
        <f>IF(دانش‌آموزان!I17="","",دانش‌آموزان!I17)</f>
        <v>901</v>
      </c>
      <c r="G157" s="19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1"/>
      <c r="CC157" s="27" t="str">
        <f t="shared" si="22"/>
        <v/>
      </c>
      <c r="CD157" s="38" t="str">
        <f t="shared" si="23"/>
        <v/>
      </c>
      <c r="CE157" s="38" t="str">
        <f t="shared" si="24"/>
        <v/>
      </c>
      <c r="CF157" s="38" t="str">
        <f t="shared" si="25"/>
        <v/>
      </c>
      <c r="CG157" s="38" t="str">
        <f t="shared" si="26"/>
        <v/>
      </c>
      <c r="CH157" s="38" t="str">
        <f t="shared" si="27"/>
        <v/>
      </c>
      <c r="CI157" s="38" t="str">
        <f t="shared" si="28"/>
        <v/>
      </c>
      <c r="CJ157" s="38" t="str">
        <f t="shared" si="29"/>
        <v/>
      </c>
      <c r="CK157" s="38" t="str">
        <f t="shared" si="30"/>
        <v/>
      </c>
      <c r="CL157" s="38" t="str">
        <f>IF(C157="","",IF(COUNT(G157:AZ157)&lt;46,"",SUMPRODUCT(CC157:CK157,'تنظیمات وزن‌دهی'!$C$5:$C$13)/100))</f>
        <v/>
      </c>
      <c r="CM157" s="38" t="str">
        <f t="shared" si="31"/>
        <v/>
      </c>
      <c r="CN157" s="38">
        <v>9</v>
      </c>
      <c r="CO157" s="28">
        <f t="shared" si="32"/>
        <v>0</v>
      </c>
      <c r="CP157" s="58"/>
    </row>
    <row r="158" spans="1:94" ht="17.25" hidden="1">
      <c r="A158" s="33">
        <v>154</v>
      </c>
      <c r="B158" s="55" t="s">
        <v>192</v>
      </c>
      <c r="C158" s="55">
        <f>IF(دانش‌آموزان!E17="","",دانش‌آموزان!B17)</f>
        <v>13</v>
      </c>
      <c r="D158" s="55" t="str">
        <f>IF(دانش‌آموزان!C17="","",دانش‌آموزان!C17)</f>
        <v>0960402675</v>
      </c>
      <c r="E158" s="55" t="str">
        <f>IF(دانش‌آموزان!E17="","",دانش‌آموزان!E17&amp;" "&amp;دانش‌آموزان!F17)</f>
        <v>كسري خوشبين</v>
      </c>
      <c r="F158" s="34">
        <f>IF(دانش‌آموزان!I17="","",دانش‌آموزان!I17)</f>
        <v>901</v>
      </c>
      <c r="G158" s="19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1"/>
      <c r="CC158" s="27" t="str">
        <f t="shared" si="22"/>
        <v/>
      </c>
      <c r="CD158" s="38" t="str">
        <f t="shared" si="23"/>
        <v/>
      </c>
      <c r="CE158" s="38" t="str">
        <f t="shared" si="24"/>
        <v/>
      </c>
      <c r="CF158" s="38" t="str">
        <f t="shared" si="25"/>
        <v/>
      </c>
      <c r="CG158" s="38" t="str">
        <f t="shared" si="26"/>
        <v/>
      </c>
      <c r="CH158" s="38" t="str">
        <f t="shared" si="27"/>
        <v/>
      </c>
      <c r="CI158" s="38" t="str">
        <f t="shared" si="28"/>
        <v/>
      </c>
      <c r="CJ158" s="38" t="str">
        <f t="shared" si="29"/>
        <v/>
      </c>
      <c r="CK158" s="38" t="str">
        <f t="shared" si="30"/>
        <v/>
      </c>
      <c r="CL158" s="38" t="str">
        <f>IF(C158="","",IF(COUNT(G158:AZ158)&lt;46,"",SUMPRODUCT(CC158:CK158,'تنظیمات وزن‌دهی'!$C$5:$C$13)/100))</f>
        <v/>
      </c>
      <c r="CM158" s="38" t="str">
        <f t="shared" si="31"/>
        <v/>
      </c>
      <c r="CN158" s="38">
        <v>10</v>
      </c>
      <c r="CO158" s="28">
        <f t="shared" si="32"/>
        <v>0</v>
      </c>
      <c r="CP158" s="58"/>
    </row>
    <row r="159" spans="1:94" ht="17.25" hidden="1">
      <c r="A159" s="33">
        <v>155</v>
      </c>
      <c r="B159" s="55" t="s">
        <v>193</v>
      </c>
      <c r="C159" s="55">
        <f>IF(دانش‌آموزان!E17="","",دانش‌آموزان!B17)</f>
        <v>13</v>
      </c>
      <c r="D159" s="55" t="str">
        <f>IF(دانش‌آموزان!C17="","",دانش‌آموزان!C17)</f>
        <v>0960402675</v>
      </c>
      <c r="E159" s="55" t="str">
        <f>IF(دانش‌آموزان!E17="","",دانش‌آموزان!E17&amp;" "&amp;دانش‌آموزان!F17)</f>
        <v>كسري خوشبين</v>
      </c>
      <c r="F159" s="34">
        <f>IF(دانش‌آموزان!I17="","",دانش‌آموزان!I17)</f>
        <v>901</v>
      </c>
      <c r="G159" s="19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1"/>
      <c r="CC159" s="27" t="str">
        <f t="shared" si="22"/>
        <v/>
      </c>
      <c r="CD159" s="38" t="str">
        <f t="shared" si="23"/>
        <v/>
      </c>
      <c r="CE159" s="38" t="str">
        <f t="shared" si="24"/>
        <v/>
      </c>
      <c r="CF159" s="38" t="str">
        <f t="shared" si="25"/>
        <v/>
      </c>
      <c r="CG159" s="38" t="str">
        <f t="shared" si="26"/>
        <v/>
      </c>
      <c r="CH159" s="38" t="str">
        <f t="shared" si="27"/>
        <v/>
      </c>
      <c r="CI159" s="38" t="str">
        <f t="shared" si="28"/>
        <v/>
      </c>
      <c r="CJ159" s="38" t="str">
        <f t="shared" si="29"/>
        <v/>
      </c>
      <c r="CK159" s="38" t="str">
        <f t="shared" si="30"/>
        <v/>
      </c>
      <c r="CL159" s="38" t="str">
        <f>IF(C159="","",IF(COUNT(G159:AZ159)&lt;46,"",SUMPRODUCT(CC159:CK159,'تنظیمات وزن‌دهی'!$C$5:$C$13)/100))</f>
        <v/>
      </c>
      <c r="CM159" s="38" t="str">
        <f t="shared" si="31"/>
        <v/>
      </c>
      <c r="CN159" s="38">
        <v>11</v>
      </c>
      <c r="CO159" s="28">
        <f t="shared" si="32"/>
        <v>0</v>
      </c>
      <c r="CP159" s="58"/>
    </row>
    <row r="160" spans="1:94" ht="17.25" hidden="1">
      <c r="A160" s="33">
        <v>156</v>
      </c>
      <c r="B160" s="55" t="s">
        <v>194</v>
      </c>
      <c r="C160" s="55">
        <f>IF(دانش‌آموزان!E17="","",دانش‌آموزان!B17)</f>
        <v>13</v>
      </c>
      <c r="D160" s="55" t="str">
        <f>IF(دانش‌آموزان!C17="","",دانش‌آموزان!C17)</f>
        <v>0960402675</v>
      </c>
      <c r="E160" s="55" t="str">
        <f>IF(دانش‌آموزان!E17="","",دانش‌آموزان!E17&amp;" "&amp;دانش‌آموزان!F17)</f>
        <v>كسري خوشبين</v>
      </c>
      <c r="F160" s="34">
        <f>IF(دانش‌آموزان!I17="","",دانش‌آموزان!I17)</f>
        <v>901</v>
      </c>
      <c r="G160" s="19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1"/>
      <c r="CC160" s="27" t="str">
        <f t="shared" si="22"/>
        <v/>
      </c>
      <c r="CD160" s="38" t="str">
        <f t="shared" si="23"/>
        <v/>
      </c>
      <c r="CE160" s="38" t="str">
        <f t="shared" si="24"/>
        <v/>
      </c>
      <c r="CF160" s="38" t="str">
        <f t="shared" si="25"/>
        <v/>
      </c>
      <c r="CG160" s="38" t="str">
        <f t="shared" si="26"/>
        <v/>
      </c>
      <c r="CH160" s="38" t="str">
        <f t="shared" si="27"/>
        <v/>
      </c>
      <c r="CI160" s="38" t="str">
        <f t="shared" si="28"/>
        <v/>
      </c>
      <c r="CJ160" s="38" t="str">
        <f t="shared" si="29"/>
        <v/>
      </c>
      <c r="CK160" s="38" t="str">
        <f t="shared" si="30"/>
        <v/>
      </c>
      <c r="CL160" s="38" t="str">
        <f>IF(C160="","",IF(COUNT(G160:AZ160)&lt;46,"",SUMPRODUCT(CC160:CK160,'تنظیمات وزن‌دهی'!$C$5:$C$13)/100))</f>
        <v/>
      </c>
      <c r="CM160" s="38" t="str">
        <f t="shared" si="31"/>
        <v/>
      </c>
      <c r="CN160" s="38">
        <v>12</v>
      </c>
      <c r="CO160" s="28">
        <f t="shared" si="32"/>
        <v>0</v>
      </c>
      <c r="CP160" s="58"/>
    </row>
    <row r="161" spans="1:94" ht="17.25" hidden="1">
      <c r="A161" s="33">
        <v>157</v>
      </c>
      <c r="B161" s="55" t="s">
        <v>183</v>
      </c>
      <c r="C161" s="55">
        <f>IF(دانش‌آموزان!E18="","",دانش‌آموزان!B18)</f>
        <v>14</v>
      </c>
      <c r="D161" s="55" t="str">
        <f>IF(دانش‌آموزان!C18="","",دانش‌آموزان!C18)</f>
        <v>0960325298</v>
      </c>
      <c r="E161" s="55" t="str">
        <f>IF(دانش‌آموزان!E18="","",دانش‌آموزان!E18&amp;" "&amp;دانش‌آموزان!F18)</f>
        <v>پارسا رشيد</v>
      </c>
      <c r="F161" s="34">
        <f>IF(دانش‌آموزان!I18="","",دانش‌آموزان!I18)</f>
        <v>901</v>
      </c>
      <c r="G161" s="19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1"/>
      <c r="CC161" s="27" t="str">
        <f t="shared" si="22"/>
        <v/>
      </c>
      <c r="CD161" s="38" t="str">
        <f t="shared" si="23"/>
        <v/>
      </c>
      <c r="CE161" s="38" t="str">
        <f t="shared" si="24"/>
        <v/>
      </c>
      <c r="CF161" s="38" t="str">
        <f t="shared" si="25"/>
        <v/>
      </c>
      <c r="CG161" s="38" t="str">
        <f t="shared" si="26"/>
        <v/>
      </c>
      <c r="CH161" s="38" t="str">
        <f t="shared" si="27"/>
        <v/>
      </c>
      <c r="CI161" s="38" t="str">
        <f t="shared" si="28"/>
        <v/>
      </c>
      <c r="CJ161" s="38" t="str">
        <f t="shared" si="29"/>
        <v/>
      </c>
      <c r="CK161" s="38" t="str">
        <f t="shared" si="30"/>
        <v/>
      </c>
      <c r="CL161" s="38" t="str">
        <f>IF(C161="","",IF(COUNT(G161:AZ161)&lt;46,"",SUMPRODUCT(CC161:CK161,'تنظیمات وزن‌دهی'!$C$5:$C$13)/100))</f>
        <v/>
      </c>
      <c r="CM161" s="38" t="str">
        <f t="shared" si="31"/>
        <v/>
      </c>
      <c r="CN161" s="38">
        <v>1</v>
      </c>
      <c r="CO161" s="28">
        <f t="shared" si="32"/>
        <v>0</v>
      </c>
      <c r="CP161" s="58"/>
    </row>
    <row r="162" spans="1:94" ht="17.25" hidden="1">
      <c r="A162" s="33">
        <v>158</v>
      </c>
      <c r="B162" s="55" t="s">
        <v>184</v>
      </c>
      <c r="C162" s="55">
        <f>IF(دانش‌آموزان!E18="","",دانش‌آموزان!B18)</f>
        <v>14</v>
      </c>
      <c r="D162" s="55" t="str">
        <f>IF(دانش‌آموزان!C18="","",دانش‌آموزان!C18)</f>
        <v>0960325298</v>
      </c>
      <c r="E162" s="55" t="str">
        <f>IF(دانش‌آموزان!E18="","",دانش‌آموزان!E18&amp;" "&amp;دانش‌آموزان!F18)</f>
        <v>پارسا رشيد</v>
      </c>
      <c r="F162" s="34">
        <f>IF(دانش‌آموزان!I18="","",دانش‌آموزان!I18)</f>
        <v>901</v>
      </c>
      <c r="G162" s="19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1"/>
      <c r="CC162" s="27" t="str">
        <f t="shared" si="22"/>
        <v/>
      </c>
      <c r="CD162" s="38" t="str">
        <f t="shared" si="23"/>
        <v/>
      </c>
      <c r="CE162" s="38" t="str">
        <f t="shared" si="24"/>
        <v/>
      </c>
      <c r="CF162" s="38" t="str">
        <f t="shared" si="25"/>
        <v/>
      </c>
      <c r="CG162" s="38" t="str">
        <f t="shared" si="26"/>
        <v/>
      </c>
      <c r="CH162" s="38" t="str">
        <f t="shared" si="27"/>
        <v/>
      </c>
      <c r="CI162" s="38" t="str">
        <f t="shared" si="28"/>
        <v/>
      </c>
      <c r="CJ162" s="38" t="str">
        <f t="shared" si="29"/>
        <v/>
      </c>
      <c r="CK162" s="38" t="str">
        <f t="shared" si="30"/>
        <v/>
      </c>
      <c r="CL162" s="38" t="str">
        <f>IF(C162="","",IF(COUNT(G162:AZ162)&lt;46,"",SUMPRODUCT(CC162:CK162,'تنظیمات وزن‌دهی'!$C$5:$C$13)/100))</f>
        <v/>
      </c>
      <c r="CM162" s="38" t="str">
        <f t="shared" si="31"/>
        <v/>
      </c>
      <c r="CN162" s="38">
        <v>2</v>
      </c>
      <c r="CO162" s="28">
        <f t="shared" si="32"/>
        <v>0</v>
      </c>
      <c r="CP162" s="58"/>
    </row>
    <row r="163" spans="1:94" ht="17.25">
      <c r="A163" s="33">
        <v>159</v>
      </c>
      <c r="B163" s="55" t="s">
        <v>185</v>
      </c>
      <c r="C163" s="55">
        <f>IF(دانش‌آموزان!E18="","",دانش‌آموزان!B18)</f>
        <v>14</v>
      </c>
      <c r="D163" s="55" t="str">
        <f>IF(دانش‌آموزان!C18="","",دانش‌آموزان!C18)</f>
        <v>0960325298</v>
      </c>
      <c r="E163" s="55" t="str">
        <f>IF(دانش‌آموزان!E18="","",دانش‌آموزان!E18&amp;" "&amp;دانش‌آموزان!F18)</f>
        <v>پارسا رشيد</v>
      </c>
      <c r="F163" s="34">
        <f>IF(دانش‌آموزان!I18="","",دانش‌آموزان!I18)</f>
        <v>901</v>
      </c>
      <c r="G163" s="19">
        <v>18.95</v>
      </c>
      <c r="H163" s="20">
        <v>-4.95</v>
      </c>
      <c r="I163" s="20">
        <v>0</v>
      </c>
      <c r="J163" s="20">
        <v>3</v>
      </c>
      <c r="K163" s="20">
        <v>0</v>
      </c>
      <c r="L163" s="20">
        <v>0</v>
      </c>
      <c r="M163" s="20">
        <v>0</v>
      </c>
      <c r="N163" s="20">
        <v>0</v>
      </c>
      <c r="O163" s="20">
        <v>4</v>
      </c>
      <c r="P163" s="20">
        <v>3</v>
      </c>
      <c r="Q163" s="20">
        <v>4</v>
      </c>
      <c r="R163" s="20">
        <v>5</v>
      </c>
      <c r="S163" s="20">
        <v>4</v>
      </c>
      <c r="T163" s="20">
        <v>0</v>
      </c>
      <c r="U163" s="20">
        <v>3</v>
      </c>
      <c r="V163" s="20">
        <v>3</v>
      </c>
      <c r="W163" s="20">
        <v>0</v>
      </c>
      <c r="X163" s="20">
        <v>3</v>
      </c>
      <c r="Y163" s="20">
        <v>5</v>
      </c>
      <c r="Z163" s="20">
        <v>5</v>
      </c>
      <c r="AA163" s="20">
        <v>0</v>
      </c>
      <c r="AB163" s="20">
        <v>0</v>
      </c>
      <c r="AC163" s="20">
        <v>0</v>
      </c>
      <c r="AD163" s="20">
        <v>0</v>
      </c>
      <c r="AE163" s="20">
        <v>0</v>
      </c>
      <c r="AF163" s="20">
        <v>0</v>
      </c>
      <c r="AG163" s="20">
        <v>0</v>
      </c>
      <c r="AH163" s="20">
        <v>0</v>
      </c>
      <c r="AI163" s="20">
        <v>0</v>
      </c>
      <c r="AJ163" s="20">
        <v>0</v>
      </c>
      <c r="AK163" s="20">
        <v>0</v>
      </c>
      <c r="AL163" s="20">
        <v>0</v>
      </c>
      <c r="AM163" s="20">
        <v>0</v>
      </c>
      <c r="AN163" s="20">
        <v>0</v>
      </c>
      <c r="AO163" s="20">
        <v>0</v>
      </c>
      <c r="AP163" s="20">
        <v>0</v>
      </c>
      <c r="AQ163" s="20">
        <v>0</v>
      </c>
      <c r="AR163" s="20">
        <v>0</v>
      </c>
      <c r="AS163" s="20">
        <v>0</v>
      </c>
      <c r="AT163" s="20">
        <v>0</v>
      </c>
      <c r="AU163" s="20">
        <v>0</v>
      </c>
      <c r="AV163" s="20">
        <v>0</v>
      </c>
      <c r="AW163" s="20">
        <v>0</v>
      </c>
      <c r="AX163" s="20">
        <v>0</v>
      </c>
      <c r="AY163" s="20">
        <v>0</v>
      </c>
      <c r="AZ163" s="20">
        <v>0</v>
      </c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1"/>
      <c r="CC163" s="27">
        <f t="shared" si="22"/>
        <v>8.5</v>
      </c>
      <c r="CD163" s="38">
        <f t="shared" si="23"/>
        <v>16</v>
      </c>
      <c r="CE163" s="38">
        <f t="shared" si="24"/>
        <v>6</v>
      </c>
      <c r="CF163" s="38">
        <f t="shared" si="25"/>
        <v>12.8</v>
      </c>
      <c r="CG163" s="38">
        <f t="shared" si="26"/>
        <v>0</v>
      </c>
      <c r="CH163" s="38">
        <f t="shared" si="27"/>
        <v>0</v>
      </c>
      <c r="CI163" s="38">
        <f t="shared" si="28"/>
        <v>0</v>
      </c>
      <c r="CJ163" s="38">
        <f t="shared" si="29"/>
        <v>0</v>
      </c>
      <c r="CK163" s="38">
        <f t="shared" si="30"/>
        <v>0</v>
      </c>
      <c r="CL163" s="38" t="e">
        <f>IF(C163="","",IF(COUNT(G163:AZ163)&lt;46,"",SUMPRODUCT(CC163:CK163,'تنظیمات وزن‌دهی'!$C$5:$C$13)/100))</f>
        <v>#VALUE!</v>
      </c>
      <c r="CM163" s="38" t="e">
        <f t="shared" si="31"/>
        <v>#VALUE!</v>
      </c>
      <c r="CN163" s="38">
        <v>3</v>
      </c>
      <c r="CO163" s="28">
        <f t="shared" si="32"/>
        <v>1</v>
      </c>
      <c r="CP163" s="58"/>
    </row>
    <row r="164" spans="1:94" ht="17.25" hidden="1">
      <c r="A164" s="33">
        <v>160</v>
      </c>
      <c r="B164" s="55" t="s">
        <v>186</v>
      </c>
      <c r="C164" s="55">
        <f>IF(دانش‌آموزان!E18="","",دانش‌آموزان!B18)</f>
        <v>14</v>
      </c>
      <c r="D164" s="55" t="str">
        <f>IF(دانش‌آموزان!C18="","",دانش‌آموزان!C18)</f>
        <v>0960325298</v>
      </c>
      <c r="E164" s="55" t="str">
        <f>IF(دانش‌آموزان!E18="","",دانش‌آموزان!E18&amp;" "&amp;دانش‌آموزان!F18)</f>
        <v>پارسا رشيد</v>
      </c>
      <c r="F164" s="34">
        <f>IF(دانش‌آموزان!I18="","",دانش‌آموزان!I18)</f>
        <v>901</v>
      </c>
      <c r="G164" s="19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1"/>
      <c r="CC164" s="27" t="str">
        <f t="shared" si="22"/>
        <v/>
      </c>
      <c r="CD164" s="38" t="str">
        <f t="shared" si="23"/>
        <v/>
      </c>
      <c r="CE164" s="38" t="str">
        <f t="shared" si="24"/>
        <v/>
      </c>
      <c r="CF164" s="38" t="str">
        <f t="shared" si="25"/>
        <v/>
      </c>
      <c r="CG164" s="38" t="str">
        <f t="shared" si="26"/>
        <v/>
      </c>
      <c r="CH164" s="38" t="str">
        <f t="shared" si="27"/>
        <v/>
      </c>
      <c r="CI164" s="38" t="str">
        <f t="shared" si="28"/>
        <v/>
      </c>
      <c r="CJ164" s="38" t="str">
        <f t="shared" si="29"/>
        <v/>
      </c>
      <c r="CK164" s="38" t="str">
        <f t="shared" si="30"/>
        <v/>
      </c>
      <c r="CL164" s="38" t="str">
        <f>IF(C164="","",IF(COUNT(G164:AZ164)&lt;46,"",SUMPRODUCT(CC164:CK164,'تنظیمات وزن‌دهی'!$C$5:$C$13)/100))</f>
        <v/>
      </c>
      <c r="CM164" s="38" t="str">
        <f t="shared" si="31"/>
        <v/>
      </c>
      <c r="CN164" s="38">
        <v>4</v>
      </c>
      <c r="CO164" s="28">
        <f t="shared" si="32"/>
        <v>0</v>
      </c>
      <c r="CP164" s="58"/>
    </row>
    <row r="165" spans="1:94" ht="17.25" hidden="1">
      <c r="A165" s="33">
        <v>161</v>
      </c>
      <c r="B165" s="55" t="s">
        <v>187</v>
      </c>
      <c r="C165" s="55">
        <f>IF(دانش‌آموزان!E18="","",دانش‌آموزان!B18)</f>
        <v>14</v>
      </c>
      <c r="D165" s="55" t="str">
        <f>IF(دانش‌آموزان!C18="","",دانش‌آموزان!C18)</f>
        <v>0960325298</v>
      </c>
      <c r="E165" s="55" t="str">
        <f>IF(دانش‌آموزان!E18="","",دانش‌آموزان!E18&amp;" "&amp;دانش‌آموزان!F18)</f>
        <v>پارسا رشيد</v>
      </c>
      <c r="F165" s="34">
        <f>IF(دانش‌آموزان!I18="","",دانش‌آموزان!I18)</f>
        <v>901</v>
      </c>
      <c r="G165" s="19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1"/>
      <c r="CC165" s="27" t="str">
        <f t="shared" si="22"/>
        <v/>
      </c>
      <c r="CD165" s="38" t="str">
        <f t="shared" si="23"/>
        <v/>
      </c>
      <c r="CE165" s="38" t="str">
        <f t="shared" si="24"/>
        <v/>
      </c>
      <c r="CF165" s="38" t="str">
        <f t="shared" si="25"/>
        <v/>
      </c>
      <c r="CG165" s="38" t="str">
        <f t="shared" si="26"/>
        <v/>
      </c>
      <c r="CH165" s="38" t="str">
        <f t="shared" si="27"/>
        <v/>
      </c>
      <c r="CI165" s="38" t="str">
        <f t="shared" si="28"/>
        <v/>
      </c>
      <c r="CJ165" s="38" t="str">
        <f t="shared" si="29"/>
        <v/>
      </c>
      <c r="CK165" s="38" t="str">
        <f t="shared" si="30"/>
        <v/>
      </c>
      <c r="CL165" s="38" t="str">
        <f>IF(C165="","",IF(COUNT(G165:AZ165)&lt;46,"",SUMPRODUCT(CC165:CK165,'تنظیمات وزن‌دهی'!$C$5:$C$13)/100))</f>
        <v/>
      </c>
      <c r="CM165" s="38" t="str">
        <f t="shared" si="31"/>
        <v/>
      </c>
      <c r="CN165" s="38">
        <v>5</v>
      </c>
      <c r="CO165" s="28">
        <f t="shared" si="32"/>
        <v>0</v>
      </c>
      <c r="CP165" s="58"/>
    </row>
    <row r="166" spans="1:94" ht="17.25" hidden="1">
      <c r="A166" s="33">
        <v>162</v>
      </c>
      <c r="B166" s="55" t="s">
        <v>188</v>
      </c>
      <c r="C166" s="55">
        <f>IF(دانش‌آموزان!E18="","",دانش‌آموزان!B18)</f>
        <v>14</v>
      </c>
      <c r="D166" s="55" t="str">
        <f>IF(دانش‌آموزان!C18="","",دانش‌آموزان!C18)</f>
        <v>0960325298</v>
      </c>
      <c r="E166" s="55" t="str">
        <f>IF(دانش‌آموزان!E18="","",دانش‌آموزان!E18&amp;" "&amp;دانش‌آموزان!F18)</f>
        <v>پارسا رشيد</v>
      </c>
      <c r="F166" s="34">
        <f>IF(دانش‌آموزان!I18="","",دانش‌آموزان!I18)</f>
        <v>901</v>
      </c>
      <c r="G166" s="19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1"/>
      <c r="CC166" s="27" t="str">
        <f t="shared" si="22"/>
        <v/>
      </c>
      <c r="CD166" s="38" t="str">
        <f t="shared" si="23"/>
        <v/>
      </c>
      <c r="CE166" s="38" t="str">
        <f t="shared" si="24"/>
        <v/>
      </c>
      <c r="CF166" s="38" t="str">
        <f t="shared" si="25"/>
        <v/>
      </c>
      <c r="CG166" s="38" t="str">
        <f t="shared" si="26"/>
        <v/>
      </c>
      <c r="CH166" s="38" t="str">
        <f t="shared" si="27"/>
        <v/>
      </c>
      <c r="CI166" s="38" t="str">
        <f t="shared" si="28"/>
        <v/>
      </c>
      <c r="CJ166" s="38" t="str">
        <f t="shared" si="29"/>
        <v/>
      </c>
      <c r="CK166" s="38" t="str">
        <f t="shared" si="30"/>
        <v/>
      </c>
      <c r="CL166" s="38" t="str">
        <f>IF(C166="","",IF(COUNT(G166:AZ166)&lt;46,"",SUMPRODUCT(CC166:CK166,'تنظیمات وزن‌دهی'!$C$5:$C$13)/100))</f>
        <v/>
      </c>
      <c r="CM166" s="38" t="str">
        <f t="shared" si="31"/>
        <v/>
      </c>
      <c r="CN166" s="38">
        <v>6</v>
      </c>
      <c r="CO166" s="28">
        <f t="shared" si="32"/>
        <v>0</v>
      </c>
      <c r="CP166" s="58"/>
    </row>
    <row r="167" spans="1:94" ht="17.25" hidden="1">
      <c r="A167" s="33">
        <v>163</v>
      </c>
      <c r="B167" s="55" t="s">
        <v>189</v>
      </c>
      <c r="C167" s="55">
        <f>IF(دانش‌آموزان!E18="","",دانش‌آموزان!B18)</f>
        <v>14</v>
      </c>
      <c r="D167" s="55" t="str">
        <f>IF(دانش‌آموزان!C18="","",دانش‌آموزان!C18)</f>
        <v>0960325298</v>
      </c>
      <c r="E167" s="55" t="str">
        <f>IF(دانش‌آموزان!E18="","",دانش‌آموزان!E18&amp;" "&amp;دانش‌آموزان!F18)</f>
        <v>پارسا رشيد</v>
      </c>
      <c r="F167" s="34">
        <f>IF(دانش‌آموزان!I18="","",دانش‌آموزان!I18)</f>
        <v>901</v>
      </c>
      <c r="G167" s="19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1"/>
      <c r="CC167" s="27" t="str">
        <f t="shared" si="22"/>
        <v/>
      </c>
      <c r="CD167" s="38" t="str">
        <f t="shared" si="23"/>
        <v/>
      </c>
      <c r="CE167" s="38" t="str">
        <f t="shared" si="24"/>
        <v/>
      </c>
      <c r="CF167" s="38" t="str">
        <f t="shared" si="25"/>
        <v/>
      </c>
      <c r="CG167" s="38" t="str">
        <f t="shared" si="26"/>
        <v/>
      </c>
      <c r="CH167" s="38" t="str">
        <f t="shared" si="27"/>
        <v/>
      </c>
      <c r="CI167" s="38" t="str">
        <f t="shared" si="28"/>
        <v/>
      </c>
      <c r="CJ167" s="38" t="str">
        <f t="shared" si="29"/>
        <v/>
      </c>
      <c r="CK167" s="38" t="str">
        <f t="shared" si="30"/>
        <v/>
      </c>
      <c r="CL167" s="38" t="str">
        <f>IF(C167="","",IF(COUNT(G167:AZ167)&lt;46,"",SUMPRODUCT(CC167:CK167,'تنظیمات وزن‌دهی'!$C$5:$C$13)/100))</f>
        <v/>
      </c>
      <c r="CM167" s="38" t="str">
        <f t="shared" si="31"/>
        <v/>
      </c>
      <c r="CN167" s="38">
        <v>7</v>
      </c>
      <c r="CO167" s="28">
        <f t="shared" si="32"/>
        <v>0</v>
      </c>
      <c r="CP167" s="58"/>
    </row>
    <row r="168" spans="1:94" ht="17.25" hidden="1">
      <c r="A168" s="33">
        <v>164</v>
      </c>
      <c r="B168" s="55" t="s">
        <v>190</v>
      </c>
      <c r="C168" s="55">
        <f>IF(دانش‌آموزان!E18="","",دانش‌آموزان!B18)</f>
        <v>14</v>
      </c>
      <c r="D168" s="55" t="str">
        <f>IF(دانش‌آموزان!C18="","",دانش‌آموزان!C18)</f>
        <v>0960325298</v>
      </c>
      <c r="E168" s="55" t="str">
        <f>IF(دانش‌آموزان!E18="","",دانش‌آموزان!E18&amp;" "&amp;دانش‌آموزان!F18)</f>
        <v>پارسا رشيد</v>
      </c>
      <c r="F168" s="34">
        <f>IF(دانش‌آموزان!I18="","",دانش‌آموزان!I18)</f>
        <v>901</v>
      </c>
      <c r="G168" s="19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1"/>
      <c r="CC168" s="27" t="str">
        <f t="shared" si="22"/>
        <v/>
      </c>
      <c r="CD168" s="38" t="str">
        <f t="shared" si="23"/>
        <v/>
      </c>
      <c r="CE168" s="38" t="str">
        <f t="shared" si="24"/>
        <v/>
      </c>
      <c r="CF168" s="38" t="str">
        <f t="shared" si="25"/>
        <v/>
      </c>
      <c r="CG168" s="38" t="str">
        <f t="shared" si="26"/>
        <v/>
      </c>
      <c r="CH168" s="38" t="str">
        <f t="shared" si="27"/>
        <v/>
      </c>
      <c r="CI168" s="38" t="str">
        <f t="shared" si="28"/>
        <v/>
      </c>
      <c r="CJ168" s="38" t="str">
        <f t="shared" si="29"/>
        <v/>
      </c>
      <c r="CK168" s="38" t="str">
        <f t="shared" si="30"/>
        <v/>
      </c>
      <c r="CL168" s="38" t="str">
        <f>IF(C168="","",IF(COUNT(G168:AZ168)&lt;46,"",SUMPRODUCT(CC168:CK168,'تنظیمات وزن‌دهی'!$C$5:$C$13)/100))</f>
        <v/>
      </c>
      <c r="CM168" s="38" t="str">
        <f t="shared" si="31"/>
        <v/>
      </c>
      <c r="CN168" s="38">
        <v>8</v>
      </c>
      <c r="CO168" s="28">
        <f t="shared" si="32"/>
        <v>0</v>
      </c>
      <c r="CP168" s="58"/>
    </row>
    <row r="169" spans="1:94" ht="17.25" hidden="1">
      <c r="A169" s="33">
        <v>165</v>
      </c>
      <c r="B169" s="55" t="s">
        <v>191</v>
      </c>
      <c r="C169" s="55">
        <f>IF(دانش‌آموزان!E18="","",دانش‌آموزان!B18)</f>
        <v>14</v>
      </c>
      <c r="D169" s="55" t="str">
        <f>IF(دانش‌آموزان!C18="","",دانش‌آموزان!C18)</f>
        <v>0960325298</v>
      </c>
      <c r="E169" s="55" t="str">
        <f>IF(دانش‌آموزان!E18="","",دانش‌آموزان!E18&amp;" "&amp;دانش‌آموزان!F18)</f>
        <v>پارسا رشيد</v>
      </c>
      <c r="F169" s="34">
        <f>IF(دانش‌آموزان!I18="","",دانش‌آموزان!I18)</f>
        <v>901</v>
      </c>
      <c r="G169" s="19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1"/>
      <c r="CC169" s="27" t="str">
        <f t="shared" si="22"/>
        <v/>
      </c>
      <c r="CD169" s="38" t="str">
        <f t="shared" si="23"/>
        <v/>
      </c>
      <c r="CE169" s="38" t="str">
        <f t="shared" si="24"/>
        <v/>
      </c>
      <c r="CF169" s="38" t="str">
        <f t="shared" si="25"/>
        <v/>
      </c>
      <c r="CG169" s="38" t="str">
        <f t="shared" si="26"/>
        <v/>
      </c>
      <c r="CH169" s="38" t="str">
        <f t="shared" si="27"/>
        <v/>
      </c>
      <c r="CI169" s="38" t="str">
        <f t="shared" si="28"/>
        <v/>
      </c>
      <c r="CJ169" s="38" t="str">
        <f t="shared" si="29"/>
        <v/>
      </c>
      <c r="CK169" s="38" t="str">
        <f t="shared" si="30"/>
        <v/>
      </c>
      <c r="CL169" s="38" t="str">
        <f>IF(C169="","",IF(COUNT(G169:AZ169)&lt;46,"",SUMPRODUCT(CC169:CK169,'تنظیمات وزن‌دهی'!$C$5:$C$13)/100))</f>
        <v/>
      </c>
      <c r="CM169" s="38" t="str">
        <f t="shared" si="31"/>
        <v/>
      </c>
      <c r="CN169" s="38">
        <v>9</v>
      </c>
      <c r="CO169" s="28">
        <f t="shared" si="32"/>
        <v>0</v>
      </c>
      <c r="CP169" s="58"/>
    </row>
    <row r="170" spans="1:94" ht="17.25" hidden="1">
      <c r="A170" s="33">
        <v>166</v>
      </c>
      <c r="B170" s="55" t="s">
        <v>192</v>
      </c>
      <c r="C170" s="55">
        <f>IF(دانش‌آموزان!E18="","",دانش‌آموزان!B18)</f>
        <v>14</v>
      </c>
      <c r="D170" s="55" t="str">
        <f>IF(دانش‌آموزان!C18="","",دانش‌آموزان!C18)</f>
        <v>0960325298</v>
      </c>
      <c r="E170" s="55" t="str">
        <f>IF(دانش‌آموزان!E18="","",دانش‌آموزان!E18&amp;" "&amp;دانش‌آموزان!F18)</f>
        <v>پارسا رشيد</v>
      </c>
      <c r="F170" s="34">
        <f>IF(دانش‌آموزان!I18="","",دانش‌آموزان!I18)</f>
        <v>901</v>
      </c>
      <c r="G170" s="19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1"/>
      <c r="CC170" s="27" t="str">
        <f t="shared" si="22"/>
        <v/>
      </c>
      <c r="CD170" s="38" t="str">
        <f t="shared" si="23"/>
        <v/>
      </c>
      <c r="CE170" s="38" t="str">
        <f t="shared" si="24"/>
        <v/>
      </c>
      <c r="CF170" s="38" t="str">
        <f t="shared" si="25"/>
        <v/>
      </c>
      <c r="CG170" s="38" t="str">
        <f t="shared" si="26"/>
        <v/>
      </c>
      <c r="CH170" s="38" t="str">
        <f t="shared" si="27"/>
        <v/>
      </c>
      <c r="CI170" s="38" t="str">
        <f t="shared" si="28"/>
        <v/>
      </c>
      <c r="CJ170" s="38" t="str">
        <f t="shared" si="29"/>
        <v/>
      </c>
      <c r="CK170" s="38" t="str">
        <f t="shared" si="30"/>
        <v/>
      </c>
      <c r="CL170" s="38" t="str">
        <f>IF(C170="","",IF(COUNT(G170:AZ170)&lt;46,"",SUMPRODUCT(CC170:CK170,'تنظیمات وزن‌دهی'!$C$5:$C$13)/100))</f>
        <v/>
      </c>
      <c r="CM170" s="38" t="str">
        <f t="shared" si="31"/>
        <v/>
      </c>
      <c r="CN170" s="38">
        <v>10</v>
      </c>
      <c r="CO170" s="28">
        <f t="shared" si="32"/>
        <v>0</v>
      </c>
      <c r="CP170" s="58"/>
    </row>
    <row r="171" spans="1:94" ht="17.25" hidden="1">
      <c r="A171" s="33">
        <v>167</v>
      </c>
      <c r="B171" s="55" t="s">
        <v>193</v>
      </c>
      <c r="C171" s="55">
        <f>IF(دانش‌آموزان!E18="","",دانش‌آموزان!B18)</f>
        <v>14</v>
      </c>
      <c r="D171" s="55" t="str">
        <f>IF(دانش‌آموزان!C18="","",دانش‌آموزان!C18)</f>
        <v>0960325298</v>
      </c>
      <c r="E171" s="55" t="str">
        <f>IF(دانش‌آموزان!E18="","",دانش‌آموزان!E18&amp;" "&amp;دانش‌آموزان!F18)</f>
        <v>پارسا رشيد</v>
      </c>
      <c r="F171" s="34">
        <f>IF(دانش‌آموزان!I18="","",دانش‌آموزان!I18)</f>
        <v>901</v>
      </c>
      <c r="G171" s="19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1"/>
      <c r="CC171" s="27" t="str">
        <f t="shared" si="22"/>
        <v/>
      </c>
      <c r="CD171" s="38" t="str">
        <f t="shared" si="23"/>
        <v/>
      </c>
      <c r="CE171" s="38" t="str">
        <f t="shared" si="24"/>
        <v/>
      </c>
      <c r="CF171" s="38" t="str">
        <f t="shared" si="25"/>
        <v/>
      </c>
      <c r="CG171" s="38" t="str">
        <f t="shared" si="26"/>
        <v/>
      </c>
      <c r="CH171" s="38" t="str">
        <f t="shared" si="27"/>
        <v/>
      </c>
      <c r="CI171" s="38" t="str">
        <f t="shared" si="28"/>
        <v/>
      </c>
      <c r="CJ171" s="38" t="str">
        <f t="shared" si="29"/>
        <v/>
      </c>
      <c r="CK171" s="38" t="str">
        <f t="shared" si="30"/>
        <v/>
      </c>
      <c r="CL171" s="38" t="str">
        <f>IF(C171="","",IF(COUNT(G171:AZ171)&lt;46,"",SUMPRODUCT(CC171:CK171,'تنظیمات وزن‌دهی'!$C$5:$C$13)/100))</f>
        <v/>
      </c>
      <c r="CM171" s="38" t="str">
        <f t="shared" si="31"/>
        <v/>
      </c>
      <c r="CN171" s="38">
        <v>11</v>
      </c>
      <c r="CO171" s="28">
        <f t="shared" si="32"/>
        <v>0</v>
      </c>
      <c r="CP171" s="58"/>
    </row>
    <row r="172" spans="1:94" ht="17.25" hidden="1">
      <c r="A172" s="33">
        <v>168</v>
      </c>
      <c r="B172" s="55" t="s">
        <v>194</v>
      </c>
      <c r="C172" s="55">
        <f>IF(دانش‌آموزان!E18="","",دانش‌آموزان!B18)</f>
        <v>14</v>
      </c>
      <c r="D172" s="55" t="str">
        <f>IF(دانش‌آموزان!C18="","",دانش‌آموزان!C18)</f>
        <v>0960325298</v>
      </c>
      <c r="E172" s="55" t="str">
        <f>IF(دانش‌آموزان!E18="","",دانش‌آموزان!E18&amp;" "&amp;دانش‌آموزان!F18)</f>
        <v>پارسا رشيد</v>
      </c>
      <c r="F172" s="34">
        <f>IF(دانش‌آموزان!I18="","",دانش‌آموزان!I18)</f>
        <v>901</v>
      </c>
      <c r="G172" s="19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1"/>
      <c r="CC172" s="27" t="str">
        <f t="shared" si="22"/>
        <v/>
      </c>
      <c r="CD172" s="38" t="str">
        <f t="shared" si="23"/>
        <v/>
      </c>
      <c r="CE172" s="38" t="str">
        <f t="shared" si="24"/>
        <v/>
      </c>
      <c r="CF172" s="38" t="str">
        <f t="shared" si="25"/>
        <v/>
      </c>
      <c r="CG172" s="38" t="str">
        <f t="shared" si="26"/>
        <v/>
      </c>
      <c r="CH172" s="38" t="str">
        <f t="shared" si="27"/>
        <v/>
      </c>
      <c r="CI172" s="38" t="str">
        <f t="shared" si="28"/>
        <v/>
      </c>
      <c r="CJ172" s="38" t="str">
        <f t="shared" si="29"/>
        <v/>
      </c>
      <c r="CK172" s="38" t="str">
        <f t="shared" si="30"/>
        <v/>
      </c>
      <c r="CL172" s="38" t="str">
        <f>IF(C172="","",IF(COUNT(G172:AZ172)&lt;46,"",SUMPRODUCT(CC172:CK172,'تنظیمات وزن‌دهی'!$C$5:$C$13)/100))</f>
        <v/>
      </c>
      <c r="CM172" s="38" t="str">
        <f t="shared" si="31"/>
        <v/>
      </c>
      <c r="CN172" s="38">
        <v>12</v>
      </c>
      <c r="CO172" s="28">
        <f t="shared" si="32"/>
        <v>0</v>
      </c>
      <c r="CP172" s="58"/>
    </row>
    <row r="173" spans="1:94" ht="17.25" hidden="1">
      <c r="A173" s="33">
        <v>169</v>
      </c>
      <c r="B173" s="55" t="s">
        <v>183</v>
      </c>
      <c r="C173" s="55">
        <f>IF(دانش‌آموزان!E19="","",دانش‌آموزان!B19)</f>
        <v>15</v>
      </c>
      <c r="D173" s="55" t="str">
        <f>IF(دانش‌آموزان!C19="","",دانش‌آموزان!C19)</f>
        <v>0970493304</v>
      </c>
      <c r="E173" s="55" t="str">
        <f>IF(دانش‌آموزان!E19="","",دانش‌آموزان!E19&amp;" "&amp;دانش‌آموزان!F19)</f>
        <v>اميررضا زارعي</v>
      </c>
      <c r="F173" s="34">
        <f>IF(دانش‌آموزان!I19="","",دانش‌آموزان!I19)</f>
        <v>901</v>
      </c>
      <c r="G173" s="19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1"/>
      <c r="CC173" s="27" t="str">
        <f t="shared" si="22"/>
        <v/>
      </c>
      <c r="CD173" s="38" t="str">
        <f t="shared" si="23"/>
        <v/>
      </c>
      <c r="CE173" s="38" t="str">
        <f t="shared" si="24"/>
        <v/>
      </c>
      <c r="CF173" s="38" t="str">
        <f t="shared" si="25"/>
        <v/>
      </c>
      <c r="CG173" s="38" t="str">
        <f t="shared" si="26"/>
        <v/>
      </c>
      <c r="CH173" s="38" t="str">
        <f t="shared" si="27"/>
        <v/>
      </c>
      <c r="CI173" s="38" t="str">
        <f t="shared" si="28"/>
        <v/>
      </c>
      <c r="CJ173" s="38" t="str">
        <f t="shared" si="29"/>
        <v/>
      </c>
      <c r="CK173" s="38" t="str">
        <f t="shared" si="30"/>
        <v/>
      </c>
      <c r="CL173" s="38" t="str">
        <f>IF(C173="","",IF(COUNT(G173:AZ173)&lt;46,"",SUMPRODUCT(CC173:CK173,'تنظیمات وزن‌دهی'!$C$5:$C$13)/100))</f>
        <v/>
      </c>
      <c r="CM173" s="38" t="str">
        <f t="shared" si="31"/>
        <v/>
      </c>
      <c r="CN173" s="38">
        <v>1</v>
      </c>
      <c r="CO173" s="28">
        <f t="shared" si="32"/>
        <v>0</v>
      </c>
      <c r="CP173" s="58"/>
    </row>
    <row r="174" spans="1:94" ht="17.25" hidden="1">
      <c r="A174" s="33">
        <v>170</v>
      </c>
      <c r="B174" s="55" t="s">
        <v>184</v>
      </c>
      <c r="C174" s="55">
        <f>IF(دانش‌آموزان!E19="","",دانش‌آموزان!B19)</f>
        <v>15</v>
      </c>
      <c r="D174" s="55" t="str">
        <f>IF(دانش‌آموزان!C19="","",دانش‌آموزان!C19)</f>
        <v>0970493304</v>
      </c>
      <c r="E174" s="55" t="str">
        <f>IF(دانش‌آموزان!E19="","",دانش‌آموزان!E19&amp;" "&amp;دانش‌آموزان!F19)</f>
        <v>اميررضا زارعي</v>
      </c>
      <c r="F174" s="34">
        <f>IF(دانش‌آموزان!I19="","",دانش‌آموزان!I19)</f>
        <v>901</v>
      </c>
      <c r="G174" s="19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1"/>
      <c r="CC174" s="27" t="str">
        <f t="shared" si="22"/>
        <v/>
      </c>
      <c r="CD174" s="38" t="str">
        <f t="shared" si="23"/>
        <v/>
      </c>
      <c r="CE174" s="38" t="str">
        <f t="shared" si="24"/>
        <v/>
      </c>
      <c r="CF174" s="38" t="str">
        <f t="shared" si="25"/>
        <v/>
      </c>
      <c r="CG174" s="38" t="str">
        <f t="shared" si="26"/>
        <v/>
      </c>
      <c r="CH174" s="38" t="str">
        <f t="shared" si="27"/>
        <v/>
      </c>
      <c r="CI174" s="38" t="str">
        <f t="shared" si="28"/>
        <v/>
      </c>
      <c r="CJ174" s="38" t="str">
        <f t="shared" si="29"/>
        <v/>
      </c>
      <c r="CK174" s="38" t="str">
        <f t="shared" si="30"/>
        <v/>
      </c>
      <c r="CL174" s="38" t="str">
        <f>IF(C174="","",IF(COUNT(G174:AZ174)&lt;46,"",SUMPRODUCT(CC174:CK174,'تنظیمات وزن‌دهی'!$C$5:$C$13)/100))</f>
        <v/>
      </c>
      <c r="CM174" s="38" t="str">
        <f t="shared" si="31"/>
        <v/>
      </c>
      <c r="CN174" s="38">
        <v>2</v>
      </c>
      <c r="CO174" s="28">
        <f t="shared" si="32"/>
        <v>0</v>
      </c>
      <c r="CP174" s="58"/>
    </row>
    <row r="175" spans="1:94" ht="17.25">
      <c r="A175" s="33">
        <v>171</v>
      </c>
      <c r="B175" s="55" t="s">
        <v>185</v>
      </c>
      <c r="C175" s="55">
        <f>IF(دانش‌آموزان!E19="","",دانش‌آموزان!B19)</f>
        <v>15</v>
      </c>
      <c r="D175" s="55" t="str">
        <f>IF(دانش‌آموزان!C19="","",دانش‌آموزان!C19)</f>
        <v>0970493304</v>
      </c>
      <c r="E175" s="55" t="str">
        <f>IF(دانش‌آموزان!E19="","",دانش‌آموزان!E19&amp;" "&amp;دانش‌آموزان!F19)</f>
        <v>اميررضا زارعي</v>
      </c>
      <c r="F175" s="34">
        <f>IF(دانش‌آموزان!I19="","",دانش‌آموزان!I19)</f>
        <v>901</v>
      </c>
      <c r="G175" s="19">
        <v>19.91</v>
      </c>
      <c r="H175" s="20">
        <v>-6.91</v>
      </c>
      <c r="I175" s="20">
        <v>0</v>
      </c>
      <c r="J175" s="20">
        <v>4</v>
      </c>
      <c r="K175" s="20">
        <v>0</v>
      </c>
      <c r="L175" s="20">
        <v>0</v>
      </c>
      <c r="M175" s="20">
        <v>0</v>
      </c>
      <c r="N175" s="20">
        <v>0</v>
      </c>
      <c r="O175" s="20">
        <v>4</v>
      </c>
      <c r="P175" s="20">
        <v>4</v>
      </c>
      <c r="Q175" s="20">
        <v>4</v>
      </c>
      <c r="R175" s="20">
        <v>4</v>
      </c>
      <c r="S175" s="20">
        <v>4</v>
      </c>
      <c r="T175" s="20">
        <v>0</v>
      </c>
      <c r="U175" s="20">
        <v>3</v>
      </c>
      <c r="V175" s="20">
        <v>3</v>
      </c>
      <c r="W175" s="20">
        <v>5</v>
      </c>
      <c r="X175" s="20">
        <v>4</v>
      </c>
      <c r="Y175" s="20">
        <v>5</v>
      </c>
      <c r="Z175" s="20">
        <v>5</v>
      </c>
      <c r="AA175" s="20">
        <v>0</v>
      </c>
      <c r="AB175" s="20">
        <v>0</v>
      </c>
      <c r="AC175" s="20">
        <v>0</v>
      </c>
      <c r="AD175" s="20">
        <v>0</v>
      </c>
      <c r="AE175" s="20">
        <v>0</v>
      </c>
      <c r="AF175" s="20">
        <v>0</v>
      </c>
      <c r="AG175" s="20">
        <v>0</v>
      </c>
      <c r="AH175" s="20">
        <v>0</v>
      </c>
      <c r="AI175" s="20">
        <v>0</v>
      </c>
      <c r="AJ175" s="20">
        <v>0</v>
      </c>
      <c r="AK175" s="20">
        <v>0</v>
      </c>
      <c r="AL175" s="20">
        <v>0</v>
      </c>
      <c r="AM175" s="20">
        <v>0</v>
      </c>
      <c r="AN175" s="20">
        <v>0</v>
      </c>
      <c r="AO175" s="20">
        <v>0</v>
      </c>
      <c r="AP175" s="20">
        <v>0</v>
      </c>
      <c r="AQ175" s="20">
        <v>0</v>
      </c>
      <c r="AR175" s="20">
        <v>0</v>
      </c>
      <c r="AS175" s="20">
        <v>0</v>
      </c>
      <c r="AT175" s="20">
        <v>0</v>
      </c>
      <c r="AU175" s="20">
        <v>0</v>
      </c>
      <c r="AV175" s="20">
        <v>0</v>
      </c>
      <c r="AW175" s="20">
        <v>0</v>
      </c>
      <c r="AX175" s="20">
        <v>0</v>
      </c>
      <c r="AY175" s="20">
        <v>0</v>
      </c>
      <c r="AZ175" s="20">
        <v>0</v>
      </c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1"/>
      <c r="CC175" s="27">
        <f t="shared" si="22"/>
        <v>8.5</v>
      </c>
      <c r="CD175" s="38">
        <f t="shared" si="23"/>
        <v>16</v>
      </c>
      <c r="CE175" s="38">
        <f t="shared" si="24"/>
        <v>6</v>
      </c>
      <c r="CF175" s="38">
        <f t="shared" si="25"/>
        <v>17.600000000000001</v>
      </c>
      <c r="CG175" s="38">
        <f t="shared" si="26"/>
        <v>0</v>
      </c>
      <c r="CH175" s="38">
        <f t="shared" si="27"/>
        <v>0</v>
      </c>
      <c r="CI175" s="38">
        <f t="shared" si="28"/>
        <v>0</v>
      </c>
      <c r="CJ175" s="38">
        <f t="shared" si="29"/>
        <v>0</v>
      </c>
      <c r="CK175" s="38">
        <f t="shared" si="30"/>
        <v>0</v>
      </c>
      <c r="CL175" s="38" t="e">
        <f>IF(C175="","",IF(COUNT(G175:AZ175)&lt;46,"",SUMPRODUCT(CC175:CK175,'تنظیمات وزن‌دهی'!$C$5:$C$13)/100))</f>
        <v>#VALUE!</v>
      </c>
      <c r="CM175" s="38" t="e">
        <f t="shared" si="31"/>
        <v>#VALUE!</v>
      </c>
      <c r="CN175" s="38">
        <v>3</v>
      </c>
      <c r="CO175" s="28">
        <f t="shared" si="32"/>
        <v>1</v>
      </c>
      <c r="CP175" s="58"/>
    </row>
    <row r="176" spans="1:94" ht="17.25" hidden="1">
      <c r="A176" s="33">
        <v>172</v>
      </c>
      <c r="B176" s="55" t="s">
        <v>186</v>
      </c>
      <c r="C176" s="55">
        <f>IF(دانش‌آموزان!E19="","",دانش‌آموزان!B19)</f>
        <v>15</v>
      </c>
      <c r="D176" s="55" t="str">
        <f>IF(دانش‌آموزان!C19="","",دانش‌آموزان!C19)</f>
        <v>0970493304</v>
      </c>
      <c r="E176" s="55" t="str">
        <f>IF(دانش‌آموزان!E19="","",دانش‌آموزان!E19&amp;" "&amp;دانش‌آموزان!F19)</f>
        <v>اميررضا زارعي</v>
      </c>
      <c r="F176" s="34">
        <f>IF(دانش‌آموزان!I19="","",دانش‌آموزان!I19)</f>
        <v>901</v>
      </c>
      <c r="G176" s="19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1"/>
      <c r="CC176" s="27" t="str">
        <f t="shared" si="22"/>
        <v/>
      </c>
      <c r="CD176" s="38" t="str">
        <f t="shared" si="23"/>
        <v/>
      </c>
      <c r="CE176" s="38" t="str">
        <f t="shared" si="24"/>
        <v/>
      </c>
      <c r="CF176" s="38" t="str">
        <f t="shared" si="25"/>
        <v/>
      </c>
      <c r="CG176" s="38" t="str">
        <f t="shared" si="26"/>
        <v/>
      </c>
      <c r="CH176" s="38" t="str">
        <f t="shared" si="27"/>
        <v/>
      </c>
      <c r="CI176" s="38" t="str">
        <f t="shared" si="28"/>
        <v/>
      </c>
      <c r="CJ176" s="38" t="str">
        <f t="shared" si="29"/>
        <v/>
      </c>
      <c r="CK176" s="38" t="str">
        <f t="shared" si="30"/>
        <v/>
      </c>
      <c r="CL176" s="38" t="str">
        <f>IF(C176="","",IF(COUNT(G176:AZ176)&lt;46,"",SUMPRODUCT(CC176:CK176,'تنظیمات وزن‌دهی'!$C$5:$C$13)/100))</f>
        <v/>
      </c>
      <c r="CM176" s="38" t="str">
        <f t="shared" si="31"/>
        <v/>
      </c>
      <c r="CN176" s="38">
        <v>4</v>
      </c>
      <c r="CO176" s="28">
        <f t="shared" si="32"/>
        <v>0</v>
      </c>
      <c r="CP176" s="58"/>
    </row>
    <row r="177" spans="1:94" ht="17.25" hidden="1">
      <c r="A177" s="33">
        <v>173</v>
      </c>
      <c r="B177" s="55" t="s">
        <v>187</v>
      </c>
      <c r="C177" s="55">
        <f>IF(دانش‌آموزان!E19="","",دانش‌آموزان!B19)</f>
        <v>15</v>
      </c>
      <c r="D177" s="55" t="str">
        <f>IF(دانش‌آموزان!C19="","",دانش‌آموزان!C19)</f>
        <v>0970493304</v>
      </c>
      <c r="E177" s="55" t="str">
        <f>IF(دانش‌آموزان!E19="","",دانش‌آموزان!E19&amp;" "&amp;دانش‌آموزان!F19)</f>
        <v>اميررضا زارعي</v>
      </c>
      <c r="F177" s="34">
        <f>IF(دانش‌آموزان!I19="","",دانش‌آموزان!I19)</f>
        <v>901</v>
      </c>
      <c r="G177" s="19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1"/>
      <c r="CC177" s="27" t="str">
        <f t="shared" si="22"/>
        <v/>
      </c>
      <c r="CD177" s="38" t="str">
        <f t="shared" si="23"/>
        <v/>
      </c>
      <c r="CE177" s="38" t="str">
        <f t="shared" si="24"/>
        <v/>
      </c>
      <c r="CF177" s="38" t="str">
        <f t="shared" si="25"/>
        <v/>
      </c>
      <c r="CG177" s="38" t="str">
        <f t="shared" si="26"/>
        <v/>
      </c>
      <c r="CH177" s="38" t="str">
        <f t="shared" si="27"/>
        <v/>
      </c>
      <c r="CI177" s="38" t="str">
        <f t="shared" si="28"/>
        <v/>
      </c>
      <c r="CJ177" s="38" t="str">
        <f t="shared" si="29"/>
        <v/>
      </c>
      <c r="CK177" s="38" t="str">
        <f t="shared" si="30"/>
        <v/>
      </c>
      <c r="CL177" s="38" t="str">
        <f>IF(C177="","",IF(COUNT(G177:AZ177)&lt;46,"",SUMPRODUCT(CC177:CK177,'تنظیمات وزن‌دهی'!$C$5:$C$13)/100))</f>
        <v/>
      </c>
      <c r="CM177" s="38" t="str">
        <f t="shared" si="31"/>
        <v/>
      </c>
      <c r="CN177" s="38">
        <v>5</v>
      </c>
      <c r="CO177" s="28">
        <f t="shared" si="32"/>
        <v>0</v>
      </c>
      <c r="CP177" s="58"/>
    </row>
    <row r="178" spans="1:94" ht="17.25" hidden="1">
      <c r="A178" s="33">
        <v>174</v>
      </c>
      <c r="B178" s="55" t="s">
        <v>188</v>
      </c>
      <c r="C178" s="55">
        <f>IF(دانش‌آموزان!E19="","",دانش‌آموزان!B19)</f>
        <v>15</v>
      </c>
      <c r="D178" s="55" t="str">
        <f>IF(دانش‌آموزان!C19="","",دانش‌آموزان!C19)</f>
        <v>0970493304</v>
      </c>
      <c r="E178" s="55" t="str">
        <f>IF(دانش‌آموزان!E19="","",دانش‌آموزان!E19&amp;" "&amp;دانش‌آموزان!F19)</f>
        <v>اميررضا زارعي</v>
      </c>
      <c r="F178" s="34">
        <f>IF(دانش‌آموزان!I19="","",دانش‌آموزان!I19)</f>
        <v>901</v>
      </c>
      <c r="G178" s="19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1"/>
      <c r="CC178" s="27" t="str">
        <f t="shared" si="22"/>
        <v/>
      </c>
      <c r="CD178" s="38" t="str">
        <f t="shared" si="23"/>
        <v/>
      </c>
      <c r="CE178" s="38" t="str">
        <f t="shared" si="24"/>
        <v/>
      </c>
      <c r="CF178" s="38" t="str">
        <f t="shared" si="25"/>
        <v/>
      </c>
      <c r="CG178" s="38" t="str">
        <f t="shared" si="26"/>
        <v/>
      </c>
      <c r="CH178" s="38" t="str">
        <f t="shared" si="27"/>
        <v/>
      </c>
      <c r="CI178" s="38" t="str">
        <f t="shared" si="28"/>
        <v/>
      </c>
      <c r="CJ178" s="38" t="str">
        <f t="shared" si="29"/>
        <v/>
      </c>
      <c r="CK178" s="38" t="str">
        <f t="shared" si="30"/>
        <v/>
      </c>
      <c r="CL178" s="38" t="str">
        <f>IF(C178="","",IF(COUNT(G178:AZ178)&lt;46,"",SUMPRODUCT(CC178:CK178,'تنظیمات وزن‌دهی'!$C$5:$C$13)/100))</f>
        <v/>
      </c>
      <c r="CM178" s="38" t="str">
        <f t="shared" si="31"/>
        <v/>
      </c>
      <c r="CN178" s="38">
        <v>6</v>
      </c>
      <c r="CO178" s="28">
        <f t="shared" si="32"/>
        <v>0</v>
      </c>
      <c r="CP178" s="58"/>
    </row>
    <row r="179" spans="1:94" ht="17.25" hidden="1">
      <c r="A179" s="33">
        <v>175</v>
      </c>
      <c r="B179" s="55" t="s">
        <v>189</v>
      </c>
      <c r="C179" s="55">
        <f>IF(دانش‌آموزان!E19="","",دانش‌آموزان!B19)</f>
        <v>15</v>
      </c>
      <c r="D179" s="55" t="str">
        <f>IF(دانش‌آموزان!C19="","",دانش‌آموزان!C19)</f>
        <v>0970493304</v>
      </c>
      <c r="E179" s="55" t="str">
        <f>IF(دانش‌آموزان!E19="","",دانش‌آموزان!E19&amp;" "&amp;دانش‌آموزان!F19)</f>
        <v>اميررضا زارعي</v>
      </c>
      <c r="F179" s="34">
        <f>IF(دانش‌آموزان!I19="","",دانش‌آموزان!I19)</f>
        <v>901</v>
      </c>
      <c r="G179" s="19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1"/>
      <c r="CC179" s="27" t="str">
        <f t="shared" si="22"/>
        <v/>
      </c>
      <c r="CD179" s="38" t="str">
        <f t="shared" si="23"/>
        <v/>
      </c>
      <c r="CE179" s="38" t="str">
        <f t="shared" si="24"/>
        <v/>
      </c>
      <c r="CF179" s="38" t="str">
        <f t="shared" si="25"/>
        <v/>
      </c>
      <c r="CG179" s="38" t="str">
        <f t="shared" si="26"/>
        <v/>
      </c>
      <c r="CH179" s="38" t="str">
        <f t="shared" si="27"/>
        <v/>
      </c>
      <c r="CI179" s="38" t="str">
        <f t="shared" si="28"/>
        <v/>
      </c>
      <c r="CJ179" s="38" t="str">
        <f t="shared" si="29"/>
        <v/>
      </c>
      <c r="CK179" s="38" t="str">
        <f t="shared" si="30"/>
        <v/>
      </c>
      <c r="CL179" s="38" t="str">
        <f>IF(C179="","",IF(COUNT(G179:AZ179)&lt;46,"",SUMPRODUCT(CC179:CK179,'تنظیمات وزن‌دهی'!$C$5:$C$13)/100))</f>
        <v/>
      </c>
      <c r="CM179" s="38" t="str">
        <f t="shared" si="31"/>
        <v/>
      </c>
      <c r="CN179" s="38">
        <v>7</v>
      </c>
      <c r="CO179" s="28">
        <f t="shared" si="32"/>
        <v>0</v>
      </c>
      <c r="CP179" s="58"/>
    </row>
    <row r="180" spans="1:94" ht="17.25" hidden="1">
      <c r="A180" s="33">
        <v>176</v>
      </c>
      <c r="B180" s="55" t="s">
        <v>190</v>
      </c>
      <c r="C180" s="55">
        <f>IF(دانش‌آموزان!E19="","",دانش‌آموزان!B19)</f>
        <v>15</v>
      </c>
      <c r="D180" s="55" t="str">
        <f>IF(دانش‌آموزان!C19="","",دانش‌آموزان!C19)</f>
        <v>0970493304</v>
      </c>
      <c r="E180" s="55" t="str">
        <f>IF(دانش‌آموزان!E19="","",دانش‌آموزان!E19&amp;" "&amp;دانش‌آموزان!F19)</f>
        <v>اميررضا زارعي</v>
      </c>
      <c r="F180" s="34">
        <f>IF(دانش‌آموزان!I19="","",دانش‌آموزان!I19)</f>
        <v>901</v>
      </c>
      <c r="G180" s="19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1"/>
      <c r="CC180" s="27" t="str">
        <f t="shared" si="22"/>
        <v/>
      </c>
      <c r="CD180" s="38" t="str">
        <f t="shared" si="23"/>
        <v/>
      </c>
      <c r="CE180" s="38" t="str">
        <f t="shared" si="24"/>
        <v/>
      </c>
      <c r="CF180" s="38" t="str">
        <f t="shared" si="25"/>
        <v/>
      </c>
      <c r="CG180" s="38" t="str">
        <f t="shared" si="26"/>
        <v/>
      </c>
      <c r="CH180" s="38" t="str">
        <f t="shared" si="27"/>
        <v/>
      </c>
      <c r="CI180" s="38" t="str">
        <f t="shared" si="28"/>
        <v/>
      </c>
      <c r="CJ180" s="38" t="str">
        <f t="shared" si="29"/>
        <v/>
      </c>
      <c r="CK180" s="38" t="str">
        <f t="shared" si="30"/>
        <v/>
      </c>
      <c r="CL180" s="38" t="str">
        <f>IF(C180="","",IF(COUNT(G180:AZ180)&lt;46,"",SUMPRODUCT(CC180:CK180,'تنظیمات وزن‌دهی'!$C$5:$C$13)/100))</f>
        <v/>
      </c>
      <c r="CM180" s="38" t="str">
        <f t="shared" si="31"/>
        <v/>
      </c>
      <c r="CN180" s="38">
        <v>8</v>
      </c>
      <c r="CO180" s="28">
        <f t="shared" si="32"/>
        <v>0</v>
      </c>
      <c r="CP180" s="58"/>
    </row>
    <row r="181" spans="1:94" ht="17.25" hidden="1">
      <c r="A181" s="33">
        <v>177</v>
      </c>
      <c r="B181" s="55" t="s">
        <v>191</v>
      </c>
      <c r="C181" s="55">
        <f>IF(دانش‌آموزان!E19="","",دانش‌آموزان!B19)</f>
        <v>15</v>
      </c>
      <c r="D181" s="55" t="str">
        <f>IF(دانش‌آموزان!C19="","",دانش‌آموزان!C19)</f>
        <v>0970493304</v>
      </c>
      <c r="E181" s="55" t="str">
        <f>IF(دانش‌آموزان!E19="","",دانش‌آموزان!E19&amp;" "&amp;دانش‌آموزان!F19)</f>
        <v>اميررضا زارعي</v>
      </c>
      <c r="F181" s="34">
        <f>IF(دانش‌آموزان!I19="","",دانش‌آموزان!I19)</f>
        <v>901</v>
      </c>
      <c r="G181" s="19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1"/>
      <c r="CC181" s="27" t="str">
        <f t="shared" si="22"/>
        <v/>
      </c>
      <c r="CD181" s="38" t="str">
        <f t="shared" si="23"/>
        <v/>
      </c>
      <c r="CE181" s="38" t="str">
        <f t="shared" si="24"/>
        <v/>
      </c>
      <c r="CF181" s="38" t="str">
        <f t="shared" si="25"/>
        <v/>
      </c>
      <c r="CG181" s="38" t="str">
        <f t="shared" si="26"/>
        <v/>
      </c>
      <c r="CH181" s="38" t="str">
        <f t="shared" si="27"/>
        <v/>
      </c>
      <c r="CI181" s="38" t="str">
        <f t="shared" si="28"/>
        <v/>
      </c>
      <c r="CJ181" s="38" t="str">
        <f t="shared" si="29"/>
        <v/>
      </c>
      <c r="CK181" s="38" t="str">
        <f t="shared" si="30"/>
        <v/>
      </c>
      <c r="CL181" s="38" t="str">
        <f>IF(C181="","",IF(COUNT(G181:AZ181)&lt;46,"",SUMPRODUCT(CC181:CK181,'تنظیمات وزن‌دهی'!$C$5:$C$13)/100))</f>
        <v/>
      </c>
      <c r="CM181" s="38" t="str">
        <f t="shared" si="31"/>
        <v/>
      </c>
      <c r="CN181" s="38">
        <v>9</v>
      </c>
      <c r="CO181" s="28">
        <f t="shared" si="32"/>
        <v>0</v>
      </c>
      <c r="CP181" s="58"/>
    </row>
    <row r="182" spans="1:94" ht="17.25" hidden="1">
      <c r="A182" s="33">
        <v>178</v>
      </c>
      <c r="B182" s="55" t="s">
        <v>192</v>
      </c>
      <c r="C182" s="55">
        <f>IF(دانش‌آموزان!E19="","",دانش‌آموزان!B19)</f>
        <v>15</v>
      </c>
      <c r="D182" s="55" t="str">
        <f>IF(دانش‌آموزان!C19="","",دانش‌آموزان!C19)</f>
        <v>0970493304</v>
      </c>
      <c r="E182" s="55" t="str">
        <f>IF(دانش‌آموزان!E19="","",دانش‌آموزان!E19&amp;" "&amp;دانش‌آموزان!F19)</f>
        <v>اميررضا زارعي</v>
      </c>
      <c r="F182" s="34">
        <f>IF(دانش‌آموزان!I19="","",دانش‌آموزان!I19)</f>
        <v>901</v>
      </c>
      <c r="G182" s="19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1"/>
      <c r="CC182" s="27" t="str">
        <f t="shared" si="22"/>
        <v/>
      </c>
      <c r="CD182" s="38" t="str">
        <f t="shared" si="23"/>
        <v/>
      </c>
      <c r="CE182" s="38" t="str">
        <f t="shared" si="24"/>
        <v/>
      </c>
      <c r="CF182" s="38" t="str">
        <f t="shared" si="25"/>
        <v/>
      </c>
      <c r="CG182" s="38" t="str">
        <f t="shared" si="26"/>
        <v/>
      </c>
      <c r="CH182" s="38" t="str">
        <f t="shared" si="27"/>
        <v/>
      </c>
      <c r="CI182" s="38" t="str">
        <f t="shared" si="28"/>
        <v/>
      </c>
      <c r="CJ182" s="38" t="str">
        <f t="shared" si="29"/>
        <v/>
      </c>
      <c r="CK182" s="38" t="str">
        <f t="shared" si="30"/>
        <v/>
      </c>
      <c r="CL182" s="38" t="str">
        <f>IF(C182="","",IF(COUNT(G182:AZ182)&lt;46,"",SUMPRODUCT(CC182:CK182,'تنظیمات وزن‌دهی'!$C$5:$C$13)/100))</f>
        <v/>
      </c>
      <c r="CM182" s="38" t="str">
        <f t="shared" si="31"/>
        <v/>
      </c>
      <c r="CN182" s="38">
        <v>10</v>
      </c>
      <c r="CO182" s="28">
        <f t="shared" si="32"/>
        <v>0</v>
      </c>
      <c r="CP182" s="58"/>
    </row>
    <row r="183" spans="1:94" ht="17.25" hidden="1">
      <c r="A183" s="33">
        <v>179</v>
      </c>
      <c r="B183" s="55" t="s">
        <v>193</v>
      </c>
      <c r="C183" s="55">
        <f>IF(دانش‌آموزان!E19="","",دانش‌آموزان!B19)</f>
        <v>15</v>
      </c>
      <c r="D183" s="55" t="str">
        <f>IF(دانش‌آموزان!C19="","",دانش‌آموزان!C19)</f>
        <v>0970493304</v>
      </c>
      <c r="E183" s="55" t="str">
        <f>IF(دانش‌آموزان!E19="","",دانش‌آموزان!E19&amp;" "&amp;دانش‌آموزان!F19)</f>
        <v>اميررضا زارعي</v>
      </c>
      <c r="F183" s="34">
        <f>IF(دانش‌آموزان!I19="","",دانش‌آموزان!I19)</f>
        <v>901</v>
      </c>
      <c r="G183" s="19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1"/>
      <c r="CC183" s="27" t="str">
        <f t="shared" si="22"/>
        <v/>
      </c>
      <c r="CD183" s="38" t="str">
        <f t="shared" si="23"/>
        <v/>
      </c>
      <c r="CE183" s="38" t="str">
        <f t="shared" si="24"/>
        <v/>
      </c>
      <c r="CF183" s="38" t="str">
        <f t="shared" si="25"/>
        <v/>
      </c>
      <c r="CG183" s="38" t="str">
        <f t="shared" si="26"/>
        <v/>
      </c>
      <c r="CH183" s="38" t="str">
        <f t="shared" si="27"/>
        <v/>
      </c>
      <c r="CI183" s="38" t="str">
        <f t="shared" si="28"/>
        <v/>
      </c>
      <c r="CJ183" s="38" t="str">
        <f t="shared" si="29"/>
        <v/>
      </c>
      <c r="CK183" s="38" t="str">
        <f t="shared" si="30"/>
        <v/>
      </c>
      <c r="CL183" s="38" t="str">
        <f>IF(C183="","",IF(COUNT(G183:AZ183)&lt;46,"",SUMPRODUCT(CC183:CK183,'تنظیمات وزن‌دهی'!$C$5:$C$13)/100))</f>
        <v/>
      </c>
      <c r="CM183" s="38" t="str">
        <f t="shared" si="31"/>
        <v/>
      </c>
      <c r="CN183" s="38">
        <v>11</v>
      </c>
      <c r="CO183" s="28">
        <f t="shared" si="32"/>
        <v>0</v>
      </c>
      <c r="CP183" s="58"/>
    </row>
    <row r="184" spans="1:94" ht="17.25" hidden="1">
      <c r="A184" s="33">
        <v>180</v>
      </c>
      <c r="B184" s="55" t="s">
        <v>194</v>
      </c>
      <c r="C184" s="55">
        <f>IF(دانش‌آموزان!E19="","",دانش‌آموزان!B19)</f>
        <v>15</v>
      </c>
      <c r="D184" s="55" t="str">
        <f>IF(دانش‌آموزان!C19="","",دانش‌آموزان!C19)</f>
        <v>0970493304</v>
      </c>
      <c r="E184" s="55" t="str">
        <f>IF(دانش‌آموزان!E19="","",دانش‌آموزان!E19&amp;" "&amp;دانش‌آموزان!F19)</f>
        <v>اميررضا زارعي</v>
      </c>
      <c r="F184" s="34">
        <f>IF(دانش‌آموزان!I19="","",دانش‌آموزان!I19)</f>
        <v>901</v>
      </c>
      <c r="G184" s="19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1"/>
      <c r="CC184" s="27" t="str">
        <f t="shared" si="22"/>
        <v/>
      </c>
      <c r="CD184" s="38" t="str">
        <f t="shared" si="23"/>
        <v/>
      </c>
      <c r="CE184" s="38" t="str">
        <f t="shared" si="24"/>
        <v/>
      </c>
      <c r="CF184" s="38" t="str">
        <f t="shared" si="25"/>
        <v/>
      </c>
      <c r="CG184" s="38" t="str">
        <f t="shared" si="26"/>
        <v/>
      </c>
      <c r="CH184" s="38" t="str">
        <f t="shared" si="27"/>
        <v/>
      </c>
      <c r="CI184" s="38" t="str">
        <f t="shared" si="28"/>
        <v/>
      </c>
      <c r="CJ184" s="38" t="str">
        <f t="shared" si="29"/>
        <v/>
      </c>
      <c r="CK184" s="38" t="str">
        <f t="shared" si="30"/>
        <v/>
      </c>
      <c r="CL184" s="38" t="str">
        <f>IF(C184="","",IF(COUNT(G184:AZ184)&lt;46,"",SUMPRODUCT(CC184:CK184,'تنظیمات وزن‌دهی'!$C$5:$C$13)/100))</f>
        <v/>
      </c>
      <c r="CM184" s="38" t="str">
        <f t="shared" si="31"/>
        <v/>
      </c>
      <c r="CN184" s="38">
        <v>12</v>
      </c>
      <c r="CO184" s="28">
        <f t="shared" si="32"/>
        <v>0</v>
      </c>
      <c r="CP184" s="58"/>
    </row>
    <row r="185" spans="1:94" ht="17.25" hidden="1">
      <c r="A185" s="33">
        <v>181</v>
      </c>
      <c r="B185" s="55" t="s">
        <v>183</v>
      </c>
      <c r="C185" s="55">
        <f>IF(دانش‌آموزان!E20="","",دانش‌آموزان!B20)</f>
        <v>16</v>
      </c>
      <c r="D185" s="55" t="str">
        <f>IF(دانش‌آموزان!C20="","",دانش‌آموزان!C20)</f>
        <v>0980465801</v>
      </c>
      <c r="E185" s="55" t="str">
        <f>IF(دانش‌آموزان!E20="","",دانش‌آموزان!E20&amp;" "&amp;دانش‌آموزان!F20)</f>
        <v>محمدكسري زرگرقوچاني</v>
      </c>
      <c r="F185" s="34">
        <f>IF(دانش‌آموزان!I20="","",دانش‌آموزان!I20)</f>
        <v>901</v>
      </c>
      <c r="G185" s="19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1"/>
      <c r="CC185" s="27" t="str">
        <f t="shared" si="22"/>
        <v/>
      </c>
      <c r="CD185" s="38" t="str">
        <f t="shared" si="23"/>
        <v/>
      </c>
      <c r="CE185" s="38" t="str">
        <f t="shared" si="24"/>
        <v/>
      </c>
      <c r="CF185" s="38" t="str">
        <f t="shared" si="25"/>
        <v/>
      </c>
      <c r="CG185" s="38" t="str">
        <f t="shared" si="26"/>
        <v/>
      </c>
      <c r="CH185" s="38" t="str">
        <f t="shared" si="27"/>
        <v/>
      </c>
      <c r="CI185" s="38" t="str">
        <f t="shared" si="28"/>
        <v/>
      </c>
      <c r="CJ185" s="38" t="str">
        <f t="shared" si="29"/>
        <v/>
      </c>
      <c r="CK185" s="38" t="str">
        <f t="shared" si="30"/>
        <v/>
      </c>
      <c r="CL185" s="38" t="str">
        <f>IF(C185="","",IF(COUNT(G185:AZ185)&lt;46,"",SUMPRODUCT(CC185:CK185,'تنظیمات وزن‌دهی'!$C$5:$C$13)/100))</f>
        <v/>
      </c>
      <c r="CM185" s="38" t="str">
        <f t="shared" si="31"/>
        <v/>
      </c>
      <c r="CN185" s="38">
        <v>1</v>
      </c>
      <c r="CO185" s="28">
        <f t="shared" si="32"/>
        <v>0</v>
      </c>
      <c r="CP185" s="58"/>
    </row>
    <row r="186" spans="1:94" ht="17.25" hidden="1">
      <c r="A186" s="33">
        <v>182</v>
      </c>
      <c r="B186" s="55" t="s">
        <v>184</v>
      </c>
      <c r="C186" s="55">
        <f>IF(دانش‌آموزان!E20="","",دانش‌آموزان!B20)</f>
        <v>16</v>
      </c>
      <c r="D186" s="55" t="str">
        <f>IF(دانش‌آموزان!C20="","",دانش‌آموزان!C20)</f>
        <v>0980465801</v>
      </c>
      <c r="E186" s="55" t="str">
        <f>IF(دانش‌آموزان!E20="","",دانش‌آموزان!E20&amp;" "&amp;دانش‌آموزان!F20)</f>
        <v>محمدكسري زرگرقوچاني</v>
      </c>
      <c r="F186" s="34">
        <f>IF(دانش‌آموزان!I20="","",دانش‌آموزان!I20)</f>
        <v>901</v>
      </c>
      <c r="G186" s="19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1"/>
      <c r="CC186" s="27" t="str">
        <f t="shared" si="22"/>
        <v/>
      </c>
      <c r="CD186" s="38" t="str">
        <f t="shared" si="23"/>
        <v/>
      </c>
      <c r="CE186" s="38" t="str">
        <f t="shared" si="24"/>
        <v/>
      </c>
      <c r="CF186" s="38" t="str">
        <f t="shared" si="25"/>
        <v/>
      </c>
      <c r="CG186" s="38" t="str">
        <f t="shared" si="26"/>
        <v/>
      </c>
      <c r="CH186" s="38" t="str">
        <f t="shared" si="27"/>
        <v/>
      </c>
      <c r="CI186" s="38" t="str">
        <f t="shared" si="28"/>
        <v/>
      </c>
      <c r="CJ186" s="38" t="str">
        <f t="shared" si="29"/>
        <v/>
      </c>
      <c r="CK186" s="38" t="str">
        <f t="shared" si="30"/>
        <v/>
      </c>
      <c r="CL186" s="38" t="str">
        <f>IF(C186="","",IF(COUNT(G186:AZ186)&lt;46,"",SUMPRODUCT(CC186:CK186,'تنظیمات وزن‌دهی'!$C$5:$C$13)/100))</f>
        <v/>
      </c>
      <c r="CM186" s="38" t="str">
        <f t="shared" si="31"/>
        <v/>
      </c>
      <c r="CN186" s="38">
        <v>2</v>
      </c>
      <c r="CO186" s="28">
        <f t="shared" si="32"/>
        <v>0</v>
      </c>
      <c r="CP186" s="58"/>
    </row>
    <row r="187" spans="1:94" ht="17.25">
      <c r="A187" s="33">
        <v>183</v>
      </c>
      <c r="B187" s="55" t="s">
        <v>185</v>
      </c>
      <c r="C187" s="55">
        <f>IF(دانش‌آموزان!E20="","",دانش‌آموزان!B20)</f>
        <v>16</v>
      </c>
      <c r="D187" s="55" t="str">
        <f>IF(دانش‌آموزان!C20="","",دانش‌آموزان!C20)</f>
        <v>0980465801</v>
      </c>
      <c r="E187" s="55" t="str">
        <f>IF(دانش‌آموزان!E20="","",دانش‌آموزان!E20&amp;" "&amp;دانش‌آموزان!F20)</f>
        <v>محمدكسري زرگرقوچاني</v>
      </c>
      <c r="F187" s="34">
        <f>IF(دانش‌آموزان!I20="","",دانش‌آموزان!I20)</f>
        <v>901</v>
      </c>
      <c r="G187" s="19">
        <v>17.55</v>
      </c>
      <c r="H187" s="20">
        <v>-3.55</v>
      </c>
      <c r="I187" s="20">
        <v>0</v>
      </c>
      <c r="J187" s="20">
        <v>4</v>
      </c>
      <c r="K187" s="20">
        <v>4</v>
      </c>
      <c r="L187" s="20">
        <v>0</v>
      </c>
      <c r="M187" s="20">
        <v>0</v>
      </c>
      <c r="N187" s="20">
        <v>0</v>
      </c>
      <c r="O187" s="20">
        <v>4</v>
      </c>
      <c r="P187" s="20">
        <v>3</v>
      </c>
      <c r="Q187" s="20">
        <v>4</v>
      </c>
      <c r="R187" s="20">
        <v>4</v>
      </c>
      <c r="S187" s="20">
        <v>4</v>
      </c>
      <c r="T187" s="20">
        <v>0</v>
      </c>
      <c r="U187" s="20">
        <v>4</v>
      </c>
      <c r="V187" s="20">
        <v>2</v>
      </c>
      <c r="W187" s="20">
        <v>0</v>
      </c>
      <c r="X187" s="20">
        <v>3</v>
      </c>
      <c r="Y187" s="20">
        <v>4</v>
      </c>
      <c r="Z187" s="20">
        <v>4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20">
        <v>0</v>
      </c>
      <c r="AG187" s="20">
        <v>0</v>
      </c>
      <c r="AH187" s="20">
        <v>0</v>
      </c>
      <c r="AI187" s="20">
        <v>0</v>
      </c>
      <c r="AJ187" s="20">
        <v>0</v>
      </c>
      <c r="AK187" s="20">
        <v>0</v>
      </c>
      <c r="AL187" s="20">
        <v>0</v>
      </c>
      <c r="AM187" s="20">
        <v>0</v>
      </c>
      <c r="AN187" s="20">
        <v>0</v>
      </c>
      <c r="AO187" s="20">
        <v>0</v>
      </c>
      <c r="AP187" s="20">
        <v>0</v>
      </c>
      <c r="AQ187" s="20">
        <v>0</v>
      </c>
      <c r="AR187" s="20">
        <v>0</v>
      </c>
      <c r="AS187" s="20">
        <v>0</v>
      </c>
      <c r="AT187" s="20">
        <v>0</v>
      </c>
      <c r="AU187" s="20">
        <v>0</v>
      </c>
      <c r="AV187" s="20">
        <v>0</v>
      </c>
      <c r="AW187" s="20">
        <v>0</v>
      </c>
      <c r="AX187" s="20">
        <v>0</v>
      </c>
      <c r="AY187" s="20">
        <v>0</v>
      </c>
      <c r="AZ187" s="20">
        <v>0</v>
      </c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1"/>
      <c r="CC187" s="27">
        <f t="shared" si="22"/>
        <v>11</v>
      </c>
      <c r="CD187" s="38">
        <f t="shared" si="23"/>
        <v>15.2</v>
      </c>
      <c r="CE187" s="38">
        <f t="shared" si="24"/>
        <v>8</v>
      </c>
      <c r="CF187" s="38">
        <f t="shared" si="25"/>
        <v>10.4</v>
      </c>
      <c r="CG187" s="38">
        <f t="shared" si="26"/>
        <v>0</v>
      </c>
      <c r="CH187" s="38">
        <f t="shared" si="27"/>
        <v>0</v>
      </c>
      <c r="CI187" s="38">
        <f t="shared" si="28"/>
        <v>0</v>
      </c>
      <c r="CJ187" s="38">
        <f t="shared" si="29"/>
        <v>0</v>
      </c>
      <c r="CK187" s="38">
        <f t="shared" si="30"/>
        <v>0</v>
      </c>
      <c r="CL187" s="38" t="e">
        <f>IF(C187="","",IF(COUNT(G187:AZ187)&lt;46,"",SUMPRODUCT(CC187:CK187,'تنظیمات وزن‌دهی'!$C$5:$C$13)/100))</f>
        <v>#VALUE!</v>
      </c>
      <c r="CM187" s="38" t="e">
        <f t="shared" si="31"/>
        <v>#VALUE!</v>
      </c>
      <c r="CN187" s="38">
        <v>3</v>
      </c>
      <c r="CO187" s="28">
        <f t="shared" si="32"/>
        <v>1</v>
      </c>
      <c r="CP187" s="58"/>
    </row>
    <row r="188" spans="1:94" ht="17.25" hidden="1">
      <c r="A188" s="33">
        <v>184</v>
      </c>
      <c r="B188" s="55" t="s">
        <v>186</v>
      </c>
      <c r="C188" s="55">
        <f>IF(دانش‌آموزان!E20="","",دانش‌آموزان!B20)</f>
        <v>16</v>
      </c>
      <c r="D188" s="55" t="str">
        <f>IF(دانش‌آموزان!C20="","",دانش‌آموزان!C20)</f>
        <v>0980465801</v>
      </c>
      <c r="E188" s="55" t="str">
        <f>IF(دانش‌آموزان!E20="","",دانش‌آموزان!E20&amp;" "&amp;دانش‌آموزان!F20)</f>
        <v>محمدكسري زرگرقوچاني</v>
      </c>
      <c r="F188" s="34">
        <f>IF(دانش‌آموزان!I20="","",دانش‌آموزان!I20)</f>
        <v>901</v>
      </c>
      <c r="G188" s="19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1"/>
      <c r="CC188" s="27" t="str">
        <f t="shared" si="22"/>
        <v/>
      </c>
      <c r="CD188" s="38" t="str">
        <f t="shared" si="23"/>
        <v/>
      </c>
      <c r="CE188" s="38" t="str">
        <f t="shared" si="24"/>
        <v/>
      </c>
      <c r="CF188" s="38" t="str">
        <f t="shared" si="25"/>
        <v/>
      </c>
      <c r="CG188" s="38" t="str">
        <f t="shared" si="26"/>
        <v/>
      </c>
      <c r="CH188" s="38" t="str">
        <f t="shared" si="27"/>
        <v/>
      </c>
      <c r="CI188" s="38" t="str">
        <f t="shared" si="28"/>
        <v/>
      </c>
      <c r="CJ188" s="38" t="str">
        <f t="shared" si="29"/>
        <v/>
      </c>
      <c r="CK188" s="38" t="str">
        <f t="shared" si="30"/>
        <v/>
      </c>
      <c r="CL188" s="38" t="str">
        <f>IF(C188="","",IF(COUNT(G188:AZ188)&lt;46,"",SUMPRODUCT(CC188:CK188,'تنظیمات وزن‌دهی'!$C$5:$C$13)/100))</f>
        <v/>
      </c>
      <c r="CM188" s="38" t="str">
        <f t="shared" si="31"/>
        <v/>
      </c>
      <c r="CN188" s="38">
        <v>4</v>
      </c>
      <c r="CO188" s="28">
        <f t="shared" si="32"/>
        <v>0</v>
      </c>
      <c r="CP188" s="58"/>
    </row>
    <row r="189" spans="1:94" ht="17.25" hidden="1">
      <c r="A189" s="33">
        <v>185</v>
      </c>
      <c r="B189" s="55" t="s">
        <v>187</v>
      </c>
      <c r="C189" s="55">
        <f>IF(دانش‌آموزان!E20="","",دانش‌آموزان!B20)</f>
        <v>16</v>
      </c>
      <c r="D189" s="55" t="str">
        <f>IF(دانش‌آموزان!C20="","",دانش‌آموزان!C20)</f>
        <v>0980465801</v>
      </c>
      <c r="E189" s="55" t="str">
        <f>IF(دانش‌آموزان!E20="","",دانش‌آموزان!E20&amp;" "&amp;دانش‌آموزان!F20)</f>
        <v>محمدكسري زرگرقوچاني</v>
      </c>
      <c r="F189" s="34">
        <f>IF(دانش‌آموزان!I20="","",دانش‌آموزان!I20)</f>
        <v>901</v>
      </c>
      <c r="G189" s="19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1"/>
      <c r="CC189" s="27" t="str">
        <f t="shared" si="22"/>
        <v/>
      </c>
      <c r="CD189" s="38" t="str">
        <f t="shared" si="23"/>
        <v/>
      </c>
      <c r="CE189" s="38" t="str">
        <f t="shared" si="24"/>
        <v/>
      </c>
      <c r="CF189" s="38" t="str">
        <f t="shared" si="25"/>
        <v/>
      </c>
      <c r="CG189" s="38" t="str">
        <f t="shared" si="26"/>
        <v/>
      </c>
      <c r="CH189" s="38" t="str">
        <f t="shared" si="27"/>
        <v/>
      </c>
      <c r="CI189" s="38" t="str">
        <f t="shared" si="28"/>
        <v/>
      </c>
      <c r="CJ189" s="38" t="str">
        <f t="shared" si="29"/>
        <v/>
      </c>
      <c r="CK189" s="38" t="str">
        <f t="shared" si="30"/>
        <v/>
      </c>
      <c r="CL189" s="38" t="str">
        <f>IF(C189="","",IF(COUNT(G189:AZ189)&lt;46,"",SUMPRODUCT(CC189:CK189,'تنظیمات وزن‌دهی'!$C$5:$C$13)/100))</f>
        <v/>
      </c>
      <c r="CM189" s="38" t="str">
        <f t="shared" si="31"/>
        <v/>
      </c>
      <c r="CN189" s="38">
        <v>5</v>
      </c>
      <c r="CO189" s="28">
        <f t="shared" si="32"/>
        <v>0</v>
      </c>
      <c r="CP189" s="58"/>
    </row>
    <row r="190" spans="1:94" ht="17.25" hidden="1">
      <c r="A190" s="33">
        <v>186</v>
      </c>
      <c r="B190" s="55" t="s">
        <v>188</v>
      </c>
      <c r="C190" s="55">
        <f>IF(دانش‌آموزان!E20="","",دانش‌آموزان!B20)</f>
        <v>16</v>
      </c>
      <c r="D190" s="55" t="str">
        <f>IF(دانش‌آموزان!C20="","",دانش‌آموزان!C20)</f>
        <v>0980465801</v>
      </c>
      <c r="E190" s="55" t="str">
        <f>IF(دانش‌آموزان!E20="","",دانش‌آموزان!E20&amp;" "&amp;دانش‌آموزان!F20)</f>
        <v>محمدكسري زرگرقوچاني</v>
      </c>
      <c r="F190" s="34">
        <f>IF(دانش‌آموزان!I20="","",دانش‌آموزان!I20)</f>
        <v>901</v>
      </c>
      <c r="G190" s="19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1"/>
      <c r="CC190" s="27" t="str">
        <f t="shared" si="22"/>
        <v/>
      </c>
      <c r="CD190" s="38" t="str">
        <f t="shared" si="23"/>
        <v/>
      </c>
      <c r="CE190" s="38" t="str">
        <f t="shared" si="24"/>
        <v/>
      </c>
      <c r="CF190" s="38" t="str">
        <f t="shared" si="25"/>
        <v/>
      </c>
      <c r="CG190" s="38" t="str">
        <f t="shared" si="26"/>
        <v/>
      </c>
      <c r="CH190" s="38" t="str">
        <f t="shared" si="27"/>
        <v/>
      </c>
      <c r="CI190" s="38" t="str">
        <f t="shared" si="28"/>
        <v/>
      </c>
      <c r="CJ190" s="38" t="str">
        <f t="shared" si="29"/>
        <v/>
      </c>
      <c r="CK190" s="38" t="str">
        <f t="shared" si="30"/>
        <v/>
      </c>
      <c r="CL190" s="38" t="str">
        <f>IF(C190="","",IF(COUNT(G190:AZ190)&lt;46,"",SUMPRODUCT(CC190:CK190,'تنظیمات وزن‌دهی'!$C$5:$C$13)/100))</f>
        <v/>
      </c>
      <c r="CM190" s="38" t="str">
        <f t="shared" si="31"/>
        <v/>
      </c>
      <c r="CN190" s="38">
        <v>6</v>
      </c>
      <c r="CO190" s="28">
        <f t="shared" si="32"/>
        <v>0</v>
      </c>
      <c r="CP190" s="58"/>
    </row>
    <row r="191" spans="1:94" ht="17.25" hidden="1">
      <c r="A191" s="33">
        <v>187</v>
      </c>
      <c r="B191" s="55" t="s">
        <v>189</v>
      </c>
      <c r="C191" s="55">
        <f>IF(دانش‌آموزان!E20="","",دانش‌آموزان!B20)</f>
        <v>16</v>
      </c>
      <c r="D191" s="55" t="str">
        <f>IF(دانش‌آموزان!C20="","",دانش‌آموزان!C20)</f>
        <v>0980465801</v>
      </c>
      <c r="E191" s="55" t="str">
        <f>IF(دانش‌آموزان!E20="","",دانش‌آموزان!E20&amp;" "&amp;دانش‌آموزان!F20)</f>
        <v>محمدكسري زرگرقوچاني</v>
      </c>
      <c r="F191" s="34">
        <f>IF(دانش‌آموزان!I20="","",دانش‌آموزان!I20)</f>
        <v>901</v>
      </c>
      <c r="G191" s="19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1"/>
      <c r="CC191" s="27" t="str">
        <f t="shared" si="22"/>
        <v/>
      </c>
      <c r="CD191" s="38" t="str">
        <f t="shared" si="23"/>
        <v/>
      </c>
      <c r="CE191" s="38" t="str">
        <f t="shared" si="24"/>
        <v/>
      </c>
      <c r="CF191" s="38" t="str">
        <f t="shared" si="25"/>
        <v/>
      </c>
      <c r="CG191" s="38" t="str">
        <f t="shared" si="26"/>
        <v/>
      </c>
      <c r="CH191" s="38" t="str">
        <f t="shared" si="27"/>
        <v/>
      </c>
      <c r="CI191" s="38" t="str">
        <f t="shared" si="28"/>
        <v/>
      </c>
      <c r="CJ191" s="38" t="str">
        <f t="shared" si="29"/>
        <v/>
      </c>
      <c r="CK191" s="38" t="str">
        <f t="shared" si="30"/>
        <v/>
      </c>
      <c r="CL191" s="38" t="str">
        <f>IF(C191="","",IF(COUNT(G191:AZ191)&lt;46,"",SUMPRODUCT(CC191:CK191,'تنظیمات وزن‌دهی'!$C$5:$C$13)/100))</f>
        <v/>
      </c>
      <c r="CM191" s="38" t="str">
        <f t="shared" si="31"/>
        <v/>
      </c>
      <c r="CN191" s="38">
        <v>7</v>
      </c>
      <c r="CO191" s="28">
        <f t="shared" si="32"/>
        <v>0</v>
      </c>
      <c r="CP191" s="58"/>
    </row>
    <row r="192" spans="1:94" ht="17.25" hidden="1">
      <c r="A192" s="33">
        <v>188</v>
      </c>
      <c r="B192" s="55" t="s">
        <v>190</v>
      </c>
      <c r="C192" s="55">
        <f>IF(دانش‌آموزان!E20="","",دانش‌آموزان!B20)</f>
        <v>16</v>
      </c>
      <c r="D192" s="55" t="str">
        <f>IF(دانش‌آموزان!C20="","",دانش‌آموزان!C20)</f>
        <v>0980465801</v>
      </c>
      <c r="E192" s="55" t="str">
        <f>IF(دانش‌آموزان!E20="","",دانش‌آموزان!E20&amp;" "&amp;دانش‌آموزان!F20)</f>
        <v>محمدكسري زرگرقوچاني</v>
      </c>
      <c r="F192" s="34">
        <f>IF(دانش‌آموزان!I20="","",دانش‌آموزان!I20)</f>
        <v>901</v>
      </c>
      <c r="G192" s="19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1"/>
      <c r="CC192" s="27" t="str">
        <f t="shared" si="22"/>
        <v/>
      </c>
      <c r="CD192" s="38" t="str">
        <f t="shared" si="23"/>
        <v/>
      </c>
      <c r="CE192" s="38" t="str">
        <f t="shared" si="24"/>
        <v/>
      </c>
      <c r="CF192" s="38" t="str">
        <f t="shared" si="25"/>
        <v/>
      </c>
      <c r="CG192" s="38" t="str">
        <f t="shared" si="26"/>
        <v/>
      </c>
      <c r="CH192" s="38" t="str">
        <f t="shared" si="27"/>
        <v/>
      </c>
      <c r="CI192" s="38" t="str">
        <f t="shared" si="28"/>
        <v/>
      </c>
      <c r="CJ192" s="38" t="str">
        <f t="shared" si="29"/>
        <v/>
      </c>
      <c r="CK192" s="38" t="str">
        <f t="shared" si="30"/>
        <v/>
      </c>
      <c r="CL192" s="38" t="str">
        <f>IF(C192="","",IF(COUNT(G192:AZ192)&lt;46,"",SUMPRODUCT(CC192:CK192,'تنظیمات وزن‌دهی'!$C$5:$C$13)/100))</f>
        <v/>
      </c>
      <c r="CM192" s="38" t="str">
        <f t="shared" si="31"/>
        <v/>
      </c>
      <c r="CN192" s="38">
        <v>8</v>
      </c>
      <c r="CO192" s="28">
        <f t="shared" si="32"/>
        <v>0</v>
      </c>
      <c r="CP192" s="58"/>
    </row>
    <row r="193" spans="1:94" ht="17.25" hidden="1">
      <c r="A193" s="33">
        <v>189</v>
      </c>
      <c r="B193" s="55" t="s">
        <v>191</v>
      </c>
      <c r="C193" s="55">
        <f>IF(دانش‌آموزان!E20="","",دانش‌آموزان!B20)</f>
        <v>16</v>
      </c>
      <c r="D193" s="55" t="str">
        <f>IF(دانش‌آموزان!C20="","",دانش‌آموزان!C20)</f>
        <v>0980465801</v>
      </c>
      <c r="E193" s="55" t="str">
        <f>IF(دانش‌آموزان!E20="","",دانش‌آموزان!E20&amp;" "&amp;دانش‌آموزان!F20)</f>
        <v>محمدكسري زرگرقوچاني</v>
      </c>
      <c r="F193" s="34">
        <f>IF(دانش‌آموزان!I20="","",دانش‌آموزان!I20)</f>
        <v>901</v>
      </c>
      <c r="G193" s="19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1"/>
      <c r="CC193" s="27" t="str">
        <f t="shared" si="22"/>
        <v/>
      </c>
      <c r="CD193" s="38" t="str">
        <f t="shared" si="23"/>
        <v/>
      </c>
      <c r="CE193" s="38" t="str">
        <f t="shared" si="24"/>
        <v/>
      </c>
      <c r="CF193" s="38" t="str">
        <f t="shared" si="25"/>
        <v/>
      </c>
      <c r="CG193" s="38" t="str">
        <f t="shared" si="26"/>
        <v/>
      </c>
      <c r="CH193" s="38" t="str">
        <f t="shared" si="27"/>
        <v/>
      </c>
      <c r="CI193" s="38" t="str">
        <f t="shared" si="28"/>
        <v/>
      </c>
      <c r="CJ193" s="38" t="str">
        <f t="shared" si="29"/>
        <v/>
      </c>
      <c r="CK193" s="38" t="str">
        <f t="shared" si="30"/>
        <v/>
      </c>
      <c r="CL193" s="38" t="str">
        <f>IF(C193="","",IF(COUNT(G193:AZ193)&lt;46,"",SUMPRODUCT(CC193:CK193,'تنظیمات وزن‌دهی'!$C$5:$C$13)/100))</f>
        <v/>
      </c>
      <c r="CM193" s="38" t="str">
        <f t="shared" si="31"/>
        <v/>
      </c>
      <c r="CN193" s="38">
        <v>9</v>
      </c>
      <c r="CO193" s="28">
        <f t="shared" si="32"/>
        <v>0</v>
      </c>
      <c r="CP193" s="58"/>
    </row>
    <row r="194" spans="1:94" ht="17.25" hidden="1">
      <c r="A194" s="33">
        <v>190</v>
      </c>
      <c r="B194" s="55" t="s">
        <v>192</v>
      </c>
      <c r="C194" s="55">
        <f>IF(دانش‌آموزان!E20="","",دانش‌آموزان!B20)</f>
        <v>16</v>
      </c>
      <c r="D194" s="55" t="str">
        <f>IF(دانش‌آموزان!C20="","",دانش‌آموزان!C20)</f>
        <v>0980465801</v>
      </c>
      <c r="E194" s="55" t="str">
        <f>IF(دانش‌آموزان!E20="","",دانش‌آموزان!E20&amp;" "&amp;دانش‌آموزان!F20)</f>
        <v>محمدكسري زرگرقوچاني</v>
      </c>
      <c r="F194" s="34">
        <f>IF(دانش‌آموزان!I20="","",دانش‌آموزان!I20)</f>
        <v>901</v>
      </c>
      <c r="G194" s="19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1"/>
      <c r="CC194" s="27" t="str">
        <f t="shared" si="22"/>
        <v/>
      </c>
      <c r="CD194" s="38" t="str">
        <f t="shared" si="23"/>
        <v/>
      </c>
      <c r="CE194" s="38" t="str">
        <f t="shared" si="24"/>
        <v/>
      </c>
      <c r="CF194" s="38" t="str">
        <f t="shared" si="25"/>
        <v/>
      </c>
      <c r="CG194" s="38" t="str">
        <f t="shared" si="26"/>
        <v/>
      </c>
      <c r="CH194" s="38" t="str">
        <f t="shared" si="27"/>
        <v/>
      </c>
      <c r="CI194" s="38" t="str">
        <f t="shared" si="28"/>
        <v/>
      </c>
      <c r="CJ194" s="38" t="str">
        <f t="shared" si="29"/>
        <v/>
      </c>
      <c r="CK194" s="38" t="str">
        <f t="shared" si="30"/>
        <v/>
      </c>
      <c r="CL194" s="38" t="str">
        <f>IF(C194="","",IF(COUNT(G194:AZ194)&lt;46,"",SUMPRODUCT(CC194:CK194,'تنظیمات وزن‌دهی'!$C$5:$C$13)/100))</f>
        <v/>
      </c>
      <c r="CM194" s="38" t="str">
        <f t="shared" si="31"/>
        <v/>
      </c>
      <c r="CN194" s="38">
        <v>10</v>
      </c>
      <c r="CO194" s="28">
        <f t="shared" si="32"/>
        <v>0</v>
      </c>
      <c r="CP194" s="58"/>
    </row>
    <row r="195" spans="1:94" ht="17.25" hidden="1">
      <c r="A195" s="33">
        <v>191</v>
      </c>
      <c r="B195" s="55" t="s">
        <v>193</v>
      </c>
      <c r="C195" s="55">
        <f>IF(دانش‌آموزان!E20="","",دانش‌آموزان!B20)</f>
        <v>16</v>
      </c>
      <c r="D195" s="55" t="str">
        <f>IF(دانش‌آموزان!C20="","",دانش‌آموزان!C20)</f>
        <v>0980465801</v>
      </c>
      <c r="E195" s="55" t="str">
        <f>IF(دانش‌آموزان!E20="","",دانش‌آموزان!E20&amp;" "&amp;دانش‌آموزان!F20)</f>
        <v>محمدكسري زرگرقوچاني</v>
      </c>
      <c r="F195" s="34">
        <f>IF(دانش‌آموزان!I20="","",دانش‌آموزان!I20)</f>
        <v>901</v>
      </c>
      <c r="G195" s="19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1"/>
      <c r="CC195" s="27" t="str">
        <f t="shared" si="22"/>
        <v/>
      </c>
      <c r="CD195" s="38" t="str">
        <f t="shared" si="23"/>
        <v/>
      </c>
      <c r="CE195" s="38" t="str">
        <f t="shared" si="24"/>
        <v/>
      </c>
      <c r="CF195" s="38" t="str">
        <f t="shared" si="25"/>
        <v/>
      </c>
      <c r="CG195" s="38" t="str">
        <f t="shared" si="26"/>
        <v/>
      </c>
      <c r="CH195" s="38" t="str">
        <f t="shared" si="27"/>
        <v/>
      </c>
      <c r="CI195" s="38" t="str">
        <f t="shared" si="28"/>
        <v/>
      </c>
      <c r="CJ195" s="38" t="str">
        <f t="shared" si="29"/>
        <v/>
      </c>
      <c r="CK195" s="38" t="str">
        <f t="shared" si="30"/>
        <v/>
      </c>
      <c r="CL195" s="38" t="str">
        <f>IF(C195="","",IF(COUNT(G195:AZ195)&lt;46,"",SUMPRODUCT(CC195:CK195,'تنظیمات وزن‌دهی'!$C$5:$C$13)/100))</f>
        <v/>
      </c>
      <c r="CM195" s="38" t="str">
        <f t="shared" si="31"/>
        <v/>
      </c>
      <c r="CN195" s="38">
        <v>11</v>
      </c>
      <c r="CO195" s="28">
        <f t="shared" si="32"/>
        <v>0</v>
      </c>
      <c r="CP195" s="58"/>
    </row>
    <row r="196" spans="1:94" ht="17.25" hidden="1">
      <c r="A196" s="33">
        <v>192</v>
      </c>
      <c r="B196" s="55" t="s">
        <v>194</v>
      </c>
      <c r="C196" s="55">
        <f>IF(دانش‌آموزان!E20="","",دانش‌آموزان!B20)</f>
        <v>16</v>
      </c>
      <c r="D196" s="55" t="str">
        <f>IF(دانش‌آموزان!C20="","",دانش‌آموزان!C20)</f>
        <v>0980465801</v>
      </c>
      <c r="E196" s="55" t="str">
        <f>IF(دانش‌آموزان!E20="","",دانش‌آموزان!E20&amp;" "&amp;دانش‌آموزان!F20)</f>
        <v>محمدكسري زرگرقوچاني</v>
      </c>
      <c r="F196" s="34">
        <f>IF(دانش‌آموزان!I20="","",دانش‌آموزان!I20)</f>
        <v>901</v>
      </c>
      <c r="G196" s="19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1"/>
      <c r="CC196" s="27" t="str">
        <f t="shared" si="22"/>
        <v/>
      </c>
      <c r="CD196" s="38" t="str">
        <f t="shared" si="23"/>
        <v/>
      </c>
      <c r="CE196" s="38" t="str">
        <f t="shared" si="24"/>
        <v/>
      </c>
      <c r="CF196" s="38" t="str">
        <f t="shared" si="25"/>
        <v/>
      </c>
      <c r="CG196" s="38" t="str">
        <f t="shared" si="26"/>
        <v/>
      </c>
      <c r="CH196" s="38" t="str">
        <f t="shared" si="27"/>
        <v/>
      </c>
      <c r="CI196" s="38" t="str">
        <f t="shared" si="28"/>
        <v/>
      </c>
      <c r="CJ196" s="38" t="str">
        <f t="shared" si="29"/>
        <v/>
      </c>
      <c r="CK196" s="38" t="str">
        <f t="shared" si="30"/>
        <v/>
      </c>
      <c r="CL196" s="38" t="str">
        <f>IF(C196="","",IF(COUNT(G196:AZ196)&lt;46,"",SUMPRODUCT(CC196:CK196,'تنظیمات وزن‌دهی'!$C$5:$C$13)/100))</f>
        <v/>
      </c>
      <c r="CM196" s="38" t="str">
        <f t="shared" si="31"/>
        <v/>
      </c>
      <c r="CN196" s="38">
        <v>12</v>
      </c>
      <c r="CO196" s="28">
        <f t="shared" si="32"/>
        <v>0</v>
      </c>
      <c r="CP196" s="58"/>
    </row>
    <row r="197" spans="1:94" ht="17.25" hidden="1">
      <c r="A197" s="33">
        <v>193</v>
      </c>
      <c r="B197" s="55" t="s">
        <v>183</v>
      </c>
      <c r="C197" s="55">
        <f>IF(دانش‌آموزان!E21="","",دانش‌آموزان!B21)</f>
        <v>17</v>
      </c>
      <c r="D197" s="55" t="str">
        <f>IF(دانش‌آموزان!C21="","",دانش‌آموزان!C21)</f>
        <v>0960402802</v>
      </c>
      <c r="E197" s="55" t="str">
        <f>IF(دانش‌آموزان!E21="","",دانش‌آموزان!E21&amp;" "&amp;دانش‌آموزان!F21)</f>
        <v>اميررضا سميعي</v>
      </c>
      <c r="F197" s="34">
        <f>IF(دانش‌آموزان!I21="","",دانش‌آموزان!I21)</f>
        <v>901</v>
      </c>
      <c r="G197" s="19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1"/>
      <c r="CC197" s="27" t="str">
        <f t="shared" ref="CC197:CC260" si="33">IF(COUNT(G197:N197)=0,"",AVERAGE(G197:N197)*4)</f>
        <v/>
      </c>
      <c r="CD197" s="38" t="str">
        <f t="shared" ref="CD197:CD260" si="34">IF(COUNT(O197:S197)=0,"",AVERAGE(O197:S197)*4)</f>
        <v/>
      </c>
      <c r="CE197" s="38" t="str">
        <f t="shared" ref="CE197:CE260" si="35">IF(COUNT(T197:U197)=0,"",AVERAGE(T197:U197)*4)</f>
        <v/>
      </c>
      <c r="CF197" s="38" t="str">
        <f t="shared" ref="CF197:CF260" si="36">IF(COUNT(V197:Z197)=0,"",AVERAGE(V197:Z197)*4)</f>
        <v/>
      </c>
      <c r="CG197" s="38" t="str">
        <f t="shared" ref="CG197:CG260" si="37">IF(COUNT(AA197:AC197)=0,"",AVERAGE(AA197:AC197)*4)</f>
        <v/>
      </c>
      <c r="CH197" s="38" t="str">
        <f t="shared" ref="CH197:CH260" si="38">IF(COUNT(AD197:AI197)=0,"",AVERAGE(AD197:AI197)*4)</f>
        <v/>
      </c>
      <c r="CI197" s="38" t="str">
        <f t="shared" ref="CI197:CI260" si="39">IF(COUNT(AJ197:AP197)=0,"",AVERAGE(AJ197:AP197)*4)</f>
        <v/>
      </c>
      <c r="CJ197" s="38" t="str">
        <f t="shared" ref="CJ197:CJ260" si="40">IF(COUNT(AQ197:AW197)=0,"",AVERAGE(AQ197:AW197)*4)</f>
        <v/>
      </c>
      <c r="CK197" s="38" t="str">
        <f t="shared" ref="CK197:CK260" si="41">IF(COUNT(AX197:AZ197)=0,"",AVERAGE(AX197:AZ197)*4)</f>
        <v/>
      </c>
      <c r="CL197" s="38" t="str">
        <f>IF(C197="","",IF(COUNT(G197:AZ197)&lt;46,"",SUMPRODUCT(CC197:CK197,'تنظیمات وزن‌دهی'!$C$5:$C$13)/100))</f>
        <v/>
      </c>
      <c r="CM197" s="38" t="str">
        <f t="shared" ref="CM197:CM260" si="42">IF(C197="","",IF(COUNT(G197:AZ197)=0,"",IF(COUNT(G197:AZ197)&lt;46,"موقت - اطلاعات ناقص",IF(CL197&gt;=17,"عالی",IF(CL197&gt;=14,"خوب",IF(CL197&gt;=10,"متوسط","ضعیف"))))))</f>
        <v/>
      </c>
      <c r="CN197" s="38">
        <v>1</v>
      </c>
      <c r="CO197" s="28">
        <f t="shared" ref="CO197:CO260" si="43">IF(C197="","",COUNT(G197:AZ197)/46)</f>
        <v>0</v>
      </c>
      <c r="CP197" s="58"/>
    </row>
    <row r="198" spans="1:94" ht="17.25" hidden="1">
      <c r="A198" s="33">
        <v>194</v>
      </c>
      <c r="B198" s="55" t="s">
        <v>184</v>
      </c>
      <c r="C198" s="55">
        <f>IF(دانش‌آموزان!E21="","",دانش‌آموزان!B21)</f>
        <v>17</v>
      </c>
      <c r="D198" s="55" t="str">
        <f>IF(دانش‌آموزان!C21="","",دانش‌آموزان!C21)</f>
        <v>0960402802</v>
      </c>
      <c r="E198" s="55" t="str">
        <f>IF(دانش‌آموزان!E21="","",دانش‌آموزان!E21&amp;" "&amp;دانش‌آموزان!F21)</f>
        <v>اميررضا سميعي</v>
      </c>
      <c r="F198" s="34">
        <f>IF(دانش‌آموزان!I21="","",دانش‌آموزان!I21)</f>
        <v>901</v>
      </c>
      <c r="G198" s="19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1"/>
      <c r="CC198" s="27" t="str">
        <f t="shared" si="33"/>
        <v/>
      </c>
      <c r="CD198" s="38" t="str">
        <f t="shared" si="34"/>
        <v/>
      </c>
      <c r="CE198" s="38" t="str">
        <f t="shared" si="35"/>
        <v/>
      </c>
      <c r="CF198" s="38" t="str">
        <f t="shared" si="36"/>
        <v/>
      </c>
      <c r="CG198" s="38" t="str">
        <f t="shared" si="37"/>
        <v/>
      </c>
      <c r="CH198" s="38" t="str">
        <f t="shared" si="38"/>
        <v/>
      </c>
      <c r="CI198" s="38" t="str">
        <f t="shared" si="39"/>
        <v/>
      </c>
      <c r="CJ198" s="38" t="str">
        <f t="shared" si="40"/>
        <v/>
      </c>
      <c r="CK198" s="38" t="str">
        <f t="shared" si="41"/>
        <v/>
      </c>
      <c r="CL198" s="38" t="str">
        <f>IF(C198="","",IF(COUNT(G198:AZ198)&lt;46,"",SUMPRODUCT(CC198:CK198,'تنظیمات وزن‌دهی'!$C$5:$C$13)/100))</f>
        <v/>
      </c>
      <c r="CM198" s="38" t="str">
        <f t="shared" si="42"/>
        <v/>
      </c>
      <c r="CN198" s="38">
        <v>2</v>
      </c>
      <c r="CO198" s="28">
        <f t="shared" si="43"/>
        <v>0</v>
      </c>
      <c r="CP198" s="58"/>
    </row>
    <row r="199" spans="1:94" ht="17.25">
      <c r="A199" s="33">
        <v>195</v>
      </c>
      <c r="B199" s="55" t="s">
        <v>185</v>
      </c>
      <c r="C199" s="55">
        <f>IF(دانش‌آموزان!E21="","",دانش‌آموزان!B21)</f>
        <v>17</v>
      </c>
      <c r="D199" s="55" t="str">
        <f>IF(دانش‌آموزان!C21="","",دانش‌آموزان!C21)</f>
        <v>0960402802</v>
      </c>
      <c r="E199" s="55" t="str">
        <f>IF(دانش‌آموزان!E21="","",دانش‌آموزان!E21&amp;" "&amp;دانش‌آموزان!F21)</f>
        <v>اميررضا سميعي</v>
      </c>
      <c r="F199" s="34">
        <f>IF(دانش‌آموزان!I21="","",دانش‌آموزان!I21)</f>
        <v>901</v>
      </c>
      <c r="G199" s="19">
        <v>19.46</v>
      </c>
      <c r="H199" s="20">
        <v>0</v>
      </c>
      <c r="I199" s="20">
        <v>0</v>
      </c>
      <c r="J199" s="20">
        <v>4</v>
      </c>
      <c r="K199" s="20">
        <v>0</v>
      </c>
      <c r="L199" s="20">
        <v>0</v>
      </c>
      <c r="M199" s="20">
        <v>0</v>
      </c>
      <c r="N199" s="20">
        <v>0</v>
      </c>
      <c r="O199" s="20">
        <v>4</v>
      </c>
      <c r="P199" s="20">
        <v>4</v>
      </c>
      <c r="Q199" s="20">
        <v>4</v>
      </c>
      <c r="R199" s="20">
        <v>4</v>
      </c>
      <c r="S199" s="20">
        <v>4</v>
      </c>
      <c r="T199" s="20">
        <v>4</v>
      </c>
      <c r="U199" s="20">
        <v>4</v>
      </c>
      <c r="V199" s="20">
        <v>2</v>
      </c>
      <c r="W199" s="20">
        <v>0</v>
      </c>
      <c r="X199" s="20">
        <v>3</v>
      </c>
      <c r="Y199" s="20">
        <v>4</v>
      </c>
      <c r="Z199" s="20">
        <v>4</v>
      </c>
      <c r="AA199" s="20">
        <v>0</v>
      </c>
      <c r="AB199" s="20">
        <v>0</v>
      </c>
      <c r="AC199" s="20">
        <v>0</v>
      </c>
      <c r="AD199" s="20">
        <v>0</v>
      </c>
      <c r="AE199" s="20">
        <v>0</v>
      </c>
      <c r="AF199" s="20">
        <v>0</v>
      </c>
      <c r="AG199" s="20">
        <v>0</v>
      </c>
      <c r="AH199" s="20">
        <v>0</v>
      </c>
      <c r="AI199" s="20">
        <v>0</v>
      </c>
      <c r="AJ199" s="20">
        <v>0</v>
      </c>
      <c r="AK199" s="20">
        <v>0</v>
      </c>
      <c r="AL199" s="20">
        <v>0</v>
      </c>
      <c r="AM199" s="20">
        <v>0</v>
      </c>
      <c r="AN199" s="20">
        <v>0</v>
      </c>
      <c r="AO199" s="20">
        <v>0</v>
      </c>
      <c r="AP199" s="20">
        <v>0</v>
      </c>
      <c r="AQ199" s="20">
        <v>0</v>
      </c>
      <c r="AR199" s="20">
        <v>0</v>
      </c>
      <c r="AS199" s="20">
        <v>0</v>
      </c>
      <c r="AT199" s="20">
        <v>0</v>
      </c>
      <c r="AU199" s="20">
        <v>0</v>
      </c>
      <c r="AV199" s="20">
        <v>0</v>
      </c>
      <c r="AW199" s="20">
        <v>0</v>
      </c>
      <c r="AX199" s="20">
        <v>0</v>
      </c>
      <c r="AY199" s="20">
        <v>0</v>
      </c>
      <c r="AZ199" s="20">
        <v>0</v>
      </c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1"/>
      <c r="CC199" s="27">
        <f t="shared" si="33"/>
        <v>11.73</v>
      </c>
      <c r="CD199" s="38">
        <f t="shared" si="34"/>
        <v>16</v>
      </c>
      <c r="CE199" s="38">
        <f t="shared" si="35"/>
        <v>16</v>
      </c>
      <c r="CF199" s="38">
        <f t="shared" si="36"/>
        <v>10.4</v>
      </c>
      <c r="CG199" s="38">
        <f t="shared" si="37"/>
        <v>0</v>
      </c>
      <c r="CH199" s="38">
        <f t="shared" si="38"/>
        <v>0</v>
      </c>
      <c r="CI199" s="38">
        <f t="shared" si="39"/>
        <v>0</v>
      </c>
      <c r="CJ199" s="38">
        <f t="shared" si="40"/>
        <v>0</v>
      </c>
      <c r="CK199" s="38">
        <f t="shared" si="41"/>
        <v>0</v>
      </c>
      <c r="CL199" s="38" t="e">
        <f>IF(C199="","",IF(COUNT(G199:AZ199)&lt;46,"",SUMPRODUCT(CC199:CK199,'تنظیمات وزن‌دهی'!$C$5:$C$13)/100))</f>
        <v>#VALUE!</v>
      </c>
      <c r="CM199" s="38" t="e">
        <f t="shared" si="42"/>
        <v>#VALUE!</v>
      </c>
      <c r="CN199" s="38">
        <v>3</v>
      </c>
      <c r="CO199" s="28">
        <f t="shared" si="43"/>
        <v>1</v>
      </c>
      <c r="CP199" s="58"/>
    </row>
    <row r="200" spans="1:94" ht="17.25" hidden="1">
      <c r="A200" s="33">
        <v>196</v>
      </c>
      <c r="B200" s="55" t="s">
        <v>186</v>
      </c>
      <c r="C200" s="55">
        <f>IF(دانش‌آموزان!E21="","",دانش‌آموزان!B21)</f>
        <v>17</v>
      </c>
      <c r="D200" s="55" t="str">
        <f>IF(دانش‌آموزان!C21="","",دانش‌آموزان!C21)</f>
        <v>0960402802</v>
      </c>
      <c r="E200" s="55" t="str">
        <f>IF(دانش‌آموزان!E21="","",دانش‌آموزان!E21&amp;" "&amp;دانش‌آموزان!F21)</f>
        <v>اميررضا سميعي</v>
      </c>
      <c r="F200" s="34">
        <f>IF(دانش‌آموزان!I21="","",دانش‌آموزان!I21)</f>
        <v>901</v>
      </c>
      <c r="G200" s="19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1"/>
      <c r="CC200" s="27" t="str">
        <f t="shared" si="33"/>
        <v/>
      </c>
      <c r="CD200" s="38" t="str">
        <f t="shared" si="34"/>
        <v/>
      </c>
      <c r="CE200" s="38" t="str">
        <f t="shared" si="35"/>
        <v/>
      </c>
      <c r="CF200" s="38" t="str">
        <f t="shared" si="36"/>
        <v/>
      </c>
      <c r="CG200" s="38" t="str">
        <f t="shared" si="37"/>
        <v/>
      </c>
      <c r="CH200" s="38" t="str">
        <f t="shared" si="38"/>
        <v/>
      </c>
      <c r="CI200" s="38" t="str">
        <f t="shared" si="39"/>
        <v/>
      </c>
      <c r="CJ200" s="38" t="str">
        <f t="shared" si="40"/>
        <v/>
      </c>
      <c r="CK200" s="38" t="str">
        <f t="shared" si="41"/>
        <v/>
      </c>
      <c r="CL200" s="38" t="str">
        <f>IF(C200="","",IF(COUNT(G200:AZ200)&lt;46,"",SUMPRODUCT(CC200:CK200,'تنظیمات وزن‌دهی'!$C$5:$C$13)/100))</f>
        <v/>
      </c>
      <c r="CM200" s="38" t="str">
        <f t="shared" si="42"/>
        <v/>
      </c>
      <c r="CN200" s="38">
        <v>4</v>
      </c>
      <c r="CO200" s="28">
        <f t="shared" si="43"/>
        <v>0</v>
      </c>
      <c r="CP200" s="58"/>
    </row>
    <row r="201" spans="1:94" ht="17.25" hidden="1">
      <c r="A201" s="33">
        <v>197</v>
      </c>
      <c r="B201" s="55" t="s">
        <v>187</v>
      </c>
      <c r="C201" s="55">
        <f>IF(دانش‌آموزان!E21="","",دانش‌آموزان!B21)</f>
        <v>17</v>
      </c>
      <c r="D201" s="55" t="str">
        <f>IF(دانش‌آموزان!C21="","",دانش‌آموزان!C21)</f>
        <v>0960402802</v>
      </c>
      <c r="E201" s="55" t="str">
        <f>IF(دانش‌آموزان!E21="","",دانش‌آموزان!E21&amp;" "&amp;دانش‌آموزان!F21)</f>
        <v>اميررضا سميعي</v>
      </c>
      <c r="F201" s="34">
        <f>IF(دانش‌آموزان!I21="","",دانش‌آموزان!I21)</f>
        <v>901</v>
      </c>
      <c r="G201" s="19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1"/>
      <c r="CC201" s="27" t="str">
        <f t="shared" si="33"/>
        <v/>
      </c>
      <c r="CD201" s="38" t="str">
        <f t="shared" si="34"/>
        <v/>
      </c>
      <c r="CE201" s="38" t="str">
        <f t="shared" si="35"/>
        <v/>
      </c>
      <c r="CF201" s="38" t="str">
        <f t="shared" si="36"/>
        <v/>
      </c>
      <c r="CG201" s="38" t="str">
        <f t="shared" si="37"/>
        <v/>
      </c>
      <c r="CH201" s="38" t="str">
        <f t="shared" si="38"/>
        <v/>
      </c>
      <c r="CI201" s="38" t="str">
        <f t="shared" si="39"/>
        <v/>
      </c>
      <c r="CJ201" s="38" t="str">
        <f t="shared" si="40"/>
        <v/>
      </c>
      <c r="CK201" s="38" t="str">
        <f t="shared" si="41"/>
        <v/>
      </c>
      <c r="CL201" s="38" t="str">
        <f>IF(C201="","",IF(COUNT(G201:AZ201)&lt;46,"",SUMPRODUCT(CC201:CK201,'تنظیمات وزن‌دهی'!$C$5:$C$13)/100))</f>
        <v/>
      </c>
      <c r="CM201" s="38" t="str">
        <f t="shared" si="42"/>
        <v/>
      </c>
      <c r="CN201" s="38">
        <v>5</v>
      </c>
      <c r="CO201" s="28">
        <f t="shared" si="43"/>
        <v>0</v>
      </c>
      <c r="CP201" s="58"/>
    </row>
    <row r="202" spans="1:94" ht="17.25" hidden="1">
      <c r="A202" s="33">
        <v>198</v>
      </c>
      <c r="B202" s="55" t="s">
        <v>188</v>
      </c>
      <c r="C202" s="55">
        <f>IF(دانش‌آموزان!E21="","",دانش‌آموزان!B21)</f>
        <v>17</v>
      </c>
      <c r="D202" s="55" t="str">
        <f>IF(دانش‌آموزان!C21="","",دانش‌آموزان!C21)</f>
        <v>0960402802</v>
      </c>
      <c r="E202" s="55" t="str">
        <f>IF(دانش‌آموزان!E21="","",دانش‌آموزان!E21&amp;" "&amp;دانش‌آموزان!F21)</f>
        <v>اميررضا سميعي</v>
      </c>
      <c r="F202" s="34">
        <f>IF(دانش‌آموزان!I21="","",دانش‌آموزان!I21)</f>
        <v>901</v>
      </c>
      <c r="G202" s="19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1"/>
      <c r="CC202" s="27" t="str">
        <f t="shared" si="33"/>
        <v/>
      </c>
      <c r="CD202" s="38" t="str">
        <f t="shared" si="34"/>
        <v/>
      </c>
      <c r="CE202" s="38" t="str">
        <f t="shared" si="35"/>
        <v/>
      </c>
      <c r="CF202" s="38" t="str">
        <f t="shared" si="36"/>
        <v/>
      </c>
      <c r="CG202" s="38" t="str">
        <f t="shared" si="37"/>
        <v/>
      </c>
      <c r="CH202" s="38" t="str">
        <f t="shared" si="38"/>
        <v/>
      </c>
      <c r="CI202" s="38" t="str">
        <f t="shared" si="39"/>
        <v/>
      </c>
      <c r="CJ202" s="38" t="str">
        <f t="shared" si="40"/>
        <v/>
      </c>
      <c r="CK202" s="38" t="str">
        <f t="shared" si="41"/>
        <v/>
      </c>
      <c r="CL202" s="38" t="str">
        <f>IF(C202="","",IF(COUNT(G202:AZ202)&lt;46,"",SUMPRODUCT(CC202:CK202,'تنظیمات وزن‌دهی'!$C$5:$C$13)/100))</f>
        <v/>
      </c>
      <c r="CM202" s="38" t="str">
        <f t="shared" si="42"/>
        <v/>
      </c>
      <c r="CN202" s="38">
        <v>6</v>
      </c>
      <c r="CO202" s="28">
        <f t="shared" si="43"/>
        <v>0</v>
      </c>
      <c r="CP202" s="58"/>
    </row>
    <row r="203" spans="1:94" ht="17.25" hidden="1">
      <c r="A203" s="33">
        <v>199</v>
      </c>
      <c r="B203" s="55" t="s">
        <v>189</v>
      </c>
      <c r="C203" s="55">
        <f>IF(دانش‌آموزان!E21="","",دانش‌آموزان!B21)</f>
        <v>17</v>
      </c>
      <c r="D203" s="55" t="str">
        <f>IF(دانش‌آموزان!C21="","",دانش‌آموزان!C21)</f>
        <v>0960402802</v>
      </c>
      <c r="E203" s="55" t="str">
        <f>IF(دانش‌آموزان!E21="","",دانش‌آموزان!E21&amp;" "&amp;دانش‌آموزان!F21)</f>
        <v>اميررضا سميعي</v>
      </c>
      <c r="F203" s="34">
        <f>IF(دانش‌آموزان!I21="","",دانش‌آموزان!I21)</f>
        <v>901</v>
      </c>
      <c r="G203" s="19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1"/>
      <c r="CC203" s="27" t="str">
        <f t="shared" si="33"/>
        <v/>
      </c>
      <c r="CD203" s="38" t="str">
        <f t="shared" si="34"/>
        <v/>
      </c>
      <c r="CE203" s="38" t="str">
        <f t="shared" si="35"/>
        <v/>
      </c>
      <c r="CF203" s="38" t="str">
        <f t="shared" si="36"/>
        <v/>
      </c>
      <c r="CG203" s="38" t="str">
        <f t="shared" si="37"/>
        <v/>
      </c>
      <c r="CH203" s="38" t="str">
        <f t="shared" si="38"/>
        <v/>
      </c>
      <c r="CI203" s="38" t="str">
        <f t="shared" si="39"/>
        <v/>
      </c>
      <c r="CJ203" s="38" t="str">
        <f t="shared" si="40"/>
        <v/>
      </c>
      <c r="CK203" s="38" t="str">
        <f t="shared" si="41"/>
        <v/>
      </c>
      <c r="CL203" s="38" t="str">
        <f>IF(C203="","",IF(COUNT(G203:AZ203)&lt;46,"",SUMPRODUCT(CC203:CK203,'تنظیمات وزن‌دهی'!$C$5:$C$13)/100))</f>
        <v/>
      </c>
      <c r="CM203" s="38" t="str">
        <f t="shared" si="42"/>
        <v/>
      </c>
      <c r="CN203" s="38">
        <v>7</v>
      </c>
      <c r="CO203" s="28">
        <f t="shared" si="43"/>
        <v>0</v>
      </c>
      <c r="CP203" s="58"/>
    </row>
    <row r="204" spans="1:94" ht="17.25" hidden="1">
      <c r="A204" s="33">
        <v>200</v>
      </c>
      <c r="B204" s="55" t="s">
        <v>190</v>
      </c>
      <c r="C204" s="55">
        <f>IF(دانش‌آموزان!E21="","",دانش‌آموزان!B21)</f>
        <v>17</v>
      </c>
      <c r="D204" s="55" t="str">
        <f>IF(دانش‌آموزان!C21="","",دانش‌آموزان!C21)</f>
        <v>0960402802</v>
      </c>
      <c r="E204" s="55" t="str">
        <f>IF(دانش‌آموزان!E21="","",دانش‌آموزان!E21&amp;" "&amp;دانش‌آموزان!F21)</f>
        <v>اميررضا سميعي</v>
      </c>
      <c r="F204" s="34">
        <f>IF(دانش‌آموزان!I21="","",دانش‌آموزان!I21)</f>
        <v>901</v>
      </c>
      <c r="G204" s="19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1"/>
      <c r="CC204" s="27" t="str">
        <f t="shared" si="33"/>
        <v/>
      </c>
      <c r="CD204" s="38" t="str">
        <f t="shared" si="34"/>
        <v/>
      </c>
      <c r="CE204" s="38" t="str">
        <f t="shared" si="35"/>
        <v/>
      </c>
      <c r="CF204" s="38" t="str">
        <f t="shared" si="36"/>
        <v/>
      </c>
      <c r="CG204" s="38" t="str">
        <f t="shared" si="37"/>
        <v/>
      </c>
      <c r="CH204" s="38" t="str">
        <f t="shared" si="38"/>
        <v/>
      </c>
      <c r="CI204" s="38" t="str">
        <f t="shared" si="39"/>
        <v/>
      </c>
      <c r="CJ204" s="38" t="str">
        <f t="shared" si="40"/>
        <v/>
      </c>
      <c r="CK204" s="38" t="str">
        <f t="shared" si="41"/>
        <v/>
      </c>
      <c r="CL204" s="38" t="str">
        <f>IF(C204="","",IF(COUNT(G204:AZ204)&lt;46,"",SUMPRODUCT(CC204:CK204,'تنظیمات وزن‌دهی'!$C$5:$C$13)/100))</f>
        <v/>
      </c>
      <c r="CM204" s="38" t="str">
        <f t="shared" si="42"/>
        <v/>
      </c>
      <c r="CN204" s="38">
        <v>8</v>
      </c>
      <c r="CO204" s="28">
        <f t="shared" si="43"/>
        <v>0</v>
      </c>
      <c r="CP204" s="58"/>
    </row>
    <row r="205" spans="1:94" ht="17.25" hidden="1">
      <c r="A205" s="33">
        <v>201</v>
      </c>
      <c r="B205" s="55" t="s">
        <v>191</v>
      </c>
      <c r="C205" s="55">
        <f>IF(دانش‌آموزان!E21="","",دانش‌آموزان!B21)</f>
        <v>17</v>
      </c>
      <c r="D205" s="55" t="str">
        <f>IF(دانش‌آموزان!C21="","",دانش‌آموزان!C21)</f>
        <v>0960402802</v>
      </c>
      <c r="E205" s="55" t="str">
        <f>IF(دانش‌آموزان!E21="","",دانش‌آموزان!E21&amp;" "&amp;دانش‌آموزان!F21)</f>
        <v>اميررضا سميعي</v>
      </c>
      <c r="F205" s="34">
        <f>IF(دانش‌آموزان!I21="","",دانش‌آموزان!I21)</f>
        <v>901</v>
      </c>
      <c r="G205" s="19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1"/>
      <c r="CC205" s="27" t="str">
        <f t="shared" si="33"/>
        <v/>
      </c>
      <c r="CD205" s="38" t="str">
        <f t="shared" si="34"/>
        <v/>
      </c>
      <c r="CE205" s="38" t="str">
        <f t="shared" si="35"/>
        <v/>
      </c>
      <c r="CF205" s="38" t="str">
        <f t="shared" si="36"/>
        <v/>
      </c>
      <c r="CG205" s="38" t="str">
        <f t="shared" si="37"/>
        <v/>
      </c>
      <c r="CH205" s="38" t="str">
        <f t="shared" si="38"/>
        <v/>
      </c>
      <c r="CI205" s="38" t="str">
        <f t="shared" si="39"/>
        <v/>
      </c>
      <c r="CJ205" s="38" t="str">
        <f t="shared" si="40"/>
        <v/>
      </c>
      <c r="CK205" s="38" t="str">
        <f t="shared" si="41"/>
        <v/>
      </c>
      <c r="CL205" s="38" t="str">
        <f>IF(C205="","",IF(COUNT(G205:AZ205)&lt;46,"",SUMPRODUCT(CC205:CK205,'تنظیمات وزن‌دهی'!$C$5:$C$13)/100))</f>
        <v/>
      </c>
      <c r="CM205" s="38" t="str">
        <f t="shared" si="42"/>
        <v/>
      </c>
      <c r="CN205" s="38">
        <v>9</v>
      </c>
      <c r="CO205" s="28">
        <f t="shared" si="43"/>
        <v>0</v>
      </c>
      <c r="CP205" s="58"/>
    </row>
    <row r="206" spans="1:94" ht="17.25" hidden="1">
      <c r="A206" s="33">
        <v>202</v>
      </c>
      <c r="B206" s="55" t="s">
        <v>192</v>
      </c>
      <c r="C206" s="55">
        <f>IF(دانش‌آموزان!E21="","",دانش‌آموزان!B21)</f>
        <v>17</v>
      </c>
      <c r="D206" s="55" t="str">
        <f>IF(دانش‌آموزان!C21="","",دانش‌آموزان!C21)</f>
        <v>0960402802</v>
      </c>
      <c r="E206" s="55" t="str">
        <f>IF(دانش‌آموزان!E21="","",دانش‌آموزان!E21&amp;" "&amp;دانش‌آموزان!F21)</f>
        <v>اميررضا سميعي</v>
      </c>
      <c r="F206" s="34">
        <f>IF(دانش‌آموزان!I21="","",دانش‌آموزان!I21)</f>
        <v>901</v>
      </c>
      <c r="G206" s="19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1"/>
      <c r="CC206" s="27" t="str">
        <f t="shared" si="33"/>
        <v/>
      </c>
      <c r="CD206" s="38" t="str">
        <f t="shared" si="34"/>
        <v/>
      </c>
      <c r="CE206" s="38" t="str">
        <f t="shared" si="35"/>
        <v/>
      </c>
      <c r="CF206" s="38" t="str">
        <f t="shared" si="36"/>
        <v/>
      </c>
      <c r="CG206" s="38" t="str">
        <f t="shared" si="37"/>
        <v/>
      </c>
      <c r="CH206" s="38" t="str">
        <f t="shared" si="38"/>
        <v/>
      </c>
      <c r="CI206" s="38" t="str">
        <f t="shared" si="39"/>
        <v/>
      </c>
      <c r="CJ206" s="38" t="str">
        <f t="shared" si="40"/>
        <v/>
      </c>
      <c r="CK206" s="38" t="str">
        <f t="shared" si="41"/>
        <v/>
      </c>
      <c r="CL206" s="38" t="str">
        <f>IF(C206="","",IF(COUNT(G206:AZ206)&lt;46,"",SUMPRODUCT(CC206:CK206,'تنظیمات وزن‌دهی'!$C$5:$C$13)/100))</f>
        <v/>
      </c>
      <c r="CM206" s="38" t="str">
        <f t="shared" si="42"/>
        <v/>
      </c>
      <c r="CN206" s="38">
        <v>10</v>
      </c>
      <c r="CO206" s="28">
        <f t="shared" si="43"/>
        <v>0</v>
      </c>
      <c r="CP206" s="58"/>
    </row>
    <row r="207" spans="1:94" ht="17.25" hidden="1">
      <c r="A207" s="33">
        <v>203</v>
      </c>
      <c r="B207" s="55" t="s">
        <v>193</v>
      </c>
      <c r="C207" s="55">
        <f>IF(دانش‌آموزان!E21="","",دانش‌آموزان!B21)</f>
        <v>17</v>
      </c>
      <c r="D207" s="55" t="str">
        <f>IF(دانش‌آموزان!C21="","",دانش‌آموزان!C21)</f>
        <v>0960402802</v>
      </c>
      <c r="E207" s="55" t="str">
        <f>IF(دانش‌آموزان!E21="","",دانش‌آموزان!E21&amp;" "&amp;دانش‌آموزان!F21)</f>
        <v>اميررضا سميعي</v>
      </c>
      <c r="F207" s="34">
        <f>IF(دانش‌آموزان!I21="","",دانش‌آموزان!I21)</f>
        <v>901</v>
      </c>
      <c r="G207" s="19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1"/>
      <c r="CC207" s="27" t="str">
        <f t="shared" si="33"/>
        <v/>
      </c>
      <c r="CD207" s="38" t="str">
        <f t="shared" si="34"/>
        <v/>
      </c>
      <c r="CE207" s="38" t="str">
        <f t="shared" si="35"/>
        <v/>
      </c>
      <c r="CF207" s="38" t="str">
        <f t="shared" si="36"/>
        <v/>
      </c>
      <c r="CG207" s="38" t="str">
        <f t="shared" si="37"/>
        <v/>
      </c>
      <c r="CH207" s="38" t="str">
        <f t="shared" si="38"/>
        <v/>
      </c>
      <c r="CI207" s="38" t="str">
        <f t="shared" si="39"/>
        <v/>
      </c>
      <c r="CJ207" s="38" t="str">
        <f t="shared" si="40"/>
        <v/>
      </c>
      <c r="CK207" s="38" t="str">
        <f t="shared" si="41"/>
        <v/>
      </c>
      <c r="CL207" s="38" t="str">
        <f>IF(C207="","",IF(COUNT(G207:AZ207)&lt;46,"",SUMPRODUCT(CC207:CK207,'تنظیمات وزن‌دهی'!$C$5:$C$13)/100))</f>
        <v/>
      </c>
      <c r="CM207" s="38" t="str">
        <f t="shared" si="42"/>
        <v/>
      </c>
      <c r="CN207" s="38">
        <v>11</v>
      </c>
      <c r="CO207" s="28">
        <f t="shared" si="43"/>
        <v>0</v>
      </c>
      <c r="CP207" s="58"/>
    </row>
    <row r="208" spans="1:94" ht="17.25" hidden="1">
      <c r="A208" s="33">
        <v>204</v>
      </c>
      <c r="B208" s="55" t="s">
        <v>194</v>
      </c>
      <c r="C208" s="55">
        <f>IF(دانش‌آموزان!E21="","",دانش‌آموزان!B21)</f>
        <v>17</v>
      </c>
      <c r="D208" s="55" t="str">
        <f>IF(دانش‌آموزان!C21="","",دانش‌آموزان!C21)</f>
        <v>0960402802</v>
      </c>
      <c r="E208" s="55" t="str">
        <f>IF(دانش‌آموزان!E21="","",دانش‌آموزان!E21&amp;" "&amp;دانش‌آموزان!F21)</f>
        <v>اميررضا سميعي</v>
      </c>
      <c r="F208" s="34">
        <f>IF(دانش‌آموزان!I21="","",دانش‌آموزان!I21)</f>
        <v>901</v>
      </c>
      <c r="G208" s="19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1"/>
      <c r="CC208" s="27" t="str">
        <f t="shared" si="33"/>
        <v/>
      </c>
      <c r="CD208" s="38" t="str">
        <f t="shared" si="34"/>
        <v/>
      </c>
      <c r="CE208" s="38" t="str">
        <f t="shared" si="35"/>
        <v/>
      </c>
      <c r="CF208" s="38" t="str">
        <f t="shared" si="36"/>
        <v/>
      </c>
      <c r="CG208" s="38" t="str">
        <f t="shared" si="37"/>
        <v/>
      </c>
      <c r="CH208" s="38" t="str">
        <f t="shared" si="38"/>
        <v/>
      </c>
      <c r="CI208" s="38" t="str">
        <f t="shared" si="39"/>
        <v/>
      </c>
      <c r="CJ208" s="38" t="str">
        <f t="shared" si="40"/>
        <v/>
      </c>
      <c r="CK208" s="38" t="str">
        <f t="shared" si="41"/>
        <v/>
      </c>
      <c r="CL208" s="38" t="str">
        <f>IF(C208="","",IF(COUNT(G208:AZ208)&lt;46,"",SUMPRODUCT(CC208:CK208,'تنظیمات وزن‌دهی'!$C$5:$C$13)/100))</f>
        <v/>
      </c>
      <c r="CM208" s="38" t="str">
        <f t="shared" si="42"/>
        <v/>
      </c>
      <c r="CN208" s="38">
        <v>12</v>
      </c>
      <c r="CO208" s="28">
        <f t="shared" si="43"/>
        <v>0</v>
      </c>
      <c r="CP208" s="58"/>
    </row>
    <row r="209" spans="1:94" ht="17.25" hidden="1">
      <c r="A209" s="33">
        <v>205</v>
      </c>
      <c r="B209" s="55" t="s">
        <v>183</v>
      </c>
      <c r="C209" s="55">
        <f>IF(دانش‌آموزان!E22="","",دانش‌آموزان!B22)</f>
        <v>18</v>
      </c>
      <c r="D209" s="55" t="str">
        <f>IF(دانش‌آموزان!C22="","",دانش‌آموزان!C22)</f>
        <v>0960312935</v>
      </c>
      <c r="E209" s="55" t="str">
        <f>IF(دانش‌آموزان!E22="","",دانش‌آموزان!E22&amp;" "&amp;دانش‌آموزان!F22)</f>
        <v>عليرضا شريفي</v>
      </c>
      <c r="F209" s="34">
        <f>IF(دانش‌آموزان!I22="","",دانش‌آموزان!I22)</f>
        <v>901</v>
      </c>
      <c r="G209" s="19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1"/>
      <c r="CC209" s="27" t="str">
        <f t="shared" si="33"/>
        <v/>
      </c>
      <c r="CD209" s="38" t="str">
        <f t="shared" si="34"/>
        <v/>
      </c>
      <c r="CE209" s="38" t="str">
        <f t="shared" si="35"/>
        <v/>
      </c>
      <c r="CF209" s="38" t="str">
        <f t="shared" si="36"/>
        <v/>
      </c>
      <c r="CG209" s="38" t="str">
        <f t="shared" si="37"/>
        <v/>
      </c>
      <c r="CH209" s="38" t="str">
        <f t="shared" si="38"/>
        <v/>
      </c>
      <c r="CI209" s="38" t="str">
        <f t="shared" si="39"/>
        <v/>
      </c>
      <c r="CJ209" s="38" t="str">
        <f t="shared" si="40"/>
        <v/>
      </c>
      <c r="CK209" s="38" t="str">
        <f t="shared" si="41"/>
        <v/>
      </c>
      <c r="CL209" s="38" t="str">
        <f>IF(C209="","",IF(COUNT(G209:AZ209)&lt;46,"",SUMPRODUCT(CC209:CK209,'تنظیمات وزن‌دهی'!$C$5:$C$13)/100))</f>
        <v/>
      </c>
      <c r="CM209" s="38" t="str">
        <f t="shared" si="42"/>
        <v/>
      </c>
      <c r="CN209" s="38">
        <v>1</v>
      </c>
      <c r="CO209" s="28">
        <f t="shared" si="43"/>
        <v>0</v>
      </c>
      <c r="CP209" s="58"/>
    </row>
    <row r="210" spans="1:94" ht="17.25" hidden="1">
      <c r="A210" s="33">
        <v>206</v>
      </c>
      <c r="B210" s="55" t="s">
        <v>184</v>
      </c>
      <c r="C210" s="55">
        <f>IF(دانش‌آموزان!E22="","",دانش‌آموزان!B22)</f>
        <v>18</v>
      </c>
      <c r="D210" s="55" t="str">
        <f>IF(دانش‌آموزان!C22="","",دانش‌آموزان!C22)</f>
        <v>0960312935</v>
      </c>
      <c r="E210" s="55" t="str">
        <f>IF(دانش‌آموزان!E22="","",دانش‌آموزان!E22&amp;" "&amp;دانش‌آموزان!F22)</f>
        <v>عليرضا شريفي</v>
      </c>
      <c r="F210" s="34">
        <f>IF(دانش‌آموزان!I22="","",دانش‌آموزان!I22)</f>
        <v>901</v>
      </c>
      <c r="G210" s="19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1"/>
      <c r="CC210" s="27" t="str">
        <f t="shared" si="33"/>
        <v/>
      </c>
      <c r="CD210" s="38" t="str">
        <f t="shared" si="34"/>
        <v/>
      </c>
      <c r="CE210" s="38" t="str">
        <f t="shared" si="35"/>
        <v/>
      </c>
      <c r="CF210" s="38" t="str">
        <f t="shared" si="36"/>
        <v/>
      </c>
      <c r="CG210" s="38" t="str">
        <f t="shared" si="37"/>
        <v/>
      </c>
      <c r="CH210" s="38" t="str">
        <f t="shared" si="38"/>
        <v/>
      </c>
      <c r="CI210" s="38" t="str">
        <f t="shared" si="39"/>
        <v/>
      </c>
      <c r="CJ210" s="38" t="str">
        <f t="shared" si="40"/>
        <v/>
      </c>
      <c r="CK210" s="38" t="str">
        <f t="shared" si="41"/>
        <v/>
      </c>
      <c r="CL210" s="38" t="str">
        <f>IF(C210="","",IF(COUNT(G210:AZ210)&lt;46,"",SUMPRODUCT(CC210:CK210,'تنظیمات وزن‌دهی'!$C$5:$C$13)/100))</f>
        <v/>
      </c>
      <c r="CM210" s="38" t="str">
        <f t="shared" si="42"/>
        <v/>
      </c>
      <c r="CN210" s="38">
        <v>2</v>
      </c>
      <c r="CO210" s="28">
        <f t="shared" si="43"/>
        <v>0</v>
      </c>
      <c r="CP210" s="58"/>
    </row>
    <row r="211" spans="1:94" ht="17.25">
      <c r="A211" s="33">
        <v>207</v>
      </c>
      <c r="B211" s="55" t="s">
        <v>185</v>
      </c>
      <c r="C211" s="55">
        <f>IF(دانش‌آموزان!E22="","",دانش‌آموزان!B22)</f>
        <v>18</v>
      </c>
      <c r="D211" s="55" t="str">
        <f>IF(دانش‌آموزان!C22="","",دانش‌آموزان!C22)</f>
        <v>0960312935</v>
      </c>
      <c r="E211" s="55" t="str">
        <f>IF(دانش‌آموزان!E22="","",دانش‌آموزان!E22&amp;" "&amp;دانش‌آموزان!F22)</f>
        <v>عليرضا شريفي</v>
      </c>
      <c r="F211" s="34">
        <f>IF(دانش‌آموزان!I22="","",دانش‌آموزان!I22)</f>
        <v>901</v>
      </c>
      <c r="G211" s="19">
        <v>19.53</v>
      </c>
      <c r="H211" s="20">
        <v>0</v>
      </c>
      <c r="I211" s="20">
        <v>0</v>
      </c>
      <c r="J211" s="20">
        <v>0</v>
      </c>
      <c r="K211" s="20">
        <v>0</v>
      </c>
      <c r="L211" s="20">
        <v>0</v>
      </c>
      <c r="M211" s="20">
        <v>0</v>
      </c>
      <c r="N211" s="20">
        <v>0</v>
      </c>
      <c r="O211" s="20">
        <v>0</v>
      </c>
      <c r="P211" s="20">
        <v>0</v>
      </c>
      <c r="Q211" s="20">
        <v>0</v>
      </c>
      <c r="R211" s="20">
        <v>0</v>
      </c>
      <c r="S211" s="20">
        <v>0</v>
      </c>
      <c r="T211" s="20">
        <v>0</v>
      </c>
      <c r="U211" s="20">
        <v>0</v>
      </c>
      <c r="V211" s="20">
        <v>0</v>
      </c>
      <c r="W211" s="20">
        <v>0</v>
      </c>
      <c r="X211" s="20">
        <v>0</v>
      </c>
      <c r="Y211" s="20">
        <v>0</v>
      </c>
      <c r="Z211" s="20">
        <v>0</v>
      </c>
      <c r="AA211" s="20">
        <v>0</v>
      </c>
      <c r="AB211" s="20">
        <v>0</v>
      </c>
      <c r="AC211" s="20">
        <v>0</v>
      </c>
      <c r="AD211" s="20">
        <v>0</v>
      </c>
      <c r="AE211" s="20">
        <v>0</v>
      </c>
      <c r="AF211" s="20">
        <v>0</v>
      </c>
      <c r="AG211" s="20">
        <v>0</v>
      </c>
      <c r="AH211" s="20">
        <v>0</v>
      </c>
      <c r="AI211" s="20">
        <v>0</v>
      </c>
      <c r="AJ211" s="20">
        <v>0</v>
      </c>
      <c r="AK211" s="20">
        <v>0</v>
      </c>
      <c r="AL211" s="20">
        <v>0</v>
      </c>
      <c r="AM211" s="20">
        <v>0</v>
      </c>
      <c r="AN211" s="20">
        <v>0</v>
      </c>
      <c r="AO211" s="20">
        <v>0</v>
      </c>
      <c r="AP211" s="20">
        <v>0</v>
      </c>
      <c r="AQ211" s="20">
        <v>0</v>
      </c>
      <c r="AR211" s="20">
        <v>0</v>
      </c>
      <c r="AS211" s="20">
        <v>0</v>
      </c>
      <c r="AT211" s="20">
        <v>0</v>
      </c>
      <c r="AU211" s="20">
        <v>0</v>
      </c>
      <c r="AV211" s="20">
        <v>0</v>
      </c>
      <c r="AW211" s="20">
        <v>0</v>
      </c>
      <c r="AX211" s="20">
        <v>0</v>
      </c>
      <c r="AY211" s="20">
        <v>0</v>
      </c>
      <c r="AZ211" s="20">
        <v>0</v>
      </c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1"/>
      <c r="CC211" s="27">
        <f t="shared" si="33"/>
        <v>9.7650000000000006</v>
      </c>
      <c r="CD211" s="38">
        <f t="shared" si="34"/>
        <v>0</v>
      </c>
      <c r="CE211" s="38">
        <f t="shared" si="35"/>
        <v>0</v>
      </c>
      <c r="CF211" s="38">
        <f t="shared" si="36"/>
        <v>0</v>
      </c>
      <c r="CG211" s="38">
        <f t="shared" si="37"/>
        <v>0</v>
      </c>
      <c r="CH211" s="38">
        <f t="shared" si="38"/>
        <v>0</v>
      </c>
      <c r="CI211" s="38">
        <f t="shared" si="39"/>
        <v>0</v>
      </c>
      <c r="CJ211" s="38">
        <f t="shared" si="40"/>
        <v>0</v>
      </c>
      <c r="CK211" s="38">
        <f t="shared" si="41"/>
        <v>0</v>
      </c>
      <c r="CL211" s="38" t="e">
        <f>IF(C211="","",IF(COUNT(G211:AZ211)&lt;46,"",SUMPRODUCT(CC211:CK211,'تنظیمات وزن‌دهی'!$C$5:$C$13)/100))</f>
        <v>#VALUE!</v>
      </c>
      <c r="CM211" s="38" t="e">
        <f t="shared" si="42"/>
        <v>#VALUE!</v>
      </c>
      <c r="CN211" s="38">
        <v>3</v>
      </c>
      <c r="CO211" s="28">
        <f t="shared" si="43"/>
        <v>1</v>
      </c>
      <c r="CP211" s="58"/>
    </row>
    <row r="212" spans="1:94" ht="17.25" hidden="1">
      <c r="A212" s="33">
        <v>208</v>
      </c>
      <c r="B212" s="55" t="s">
        <v>186</v>
      </c>
      <c r="C212" s="55">
        <f>IF(دانش‌آموزان!E22="","",دانش‌آموزان!B22)</f>
        <v>18</v>
      </c>
      <c r="D212" s="55" t="str">
        <f>IF(دانش‌آموزان!C22="","",دانش‌آموزان!C22)</f>
        <v>0960312935</v>
      </c>
      <c r="E212" s="55" t="str">
        <f>IF(دانش‌آموزان!E22="","",دانش‌آموزان!E22&amp;" "&amp;دانش‌آموزان!F22)</f>
        <v>عليرضا شريفي</v>
      </c>
      <c r="F212" s="34">
        <f>IF(دانش‌آموزان!I22="","",دانش‌آموزان!I22)</f>
        <v>901</v>
      </c>
      <c r="G212" s="19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1"/>
      <c r="CC212" s="27" t="str">
        <f t="shared" si="33"/>
        <v/>
      </c>
      <c r="CD212" s="38" t="str">
        <f t="shared" si="34"/>
        <v/>
      </c>
      <c r="CE212" s="38" t="str">
        <f t="shared" si="35"/>
        <v/>
      </c>
      <c r="CF212" s="38" t="str">
        <f t="shared" si="36"/>
        <v/>
      </c>
      <c r="CG212" s="38" t="str">
        <f t="shared" si="37"/>
        <v/>
      </c>
      <c r="CH212" s="38" t="str">
        <f t="shared" si="38"/>
        <v/>
      </c>
      <c r="CI212" s="38" t="str">
        <f t="shared" si="39"/>
        <v/>
      </c>
      <c r="CJ212" s="38" t="str">
        <f t="shared" si="40"/>
        <v/>
      </c>
      <c r="CK212" s="38" t="str">
        <f t="shared" si="41"/>
        <v/>
      </c>
      <c r="CL212" s="38" t="str">
        <f>IF(C212="","",IF(COUNT(G212:AZ212)&lt;46,"",SUMPRODUCT(CC212:CK212,'تنظیمات وزن‌دهی'!$C$5:$C$13)/100))</f>
        <v/>
      </c>
      <c r="CM212" s="38" t="str">
        <f t="shared" si="42"/>
        <v/>
      </c>
      <c r="CN212" s="38">
        <v>4</v>
      </c>
      <c r="CO212" s="28">
        <f t="shared" si="43"/>
        <v>0</v>
      </c>
      <c r="CP212" s="58"/>
    </row>
    <row r="213" spans="1:94" ht="17.25" hidden="1">
      <c r="A213" s="33">
        <v>209</v>
      </c>
      <c r="B213" s="55" t="s">
        <v>187</v>
      </c>
      <c r="C213" s="55">
        <f>IF(دانش‌آموزان!E22="","",دانش‌آموزان!B22)</f>
        <v>18</v>
      </c>
      <c r="D213" s="55" t="str">
        <f>IF(دانش‌آموزان!C22="","",دانش‌آموزان!C22)</f>
        <v>0960312935</v>
      </c>
      <c r="E213" s="55" t="str">
        <f>IF(دانش‌آموزان!E22="","",دانش‌آموزان!E22&amp;" "&amp;دانش‌آموزان!F22)</f>
        <v>عليرضا شريفي</v>
      </c>
      <c r="F213" s="34">
        <f>IF(دانش‌آموزان!I22="","",دانش‌آموزان!I22)</f>
        <v>901</v>
      </c>
      <c r="G213" s="19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1"/>
      <c r="CC213" s="27" t="str">
        <f t="shared" si="33"/>
        <v/>
      </c>
      <c r="CD213" s="38" t="str">
        <f t="shared" si="34"/>
        <v/>
      </c>
      <c r="CE213" s="38" t="str">
        <f t="shared" si="35"/>
        <v/>
      </c>
      <c r="CF213" s="38" t="str">
        <f t="shared" si="36"/>
        <v/>
      </c>
      <c r="CG213" s="38" t="str">
        <f t="shared" si="37"/>
        <v/>
      </c>
      <c r="CH213" s="38" t="str">
        <f t="shared" si="38"/>
        <v/>
      </c>
      <c r="CI213" s="38" t="str">
        <f t="shared" si="39"/>
        <v/>
      </c>
      <c r="CJ213" s="38" t="str">
        <f t="shared" si="40"/>
        <v/>
      </c>
      <c r="CK213" s="38" t="str">
        <f t="shared" si="41"/>
        <v/>
      </c>
      <c r="CL213" s="38" t="str">
        <f>IF(C213="","",IF(COUNT(G213:AZ213)&lt;46,"",SUMPRODUCT(CC213:CK213,'تنظیمات وزن‌دهی'!$C$5:$C$13)/100))</f>
        <v/>
      </c>
      <c r="CM213" s="38" t="str">
        <f t="shared" si="42"/>
        <v/>
      </c>
      <c r="CN213" s="38">
        <v>5</v>
      </c>
      <c r="CO213" s="28">
        <f t="shared" si="43"/>
        <v>0</v>
      </c>
      <c r="CP213" s="58"/>
    </row>
    <row r="214" spans="1:94" ht="17.25" hidden="1">
      <c r="A214" s="33">
        <v>210</v>
      </c>
      <c r="B214" s="55" t="s">
        <v>188</v>
      </c>
      <c r="C214" s="55">
        <f>IF(دانش‌آموزان!E22="","",دانش‌آموزان!B22)</f>
        <v>18</v>
      </c>
      <c r="D214" s="55" t="str">
        <f>IF(دانش‌آموزان!C22="","",دانش‌آموزان!C22)</f>
        <v>0960312935</v>
      </c>
      <c r="E214" s="55" t="str">
        <f>IF(دانش‌آموزان!E22="","",دانش‌آموزان!E22&amp;" "&amp;دانش‌آموزان!F22)</f>
        <v>عليرضا شريفي</v>
      </c>
      <c r="F214" s="34">
        <f>IF(دانش‌آموزان!I22="","",دانش‌آموزان!I22)</f>
        <v>901</v>
      </c>
      <c r="G214" s="19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1"/>
      <c r="CC214" s="27" t="str">
        <f t="shared" si="33"/>
        <v/>
      </c>
      <c r="CD214" s="38" t="str">
        <f t="shared" si="34"/>
        <v/>
      </c>
      <c r="CE214" s="38" t="str">
        <f t="shared" si="35"/>
        <v/>
      </c>
      <c r="CF214" s="38" t="str">
        <f t="shared" si="36"/>
        <v/>
      </c>
      <c r="CG214" s="38" t="str">
        <f t="shared" si="37"/>
        <v/>
      </c>
      <c r="CH214" s="38" t="str">
        <f t="shared" si="38"/>
        <v/>
      </c>
      <c r="CI214" s="38" t="str">
        <f t="shared" si="39"/>
        <v/>
      </c>
      <c r="CJ214" s="38" t="str">
        <f t="shared" si="40"/>
        <v/>
      </c>
      <c r="CK214" s="38" t="str">
        <f t="shared" si="41"/>
        <v/>
      </c>
      <c r="CL214" s="38" t="str">
        <f>IF(C214="","",IF(COUNT(G214:AZ214)&lt;46,"",SUMPRODUCT(CC214:CK214,'تنظیمات وزن‌دهی'!$C$5:$C$13)/100))</f>
        <v/>
      </c>
      <c r="CM214" s="38" t="str">
        <f t="shared" si="42"/>
        <v/>
      </c>
      <c r="CN214" s="38">
        <v>6</v>
      </c>
      <c r="CO214" s="28">
        <f t="shared" si="43"/>
        <v>0</v>
      </c>
      <c r="CP214" s="58"/>
    </row>
    <row r="215" spans="1:94" ht="17.25" hidden="1">
      <c r="A215" s="33">
        <v>211</v>
      </c>
      <c r="B215" s="55" t="s">
        <v>189</v>
      </c>
      <c r="C215" s="55">
        <f>IF(دانش‌آموزان!E22="","",دانش‌آموزان!B22)</f>
        <v>18</v>
      </c>
      <c r="D215" s="55" t="str">
        <f>IF(دانش‌آموزان!C22="","",دانش‌آموزان!C22)</f>
        <v>0960312935</v>
      </c>
      <c r="E215" s="55" t="str">
        <f>IF(دانش‌آموزان!E22="","",دانش‌آموزان!E22&amp;" "&amp;دانش‌آموزان!F22)</f>
        <v>عليرضا شريفي</v>
      </c>
      <c r="F215" s="34">
        <f>IF(دانش‌آموزان!I22="","",دانش‌آموزان!I22)</f>
        <v>901</v>
      </c>
      <c r="G215" s="19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1"/>
      <c r="CC215" s="27" t="str">
        <f t="shared" si="33"/>
        <v/>
      </c>
      <c r="CD215" s="38" t="str">
        <f t="shared" si="34"/>
        <v/>
      </c>
      <c r="CE215" s="38" t="str">
        <f t="shared" si="35"/>
        <v/>
      </c>
      <c r="CF215" s="38" t="str">
        <f t="shared" si="36"/>
        <v/>
      </c>
      <c r="CG215" s="38" t="str">
        <f t="shared" si="37"/>
        <v/>
      </c>
      <c r="CH215" s="38" t="str">
        <f t="shared" si="38"/>
        <v/>
      </c>
      <c r="CI215" s="38" t="str">
        <f t="shared" si="39"/>
        <v/>
      </c>
      <c r="CJ215" s="38" t="str">
        <f t="shared" si="40"/>
        <v/>
      </c>
      <c r="CK215" s="38" t="str">
        <f t="shared" si="41"/>
        <v/>
      </c>
      <c r="CL215" s="38" t="str">
        <f>IF(C215="","",IF(COUNT(G215:AZ215)&lt;46,"",SUMPRODUCT(CC215:CK215,'تنظیمات وزن‌دهی'!$C$5:$C$13)/100))</f>
        <v/>
      </c>
      <c r="CM215" s="38" t="str">
        <f t="shared" si="42"/>
        <v/>
      </c>
      <c r="CN215" s="38">
        <v>7</v>
      </c>
      <c r="CO215" s="28">
        <f t="shared" si="43"/>
        <v>0</v>
      </c>
      <c r="CP215" s="58"/>
    </row>
    <row r="216" spans="1:94" ht="17.25" hidden="1">
      <c r="A216" s="33">
        <v>212</v>
      </c>
      <c r="B216" s="55" t="s">
        <v>190</v>
      </c>
      <c r="C216" s="55">
        <f>IF(دانش‌آموزان!E22="","",دانش‌آموزان!B22)</f>
        <v>18</v>
      </c>
      <c r="D216" s="55" t="str">
        <f>IF(دانش‌آموزان!C22="","",دانش‌آموزان!C22)</f>
        <v>0960312935</v>
      </c>
      <c r="E216" s="55" t="str">
        <f>IF(دانش‌آموزان!E22="","",دانش‌آموزان!E22&amp;" "&amp;دانش‌آموزان!F22)</f>
        <v>عليرضا شريفي</v>
      </c>
      <c r="F216" s="34">
        <f>IF(دانش‌آموزان!I22="","",دانش‌آموزان!I22)</f>
        <v>901</v>
      </c>
      <c r="G216" s="19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1"/>
      <c r="CC216" s="27" t="str">
        <f t="shared" si="33"/>
        <v/>
      </c>
      <c r="CD216" s="38" t="str">
        <f t="shared" si="34"/>
        <v/>
      </c>
      <c r="CE216" s="38" t="str">
        <f t="shared" si="35"/>
        <v/>
      </c>
      <c r="CF216" s="38" t="str">
        <f t="shared" si="36"/>
        <v/>
      </c>
      <c r="CG216" s="38" t="str">
        <f t="shared" si="37"/>
        <v/>
      </c>
      <c r="CH216" s="38" t="str">
        <f t="shared" si="38"/>
        <v/>
      </c>
      <c r="CI216" s="38" t="str">
        <f t="shared" si="39"/>
        <v/>
      </c>
      <c r="CJ216" s="38" t="str">
        <f t="shared" si="40"/>
        <v/>
      </c>
      <c r="CK216" s="38" t="str">
        <f t="shared" si="41"/>
        <v/>
      </c>
      <c r="CL216" s="38" t="str">
        <f>IF(C216="","",IF(COUNT(G216:AZ216)&lt;46,"",SUMPRODUCT(CC216:CK216,'تنظیمات وزن‌دهی'!$C$5:$C$13)/100))</f>
        <v/>
      </c>
      <c r="CM216" s="38" t="str">
        <f t="shared" si="42"/>
        <v/>
      </c>
      <c r="CN216" s="38">
        <v>8</v>
      </c>
      <c r="CO216" s="28">
        <f t="shared" si="43"/>
        <v>0</v>
      </c>
      <c r="CP216" s="58"/>
    </row>
    <row r="217" spans="1:94" ht="17.25" hidden="1">
      <c r="A217" s="33">
        <v>213</v>
      </c>
      <c r="B217" s="55" t="s">
        <v>191</v>
      </c>
      <c r="C217" s="55">
        <f>IF(دانش‌آموزان!E22="","",دانش‌آموزان!B22)</f>
        <v>18</v>
      </c>
      <c r="D217" s="55" t="str">
        <f>IF(دانش‌آموزان!C22="","",دانش‌آموزان!C22)</f>
        <v>0960312935</v>
      </c>
      <c r="E217" s="55" t="str">
        <f>IF(دانش‌آموزان!E22="","",دانش‌آموزان!E22&amp;" "&amp;دانش‌آموزان!F22)</f>
        <v>عليرضا شريفي</v>
      </c>
      <c r="F217" s="34">
        <f>IF(دانش‌آموزان!I22="","",دانش‌آموزان!I22)</f>
        <v>901</v>
      </c>
      <c r="G217" s="19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1"/>
      <c r="CC217" s="27" t="str">
        <f t="shared" si="33"/>
        <v/>
      </c>
      <c r="CD217" s="38" t="str">
        <f t="shared" si="34"/>
        <v/>
      </c>
      <c r="CE217" s="38" t="str">
        <f t="shared" si="35"/>
        <v/>
      </c>
      <c r="CF217" s="38" t="str">
        <f t="shared" si="36"/>
        <v/>
      </c>
      <c r="CG217" s="38" t="str">
        <f t="shared" si="37"/>
        <v/>
      </c>
      <c r="CH217" s="38" t="str">
        <f t="shared" si="38"/>
        <v/>
      </c>
      <c r="CI217" s="38" t="str">
        <f t="shared" si="39"/>
        <v/>
      </c>
      <c r="CJ217" s="38" t="str">
        <f t="shared" si="40"/>
        <v/>
      </c>
      <c r="CK217" s="38" t="str">
        <f t="shared" si="41"/>
        <v/>
      </c>
      <c r="CL217" s="38" t="str">
        <f>IF(C217="","",IF(COUNT(G217:AZ217)&lt;46,"",SUMPRODUCT(CC217:CK217,'تنظیمات وزن‌دهی'!$C$5:$C$13)/100))</f>
        <v/>
      </c>
      <c r="CM217" s="38" t="str">
        <f t="shared" si="42"/>
        <v/>
      </c>
      <c r="CN217" s="38">
        <v>9</v>
      </c>
      <c r="CO217" s="28">
        <f t="shared" si="43"/>
        <v>0</v>
      </c>
      <c r="CP217" s="58"/>
    </row>
    <row r="218" spans="1:94" ht="17.25" hidden="1">
      <c r="A218" s="33">
        <v>214</v>
      </c>
      <c r="B218" s="55" t="s">
        <v>192</v>
      </c>
      <c r="C218" s="55">
        <f>IF(دانش‌آموزان!E22="","",دانش‌آموزان!B22)</f>
        <v>18</v>
      </c>
      <c r="D218" s="55" t="str">
        <f>IF(دانش‌آموزان!C22="","",دانش‌آموزان!C22)</f>
        <v>0960312935</v>
      </c>
      <c r="E218" s="55" t="str">
        <f>IF(دانش‌آموزان!E22="","",دانش‌آموزان!E22&amp;" "&amp;دانش‌آموزان!F22)</f>
        <v>عليرضا شريفي</v>
      </c>
      <c r="F218" s="34">
        <f>IF(دانش‌آموزان!I22="","",دانش‌آموزان!I22)</f>
        <v>901</v>
      </c>
      <c r="G218" s="19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1"/>
      <c r="CC218" s="27" t="str">
        <f t="shared" si="33"/>
        <v/>
      </c>
      <c r="CD218" s="38" t="str">
        <f t="shared" si="34"/>
        <v/>
      </c>
      <c r="CE218" s="38" t="str">
        <f t="shared" si="35"/>
        <v/>
      </c>
      <c r="CF218" s="38" t="str">
        <f t="shared" si="36"/>
        <v/>
      </c>
      <c r="CG218" s="38" t="str">
        <f t="shared" si="37"/>
        <v/>
      </c>
      <c r="CH218" s="38" t="str">
        <f t="shared" si="38"/>
        <v/>
      </c>
      <c r="CI218" s="38" t="str">
        <f t="shared" si="39"/>
        <v/>
      </c>
      <c r="CJ218" s="38" t="str">
        <f t="shared" si="40"/>
        <v/>
      </c>
      <c r="CK218" s="38" t="str">
        <f t="shared" si="41"/>
        <v/>
      </c>
      <c r="CL218" s="38" t="str">
        <f>IF(C218="","",IF(COUNT(G218:AZ218)&lt;46,"",SUMPRODUCT(CC218:CK218,'تنظیمات وزن‌دهی'!$C$5:$C$13)/100))</f>
        <v/>
      </c>
      <c r="CM218" s="38" t="str">
        <f t="shared" si="42"/>
        <v/>
      </c>
      <c r="CN218" s="38">
        <v>10</v>
      </c>
      <c r="CO218" s="28">
        <f t="shared" si="43"/>
        <v>0</v>
      </c>
      <c r="CP218" s="58"/>
    </row>
    <row r="219" spans="1:94" ht="17.25" hidden="1">
      <c r="A219" s="33">
        <v>215</v>
      </c>
      <c r="B219" s="55" t="s">
        <v>193</v>
      </c>
      <c r="C219" s="55">
        <f>IF(دانش‌آموزان!E22="","",دانش‌آموزان!B22)</f>
        <v>18</v>
      </c>
      <c r="D219" s="55" t="str">
        <f>IF(دانش‌آموزان!C22="","",دانش‌آموزان!C22)</f>
        <v>0960312935</v>
      </c>
      <c r="E219" s="55" t="str">
        <f>IF(دانش‌آموزان!E22="","",دانش‌آموزان!E22&amp;" "&amp;دانش‌آموزان!F22)</f>
        <v>عليرضا شريفي</v>
      </c>
      <c r="F219" s="34">
        <f>IF(دانش‌آموزان!I22="","",دانش‌آموزان!I22)</f>
        <v>901</v>
      </c>
      <c r="G219" s="19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1"/>
      <c r="CC219" s="27" t="str">
        <f t="shared" si="33"/>
        <v/>
      </c>
      <c r="CD219" s="38" t="str">
        <f t="shared" si="34"/>
        <v/>
      </c>
      <c r="CE219" s="38" t="str">
        <f t="shared" si="35"/>
        <v/>
      </c>
      <c r="CF219" s="38" t="str">
        <f t="shared" si="36"/>
        <v/>
      </c>
      <c r="CG219" s="38" t="str">
        <f t="shared" si="37"/>
        <v/>
      </c>
      <c r="CH219" s="38" t="str">
        <f t="shared" si="38"/>
        <v/>
      </c>
      <c r="CI219" s="38" t="str">
        <f t="shared" si="39"/>
        <v/>
      </c>
      <c r="CJ219" s="38" t="str">
        <f t="shared" si="40"/>
        <v/>
      </c>
      <c r="CK219" s="38" t="str">
        <f t="shared" si="41"/>
        <v/>
      </c>
      <c r="CL219" s="38" t="str">
        <f>IF(C219="","",IF(COUNT(G219:AZ219)&lt;46,"",SUMPRODUCT(CC219:CK219,'تنظیمات وزن‌دهی'!$C$5:$C$13)/100))</f>
        <v/>
      </c>
      <c r="CM219" s="38" t="str">
        <f t="shared" si="42"/>
        <v/>
      </c>
      <c r="CN219" s="38">
        <v>11</v>
      </c>
      <c r="CO219" s="28">
        <f t="shared" si="43"/>
        <v>0</v>
      </c>
      <c r="CP219" s="58"/>
    </row>
    <row r="220" spans="1:94" ht="17.25" hidden="1">
      <c r="A220" s="33">
        <v>216</v>
      </c>
      <c r="B220" s="55" t="s">
        <v>194</v>
      </c>
      <c r="C220" s="55">
        <f>IF(دانش‌آموزان!E22="","",دانش‌آموزان!B22)</f>
        <v>18</v>
      </c>
      <c r="D220" s="55" t="str">
        <f>IF(دانش‌آموزان!C22="","",دانش‌آموزان!C22)</f>
        <v>0960312935</v>
      </c>
      <c r="E220" s="55" t="str">
        <f>IF(دانش‌آموزان!E22="","",دانش‌آموزان!E22&amp;" "&amp;دانش‌آموزان!F22)</f>
        <v>عليرضا شريفي</v>
      </c>
      <c r="F220" s="34">
        <f>IF(دانش‌آموزان!I22="","",دانش‌آموزان!I22)</f>
        <v>901</v>
      </c>
      <c r="G220" s="19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1"/>
      <c r="CC220" s="27" t="str">
        <f t="shared" si="33"/>
        <v/>
      </c>
      <c r="CD220" s="38" t="str">
        <f t="shared" si="34"/>
        <v/>
      </c>
      <c r="CE220" s="38" t="str">
        <f t="shared" si="35"/>
        <v/>
      </c>
      <c r="CF220" s="38" t="str">
        <f t="shared" si="36"/>
        <v/>
      </c>
      <c r="CG220" s="38" t="str">
        <f t="shared" si="37"/>
        <v/>
      </c>
      <c r="CH220" s="38" t="str">
        <f t="shared" si="38"/>
        <v/>
      </c>
      <c r="CI220" s="38" t="str">
        <f t="shared" si="39"/>
        <v/>
      </c>
      <c r="CJ220" s="38" t="str">
        <f t="shared" si="40"/>
        <v/>
      </c>
      <c r="CK220" s="38" t="str">
        <f t="shared" si="41"/>
        <v/>
      </c>
      <c r="CL220" s="38" t="str">
        <f>IF(C220="","",IF(COUNT(G220:AZ220)&lt;46,"",SUMPRODUCT(CC220:CK220,'تنظیمات وزن‌دهی'!$C$5:$C$13)/100))</f>
        <v/>
      </c>
      <c r="CM220" s="38" t="str">
        <f t="shared" si="42"/>
        <v/>
      </c>
      <c r="CN220" s="38">
        <v>12</v>
      </c>
      <c r="CO220" s="28">
        <f t="shared" si="43"/>
        <v>0</v>
      </c>
      <c r="CP220" s="58"/>
    </row>
    <row r="221" spans="1:94" ht="17.25" hidden="1">
      <c r="A221" s="33">
        <v>217</v>
      </c>
      <c r="B221" s="55" t="s">
        <v>183</v>
      </c>
      <c r="C221" s="55">
        <f>IF(دانش‌آموزان!E23="","",دانش‌آموزان!B23)</f>
        <v>19</v>
      </c>
      <c r="D221" s="55" t="str">
        <f>IF(دانش‌آموزان!C23="","",دانش‌آموزان!C23)</f>
        <v>0970395663</v>
      </c>
      <c r="E221" s="55" t="str">
        <f>IF(دانش‌آموزان!E23="","",دانش‌آموزان!E23&amp;" "&amp;دانش‌آموزان!F23)</f>
        <v>مهديار شيرمحمدي</v>
      </c>
      <c r="F221" s="34">
        <f>IF(دانش‌آموزان!I23="","",دانش‌آموزان!I23)</f>
        <v>901</v>
      </c>
      <c r="G221" s="19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1"/>
      <c r="CC221" s="27" t="str">
        <f t="shared" si="33"/>
        <v/>
      </c>
      <c r="CD221" s="38" t="str">
        <f t="shared" si="34"/>
        <v/>
      </c>
      <c r="CE221" s="38" t="str">
        <f t="shared" si="35"/>
        <v/>
      </c>
      <c r="CF221" s="38" t="str">
        <f t="shared" si="36"/>
        <v/>
      </c>
      <c r="CG221" s="38" t="str">
        <f t="shared" si="37"/>
        <v/>
      </c>
      <c r="CH221" s="38" t="str">
        <f t="shared" si="38"/>
        <v/>
      </c>
      <c r="CI221" s="38" t="str">
        <f t="shared" si="39"/>
        <v/>
      </c>
      <c r="CJ221" s="38" t="str">
        <f t="shared" si="40"/>
        <v/>
      </c>
      <c r="CK221" s="38" t="str">
        <f t="shared" si="41"/>
        <v/>
      </c>
      <c r="CL221" s="38" t="str">
        <f>IF(C221="","",IF(COUNT(G221:AZ221)&lt;46,"",SUMPRODUCT(CC221:CK221,'تنظیمات وزن‌دهی'!$C$5:$C$13)/100))</f>
        <v/>
      </c>
      <c r="CM221" s="38" t="str">
        <f t="shared" si="42"/>
        <v/>
      </c>
      <c r="CN221" s="38">
        <v>1</v>
      </c>
      <c r="CO221" s="28">
        <f t="shared" si="43"/>
        <v>0</v>
      </c>
      <c r="CP221" s="58"/>
    </row>
    <row r="222" spans="1:94" ht="17.25" hidden="1">
      <c r="A222" s="33">
        <v>218</v>
      </c>
      <c r="B222" s="55" t="s">
        <v>184</v>
      </c>
      <c r="C222" s="55">
        <f>IF(دانش‌آموزان!E23="","",دانش‌آموزان!B23)</f>
        <v>19</v>
      </c>
      <c r="D222" s="55" t="str">
        <f>IF(دانش‌آموزان!C23="","",دانش‌آموزان!C23)</f>
        <v>0970395663</v>
      </c>
      <c r="E222" s="55" t="str">
        <f>IF(دانش‌آموزان!E23="","",دانش‌آموزان!E23&amp;" "&amp;دانش‌آموزان!F23)</f>
        <v>مهديار شيرمحمدي</v>
      </c>
      <c r="F222" s="34">
        <f>IF(دانش‌آموزان!I23="","",دانش‌آموزان!I23)</f>
        <v>901</v>
      </c>
      <c r="G222" s="19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1"/>
      <c r="CC222" s="27" t="str">
        <f t="shared" si="33"/>
        <v/>
      </c>
      <c r="CD222" s="38" t="str">
        <f t="shared" si="34"/>
        <v/>
      </c>
      <c r="CE222" s="38" t="str">
        <f t="shared" si="35"/>
        <v/>
      </c>
      <c r="CF222" s="38" t="str">
        <f t="shared" si="36"/>
        <v/>
      </c>
      <c r="CG222" s="38" t="str">
        <f t="shared" si="37"/>
        <v/>
      </c>
      <c r="CH222" s="38" t="str">
        <f t="shared" si="38"/>
        <v/>
      </c>
      <c r="CI222" s="38" t="str">
        <f t="shared" si="39"/>
        <v/>
      </c>
      <c r="CJ222" s="38" t="str">
        <f t="shared" si="40"/>
        <v/>
      </c>
      <c r="CK222" s="38" t="str">
        <f t="shared" si="41"/>
        <v/>
      </c>
      <c r="CL222" s="38" t="str">
        <f>IF(C222="","",IF(COUNT(G222:AZ222)&lt;46,"",SUMPRODUCT(CC222:CK222,'تنظیمات وزن‌دهی'!$C$5:$C$13)/100))</f>
        <v/>
      </c>
      <c r="CM222" s="38" t="str">
        <f t="shared" si="42"/>
        <v/>
      </c>
      <c r="CN222" s="38">
        <v>2</v>
      </c>
      <c r="CO222" s="28">
        <f t="shared" si="43"/>
        <v>0</v>
      </c>
      <c r="CP222" s="58"/>
    </row>
    <row r="223" spans="1:94" ht="17.25">
      <c r="A223" s="33">
        <v>219</v>
      </c>
      <c r="B223" s="55" t="s">
        <v>185</v>
      </c>
      <c r="C223" s="55">
        <f>IF(دانش‌آموزان!E23="","",دانش‌آموزان!B23)</f>
        <v>19</v>
      </c>
      <c r="D223" s="55" t="str">
        <f>IF(دانش‌آموزان!C23="","",دانش‌آموزان!C23)</f>
        <v>0970395663</v>
      </c>
      <c r="E223" s="55" t="str">
        <f>IF(دانش‌آموزان!E23="","",دانش‌آموزان!E23&amp;" "&amp;دانش‌آموزان!F23)</f>
        <v>مهديار شيرمحمدي</v>
      </c>
      <c r="F223" s="34">
        <f>IF(دانش‌آموزان!I23="","",دانش‌آموزان!I23)</f>
        <v>901</v>
      </c>
      <c r="G223" s="19">
        <v>17.579999999999998</v>
      </c>
      <c r="H223" s="20">
        <v>-5.58</v>
      </c>
      <c r="I223" s="20">
        <v>0</v>
      </c>
      <c r="J223" s="20">
        <v>2</v>
      </c>
      <c r="K223" s="20">
        <v>3</v>
      </c>
      <c r="L223" s="20">
        <v>0</v>
      </c>
      <c r="M223" s="20">
        <v>0</v>
      </c>
      <c r="N223" s="20">
        <v>0</v>
      </c>
      <c r="O223" s="20">
        <v>3</v>
      </c>
      <c r="P223" s="20">
        <v>3</v>
      </c>
      <c r="Q223" s="20">
        <v>4</v>
      </c>
      <c r="R223" s="20">
        <v>3</v>
      </c>
      <c r="S223" s="20">
        <v>0</v>
      </c>
      <c r="T223" s="20">
        <v>0</v>
      </c>
      <c r="U223" s="20">
        <v>3</v>
      </c>
      <c r="V223" s="20">
        <v>3</v>
      </c>
      <c r="W223" s="20">
        <v>0</v>
      </c>
      <c r="X223" s="20">
        <v>3</v>
      </c>
      <c r="Y223" s="20">
        <v>4</v>
      </c>
      <c r="Z223" s="20">
        <v>3</v>
      </c>
      <c r="AA223" s="20">
        <v>0</v>
      </c>
      <c r="AB223" s="20">
        <v>0</v>
      </c>
      <c r="AC223" s="20">
        <v>0</v>
      </c>
      <c r="AD223" s="20">
        <v>0</v>
      </c>
      <c r="AE223" s="20">
        <v>0</v>
      </c>
      <c r="AF223" s="20">
        <v>0</v>
      </c>
      <c r="AG223" s="20">
        <v>0</v>
      </c>
      <c r="AH223" s="20">
        <v>0</v>
      </c>
      <c r="AI223" s="20">
        <v>0</v>
      </c>
      <c r="AJ223" s="20">
        <v>0</v>
      </c>
      <c r="AK223" s="20">
        <v>0</v>
      </c>
      <c r="AL223" s="20">
        <v>0</v>
      </c>
      <c r="AM223" s="20">
        <v>0</v>
      </c>
      <c r="AN223" s="20">
        <v>0</v>
      </c>
      <c r="AO223" s="20">
        <v>0</v>
      </c>
      <c r="AP223" s="20">
        <v>0</v>
      </c>
      <c r="AQ223" s="20">
        <v>0</v>
      </c>
      <c r="AR223" s="20">
        <v>0</v>
      </c>
      <c r="AS223" s="20">
        <v>0</v>
      </c>
      <c r="AT223" s="20">
        <v>0</v>
      </c>
      <c r="AU223" s="20">
        <v>0</v>
      </c>
      <c r="AV223" s="20">
        <v>0</v>
      </c>
      <c r="AW223" s="20">
        <v>0</v>
      </c>
      <c r="AX223" s="20">
        <v>0</v>
      </c>
      <c r="AY223" s="20">
        <v>0</v>
      </c>
      <c r="AZ223" s="20">
        <v>0</v>
      </c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1"/>
      <c r="CC223" s="27">
        <f t="shared" si="33"/>
        <v>8.5</v>
      </c>
      <c r="CD223" s="38">
        <f t="shared" si="34"/>
        <v>10.4</v>
      </c>
      <c r="CE223" s="38">
        <f t="shared" si="35"/>
        <v>6</v>
      </c>
      <c r="CF223" s="38">
        <f t="shared" si="36"/>
        <v>10.4</v>
      </c>
      <c r="CG223" s="38">
        <f t="shared" si="37"/>
        <v>0</v>
      </c>
      <c r="CH223" s="38">
        <f t="shared" si="38"/>
        <v>0</v>
      </c>
      <c r="CI223" s="38">
        <f t="shared" si="39"/>
        <v>0</v>
      </c>
      <c r="CJ223" s="38">
        <f t="shared" si="40"/>
        <v>0</v>
      </c>
      <c r="CK223" s="38">
        <f t="shared" si="41"/>
        <v>0</v>
      </c>
      <c r="CL223" s="38" t="e">
        <f>IF(C223="","",IF(COUNT(G223:AZ223)&lt;46,"",SUMPRODUCT(CC223:CK223,'تنظیمات وزن‌دهی'!$C$5:$C$13)/100))</f>
        <v>#VALUE!</v>
      </c>
      <c r="CM223" s="38" t="e">
        <f t="shared" si="42"/>
        <v>#VALUE!</v>
      </c>
      <c r="CN223" s="38">
        <v>3</v>
      </c>
      <c r="CO223" s="28">
        <f t="shared" si="43"/>
        <v>1</v>
      </c>
      <c r="CP223" s="58"/>
    </row>
    <row r="224" spans="1:94" ht="17.25" hidden="1">
      <c r="A224" s="33">
        <v>220</v>
      </c>
      <c r="B224" s="55" t="s">
        <v>186</v>
      </c>
      <c r="C224" s="55">
        <f>IF(دانش‌آموزان!E23="","",دانش‌آموزان!B23)</f>
        <v>19</v>
      </c>
      <c r="D224" s="55" t="str">
        <f>IF(دانش‌آموزان!C23="","",دانش‌آموزان!C23)</f>
        <v>0970395663</v>
      </c>
      <c r="E224" s="55" t="str">
        <f>IF(دانش‌آموزان!E23="","",دانش‌آموزان!E23&amp;" "&amp;دانش‌آموزان!F23)</f>
        <v>مهديار شيرمحمدي</v>
      </c>
      <c r="F224" s="34">
        <f>IF(دانش‌آموزان!I23="","",دانش‌آموزان!I23)</f>
        <v>901</v>
      </c>
      <c r="G224" s="19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1"/>
      <c r="CC224" s="27" t="str">
        <f t="shared" si="33"/>
        <v/>
      </c>
      <c r="CD224" s="38" t="str">
        <f t="shared" si="34"/>
        <v/>
      </c>
      <c r="CE224" s="38" t="str">
        <f t="shared" si="35"/>
        <v/>
      </c>
      <c r="CF224" s="38" t="str">
        <f t="shared" si="36"/>
        <v/>
      </c>
      <c r="CG224" s="38" t="str">
        <f t="shared" si="37"/>
        <v/>
      </c>
      <c r="CH224" s="38" t="str">
        <f t="shared" si="38"/>
        <v/>
      </c>
      <c r="CI224" s="38" t="str">
        <f t="shared" si="39"/>
        <v/>
      </c>
      <c r="CJ224" s="38" t="str">
        <f t="shared" si="40"/>
        <v/>
      </c>
      <c r="CK224" s="38" t="str">
        <f t="shared" si="41"/>
        <v/>
      </c>
      <c r="CL224" s="38" t="str">
        <f>IF(C224="","",IF(COUNT(G224:AZ224)&lt;46,"",SUMPRODUCT(CC224:CK224,'تنظیمات وزن‌دهی'!$C$5:$C$13)/100))</f>
        <v/>
      </c>
      <c r="CM224" s="38" t="str">
        <f t="shared" si="42"/>
        <v/>
      </c>
      <c r="CN224" s="38">
        <v>4</v>
      </c>
      <c r="CO224" s="28">
        <f t="shared" si="43"/>
        <v>0</v>
      </c>
      <c r="CP224" s="58"/>
    </row>
    <row r="225" spans="1:94" ht="17.25" hidden="1">
      <c r="A225" s="33">
        <v>221</v>
      </c>
      <c r="B225" s="55" t="s">
        <v>187</v>
      </c>
      <c r="C225" s="55">
        <f>IF(دانش‌آموزان!E23="","",دانش‌آموزان!B23)</f>
        <v>19</v>
      </c>
      <c r="D225" s="55" t="str">
        <f>IF(دانش‌آموزان!C23="","",دانش‌آموزان!C23)</f>
        <v>0970395663</v>
      </c>
      <c r="E225" s="55" t="str">
        <f>IF(دانش‌آموزان!E23="","",دانش‌آموزان!E23&amp;" "&amp;دانش‌آموزان!F23)</f>
        <v>مهديار شيرمحمدي</v>
      </c>
      <c r="F225" s="34">
        <f>IF(دانش‌آموزان!I23="","",دانش‌آموزان!I23)</f>
        <v>901</v>
      </c>
      <c r="G225" s="19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1"/>
      <c r="CC225" s="27" t="str">
        <f t="shared" si="33"/>
        <v/>
      </c>
      <c r="CD225" s="38" t="str">
        <f t="shared" si="34"/>
        <v/>
      </c>
      <c r="CE225" s="38" t="str">
        <f t="shared" si="35"/>
        <v/>
      </c>
      <c r="CF225" s="38" t="str">
        <f t="shared" si="36"/>
        <v/>
      </c>
      <c r="CG225" s="38" t="str">
        <f t="shared" si="37"/>
        <v/>
      </c>
      <c r="CH225" s="38" t="str">
        <f t="shared" si="38"/>
        <v/>
      </c>
      <c r="CI225" s="38" t="str">
        <f t="shared" si="39"/>
        <v/>
      </c>
      <c r="CJ225" s="38" t="str">
        <f t="shared" si="40"/>
        <v/>
      </c>
      <c r="CK225" s="38" t="str">
        <f t="shared" si="41"/>
        <v/>
      </c>
      <c r="CL225" s="38" t="str">
        <f>IF(C225="","",IF(COUNT(G225:AZ225)&lt;46,"",SUMPRODUCT(CC225:CK225,'تنظیمات وزن‌دهی'!$C$5:$C$13)/100))</f>
        <v/>
      </c>
      <c r="CM225" s="38" t="str">
        <f t="shared" si="42"/>
        <v/>
      </c>
      <c r="CN225" s="38">
        <v>5</v>
      </c>
      <c r="CO225" s="28">
        <f t="shared" si="43"/>
        <v>0</v>
      </c>
      <c r="CP225" s="58"/>
    </row>
    <row r="226" spans="1:94" ht="17.25" hidden="1">
      <c r="A226" s="33">
        <v>222</v>
      </c>
      <c r="B226" s="55" t="s">
        <v>188</v>
      </c>
      <c r="C226" s="55">
        <f>IF(دانش‌آموزان!E23="","",دانش‌آموزان!B23)</f>
        <v>19</v>
      </c>
      <c r="D226" s="55" t="str">
        <f>IF(دانش‌آموزان!C23="","",دانش‌آموزان!C23)</f>
        <v>0970395663</v>
      </c>
      <c r="E226" s="55" t="str">
        <f>IF(دانش‌آموزان!E23="","",دانش‌آموزان!E23&amp;" "&amp;دانش‌آموزان!F23)</f>
        <v>مهديار شيرمحمدي</v>
      </c>
      <c r="F226" s="34">
        <f>IF(دانش‌آموزان!I23="","",دانش‌آموزان!I23)</f>
        <v>901</v>
      </c>
      <c r="G226" s="19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1"/>
      <c r="CC226" s="27" t="str">
        <f t="shared" si="33"/>
        <v/>
      </c>
      <c r="CD226" s="38" t="str">
        <f t="shared" si="34"/>
        <v/>
      </c>
      <c r="CE226" s="38" t="str">
        <f t="shared" si="35"/>
        <v/>
      </c>
      <c r="CF226" s="38" t="str">
        <f t="shared" si="36"/>
        <v/>
      </c>
      <c r="CG226" s="38" t="str">
        <f t="shared" si="37"/>
        <v/>
      </c>
      <c r="CH226" s="38" t="str">
        <f t="shared" si="38"/>
        <v/>
      </c>
      <c r="CI226" s="38" t="str">
        <f t="shared" si="39"/>
        <v/>
      </c>
      <c r="CJ226" s="38" t="str">
        <f t="shared" si="40"/>
        <v/>
      </c>
      <c r="CK226" s="38" t="str">
        <f t="shared" si="41"/>
        <v/>
      </c>
      <c r="CL226" s="38" t="str">
        <f>IF(C226="","",IF(COUNT(G226:AZ226)&lt;46,"",SUMPRODUCT(CC226:CK226,'تنظیمات وزن‌دهی'!$C$5:$C$13)/100))</f>
        <v/>
      </c>
      <c r="CM226" s="38" t="str">
        <f t="shared" si="42"/>
        <v/>
      </c>
      <c r="CN226" s="38">
        <v>6</v>
      </c>
      <c r="CO226" s="28">
        <f t="shared" si="43"/>
        <v>0</v>
      </c>
      <c r="CP226" s="58"/>
    </row>
    <row r="227" spans="1:94" ht="17.25" hidden="1">
      <c r="A227" s="33">
        <v>223</v>
      </c>
      <c r="B227" s="55" t="s">
        <v>189</v>
      </c>
      <c r="C227" s="55">
        <f>IF(دانش‌آموزان!E23="","",دانش‌آموزان!B23)</f>
        <v>19</v>
      </c>
      <c r="D227" s="55" t="str">
        <f>IF(دانش‌آموزان!C23="","",دانش‌آموزان!C23)</f>
        <v>0970395663</v>
      </c>
      <c r="E227" s="55" t="str">
        <f>IF(دانش‌آموزان!E23="","",دانش‌آموزان!E23&amp;" "&amp;دانش‌آموزان!F23)</f>
        <v>مهديار شيرمحمدي</v>
      </c>
      <c r="F227" s="34">
        <f>IF(دانش‌آموزان!I23="","",دانش‌آموزان!I23)</f>
        <v>901</v>
      </c>
      <c r="G227" s="19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1"/>
      <c r="CC227" s="27" t="str">
        <f t="shared" si="33"/>
        <v/>
      </c>
      <c r="CD227" s="38" t="str">
        <f t="shared" si="34"/>
        <v/>
      </c>
      <c r="CE227" s="38" t="str">
        <f t="shared" si="35"/>
        <v/>
      </c>
      <c r="CF227" s="38" t="str">
        <f t="shared" si="36"/>
        <v/>
      </c>
      <c r="CG227" s="38" t="str">
        <f t="shared" si="37"/>
        <v/>
      </c>
      <c r="CH227" s="38" t="str">
        <f t="shared" si="38"/>
        <v/>
      </c>
      <c r="CI227" s="38" t="str">
        <f t="shared" si="39"/>
        <v/>
      </c>
      <c r="CJ227" s="38" t="str">
        <f t="shared" si="40"/>
        <v/>
      </c>
      <c r="CK227" s="38" t="str">
        <f t="shared" si="41"/>
        <v/>
      </c>
      <c r="CL227" s="38" t="str">
        <f>IF(C227="","",IF(COUNT(G227:AZ227)&lt;46,"",SUMPRODUCT(CC227:CK227,'تنظیمات وزن‌دهی'!$C$5:$C$13)/100))</f>
        <v/>
      </c>
      <c r="CM227" s="38" t="str">
        <f t="shared" si="42"/>
        <v/>
      </c>
      <c r="CN227" s="38">
        <v>7</v>
      </c>
      <c r="CO227" s="28">
        <f t="shared" si="43"/>
        <v>0</v>
      </c>
      <c r="CP227" s="58"/>
    </row>
    <row r="228" spans="1:94" ht="17.25" hidden="1">
      <c r="A228" s="33">
        <v>224</v>
      </c>
      <c r="B228" s="55" t="s">
        <v>190</v>
      </c>
      <c r="C228" s="55">
        <f>IF(دانش‌آموزان!E23="","",دانش‌آموزان!B23)</f>
        <v>19</v>
      </c>
      <c r="D228" s="55" t="str">
        <f>IF(دانش‌آموزان!C23="","",دانش‌آموزان!C23)</f>
        <v>0970395663</v>
      </c>
      <c r="E228" s="55" t="str">
        <f>IF(دانش‌آموزان!E23="","",دانش‌آموزان!E23&amp;" "&amp;دانش‌آموزان!F23)</f>
        <v>مهديار شيرمحمدي</v>
      </c>
      <c r="F228" s="34">
        <f>IF(دانش‌آموزان!I23="","",دانش‌آموزان!I23)</f>
        <v>901</v>
      </c>
      <c r="G228" s="19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1"/>
      <c r="CC228" s="27" t="str">
        <f t="shared" si="33"/>
        <v/>
      </c>
      <c r="CD228" s="38" t="str">
        <f t="shared" si="34"/>
        <v/>
      </c>
      <c r="CE228" s="38" t="str">
        <f t="shared" si="35"/>
        <v/>
      </c>
      <c r="CF228" s="38" t="str">
        <f t="shared" si="36"/>
        <v/>
      </c>
      <c r="CG228" s="38" t="str">
        <f t="shared" si="37"/>
        <v/>
      </c>
      <c r="CH228" s="38" t="str">
        <f t="shared" si="38"/>
        <v/>
      </c>
      <c r="CI228" s="38" t="str">
        <f t="shared" si="39"/>
        <v/>
      </c>
      <c r="CJ228" s="38" t="str">
        <f t="shared" si="40"/>
        <v/>
      </c>
      <c r="CK228" s="38" t="str">
        <f t="shared" si="41"/>
        <v/>
      </c>
      <c r="CL228" s="38" t="str">
        <f>IF(C228="","",IF(COUNT(G228:AZ228)&lt;46,"",SUMPRODUCT(CC228:CK228,'تنظیمات وزن‌دهی'!$C$5:$C$13)/100))</f>
        <v/>
      </c>
      <c r="CM228" s="38" t="str">
        <f t="shared" si="42"/>
        <v/>
      </c>
      <c r="CN228" s="38">
        <v>8</v>
      </c>
      <c r="CO228" s="28">
        <f t="shared" si="43"/>
        <v>0</v>
      </c>
      <c r="CP228" s="58"/>
    </row>
    <row r="229" spans="1:94" ht="17.25" hidden="1">
      <c r="A229" s="33">
        <v>225</v>
      </c>
      <c r="B229" s="55" t="s">
        <v>191</v>
      </c>
      <c r="C229" s="55">
        <f>IF(دانش‌آموزان!E23="","",دانش‌آموزان!B23)</f>
        <v>19</v>
      </c>
      <c r="D229" s="55" t="str">
        <f>IF(دانش‌آموزان!C23="","",دانش‌آموزان!C23)</f>
        <v>0970395663</v>
      </c>
      <c r="E229" s="55" t="str">
        <f>IF(دانش‌آموزان!E23="","",دانش‌آموزان!E23&amp;" "&amp;دانش‌آموزان!F23)</f>
        <v>مهديار شيرمحمدي</v>
      </c>
      <c r="F229" s="34">
        <f>IF(دانش‌آموزان!I23="","",دانش‌آموزان!I23)</f>
        <v>901</v>
      </c>
      <c r="G229" s="19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1"/>
      <c r="CC229" s="27" t="str">
        <f t="shared" si="33"/>
        <v/>
      </c>
      <c r="CD229" s="38" t="str">
        <f t="shared" si="34"/>
        <v/>
      </c>
      <c r="CE229" s="38" t="str">
        <f t="shared" si="35"/>
        <v/>
      </c>
      <c r="CF229" s="38" t="str">
        <f t="shared" si="36"/>
        <v/>
      </c>
      <c r="CG229" s="38" t="str">
        <f t="shared" si="37"/>
        <v/>
      </c>
      <c r="CH229" s="38" t="str">
        <f t="shared" si="38"/>
        <v/>
      </c>
      <c r="CI229" s="38" t="str">
        <f t="shared" si="39"/>
        <v/>
      </c>
      <c r="CJ229" s="38" t="str">
        <f t="shared" si="40"/>
        <v/>
      </c>
      <c r="CK229" s="38" t="str">
        <f t="shared" si="41"/>
        <v/>
      </c>
      <c r="CL229" s="38" t="str">
        <f>IF(C229="","",IF(COUNT(G229:AZ229)&lt;46,"",SUMPRODUCT(CC229:CK229,'تنظیمات وزن‌دهی'!$C$5:$C$13)/100))</f>
        <v/>
      </c>
      <c r="CM229" s="38" t="str">
        <f t="shared" si="42"/>
        <v/>
      </c>
      <c r="CN229" s="38">
        <v>9</v>
      </c>
      <c r="CO229" s="28">
        <f t="shared" si="43"/>
        <v>0</v>
      </c>
      <c r="CP229" s="58"/>
    </row>
    <row r="230" spans="1:94" ht="17.25" hidden="1">
      <c r="A230" s="33">
        <v>226</v>
      </c>
      <c r="B230" s="55" t="s">
        <v>192</v>
      </c>
      <c r="C230" s="55">
        <f>IF(دانش‌آموزان!E23="","",دانش‌آموزان!B23)</f>
        <v>19</v>
      </c>
      <c r="D230" s="55" t="str">
        <f>IF(دانش‌آموزان!C23="","",دانش‌آموزان!C23)</f>
        <v>0970395663</v>
      </c>
      <c r="E230" s="55" t="str">
        <f>IF(دانش‌آموزان!E23="","",دانش‌آموزان!E23&amp;" "&amp;دانش‌آموزان!F23)</f>
        <v>مهديار شيرمحمدي</v>
      </c>
      <c r="F230" s="34">
        <f>IF(دانش‌آموزان!I23="","",دانش‌آموزان!I23)</f>
        <v>901</v>
      </c>
      <c r="G230" s="19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1"/>
      <c r="CC230" s="27" t="str">
        <f t="shared" si="33"/>
        <v/>
      </c>
      <c r="CD230" s="38" t="str">
        <f t="shared" si="34"/>
        <v/>
      </c>
      <c r="CE230" s="38" t="str">
        <f t="shared" si="35"/>
        <v/>
      </c>
      <c r="CF230" s="38" t="str">
        <f t="shared" si="36"/>
        <v/>
      </c>
      <c r="CG230" s="38" t="str">
        <f t="shared" si="37"/>
        <v/>
      </c>
      <c r="CH230" s="38" t="str">
        <f t="shared" si="38"/>
        <v/>
      </c>
      <c r="CI230" s="38" t="str">
        <f t="shared" si="39"/>
        <v/>
      </c>
      <c r="CJ230" s="38" t="str">
        <f t="shared" si="40"/>
        <v/>
      </c>
      <c r="CK230" s="38" t="str">
        <f t="shared" si="41"/>
        <v/>
      </c>
      <c r="CL230" s="38" t="str">
        <f>IF(C230="","",IF(COUNT(G230:AZ230)&lt;46,"",SUMPRODUCT(CC230:CK230,'تنظیمات وزن‌دهی'!$C$5:$C$13)/100))</f>
        <v/>
      </c>
      <c r="CM230" s="38" t="str">
        <f t="shared" si="42"/>
        <v/>
      </c>
      <c r="CN230" s="38">
        <v>10</v>
      </c>
      <c r="CO230" s="28">
        <f t="shared" si="43"/>
        <v>0</v>
      </c>
      <c r="CP230" s="58"/>
    </row>
    <row r="231" spans="1:94" ht="17.25" hidden="1">
      <c r="A231" s="33">
        <v>227</v>
      </c>
      <c r="B231" s="55" t="s">
        <v>193</v>
      </c>
      <c r="C231" s="55">
        <f>IF(دانش‌آموزان!E23="","",دانش‌آموزان!B23)</f>
        <v>19</v>
      </c>
      <c r="D231" s="55" t="str">
        <f>IF(دانش‌آموزان!C23="","",دانش‌آموزان!C23)</f>
        <v>0970395663</v>
      </c>
      <c r="E231" s="55" t="str">
        <f>IF(دانش‌آموزان!E23="","",دانش‌آموزان!E23&amp;" "&amp;دانش‌آموزان!F23)</f>
        <v>مهديار شيرمحمدي</v>
      </c>
      <c r="F231" s="34">
        <f>IF(دانش‌آموزان!I23="","",دانش‌آموزان!I23)</f>
        <v>901</v>
      </c>
      <c r="G231" s="19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1"/>
      <c r="CC231" s="27" t="str">
        <f t="shared" si="33"/>
        <v/>
      </c>
      <c r="CD231" s="38" t="str">
        <f t="shared" si="34"/>
        <v/>
      </c>
      <c r="CE231" s="38" t="str">
        <f t="shared" si="35"/>
        <v/>
      </c>
      <c r="CF231" s="38" t="str">
        <f t="shared" si="36"/>
        <v/>
      </c>
      <c r="CG231" s="38" t="str">
        <f t="shared" si="37"/>
        <v/>
      </c>
      <c r="CH231" s="38" t="str">
        <f t="shared" si="38"/>
        <v/>
      </c>
      <c r="CI231" s="38" t="str">
        <f t="shared" si="39"/>
        <v/>
      </c>
      <c r="CJ231" s="38" t="str">
        <f t="shared" si="40"/>
        <v/>
      </c>
      <c r="CK231" s="38" t="str">
        <f t="shared" si="41"/>
        <v/>
      </c>
      <c r="CL231" s="38" t="str">
        <f>IF(C231="","",IF(COUNT(G231:AZ231)&lt;46,"",SUMPRODUCT(CC231:CK231,'تنظیمات وزن‌دهی'!$C$5:$C$13)/100))</f>
        <v/>
      </c>
      <c r="CM231" s="38" t="str">
        <f t="shared" si="42"/>
        <v/>
      </c>
      <c r="CN231" s="38">
        <v>11</v>
      </c>
      <c r="CO231" s="28">
        <f t="shared" si="43"/>
        <v>0</v>
      </c>
      <c r="CP231" s="58"/>
    </row>
    <row r="232" spans="1:94" ht="17.25" hidden="1">
      <c r="A232" s="33">
        <v>228</v>
      </c>
      <c r="B232" s="55" t="s">
        <v>194</v>
      </c>
      <c r="C232" s="55">
        <f>IF(دانش‌آموزان!E23="","",دانش‌آموزان!B23)</f>
        <v>19</v>
      </c>
      <c r="D232" s="55" t="str">
        <f>IF(دانش‌آموزان!C23="","",دانش‌آموزان!C23)</f>
        <v>0970395663</v>
      </c>
      <c r="E232" s="55" t="str">
        <f>IF(دانش‌آموزان!E23="","",دانش‌آموزان!E23&amp;" "&amp;دانش‌آموزان!F23)</f>
        <v>مهديار شيرمحمدي</v>
      </c>
      <c r="F232" s="34">
        <f>IF(دانش‌آموزان!I23="","",دانش‌آموزان!I23)</f>
        <v>901</v>
      </c>
      <c r="G232" s="19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1"/>
      <c r="CC232" s="27" t="str">
        <f t="shared" si="33"/>
        <v/>
      </c>
      <c r="CD232" s="38" t="str">
        <f t="shared" si="34"/>
        <v/>
      </c>
      <c r="CE232" s="38" t="str">
        <f t="shared" si="35"/>
        <v/>
      </c>
      <c r="CF232" s="38" t="str">
        <f t="shared" si="36"/>
        <v/>
      </c>
      <c r="CG232" s="38" t="str">
        <f t="shared" si="37"/>
        <v/>
      </c>
      <c r="CH232" s="38" t="str">
        <f t="shared" si="38"/>
        <v/>
      </c>
      <c r="CI232" s="38" t="str">
        <f t="shared" si="39"/>
        <v/>
      </c>
      <c r="CJ232" s="38" t="str">
        <f t="shared" si="40"/>
        <v/>
      </c>
      <c r="CK232" s="38" t="str">
        <f t="shared" si="41"/>
        <v/>
      </c>
      <c r="CL232" s="38" t="str">
        <f>IF(C232="","",IF(COUNT(G232:AZ232)&lt;46,"",SUMPRODUCT(CC232:CK232,'تنظیمات وزن‌دهی'!$C$5:$C$13)/100))</f>
        <v/>
      </c>
      <c r="CM232" s="38" t="str">
        <f t="shared" si="42"/>
        <v/>
      </c>
      <c r="CN232" s="38">
        <v>12</v>
      </c>
      <c r="CO232" s="28">
        <f t="shared" si="43"/>
        <v>0</v>
      </c>
      <c r="CP232" s="58"/>
    </row>
    <row r="233" spans="1:94" ht="17.25" hidden="1">
      <c r="A233" s="33">
        <v>229</v>
      </c>
      <c r="B233" s="55" t="s">
        <v>183</v>
      </c>
      <c r="C233" s="55">
        <f>IF(دانش‌آموزان!E24="","",دانش‌آموزان!B24)</f>
        <v>20</v>
      </c>
      <c r="D233" s="55" t="str">
        <f>IF(دانش‌آموزان!C24="","",دانش‌آموزان!C24)</f>
        <v>0960272917</v>
      </c>
      <c r="E233" s="55" t="str">
        <f>IF(دانش‌آموزان!E24="","",دانش‌آموزان!E24&amp;" "&amp;دانش‌آموزان!F24)</f>
        <v>اميرحسين شيعة الايمه</v>
      </c>
      <c r="F233" s="34">
        <f>IF(دانش‌آموزان!I24="","",دانش‌آموزان!I24)</f>
        <v>901</v>
      </c>
      <c r="G233" s="19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1"/>
      <c r="CC233" s="27" t="str">
        <f t="shared" si="33"/>
        <v/>
      </c>
      <c r="CD233" s="38" t="str">
        <f t="shared" si="34"/>
        <v/>
      </c>
      <c r="CE233" s="38" t="str">
        <f t="shared" si="35"/>
        <v/>
      </c>
      <c r="CF233" s="38" t="str">
        <f t="shared" si="36"/>
        <v/>
      </c>
      <c r="CG233" s="38" t="str">
        <f t="shared" si="37"/>
        <v/>
      </c>
      <c r="CH233" s="38" t="str">
        <f t="shared" si="38"/>
        <v/>
      </c>
      <c r="CI233" s="38" t="str">
        <f t="shared" si="39"/>
        <v/>
      </c>
      <c r="CJ233" s="38" t="str">
        <f t="shared" si="40"/>
        <v/>
      </c>
      <c r="CK233" s="38" t="str">
        <f t="shared" si="41"/>
        <v/>
      </c>
      <c r="CL233" s="38" t="str">
        <f>IF(C233="","",IF(COUNT(G233:AZ233)&lt;46,"",SUMPRODUCT(CC233:CK233,'تنظیمات وزن‌دهی'!$C$5:$C$13)/100))</f>
        <v/>
      </c>
      <c r="CM233" s="38" t="str">
        <f t="shared" si="42"/>
        <v/>
      </c>
      <c r="CN233" s="38">
        <v>1</v>
      </c>
      <c r="CO233" s="28">
        <f t="shared" si="43"/>
        <v>0</v>
      </c>
      <c r="CP233" s="58"/>
    </row>
    <row r="234" spans="1:94" ht="17.25" hidden="1">
      <c r="A234" s="33">
        <v>230</v>
      </c>
      <c r="B234" s="55" t="s">
        <v>184</v>
      </c>
      <c r="C234" s="55">
        <f>IF(دانش‌آموزان!E24="","",دانش‌آموزان!B24)</f>
        <v>20</v>
      </c>
      <c r="D234" s="55" t="str">
        <f>IF(دانش‌آموزان!C24="","",دانش‌آموزان!C24)</f>
        <v>0960272917</v>
      </c>
      <c r="E234" s="55" t="str">
        <f>IF(دانش‌آموزان!E24="","",دانش‌آموزان!E24&amp;" "&amp;دانش‌آموزان!F24)</f>
        <v>اميرحسين شيعة الايمه</v>
      </c>
      <c r="F234" s="34">
        <f>IF(دانش‌آموزان!I24="","",دانش‌آموزان!I24)</f>
        <v>901</v>
      </c>
      <c r="G234" s="19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1"/>
      <c r="CC234" s="27" t="str">
        <f t="shared" si="33"/>
        <v/>
      </c>
      <c r="CD234" s="38" t="str">
        <f t="shared" si="34"/>
        <v/>
      </c>
      <c r="CE234" s="38" t="str">
        <f t="shared" si="35"/>
        <v/>
      </c>
      <c r="CF234" s="38" t="str">
        <f t="shared" si="36"/>
        <v/>
      </c>
      <c r="CG234" s="38" t="str">
        <f t="shared" si="37"/>
        <v/>
      </c>
      <c r="CH234" s="38" t="str">
        <f t="shared" si="38"/>
        <v/>
      </c>
      <c r="CI234" s="38" t="str">
        <f t="shared" si="39"/>
        <v/>
      </c>
      <c r="CJ234" s="38" t="str">
        <f t="shared" si="40"/>
        <v/>
      </c>
      <c r="CK234" s="38" t="str">
        <f t="shared" si="41"/>
        <v/>
      </c>
      <c r="CL234" s="38" t="str">
        <f>IF(C234="","",IF(COUNT(G234:AZ234)&lt;46,"",SUMPRODUCT(CC234:CK234,'تنظیمات وزن‌دهی'!$C$5:$C$13)/100))</f>
        <v/>
      </c>
      <c r="CM234" s="38" t="str">
        <f t="shared" si="42"/>
        <v/>
      </c>
      <c r="CN234" s="38">
        <v>2</v>
      </c>
      <c r="CO234" s="28">
        <f t="shared" si="43"/>
        <v>0</v>
      </c>
      <c r="CP234" s="58"/>
    </row>
    <row r="235" spans="1:94" ht="17.25">
      <c r="A235" s="33">
        <v>231</v>
      </c>
      <c r="B235" s="55" t="s">
        <v>185</v>
      </c>
      <c r="C235" s="55">
        <f>IF(دانش‌آموزان!E24="","",دانش‌آموزان!B24)</f>
        <v>20</v>
      </c>
      <c r="D235" s="55" t="str">
        <f>IF(دانش‌آموزان!C24="","",دانش‌آموزان!C24)</f>
        <v>0960272917</v>
      </c>
      <c r="E235" s="55" t="str">
        <f>IF(دانش‌آموزان!E24="","",دانش‌آموزان!E24&amp;" "&amp;دانش‌آموزان!F24)</f>
        <v>اميرحسين شيعة الايمه</v>
      </c>
      <c r="F235" s="34">
        <f>IF(دانش‌آموزان!I24="","",دانش‌آموزان!I24)</f>
        <v>901</v>
      </c>
      <c r="G235" s="19">
        <v>19.96</v>
      </c>
      <c r="H235" s="20">
        <v>0</v>
      </c>
      <c r="I235" s="20">
        <v>0</v>
      </c>
      <c r="J235" s="20">
        <v>4</v>
      </c>
      <c r="K235" s="20">
        <v>0</v>
      </c>
      <c r="L235" s="20">
        <v>0</v>
      </c>
      <c r="M235" s="20">
        <v>0</v>
      </c>
      <c r="N235" s="20">
        <v>0</v>
      </c>
      <c r="O235" s="20">
        <v>4</v>
      </c>
      <c r="P235" s="20">
        <v>4</v>
      </c>
      <c r="Q235" s="20">
        <v>4</v>
      </c>
      <c r="R235" s="20">
        <v>4</v>
      </c>
      <c r="S235" s="20">
        <v>4</v>
      </c>
      <c r="T235" s="20">
        <v>0</v>
      </c>
      <c r="U235" s="20">
        <v>4</v>
      </c>
      <c r="V235" s="20">
        <v>3</v>
      </c>
      <c r="W235" s="20">
        <v>0</v>
      </c>
      <c r="X235" s="20">
        <v>4</v>
      </c>
      <c r="Y235" s="20">
        <v>4</v>
      </c>
      <c r="Z235" s="20">
        <v>4</v>
      </c>
      <c r="AA235" s="20">
        <v>0</v>
      </c>
      <c r="AB235" s="20">
        <v>0</v>
      </c>
      <c r="AC235" s="20">
        <v>0</v>
      </c>
      <c r="AD235" s="20">
        <v>0</v>
      </c>
      <c r="AE235" s="20">
        <v>0</v>
      </c>
      <c r="AF235" s="20">
        <v>0</v>
      </c>
      <c r="AG235" s="20">
        <v>0</v>
      </c>
      <c r="AH235" s="20">
        <v>0</v>
      </c>
      <c r="AI235" s="20">
        <v>0</v>
      </c>
      <c r="AJ235" s="20">
        <v>0</v>
      </c>
      <c r="AK235" s="20">
        <v>0</v>
      </c>
      <c r="AL235" s="20">
        <v>0</v>
      </c>
      <c r="AM235" s="20">
        <v>0</v>
      </c>
      <c r="AN235" s="20">
        <v>0</v>
      </c>
      <c r="AO235" s="20">
        <v>0</v>
      </c>
      <c r="AP235" s="20">
        <v>0</v>
      </c>
      <c r="AQ235" s="20">
        <v>0</v>
      </c>
      <c r="AR235" s="20">
        <v>0</v>
      </c>
      <c r="AS235" s="20">
        <v>0</v>
      </c>
      <c r="AT235" s="20">
        <v>0</v>
      </c>
      <c r="AU235" s="20">
        <v>0</v>
      </c>
      <c r="AV235" s="20">
        <v>0</v>
      </c>
      <c r="AW235" s="20">
        <v>0</v>
      </c>
      <c r="AX235" s="20">
        <v>0</v>
      </c>
      <c r="AY235" s="20">
        <v>0</v>
      </c>
      <c r="AZ235" s="20">
        <v>0</v>
      </c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1"/>
      <c r="CC235" s="27">
        <f t="shared" si="33"/>
        <v>11.98</v>
      </c>
      <c r="CD235" s="38">
        <f t="shared" si="34"/>
        <v>16</v>
      </c>
      <c r="CE235" s="38">
        <f t="shared" si="35"/>
        <v>8</v>
      </c>
      <c r="CF235" s="38">
        <f t="shared" si="36"/>
        <v>12</v>
      </c>
      <c r="CG235" s="38">
        <f t="shared" si="37"/>
        <v>0</v>
      </c>
      <c r="CH235" s="38">
        <f t="shared" si="38"/>
        <v>0</v>
      </c>
      <c r="CI235" s="38">
        <f t="shared" si="39"/>
        <v>0</v>
      </c>
      <c r="CJ235" s="38">
        <f t="shared" si="40"/>
        <v>0</v>
      </c>
      <c r="CK235" s="38">
        <f t="shared" si="41"/>
        <v>0</v>
      </c>
      <c r="CL235" s="38" t="e">
        <f>IF(C235="","",IF(COUNT(G235:AZ235)&lt;46,"",SUMPRODUCT(CC235:CK235,'تنظیمات وزن‌دهی'!$C$5:$C$13)/100))</f>
        <v>#VALUE!</v>
      </c>
      <c r="CM235" s="38" t="e">
        <f t="shared" si="42"/>
        <v>#VALUE!</v>
      </c>
      <c r="CN235" s="38">
        <v>3</v>
      </c>
      <c r="CO235" s="28">
        <f t="shared" si="43"/>
        <v>1</v>
      </c>
      <c r="CP235" s="58"/>
    </row>
    <row r="236" spans="1:94" ht="17.25" hidden="1">
      <c r="A236" s="33">
        <v>232</v>
      </c>
      <c r="B236" s="55" t="s">
        <v>186</v>
      </c>
      <c r="C236" s="55">
        <f>IF(دانش‌آموزان!E24="","",دانش‌آموزان!B24)</f>
        <v>20</v>
      </c>
      <c r="D236" s="55" t="str">
        <f>IF(دانش‌آموزان!C24="","",دانش‌آموزان!C24)</f>
        <v>0960272917</v>
      </c>
      <c r="E236" s="55" t="str">
        <f>IF(دانش‌آموزان!E24="","",دانش‌آموزان!E24&amp;" "&amp;دانش‌آموزان!F24)</f>
        <v>اميرحسين شيعة الايمه</v>
      </c>
      <c r="F236" s="34">
        <f>IF(دانش‌آموزان!I24="","",دانش‌آموزان!I24)</f>
        <v>901</v>
      </c>
      <c r="G236" s="19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1"/>
      <c r="CC236" s="27" t="str">
        <f t="shared" si="33"/>
        <v/>
      </c>
      <c r="CD236" s="38" t="str">
        <f t="shared" si="34"/>
        <v/>
      </c>
      <c r="CE236" s="38" t="str">
        <f t="shared" si="35"/>
        <v/>
      </c>
      <c r="CF236" s="38" t="str">
        <f t="shared" si="36"/>
        <v/>
      </c>
      <c r="CG236" s="38" t="str">
        <f t="shared" si="37"/>
        <v/>
      </c>
      <c r="CH236" s="38" t="str">
        <f t="shared" si="38"/>
        <v/>
      </c>
      <c r="CI236" s="38" t="str">
        <f t="shared" si="39"/>
        <v/>
      </c>
      <c r="CJ236" s="38" t="str">
        <f t="shared" si="40"/>
        <v/>
      </c>
      <c r="CK236" s="38" t="str">
        <f t="shared" si="41"/>
        <v/>
      </c>
      <c r="CL236" s="38" t="str">
        <f>IF(C236="","",IF(COUNT(G236:AZ236)&lt;46,"",SUMPRODUCT(CC236:CK236,'تنظیمات وزن‌دهی'!$C$5:$C$13)/100))</f>
        <v/>
      </c>
      <c r="CM236" s="38" t="str">
        <f t="shared" si="42"/>
        <v/>
      </c>
      <c r="CN236" s="38">
        <v>4</v>
      </c>
      <c r="CO236" s="28">
        <f t="shared" si="43"/>
        <v>0</v>
      </c>
      <c r="CP236" s="58"/>
    </row>
    <row r="237" spans="1:94" ht="17.25" hidden="1">
      <c r="A237" s="33">
        <v>233</v>
      </c>
      <c r="B237" s="55" t="s">
        <v>187</v>
      </c>
      <c r="C237" s="55">
        <f>IF(دانش‌آموزان!E24="","",دانش‌آموزان!B24)</f>
        <v>20</v>
      </c>
      <c r="D237" s="55" t="str">
        <f>IF(دانش‌آموزان!C24="","",دانش‌آموزان!C24)</f>
        <v>0960272917</v>
      </c>
      <c r="E237" s="55" t="str">
        <f>IF(دانش‌آموزان!E24="","",دانش‌آموزان!E24&amp;" "&amp;دانش‌آموزان!F24)</f>
        <v>اميرحسين شيعة الايمه</v>
      </c>
      <c r="F237" s="34">
        <f>IF(دانش‌آموزان!I24="","",دانش‌آموزان!I24)</f>
        <v>901</v>
      </c>
      <c r="G237" s="19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1"/>
      <c r="CC237" s="27" t="str">
        <f t="shared" si="33"/>
        <v/>
      </c>
      <c r="CD237" s="38" t="str">
        <f t="shared" si="34"/>
        <v/>
      </c>
      <c r="CE237" s="38" t="str">
        <f t="shared" si="35"/>
        <v/>
      </c>
      <c r="CF237" s="38" t="str">
        <f t="shared" si="36"/>
        <v/>
      </c>
      <c r="CG237" s="38" t="str">
        <f t="shared" si="37"/>
        <v/>
      </c>
      <c r="CH237" s="38" t="str">
        <f t="shared" si="38"/>
        <v/>
      </c>
      <c r="CI237" s="38" t="str">
        <f t="shared" si="39"/>
        <v/>
      </c>
      <c r="CJ237" s="38" t="str">
        <f t="shared" si="40"/>
        <v/>
      </c>
      <c r="CK237" s="38" t="str">
        <f t="shared" si="41"/>
        <v/>
      </c>
      <c r="CL237" s="38" t="str">
        <f>IF(C237="","",IF(COUNT(G237:AZ237)&lt;46,"",SUMPRODUCT(CC237:CK237,'تنظیمات وزن‌دهی'!$C$5:$C$13)/100))</f>
        <v/>
      </c>
      <c r="CM237" s="38" t="str">
        <f t="shared" si="42"/>
        <v/>
      </c>
      <c r="CN237" s="38">
        <v>5</v>
      </c>
      <c r="CO237" s="28">
        <f t="shared" si="43"/>
        <v>0</v>
      </c>
      <c r="CP237" s="58"/>
    </row>
    <row r="238" spans="1:94" ht="17.25" hidden="1">
      <c r="A238" s="33">
        <v>234</v>
      </c>
      <c r="B238" s="55" t="s">
        <v>188</v>
      </c>
      <c r="C238" s="55">
        <f>IF(دانش‌آموزان!E24="","",دانش‌آموزان!B24)</f>
        <v>20</v>
      </c>
      <c r="D238" s="55" t="str">
        <f>IF(دانش‌آموزان!C24="","",دانش‌آموزان!C24)</f>
        <v>0960272917</v>
      </c>
      <c r="E238" s="55" t="str">
        <f>IF(دانش‌آموزان!E24="","",دانش‌آموزان!E24&amp;" "&amp;دانش‌آموزان!F24)</f>
        <v>اميرحسين شيعة الايمه</v>
      </c>
      <c r="F238" s="34">
        <f>IF(دانش‌آموزان!I24="","",دانش‌آموزان!I24)</f>
        <v>901</v>
      </c>
      <c r="G238" s="19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1"/>
      <c r="CC238" s="27" t="str">
        <f t="shared" si="33"/>
        <v/>
      </c>
      <c r="CD238" s="38" t="str">
        <f t="shared" si="34"/>
        <v/>
      </c>
      <c r="CE238" s="38" t="str">
        <f t="shared" si="35"/>
        <v/>
      </c>
      <c r="CF238" s="38" t="str">
        <f t="shared" si="36"/>
        <v/>
      </c>
      <c r="CG238" s="38" t="str">
        <f t="shared" si="37"/>
        <v/>
      </c>
      <c r="CH238" s="38" t="str">
        <f t="shared" si="38"/>
        <v/>
      </c>
      <c r="CI238" s="38" t="str">
        <f t="shared" si="39"/>
        <v/>
      </c>
      <c r="CJ238" s="38" t="str">
        <f t="shared" si="40"/>
        <v/>
      </c>
      <c r="CK238" s="38" t="str">
        <f t="shared" si="41"/>
        <v/>
      </c>
      <c r="CL238" s="38" t="str">
        <f>IF(C238="","",IF(COUNT(G238:AZ238)&lt;46,"",SUMPRODUCT(CC238:CK238,'تنظیمات وزن‌دهی'!$C$5:$C$13)/100))</f>
        <v/>
      </c>
      <c r="CM238" s="38" t="str">
        <f t="shared" si="42"/>
        <v/>
      </c>
      <c r="CN238" s="38">
        <v>6</v>
      </c>
      <c r="CO238" s="28">
        <f t="shared" si="43"/>
        <v>0</v>
      </c>
      <c r="CP238" s="58"/>
    </row>
    <row r="239" spans="1:94" ht="17.25" hidden="1">
      <c r="A239" s="33">
        <v>235</v>
      </c>
      <c r="B239" s="55" t="s">
        <v>189</v>
      </c>
      <c r="C239" s="55">
        <f>IF(دانش‌آموزان!E24="","",دانش‌آموزان!B24)</f>
        <v>20</v>
      </c>
      <c r="D239" s="55" t="str">
        <f>IF(دانش‌آموزان!C24="","",دانش‌آموزان!C24)</f>
        <v>0960272917</v>
      </c>
      <c r="E239" s="55" t="str">
        <f>IF(دانش‌آموزان!E24="","",دانش‌آموزان!E24&amp;" "&amp;دانش‌آموزان!F24)</f>
        <v>اميرحسين شيعة الايمه</v>
      </c>
      <c r="F239" s="34">
        <f>IF(دانش‌آموزان!I24="","",دانش‌آموزان!I24)</f>
        <v>901</v>
      </c>
      <c r="G239" s="19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1"/>
      <c r="CC239" s="27" t="str">
        <f t="shared" si="33"/>
        <v/>
      </c>
      <c r="CD239" s="38" t="str">
        <f t="shared" si="34"/>
        <v/>
      </c>
      <c r="CE239" s="38" t="str">
        <f t="shared" si="35"/>
        <v/>
      </c>
      <c r="CF239" s="38" t="str">
        <f t="shared" si="36"/>
        <v/>
      </c>
      <c r="CG239" s="38" t="str">
        <f t="shared" si="37"/>
        <v/>
      </c>
      <c r="CH239" s="38" t="str">
        <f t="shared" si="38"/>
        <v/>
      </c>
      <c r="CI239" s="38" t="str">
        <f t="shared" si="39"/>
        <v/>
      </c>
      <c r="CJ239" s="38" t="str">
        <f t="shared" si="40"/>
        <v/>
      </c>
      <c r="CK239" s="38" t="str">
        <f t="shared" si="41"/>
        <v/>
      </c>
      <c r="CL239" s="38" t="str">
        <f>IF(C239="","",IF(COUNT(G239:AZ239)&lt;46,"",SUMPRODUCT(CC239:CK239,'تنظیمات وزن‌دهی'!$C$5:$C$13)/100))</f>
        <v/>
      </c>
      <c r="CM239" s="38" t="str">
        <f t="shared" si="42"/>
        <v/>
      </c>
      <c r="CN239" s="38">
        <v>7</v>
      </c>
      <c r="CO239" s="28">
        <f t="shared" si="43"/>
        <v>0</v>
      </c>
      <c r="CP239" s="58"/>
    </row>
    <row r="240" spans="1:94" ht="17.25" hidden="1">
      <c r="A240" s="33">
        <v>236</v>
      </c>
      <c r="B240" s="55" t="s">
        <v>190</v>
      </c>
      <c r="C240" s="55">
        <f>IF(دانش‌آموزان!E24="","",دانش‌آموزان!B24)</f>
        <v>20</v>
      </c>
      <c r="D240" s="55" t="str">
        <f>IF(دانش‌آموزان!C24="","",دانش‌آموزان!C24)</f>
        <v>0960272917</v>
      </c>
      <c r="E240" s="55" t="str">
        <f>IF(دانش‌آموزان!E24="","",دانش‌آموزان!E24&amp;" "&amp;دانش‌آموزان!F24)</f>
        <v>اميرحسين شيعة الايمه</v>
      </c>
      <c r="F240" s="34">
        <f>IF(دانش‌آموزان!I24="","",دانش‌آموزان!I24)</f>
        <v>901</v>
      </c>
      <c r="G240" s="19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1"/>
      <c r="CC240" s="27" t="str">
        <f t="shared" si="33"/>
        <v/>
      </c>
      <c r="CD240" s="38" t="str">
        <f t="shared" si="34"/>
        <v/>
      </c>
      <c r="CE240" s="38" t="str">
        <f t="shared" si="35"/>
        <v/>
      </c>
      <c r="CF240" s="38" t="str">
        <f t="shared" si="36"/>
        <v/>
      </c>
      <c r="CG240" s="38" t="str">
        <f t="shared" si="37"/>
        <v/>
      </c>
      <c r="CH240" s="38" t="str">
        <f t="shared" si="38"/>
        <v/>
      </c>
      <c r="CI240" s="38" t="str">
        <f t="shared" si="39"/>
        <v/>
      </c>
      <c r="CJ240" s="38" t="str">
        <f t="shared" si="40"/>
        <v/>
      </c>
      <c r="CK240" s="38" t="str">
        <f t="shared" si="41"/>
        <v/>
      </c>
      <c r="CL240" s="38" t="str">
        <f>IF(C240="","",IF(COUNT(G240:AZ240)&lt;46,"",SUMPRODUCT(CC240:CK240,'تنظیمات وزن‌دهی'!$C$5:$C$13)/100))</f>
        <v/>
      </c>
      <c r="CM240" s="38" t="str">
        <f t="shared" si="42"/>
        <v/>
      </c>
      <c r="CN240" s="38">
        <v>8</v>
      </c>
      <c r="CO240" s="28">
        <f t="shared" si="43"/>
        <v>0</v>
      </c>
      <c r="CP240" s="58"/>
    </row>
    <row r="241" spans="1:94" ht="17.25" hidden="1">
      <c r="A241" s="33">
        <v>237</v>
      </c>
      <c r="B241" s="55" t="s">
        <v>191</v>
      </c>
      <c r="C241" s="55">
        <f>IF(دانش‌آموزان!E24="","",دانش‌آموزان!B24)</f>
        <v>20</v>
      </c>
      <c r="D241" s="55" t="str">
        <f>IF(دانش‌آموزان!C24="","",دانش‌آموزان!C24)</f>
        <v>0960272917</v>
      </c>
      <c r="E241" s="55" t="str">
        <f>IF(دانش‌آموزان!E24="","",دانش‌آموزان!E24&amp;" "&amp;دانش‌آموزان!F24)</f>
        <v>اميرحسين شيعة الايمه</v>
      </c>
      <c r="F241" s="34">
        <f>IF(دانش‌آموزان!I24="","",دانش‌آموزان!I24)</f>
        <v>901</v>
      </c>
      <c r="G241" s="19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1"/>
      <c r="CC241" s="27" t="str">
        <f t="shared" si="33"/>
        <v/>
      </c>
      <c r="CD241" s="38" t="str">
        <f t="shared" si="34"/>
        <v/>
      </c>
      <c r="CE241" s="38" t="str">
        <f t="shared" si="35"/>
        <v/>
      </c>
      <c r="CF241" s="38" t="str">
        <f t="shared" si="36"/>
        <v/>
      </c>
      <c r="CG241" s="38" t="str">
        <f t="shared" si="37"/>
        <v/>
      </c>
      <c r="CH241" s="38" t="str">
        <f t="shared" si="38"/>
        <v/>
      </c>
      <c r="CI241" s="38" t="str">
        <f t="shared" si="39"/>
        <v/>
      </c>
      <c r="CJ241" s="38" t="str">
        <f t="shared" si="40"/>
        <v/>
      </c>
      <c r="CK241" s="38" t="str">
        <f t="shared" si="41"/>
        <v/>
      </c>
      <c r="CL241" s="38" t="str">
        <f>IF(C241="","",IF(COUNT(G241:AZ241)&lt;46,"",SUMPRODUCT(CC241:CK241,'تنظیمات وزن‌دهی'!$C$5:$C$13)/100))</f>
        <v/>
      </c>
      <c r="CM241" s="38" t="str">
        <f t="shared" si="42"/>
        <v/>
      </c>
      <c r="CN241" s="38">
        <v>9</v>
      </c>
      <c r="CO241" s="28">
        <f t="shared" si="43"/>
        <v>0</v>
      </c>
      <c r="CP241" s="58"/>
    </row>
    <row r="242" spans="1:94" ht="17.25" hidden="1">
      <c r="A242" s="33">
        <v>238</v>
      </c>
      <c r="B242" s="55" t="s">
        <v>192</v>
      </c>
      <c r="C242" s="55">
        <f>IF(دانش‌آموزان!E24="","",دانش‌آموزان!B24)</f>
        <v>20</v>
      </c>
      <c r="D242" s="55" t="str">
        <f>IF(دانش‌آموزان!C24="","",دانش‌آموزان!C24)</f>
        <v>0960272917</v>
      </c>
      <c r="E242" s="55" t="str">
        <f>IF(دانش‌آموزان!E24="","",دانش‌آموزان!E24&amp;" "&amp;دانش‌آموزان!F24)</f>
        <v>اميرحسين شيعة الايمه</v>
      </c>
      <c r="F242" s="34">
        <f>IF(دانش‌آموزان!I24="","",دانش‌آموزان!I24)</f>
        <v>901</v>
      </c>
      <c r="G242" s="19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1"/>
      <c r="CC242" s="27" t="str">
        <f t="shared" si="33"/>
        <v/>
      </c>
      <c r="CD242" s="38" t="str">
        <f t="shared" si="34"/>
        <v/>
      </c>
      <c r="CE242" s="38" t="str">
        <f t="shared" si="35"/>
        <v/>
      </c>
      <c r="CF242" s="38" t="str">
        <f t="shared" si="36"/>
        <v/>
      </c>
      <c r="CG242" s="38" t="str">
        <f t="shared" si="37"/>
        <v/>
      </c>
      <c r="CH242" s="38" t="str">
        <f t="shared" si="38"/>
        <v/>
      </c>
      <c r="CI242" s="38" t="str">
        <f t="shared" si="39"/>
        <v/>
      </c>
      <c r="CJ242" s="38" t="str">
        <f t="shared" si="40"/>
        <v/>
      </c>
      <c r="CK242" s="38" t="str">
        <f t="shared" si="41"/>
        <v/>
      </c>
      <c r="CL242" s="38" t="str">
        <f>IF(C242="","",IF(COUNT(G242:AZ242)&lt;46,"",SUMPRODUCT(CC242:CK242,'تنظیمات وزن‌دهی'!$C$5:$C$13)/100))</f>
        <v/>
      </c>
      <c r="CM242" s="38" t="str">
        <f t="shared" si="42"/>
        <v/>
      </c>
      <c r="CN242" s="38">
        <v>10</v>
      </c>
      <c r="CO242" s="28">
        <f t="shared" si="43"/>
        <v>0</v>
      </c>
      <c r="CP242" s="58"/>
    </row>
    <row r="243" spans="1:94" ht="17.25" hidden="1">
      <c r="A243" s="33">
        <v>239</v>
      </c>
      <c r="B243" s="55" t="s">
        <v>193</v>
      </c>
      <c r="C243" s="55">
        <f>IF(دانش‌آموزان!E24="","",دانش‌آموزان!B24)</f>
        <v>20</v>
      </c>
      <c r="D243" s="55" t="str">
        <f>IF(دانش‌آموزان!C24="","",دانش‌آموزان!C24)</f>
        <v>0960272917</v>
      </c>
      <c r="E243" s="55" t="str">
        <f>IF(دانش‌آموزان!E24="","",دانش‌آموزان!E24&amp;" "&amp;دانش‌آموزان!F24)</f>
        <v>اميرحسين شيعة الايمه</v>
      </c>
      <c r="F243" s="34">
        <f>IF(دانش‌آموزان!I24="","",دانش‌آموزان!I24)</f>
        <v>901</v>
      </c>
      <c r="G243" s="19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1"/>
      <c r="CC243" s="27" t="str">
        <f t="shared" si="33"/>
        <v/>
      </c>
      <c r="CD243" s="38" t="str">
        <f t="shared" si="34"/>
        <v/>
      </c>
      <c r="CE243" s="38" t="str">
        <f t="shared" si="35"/>
        <v/>
      </c>
      <c r="CF243" s="38" t="str">
        <f t="shared" si="36"/>
        <v/>
      </c>
      <c r="CG243" s="38" t="str">
        <f t="shared" si="37"/>
        <v/>
      </c>
      <c r="CH243" s="38" t="str">
        <f t="shared" si="38"/>
        <v/>
      </c>
      <c r="CI243" s="38" t="str">
        <f t="shared" si="39"/>
        <v/>
      </c>
      <c r="CJ243" s="38" t="str">
        <f t="shared" si="40"/>
        <v/>
      </c>
      <c r="CK243" s="38" t="str">
        <f t="shared" si="41"/>
        <v/>
      </c>
      <c r="CL243" s="38" t="str">
        <f>IF(C243="","",IF(COUNT(G243:AZ243)&lt;46,"",SUMPRODUCT(CC243:CK243,'تنظیمات وزن‌دهی'!$C$5:$C$13)/100))</f>
        <v/>
      </c>
      <c r="CM243" s="38" t="str">
        <f t="shared" si="42"/>
        <v/>
      </c>
      <c r="CN243" s="38">
        <v>11</v>
      </c>
      <c r="CO243" s="28">
        <f t="shared" si="43"/>
        <v>0</v>
      </c>
      <c r="CP243" s="58"/>
    </row>
    <row r="244" spans="1:94" ht="17.25" hidden="1">
      <c r="A244" s="33">
        <v>240</v>
      </c>
      <c r="B244" s="55" t="s">
        <v>194</v>
      </c>
      <c r="C244" s="55">
        <f>IF(دانش‌آموزان!E24="","",دانش‌آموزان!B24)</f>
        <v>20</v>
      </c>
      <c r="D244" s="55" t="str">
        <f>IF(دانش‌آموزان!C24="","",دانش‌آموزان!C24)</f>
        <v>0960272917</v>
      </c>
      <c r="E244" s="55" t="str">
        <f>IF(دانش‌آموزان!E24="","",دانش‌آموزان!E24&amp;" "&amp;دانش‌آموزان!F24)</f>
        <v>اميرحسين شيعة الايمه</v>
      </c>
      <c r="F244" s="34">
        <f>IF(دانش‌آموزان!I24="","",دانش‌آموزان!I24)</f>
        <v>901</v>
      </c>
      <c r="G244" s="19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1"/>
      <c r="CC244" s="27" t="str">
        <f t="shared" si="33"/>
        <v/>
      </c>
      <c r="CD244" s="38" t="str">
        <f t="shared" si="34"/>
        <v/>
      </c>
      <c r="CE244" s="38" t="str">
        <f t="shared" si="35"/>
        <v/>
      </c>
      <c r="CF244" s="38" t="str">
        <f t="shared" si="36"/>
        <v/>
      </c>
      <c r="CG244" s="38" t="str">
        <f t="shared" si="37"/>
        <v/>
      </c>
      <c r="CH244" s="38" t="str">
        <f t="shared" si="38"/>
        <v/>
      </c>
      <c r="CI244" s="38" t="str">
        <f t="shared" si="39"/>
        <v/>
      </c>
      <c r="CJ244" s="38" t="str">
        <f t="shared" si="40"/>
        <v/>
      </c>
      <c r="CK244" s="38" t="str">
        <f t="shared" si="41"/>
        <v/>
      </c>
      <c r="CL244" s="38" t="str">
        <f>IF(C244="","",IF(COUNT(G244:AZ244)&lt;46,"",SUMPRODUCT(CC244:CK244,'تنظیمات وزن‌دهی'!$C$5:$C$13)/100))</f>
        <v/>
      </c>
      <c r="CM244" s="38" t="str">
        <f t="shared" si="42"/>
        <v/>
      </c>
      <c r="CN244" s="38">
        <v>12</v>
      </c>
      <c r="CO244" s="28">
        <f t="shared" si="43"/>
        <v>0</v>
      </c>
      <c r="CP244" s="58"/>
    </row>
    <row r="245" spans="1:94" ht="17.25" hidden="1">
      <c r="A245" s="33">
        <v>241</v>
      </c>
      <c r="B245" s="55" t="s">
        <v>183</v>
      </c>
      <c r="C245" s="55">
        <f>IF(دانش‌آموزان!E25="","",دانش‌آموزان!B25)</f>
        <v>21</v>
      </c>
      <c r="D245" s="55" t="str">
        <f>IF(دانش‌آموزان!C25="","",دانش‌آموزان!C25)</f>
        <v>0980386764</v>
      </c>
      <c r="E245" s="55" t="str">
        <f>IF(دانش‌آموزان!E25="","",دانش‌آموزان!E25&amp;" "&amp;دانش‌آموزان!F25)</f>
        <v>سهيل صمدي نوقابي</v>
      </c>
      <c r="F245" s="34">
        <f>IF(دانش‌آموزان!I25="","",دانش‌آموزان!I25)</f>
        <v>901</v>
      </c>
      <c r="G245" s="19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1"/>
      <c r="CC245" s="27" t="str">
        <f t="shared" si="33"/>
        <v/>
      </c>
      <c r="CD245" s="38" t="str">
        <f t="shared" si="34"/>
        <v/>
      </c>
      <c r="CE245" s="38" t="str">
        <f t="shared" si="35"/>
        <v/>
      </c>
      <c r="CF245" s="38" t="str">
        <f t="shared" si="36"/>
        <v/>
      </c>
      <c r="CG245" s="38" t="str">
        <f t="shared" si="37"/>
        <v/>
      </c>
      <c r="CH245" s="38" t="str">
        <f t="shared" si="38"/>
        <v/>
      </c>
      <c r="CI245" s="38" t="str">
        <f t="shared" si="39"/>
        <v/>
      </c>
      <c r="CJ245" s="38" t="str">
        <f t="shared" si="40"/>
        <v/>
      </c>
      <c r="CK245" s="38" t="str">
        <f t="shared" si="41"/>
        <v/>
      </c>
      <c r="CL245" s="38" t="str">
        <f>IF(C245="","",IF(COUNT(G245:AZ245)&lt;46,"",SUMPRODUCT(CC245:CK245,'تنظیمات وزن‌دهی'!$C$5:$C$13)/100))</f>
        <v/>
      </c>
      <c r="CM245" s="38" t="str">
        <f t="shared" si="42"/>
        <v/>
      </c>
      <c r="CN245" s="38">
        <v>1</v>
      </c>
      <c r="CO245" s="28">
        <f t="shared" si="43"/>
        <v>0</v>
      </c>
      <c r="CP245" s="58"/>
    </row>
    <row r="246" spans="1:94" ht="17.25" hidden="1">
      <c r="A246" s="33">
        <v>242</v>
      </c>
      <c r="B246" s="55" t="s">
        <v>184</v>
      </c>
      <c r="C246" s="55">
        <f>IF(دانش‌آموزان!E25="","",دانش‌آموزان!B25)</f>
        <v>21</v>
      </c>
      <c r="D246" s="55" t="str">
        <f>IF(دانش‌آموزان!C25="","",دانش‌آموزان!C25)</f>
        <v>0980386764</v>
      </c>
      <c r="E246" s="55" t="str">
        <f>IF(دانش‌آموزان!E25="","",دانش‌آموزان!E25&amp;" "&amp;دانش‌آموزان!F25)</f>
        <v>سهيل صمدي نوقابي</v>
      </c>
      <c r="F246" s="34">
        <f>IF(دانش‌آموزان!I25="","",دانش‌آموزان!I25)</f>
        <v>901</v>
      </c>
      <c r="G246" s="19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1"/>
      <c r="CC246" s="27" t="str">
        <f t="shared" si="33"/>
        <v/>
      </c>
      <c r="CD246" s="38" t="str">
        <f t="shared" si="34"/>
        <v/>
      </c>
      <c r="CE246" s="38" t="str">
        <f t="shared" si="35"/>
        <v/>
      </c>
      <c r="CF246" s="38" t="str">
        <f t="shared" si="36"/>
        <v/>
      </c>
      <c r="CG246" s="38" t="str">
        <f t="shared" si="37"/>
        <v/>
      </c>
      <c r="CH246" s="38" t="str">
        <f t="shared" si="38"/>
        <v/>
      </c>
      <c r="CI246" s="38" t="str">
        <f t="shared" si="39"/>
        <v/>
      </c>
      <c r="CJ246" s="38" t="str">
        <f t="shared" si="40"/>
        <v/>
      </c>
      <c r="CK246" s="38" t="str">
        <f t="shared" si="41"/>
        <v/>
      </c>
      <c r="CL246" s="38" t="str">
        <f>IF(C246="","",IF(COUNT(G246:AZ246)&lt;46,"",SUMPRODUCT(CC246:CK246,'تنظیمات وزن‌دهی'!$C$5:$C$13)/100))</f>
        <v/>
      </c>
      <c r="CM246" s="38" t="str">
        <f t="shared" si="42"/>
        <v/>
      </c>
      <c r="CN246" s="38">
        <v>2</v>
      </c>
      <c r="CO246" s="28">
        <f t="shared" si="43"/>
        <v>0</v>
      </c>
      <c r="CP246" s="58"/>
    </row>
    <row r="247" spans="1:94" ht="17.25">
      <c r="A247" s="33">
        <v>243</v>
      </c>
      <c r="B247" s="55" t="s">
        <v>185</v>
      </c>
      <c r="C247" s="55">
        <f>IF(دانش‌آموزان!E25="","",دانش‌آموزان!B25)</f>
        <v>21</v>
      </c>
      <c r="D247" s="55" t="str">
        <f>IF(دانش‌آموزان!C25="","",دانش‌آموزان!C25)</f>
        <v>0980386764</v>
      </c>
      <c r="E247" s="55" t="str">
        <f>IF(دانش‌آموزان!E25="","",دانش‌آموزان!E25&amp;" "&amp;دانش‌آموزان!F25)</f>
        <v>سهيل صمدي نوقابي</v>
      </c>
      <c r="F247" s="34">
        <f>IF(دانش‌آموزان!I25="","",دانش‌آموزان!I25)</f>
        <v>901</v>
      </c>
      <c r="G247" s="19">
        <v>18.309999999999999</v>
      </c>
      <c r="H247" s="20">
        <v>-4.3099999999999996</v>
      </c>
      <c r="I247" s="20">
        <v>0</v>
      </c>
      <c r="J247" s="20">
        <v>4</v>
      </c>
      <c r="K247" s="20">
        <v>0</v>
      </c>
      <c r="L247" s="20">
        <v>0</v>
      </c>
      <c r="M247" s="20">
        <v>0</v>
      </c>
      <c r="N247" s="20">
        <v>0</v>
      </c>
      <c r="O247" s="20">
        <v>4</v>
      </c>
      <c r="P247" s="20">
        <v>4</v>
      </c>
      <c r="Q247" s="20">
        <v>4</v>
      </c>
      <c r="R247" s="20">
        <v>5</v>
      </c>
      <c r="S247" s="20">
        <v>4</v>
      </c>
      <c r="T247" s="20">
        <v>4</v>
      </c>
      <c r="U247" s="20">
        <v>4</v>
      </c>
      <c r="V247" s="20">
        <v>4</v>
      </c>
      <c r="W247" s="20">
        <v>5</v>
      </c>
      <c r="X247" s="20">
        <v>4</v>
      </c>
      <c r="Y247" s="20">
        <v>5</v>
      </c>
      <c r="Z247" s="20">
        <v>5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20">
        <v>0</v>
      </c>
      <c r="AG247" s="20">
        <v>0</v>
      </c>
      <c r="AH247" s="20">
        <v>0</v>
      </c>
      <c r="AI247" s="20">
        <v>0</v>
      </c>
      <c r="AJ247" s="20">
        <v>0</v>
      </c>
      <c r="AK247" s="20">
        <v>0</v>
      </c>
      <c r="AL247" s="20">
        <v>0</v>
      </c>
      <c r="AM247" s="20">
        <v>0</v>
      </c>
      <c r="AN247" s="20">
        <v>0</v>
      </c>
      <c r="AO247" s="20">
        <v>0</v>
      </c>
      <c r="AP247" s="20">
        <v>0</v>
      </c>
      <c r="AQ247" s="20">
        <v>0</v>
      </c>
      <c r="AR247" s="20">
        <v>0</v>
      </c>
      <c r="AS247" s="20">
        <v>0</v>
      </c>
      <c r="AT247" s="20">
        <v>0</v>
      </c>
      <c r="AU247" s="20">
        <v>0</v>
      </c>
      <c r="AV247" s="20">
        <v>0</v>
      </c>
      <c r="AW247" s="20">
        <v>0</v>
      </c>
      <c r="AX247" s="20">
        <v>0</v>
      </c>
      <c r="AY247" s="20">
        <v>0</v>
      </c>
      <c r="AZ247" s="20">
        <v>0</v>
      </c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1"/>
      <c r="CC247" s="27">
        <f t="shared" si="33"/>
        <v>9</v>
      </c>
      <c r="CD247" s="38">
        <f t="shared" si="34"/>
        <v>16.8</v>
      </c>
      <c r="CE247" s="38">
        <f t="shared" si="35"/>
        <v>16</v>
      </c>
      <c r="CF247" s="38">
        <f t="shared" si="36"/>
        <v>18.399999999999999</v>
      </c>
      <c r="CG247" s="38">
        <f t="shared" si="37"/>
        <v>0</v>
      </c>
      <c r="CH247" s="38">
        <f t="shared" si="38"/>
        <v>0</v>
      </c>
      <c r="CI247" s="38">
        <f t="shared" si="39"/>
        <v>0</v>
      </c>
      <c r="CJ247" s="38">
        <f t="shared" si="40"/>
        <v>0</v>
      </c>
      <c r="CK247" s="38">
        <f t="shared" si="41"/>
        <v>0</v>
      </c>
      <c r="CL247" s="38" t="e">
        <f>IF(C247="","",IF(COUNT(G247:AZ247)&lt;46,"",SUMPRODUCT(CC247:CK247,'تنظیمات وزن‌دهی'!$C$5:$C$13)/100))</f>
        <v>#VALUE!</v>
      </c>
      <c r="CM247" s="38" t="e">
        <f t="shared" si="42"/>
        <v>#VALUE!</v>
      </c>
      <c r="CN247" s="38">
        <v>3</v>
      </c>
      <c r="CO247" s="28">
        <f t="shared" si="43"/>
        <v>1</v>
      </c>
      <c r="CP247" s="58"/>
    </row>
    <row r="248" spans="1:94" ht="17.25" hidden="1">
      <c r="A248" s="33">
        <v>244</v>
      </c>
      <c r="B248" s="55" t="s">
        <v>186</v>
      </c>
      <c r="C248" s="55">
        <f>IF(دانش‌آموزان!E25="","",دانش‌آموزان!B25)</f>
        <v>21</v>
      </c>
      <c r="D248" s="55" t="str">
        <f>IF(دانش‌آموزان!C25="","",دانش‌آموزان!C25)</f>
        <v>0980386764</v>
      </c>
      <c r="E248" s="55" t="str">
        <f>IF(دانش‌آموزان!E25="","",دانش‌آموزان!E25&amp;" "&amp;دانش‌آموزان!F25)</f>
        <v>سهيل صمدي نوقابي</v>
      </c>
      <c r="F248" s="34">
        <f>IF(دانش‌آموزان!I25="","",دانش‌آموزان!I25)</f>
        <v>901</v>
      </c>
      <c r="G248" s="19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1"/>
      <c r="CC248" s="27" t="str">
        <f t="shared" si="33"/>
        <v/>
      </c>
      <c r="CD248" s="38" t="str">
        <f t="shared" si="34"/>
        <v/>
      </c>
      <c r="CE248" s="38" t="str">
        <f t="shared" si="35"/>
        <v/>
      </c>
      <c r="CF248" s="38" t="str">
        <f t="shared" si="36"/>
        <v/>
      </c>
      <c r="CG248" s="38" t="str">
        <f t="shared" si="37"/>
        <v/>
      </c>
      <c r="CH248" s="38" t="str">
        <f t="shared" si="38"/>
        <v/>
      </c>
      <c r="CI248" s="38" t="str">
        <f t="shared" si="39"/>
        <v/>
      </c>
      <c r="CJ248" s="38" t="str">
        <f t="shared" si="40"/>
        <v/>
      </c>
      <c r="CK248" s="38" t="str">
        <f t="shared" si="41"/>
        <v/>
      </c>
      <c r="CL248" s="38" t="str">
        <f>IF(C248="","",IF(COUNT(G248:AZ248)&lt;46,"",SUMPRODUCT(CC248:CK248,'تنظیمات وزن‌دهی'!$C$5:$C$13)/100))</f>
        <v/>
      </c>
      <c r="CM248" s="38" t="str">
        <f t="shared" si="42"/>
        <v/>
      </c>
      <c r="CN248" s="38">
        <v>4</v>
      </c>
      <c r="CO248" s="28">
        <f t="shared" si="43"/>
        <v>0</v>
      </c>
      <c r="CP248" s="58"/>
    </row>
    <row r="249" spans="1:94" ht="17.25" hidden="1">
      <c r="A249" s="33">
        <v>245</v>
      </c>
      <c r="B249" s="55" t="s">
        <v>187</v>
      </c>
      <c r="C249" s="55">
        <f>IF(دانش‌آموزان!E25="","",دانش‌آموزان!B25)</f>
        <v>21</v>
      </c>
      <c r="D249" s="55" t="str">
        <f>IF(دانش‌آموزان!C25="","",دانش‌آموزان!C25)</f>
        <v>0980386764</v>
      </c>
      <c r="E249" s="55" t="str">
        <f>IF(دانش‌آموزان!E25="","",دانش‌آموزان!E25&amp;" "&amp;دانش‌آموزان!F25)</f>
        <v>سهيل صمدي نوقابي</v>
      </c>
      <c r="F249" s="34">
        <f>IF(دانش‌آموزان!I25="","",دانش‌آموزان!I25)</f>
        <v>901</v>
      </c>
      <c r="G249" s="19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1"/>
      <c r="CC249" s="27" t="str">
        <f t="shared" si="33"/>
        <v/>
      </c>
      <c r="CD249" s="38" t="str">
        <f t="shared" si="34"/>
        <v/>
      </c>
      <c r="CE249" s="38" t="str">
        <f t="shared" si="35"/>
        <v/>
      </c>
      <c r="CF249" s="38" t="str">
        <f t="shared" si="36"/>
        <v/>
      </c>
      <c r="CG249" s="38" t="str">
        <f t="shared" si="37"/>
        <v/>
      </c>
      <c r="CH249" s="38" t="str">
        <f t="shared" si="38"/>
        <v/>
      </c>
      <c r="CI249" s="38" t="str">
        <f t="shared" si="39"/>
        <v/>
      </c>
      <c r="CJ249" s="38" t="str">
        <f t="shared" si="40"/>
        <v/>
      </c>
      <c r="CK249" s="38" t="str">
        <f t="shared" si="41"/>
        <v/>
      </c>
      <c r="CL249" s="38" t="str">
        <f>IF(C249="","",IF(COUNT(G249:AZ249)&lt;46,"",SUMPRODUCT(CC249:CK249,'تنظیمات وزن‌دهی'!$C$5:$C$13)/100))</f>
        <v/>
      </c>
      <c r="CM249" s="38" t="str">
        <f t="shared" si="42"/>
        <v/>
      </c>
      <c r="CN249" s="38">
        <v>5</v>
      </c>
      <c r="CO249" s="28">
        <f t="shared" si="43"/>
        <v>0</v>
      </c>
      <c r="CP249" s="58"/>
    </row>
    <row r="250" spans="1:94" ht="17.25" hidden="1">
      <c r="A250" s="33">
        <v>246</v>
      </c>
      <c r="B250" s="55" t="s">
        <v>188</v>
      </c>
      <c r="C250" s="55">
        <f>IF(دانش‌آموزان!E25="","",دانش‌آموزان!B25)</f>
        <v>21</v>
      </c>
      <c r="D250" s="55" t="str">
        <f>IF(دانش‌آموزان!C25="","",دانش‌آموزان!C25)</f>
        <v>0980386764</v>
      </c>
      <c r="E250" s="55" t="str">
        <f>IF(دانش‌آموزان!E25="","",دانش‌آموزان!E25&amp;" "&amp;دانش‌آموزان!F25)</f>
        <v>سهيل صمدي نوقابي</v>
      </c>
      <c r="F250" s="34">
        <f>IF(دانش‌آموزان!I25="","",دانش‌آموزان!I25)</f>
        <v>901</v>
      </c>
      <c r="G250" s="19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1"/>
      <c r="CC250" s="27" t="str">
        <f t="shared" si="33"/>
        <v/>
      </c>
      <c r="CD250" s="38" t="str">
        <f t="shared" si="34"/>
        <v/>
      </c>
      <c r="CE250" s="38" t="str">
        <f t="shared" si="35"/>
        <v/>
      </c>
      <c r="CF250" s="38" t="str">
        <f t="shared" si="36"/>
        <v/>
      </c>
      <c r="CG250" s="38" t="str">
        <f t="shared" si="37"/>
        <v/>
      </c>
      <c r="CH250" s="38" t="str">
        <f t="shared" si="38"/>
        <v/>
      </c>
      <c r="CI250" s="38" t="str">
        <f t="shared" si="39"/>
        <v/>
      </c>
      <c r="CJ250" s="38" t="str">
        <f t="shared" si="40"/>
        <v/>
      </c>
      <c r="CK250" s="38" t="str">
        <f t="shared" si="41"/>
        <v/>
      </c>
      <c r="CL250" s="38" t="str">
        <f>IF(C250="","",IF(COUNT(G250:AZ250)&lt;46,"",SUMPRODUCT(CC250:CK250,'تنظیمات وزن‌دهی'!$C$5:$C$13)/100))</f>
        <v/>
      </c>
      <c r="CM250" s="38" t="str">
        <f t="shared" si="42"/>
        <v/>
      </c>
      <c r="CN250" s="38">
        <v>6</v>
      </c>
      <c r="CO250" s="28">
        <f t="shared" si="43"/>
        <v>0</v>
      </c>
      <c r="CP250" s="58"/>
    </row>
    <row r="251" spans="1:94" ht="17.25" hidden="1">
      <c r="A251" s="33">
        <v>247</v>
      </c>
      <c r="B251" s="55" t="s">
        <v>189</v>
      </c>
      <c r="C251" s="55">
        <f>IF(دانش‌آموزان!E25="","",دانش‌آموزان!B25)</f>
        <v>21</v>
      </c>
      <c r="D251" s="55" t="str">
        <f>IF(دانش‌آموزان!C25="","",دانش‌آموزان!C25)</f>
        <v>0980386764</v>
      </c>
      <c r="E251" s="55" t="str">
        <f>IF(دانش‌آموزان!E25="","",دانش‌آموزان!E25&amp;" "&amp;دانش‌آموزان!F25)</f>
        <v>سهيل صمدي نوقابي</v>
      </c>
      <c r="F251" s="34">
        <f>IF(دانش‌آموزان!I25="","",دانش‌آموزان!I25)</f>
        <v>901</v>
      </c>
      <c r="G251" s="19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1"/>
      <c r="CC251" s="27" t="str">
        <f t="shared" si="33"/>
        <v/>
      </c>
      <c r="CD251" s="38" t="str">
        <f t="shared" si="34"/>
        <v/>
      </c>
      <c r="CE251" s="38" t="str">
        <f t="shared" si="35"/>
        <v/>
      </c>
      <c r="CF251" s="38" t="str">
        <f t="shared" si="36"/>
        <v/>
      </c>
      <c r="CG251" s="38" t="str">
        <f t="shared" si="37"/>
        <v/>
      </c>
      <c r="CH251" s="38" t="str">
        <f t="shared" si="38"/>
        <v/>
      </c>
      <c r="CI251" s="38" t="str">
        <f t="shared" si="39"/>
        <v/>
      </c>
      <c r="CJ251" s="38" t="str">
        <f t="shared" si="40"/>
        <v/>
      </c>
      <c r="CK251" s="38" t="str">
        <f t="shared" si="41"/>
        <v/>
      </c>
      <c r="CL251" s="38" t="str">
        <f>IF(C251="","",IF(COUNT(G251:AZ251)&lt;46,"",SUMPRODUCT(CC251:CK251,'تنظیمات وزن‌دهی'!$C$5:$C$13)/100))</f>
        <v/>
      </c>
      <c r="CM251" s="38" t="str">
        <f t="shared" si="42"/>
        <v/>
      </c>
      <c r="CN251" s="38">
        <v>7</v>
      </c>
      <c r="CO251" s="28">
        <f t="shared" si="43"/>
        <v>0</v>
      </c>
      <c r="CP251" s="58"/>
    </row>
    <row r="252" spans="1:94" ht="17.25" hidden="1">
      <c r="A252" s="33">
        <v>248</v>
      </c>
      <c r="B252" s="55" t="s">
        <v>190</v>
      </c>
      <c r="C252" s="55">
        <f>IF(دانش‌آموزان!E25="","",دانش‌آموزان!B25)</f>
        <v>21</v>
      </c>
      <c r="D252" s="55" t="str">
        <f>IF(دانش‌آموزان!C25="","",دانش‌آموزان!C25)</f>
        <v>0980386764</v>
      </c>
      <c r="E252" s="55" t="str">
        <f>IF(دانش‌آموزان!E25="","",دانش‌آموزان!E25&amp;" "&amp;دانش‌آموزان!F25)</f>
        <v>سهيل صمدي نوقابي</v>
      </c>
      <c r="F252" s="34">
        <f>IF(دانش‌آموزان!I25="","",دانش‌آموزان!I25)</f>
        <v>901</v>
      </c>
      <c r="G252" s="19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1"/>
      <c r="CC252" s="27" t="str">
        <f t="shared" si="33"/>
        <v/>
      </c>
      <c r="CD252" s="38" t="str">
        <f t="shared" si="34"/>
        <v/>
      </c>
      <c r="CE252" s="38" t="str">
        <f t="shared" si="35"/>
        <v/>
      </c>
      <c r="CF252" s="38" t="str">
        <f t="shared" si="36"/>
        <v/>
      </c>
      <c r="CG252" s="38" t="str">
        <f t="shared" si="37"/>
        <v/>
      </c>
      <c r="CH252" s="38" t="str">
        <f t="shared" si="38"/>
        <v/>
      </c>
      <c r="CI252" s="38" t="str">
        <f t="shared" si="39"/>
        <v/>
      </c>
      <c r="CJ252" s="38" t="str">
        <f t="shared" si="40"/>
        <v/>
      </c>
      <c r="CK252" s="38" t="str">
        <f t="shared" si="41"/>
        <v/>
      </c>
      <c r="CL252" s="38" t="str">
        <f>IF(C252="","",IF(COUNT(G252:AZ252)&lt;46,"",SUMPRODUCT(CC252:CK252,'تنظیمات وزن‌دهی'!$C$5:$C$13)/100))</f>
        <v/>
      </c>
      <c r="CM252" s="38" t="str">
        <f t="shared" si="42"/>
        <v/>
      </c>
      <c r="CN252" s="38">
        <v>8</v>
      </c>
      <c r="CO252" s="28">
        <f t="shared" si="43"/>
        <v>0</v>
      </c>
      <c r="CP252" s="58"/>
    </row>
    <row r="253" spans="1:94" ht="17.25" hidden="1">
      <c r="A253" s="33">
        <v>249</v>
      </c>
      <c r="B253" s="55" t="s">
        <v>191</v>
      </c>
      <c r="C253" s="55">
        <f>IF(دانش‌آموزان!E25="","",دانش‌آموزان!B25)</f>
        <v>21</v>
      </c>
      <c r="D253" s="55" t="str">
        <f>IF(دانش‌آموزان!C25="","",دانش‌آموزان!C25)</f>
        <v>0980386764</v>
      </c>
      <c r="E253" s="55" t="str">
        <f>IF(دانش‌آموزان!E25="","",دانش‌آموزان!E25&amp;" "&amp;دانش‌آموزان!F25)</f>
        <v>سهيل صمدي نوقابي</v>
      </c>
      <c r="F253" s="34">
        <f>IF(دانش‌آموزان!I25="","",دانش‌آموزان!I25)</f>
        <v>901</v>
      </c>
      <c r="G253" s="19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1"/>
      <c r="CC253" s="27" t="str">
        <f t="shared" si="33"/>
        <v/>
      </c>
      <c r="CD253" s="38" t="str">
        <f t="shared" si="34"/>
        <v/>
      </c>
      <c r="CE253" s="38" t="str">
        <f t="shared" si="35"/>
        <v/>
      </c>
      <c r="CF253" s="38" t="str">
        <f t="shared" si="36"/>
        <v/>
      </c>
      <c r="CG253" s="38" t="str">
        <f t="shared" si="37"/>
        <v/>
      </c>
      <c r="CH253" s="38" t="str">
        <f t="shared" si="38"/>
        <v/>
      </c>
      <c r="CI253" s="38" t="str">
        <f t="shared" si="39"/>
        <v/>
      </c>
      <c r="CJ253" s="38" t="str">
        <f t="shared" si="40"/>
        <v/>
      </c>
      <c r="CK253" s="38" t="str">
        <f t="shared" si="41"/>
        <v/>
      </c>
      <c r="CL253" s="38" t="str">
        <f>IF(C253="","",IF(COUNT(G253:AZ253)&lt;46,"",SUMPRODUCT(CC253:CK253,'تنظیمات وزن‌دهی'!$C$5:$C$13)/100))</f>
        <v/>
      </c>
      <c r="CM253" s="38" t="str">
        <f t="shared" si="42"/>
        <v/>
      </c>
      <c r="CN253" s="38">
        <v>9</v>
      </c>
      <c r="CO253" s="28">
        <f t="shared" si="43"/>
        <v>0</v>
      </c>
      <c r="CP253" s="58"/>
    </row>
    <row r="254" spans="1:94" ht="17.25" hidden="1">
      <c r="A254" s="33">
        <v>250</v>
      </c>
      <c r="B254" s="55" t="s">
        <v>192</v>
      </c>
      <c r="C254" s="55">
        <f>IF(دانش‌آموزان!E25="","",دانش‌آموزان!B25)</f>
        <v>21</v>
      </c>
      <c r="D254" s="55" t="str">
        <f>IF(دانش‌آموزان!C25="","",دانش‌آموزان!C25)</f>
        <v>0980386764</v>
      </c>
      <c r="E254" s="55" t="str">
        <f>IF(دانش‌آموزان!E25="","",دانش‌آموزان!E25&amp;" "&amp;دانش‌آموزان!F25)</f>
        <v>سهيل صمدي نوقابي</v>
      </c>
      <c r="F254" s="34">
        <f>IF(دانش‌آموزان!I25="","",دانش‌آموزان!I25)</f>
        <v>901</v>
      </c>
      <c r="G254" s="19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1"/>
      <c r="CC254" s="27" t="str">
        <f t="shared" si="33"/>
        <v/>
      </c>
      <c r="CD254" s="38" t="str">
        <f t="shared" si="34"/>
        <v/>
      </c>
      <c r="CE254" s="38" t="str">
        <f t="shared" si="35"/>
        <v/>
      </c>
      <c r="CF254" s="38" t="str">
        <f t="shared" si="36"/>
        <v/>
      </c>
      <c r="CG254" s="38" t="str">
        <f t="shared" si="37"/>
        <v/>
      </c>
      <c r="CH254" s="38" t="str">
        <f t="shared" si="38"/>
        <v/>
      </c>
      <c r="CI254" s="38" t="str">
        <f t="shared" si="39"/>
        <v/>
      </c>
      <c r="CJ254" s="38" t="str">
        <f t="shared" si="40"/>
        <v/>
      </c>
      <c r="CK254" s="38" t="str">
        <f t="shared" si="41"/>
        <v/>
      </c>
      <c r="CL254" s="38" t="str">
        <f>IF(C254="","",IF(COUNT(G254:AZ254)&lt;46,"",SUMPRODUCT(CC254:CK254,'تنظیمات وزن‌دهی'!$C$5:$C$13)/100))</f>
        <v/>
      </c>
      <c r="CM254" s="38" t="str">
        <f t="shared" si="42"/>
        <v/>
      </c>
      <c r="CN254" s="38">
        <v>10</v>
      </c>
      <c r="CO254" s="28">
        <f t="shared" si="43"/>
        <v>0</v>
      </c>
      <c r="CP254" s="58"/>
    </row>
    <row r="255" spans="1:94" ht="17.25" hidden="1">
      <c r="A255" s="33">
        <v>251</v>
      </c>
      <c r="B255" s="55" t="s">
        <v>193</v>
      </c>
      <c r="C255" s="55">
        <f>IF(دانش‌آموزان!E25="","",دانش‌آموزان!B25)</f>
        <v>21</v>
      </c>
      <c r="D255" s="55" t="str">
        <f>IF(دانش‌آموزان!C25="","",دانش‌آموزان!C25)</f>
        <v>0980386764</v>
      </c>
      <c r="E255" s="55" t="str">
        <f>IF(دانش‌آموزان!E25="","",دانش‌آموزان!E25&amp;" "&amp;دانش‌آموزان!F25)</f>
        <v>سهيل صمدي نوقابي</v>
      </c>
      <c r="F255" s="34">
        <f>IF(دانش‌آموزان!I25="","",دانش‌آموزان!I25)</f>
        <v>901</v>
      </c>
      <c r="G255" s="19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1"/>
      <c r="CC255" s="27" t="str">
        <f t="shared" si="33"/>
        <v/>
      </c>
      <c r="CD255" s="38" t="str">
        <f t="shared" si="34"/>
        <v/>
      </c>
      <c r="CE255" s="38" t="str">
        <f t="shared" si="35"/>
        <v/>
      </c>
      <c r="CF255" s="38" t="str">
        <f t="shared" si="36"/>
        <v/>
      </c>
      <c r="CG255" s="38" t="str">
        <f t="shared" si="37"/>
        <v/>
      </c>
      <c r="CH255" s="38" t="str">
        <f t="shared" si="38"/>
        <v/>
      </c>
      <c r="CI255" s="38" t="str">
        <f t="shared" si="39"/>
        <v/>
      </c>
      <c r="CJ255" s="38" t="str">
        <f t="shared" si="40"/>
        <v/>
      </c>
      <c r="CK255" s="38" t="str">
        <f t="shared" si="41"/>
        <v/>
      </c>
      <c r="CL255" s="38" t="str">
        <f>IF(C255="","",IF(COUNT(G255:AZ255)&lt;46,"",SUMPRODUCT(CC255:CK255,'تنظیمات وزن‌دهی'!$C$5:$C$13)/100))</f>
        <v/>
      </c>
      <c r="CM255" s="38" t="str">
        <f t="shared" si="42"/>
        <v/>
      </c>
      <c r="CN255" s="38">
        <v>11</v>
      </c>
      <c r="CO255" s="28">
        <f t="shared" si="43"/>
        <v>0</v>
      </c>
      <c r="CP255" s="58"/>
    </row>
    <row r="256" spans="1:94" ht="17.25" hidden="1">
      <c r="A256" s="33">
        <v>252</v>
      </c>
      <c r="B256" s="55" t="s">
        <v>194</v>
      </c>
      <c r="C256" s="55">
        <f>IF(دانش‌آموزان!E25="","",دانش‌آموزان!B25)</f>
        <v>21</v>
      </c>
      <c r="D256" s="55" t="str">
        <f>IF(دانش‌آموزان!C25="","",دانش‌آموزان!C25)</f>
        <v>0980386764</v>
      </c>
      <c r="E256" s="55" t="str">
        <f>IF(دانش‌آموزان!E25="","",دانش‌آموزان!E25&amp;" "&amp;دانش‌آموزان!F25)</f>
        <v>سهيل صمدي نوقابي</v>
      </c>
      <c r="F256" s="34">
        <f>IF(دانش‌آموزان!I25="","",دانش‌آموزان!I25)</f>
        <v>901</v>
      </c>
      <c r="G256" s="19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1"/>
      <c r="CC256" s="27" t="str">
        <f t="shared" si="33"/>
        <v/>
      </c>
      <c r="CD256" s="38" t="str">
        <f t="shared" si="34"/>
        <v/>
      </c>
      <c r="CE256" s="38" t="str">
        <f t="shared" si="35"/>
        <v/>
      </c>
      <c r="CF256" s="38" t="str">
        <f t="shared" si="36"/>
        <v/>
      </c>
      <c r="CG256" s="38" t="str">
        <f t="shared" si="37"/>
        <v/>
      </c>
      <c r="CH256" s="38" t="str">
        <f t="shared" si="38"/>
        <v/>
      </c>
      <c r="CI256" s="38" t="str">
        <f t="shared" si="39"/>
        <v/>
      </c>
      <c r="CJ256" s="38" t="str">
        <f t="shared" si="40"/>
        <v/>
      </c>
      <c r="CK256" s="38" t="str">
        <f t="shared" si="41"/>
        <v/>
      </c>
      <c r="CL256" s="38" t="str">
        <f>IF(C256="","",IF(COUNT(G256:AZ256)&lt;46,"",SUMPRODUCT(CC256:CK256,'تنظیمات وزن‌دهی'!$C$5:$C$13)/100))</f>
        <v/>
      </c>
      <c r="CM256" s="38" t="str">
        <f t="shared" si="42"/>
        <v/>
      </c>
      <c r="CN256" s="38">
        <v>12</v>
      </c>
      <c r="CO256" s="28">
        <f t="shared" si="43"/>
        <v>0</v>
      </c>
      <c r="CP256" s="58"/>
    </row>
    <row r="257" spans="1:94" ht="17.25" hidden="1">
      <c r="A257" s="33">
        <v>253</v>
      </c>
      <c r="B257" s="55" t="s">
        <v>183</v>
      </c>
      <c r="C257" s="55">
        <f>IF(دانش‌آموزان!E26="","",دانش‌آموزان!B26)</f>
        <v>22</v>
      </c>
      <c r="D257" s="55" t="str">
        <f>IF(دانش‌آموزان!C26="","",دانش‌آموزان!C26)</f>
        <v>0960368736</v>
      </c>
      <c r="E257" s="55" t="str">
        <f>IF(دانش‌آموزان!E26="","",دانش‌آموزان!E26&amp;" "&amp;دانش‌آموزان!F26)</f>
        <v>اميررضا صهبا</v>
      </c>
      <c r="F257" s="34">
        <f>IF(دانش‌آموزان!I26="","",دانش‌آموزان!I26)</f>
        <v>901</v>
      </c>
      <c r="G257" s="19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1"/>
      <c r="CC257" s="27" t="str">
        <f t="shared" si="33"/>
        <v/>
      </c>
      <c r="CD257" s="38" t="str">
        <f t="shared" si="34"/>
        <v/>
      </c>
      <c r="CE257" s="38" t="str">
        <f t="shared" si="35"/>
        <v/>
      </c>
      <c r="CF257" s="38" t="str">
        <f t="shared" si="36"/>
        <v/>
      </c>
      <c r="CG257" s="38" t="str">
        <f t="shared" si="37"/>
        <v/>
      </c>
      <c r="CH257" s="38" t="str">
        <f t="shared" si="38"/>
        <v/>
      </c>
      <c r="CI257" s="38" t="str">
        <f t="shared" si="39"/>
        <v/>
      </c>
      <c r="CJ257" s="38" t="str">
        <f t="shared" si="40"/>
        <v/>
      </c>
      <c r="CK257" s="38" t="str">
        <f t="shared" si="41"/>
        <v/>
      </c>
      <c r="CL257" s="38" t="str">
        <f>IF(C257="","",IF(COUNT(G257:AZ257)&lt;46,"",SUMPRODUCT(CC257:CK257,'تنظیمات وزن‌دهی'!$C$5:$C$13)/100))</f>
        <v/>
      </c>
      <c r="CM257" s="38" t="str">
        <f t="shared" si="42"/>
        <v/>
      </c>
      <c r="CN257" s="38">
        <v>1</v>
      </c>
      <c r="CO257" s="28">
        <f t="shared" si="43"/>
        <v>0</v>
      </c>
      <c r="CP257" s="58"/>
    </row>
    <row r="258" spans="1:94" ht="17.25" hidden="1">
      <c r="A258" s="33">
        <v>254</v>
      </c>
      <c r="B258" s="55" t="s">
        <v>184</v>
      </c>
      <c r="C258" s="55">
        <f>IF(دانش‌آموزان!E26="","",دانش‌آموزان!B26)</f>
        <v>22</v>
      </c>
      <c r="D258" s="55" t="str">
        <f>IF(دانش‌آموزان!C26="","",دانش‌آموزان!C26)</f>
        <v>0960368736</v>
      </c>
      <c r="E258" s="55" t="str">
        <f>IF(دانش‌آموزان!E26="","",دانش‌آموزان!E26&amp;" "&amp;دانش‌آموزان!F26)</f>
        <v>اميررضا صهبا</v>
      </c>
      <c r="F258" s="34">
        <f>IF(دانش‌آموزان!I26="","",دانش‌آموزان!I26)</f>
        <v>901</v>
      </c>
      <c r="G258" s="19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1"/>
      <c r="CC258" s="27" t="str">
        <f t="shared" si="33"/>
        <v/>
      </c>
      <c r="CD258" s="38" t="str">
        <f t="shared" si="34"/>
        <v/>
      </c>
      <c r="CE258" s="38" t="str">
        <f t="shared" si="35"/>
        <v/>
      </c>
      <c r="CF258" s="38" t="str">
        <f t="shared" si="36"/>
        <v/>
      </c>
      <c r="CG258" s="38" t="str">
        <f t="shared" si="37"/>
        <v/>
      </c>
      <c r="CH258" s="38" t="str">
        <f t="shared" si="38"/>
        <v/>
      </c>
      <c r="CI258" s="38" t="str">
        <f t="shared" si="39"/>
        <v/>
      </c>
      <c r="CJ258" s="38" t="str">
        <f t="shared" si="40"/>
        <v/>
      </c>
      <c r="CK258" s="38" t="str">
        <f t="shared" si="41"/>
        <v/>
      </c>
      <c r="CL258" s="38" t="str">
        <f>IF(C258="","",IF(COUNT(G258:AZ258)&lt;46,"",SUMPRODUCT(CC258:CK258,'تنظیمات وزن‌دهی'!$C$5:$C$13)/100))</f>
        <v/>
      </c>
      <c r="CM258" s="38" t="str">
        <f t="shared" si="42"/>
        <v/>
      </c>
      <c r="CN258" s="38">
        <v>2</v>
      </c>
      <c r="CO258" s="28">
        <f t="shared" si="43"/>
        <v>0</v>
      </c>
      <c r="CP258" s="58"/>
    </row>
    <row r="259" spans="1:94" ht="17.25">
      <c r="A259" s="33">
        <v>255</v>
      </c>
      <c r="B259" s="55" t="s">
        <v>185</v>
      </c>
      <c r="C259" s="55">
        <f>IF(دانش‌آموزان!E26="","",دانش‌آموزان!B26)</f>
        <v>22</v>
      </c>
      <c r="D259" s="55" t="str">
        <f>IF(دانش‌آموزان!C26="","",دانش‌آموزان!C26)</f>
        <v>0960368736</v>
      </c>
      <c r="E259" s="55" t="str">
        <f>IF(دانش‌آموزان!E26="","",دانش‌آموزان!E26&amp;" "&amp;دانش‌آموزان!F26)</f>
        <v>اميررضا صهبا</v>
      </c>
      <c r="F259" s="34">
        <f>IF(دانش‌آموزان!I26="","",دانش‌آموزان!I26)</f>
        <v>901</v>
      </c>
      <c r="G259" s="19">
        <v>17</v>
      </c>
      <c r="H259" s="20">
        <v>-5</v>
      </c>
      <c r="I259" s="20">
        <v>0</v>
      </c>
      <c r="J259" s="20">
        <v>4</v>
      </c>
      <c r="K259" s="20">
        <v>0</v>
      </c>
      <c r="L259" s="20">
        <v>0</v>
      </c>
      <c r="M259" s="20">
        <v>0</v>
      </c>
      <c r="N259" s="20">
        <v>0</v>
      </c>
      <c r="O259" s="20">
        <v>3</v>
      </c>
      <c r="P259" s="20">
        <v>3</v>
      </c>
      <c r="Q259" s="20">
        <v>4</v>
      </c>
      <c r="R259" s="20">
        <v>4</v>
      </c>
      <c r="S259" s="20">
        <v>4</v>
      </c>
      <c r="T259" s="20">
        <v>0</v>
      </c>
      <c r="U259" s="20">
        <v>4</v>
      </c>
      <c r="V259" s="20">
        <v>4</v>
      </c>
      <c r="W259" s="20">
        <v>5</v>
      </c>
      <c r="X259" s="20">
        <v>3</v>
      </c>
      <c r="Y259" s="20">
        <v>4</v>
      </c>
      <c r="Z259" s="20">
        <v>4</v>
      </c>
      <c r="AA259" s="20">
        <v>0</v>
      </c>
      <c r="AB259" s="20">
        <v>0</v>
      </c>
      <c r="AC259" s="20">
        <v>0</v>
      </c>
      <c r="AD259" s="20">
        <v>0</v>
      </c>
      <c r="AE259" s="20">
        <v>0</v>
      </c>
      <c r="AF259" s="20">
        <v>0</v>
      </c>
      <c r="AG259" s="20">
        <v>0</v>
      </c>
      <c r="AH259" s="20">
        <v>0</v>
      </c>
      <c r="AI259" s="20">
        <v>0</v>
      </c>
      <c r="AJ259" s="20">
        <v>0</v>
      </c>
      <c r="AK259" s="20">
        <v>0</v>
      </c>
      <c r="AL259" s="20">
        <v>0</v>
      </c>
      <c r="AM259" s="20">
        <v>0</v>
      </c>
      <c r="AN259" s="20">
        <v>0</v>
      </c>
      <c r="AO259" s="20">
        <v>0</v>
      </c>
      <c r="AP259" s="20">
        <v>0</v>
      </c>
      <c r="AQ259" s="20">
        <v>0</v>
      </c>
      <c r="AR259" s="20">
        <v>0</v>
      </c>
      <c r="AS259" s="20">
        <v>0</v>
      </c>
      <c r="AT259" s="20">
        <v>0</v>
      </c>
      <c r="AU259" s="20">
        <v>0</v>
      </c>
      <c r="AV259" s="20">
        <v>0</v>
      </c>
      <c r="AW259" s="20">
        <v>0</v>
      </c>
      <c r="AX259" s="20">
        <v>0</v>
      </c>
      <c r="AY259" s="20">
        <v>0</v>
      </c>
      <c r="AZ259" s="20">
        <v>0</v>
      </c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1"/>
      <c r="CC259" s="27">
        <f t="shared" si="33"/>
        <v>8</v>
      </c>
      <c r="CD259" s="38">
        <f t="shared" si="34"/>
        <v>14.4</v>
      </c>
      <c r="CE259" s="38">
        <f t="shared" si="35"/>
        <v>8</v>
      </c>
      <c r="CF259" s="38">
        <f t="shared" si="36"/>
        <v>16</v>
      </c>
      <c r="CG259" s="38">
        <f t="shared" si="37"/>
        <v>0</v>
      </c>
      <c r="CH259" s="38">
        <f t="shared" si="38"/>
        <v>0</v>
      </c>
      <c r="CI259" s="38">
        <f t="shared" si="39"/>
        <v>0</v>
      </c>
      <c r="CJ259" s="38">
        <f t="shared" si="40"/>
        <v>0</v>
      </c>
      <c r="CK259" s="38">
        <f t="shared" si="41"/>
        <v>0</v>
      </c>
      <c r="CL259" s="38" t="e">
        <f>IF(C259="","",IF(COUNT(G259:AZ259)&lt;46,"",SUMPRODUCT(CC259:CK259,'تنظیمات وزن‌دهی'!$C$5:$C$13)/100))</f>
        <v>#VALUE!</v>
      </c>
      <c r="CM259" s="38" t="e">
        <f t="shared" si="42"/>
        <v>#VALUE!</v>
      </c>
      <c r="CN259" s="38">
        <v>3</v>
      </c>
      <c r="CO259" s="28">
        <f t="shared" si="43"/>
        <v>1</v>
      </c>
      <c r="CP259" s="58"/>
    </row>
    <row r="260" spans="1:94" ht="17.25" hidden="1">
      <c r="A260" s="33">
        <v>256</v>
      </c>
      <c r="B260" s="55" t="s">
        <v>186</v>
      </c>
      <c r="C260" s="55">
        <f>IF(دانش‌آموزان!E26="","",دانش‌آموزان!B26)</f>
        <v>22</v>
      </c>
      <c r="D260" s="55" t="str">
        <f>IF(دانش‌آموزان!C26="","",دانش‌آموزان!C26)</f>
        <v>0960368736</v>
      </c>
      <c r="E260" s="55" t="str">
        <f>IF(دانش‌آموزان!E26="","",دانش‌آموزان!E26&amp;" "&amp;دانش‌آموزان!F26)</f>
        <v>اميررضا صهبا</v>
      </c>
      <c r="F260" s="34">
        <f>IF(دانش‌آموزان!I26="","",دانش‌آموزان!I26)</f>
        <v>901</v>
      </c>
      <c r="G260" s="19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1"/>
      <c r="CC260" s="27" t="str">
        <f t="shared" si="33"/>
        <v/>
      </c>
      <c r="CD260" s="38" t="str">
        <f t="shared" si="34"/>
        <v/>
      </c>
      <c r="CE260" s="38" t="str">
        <f t="shared" si="35"/>
        <v/>
      </c>
      <c r="CF260" s="38" t="str">
        <f t="shared" si="36"/>
        <v/>
      </c>
      <c r="CG260" s="38" t="str">
        <f t="shared" si="37"/>
        <v/>
      </c>
      <c r="CH260" s="38" t="str">
        <f t="shared" si="38"/>
        <v/>
      </c>
      <c r="CI260" s="38" t="str">
        <f t="shared" si="39"/>
        <v/>
      </c>
      <c r="CJ260" s="38" t="str">
        <f t="shared" si="40"/>
        <v/>
      </c>
      <c r="CK260" s="38" t="str">
        <f t="shared" si="41"/>
        <v/>
      </c>
      <c r="CL260" s="38" t="str">
        <f>IF(C260="","",IF(COUNT(G260:AZ260)&lt;46,"",SUMPRODUCT(CC260:CK260,'تنظیمات وزن‌دهی'!$C$5:$C$13)/100))</f>
        <v/>
      </c>
      <c r="CM260" s="38" t="str">
        <f t="shared" si="42"/>
        <v/>
      </c>
      <c r="CN260" s="38">
        <v>4</v>
      </c>
      <c r="CO260" s="28">
        <f t="shared" si="43"/>
        <v>0</v>
      </c>
      <c r="CP260" s="58"/>
    </row>
    <row r="261" spans="1:94" ht="17.25" hidden="1">
      <c r="A261" s="33">
        <v>257</v>
      </c>
      <c r="B261" s="55" t="s">
        <v>187</v>
      </c>
      <c r="C261" s="55">
        <f>IF(دانش‌آموزان!E26="","",دانش‌آموزان!B26)</f>
        <v>22</v>
      </c>
      <c r="D261" s="55" t="str">
        <f>IF(دانش‌آموزان!C26="","",دانش‌آموزان!C26)</f>
        <v>0960368736</v>
      </c>
      <c r="E261" s="55" t="str">
        <f>IF(دانش‌آموزان!E26="","",دانش‌آموزان!E26&amp;" "&amp;دانش‌آموزان!F26)</f>
        <v>اميررضا صهبا</v>
      </c>
      <c r="F261" s="34">
        <f>IF(دانش‌آموزان!I26="","",دانش‌آموزان!I26)</f>
        <v>901</v>
      </c>
      <c r="G261" s="19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1"/>
      <c r="CC261" s="27" t="str">
        <f t="shared" ref="CC261:CC324" si="44">IF(COUNT(G261:N261)=0,"",AVERAGE(G261:N261)*4)</f>
        <v/>
      </c>
      <c r="CD261" s="38" t="str">
        <f t="shared" ref="CD261:CD324" si="45">IF(COUNT(O261:S261)=0,"",AVERAGE(O261:S261)*4)</f>
        <v/>
      </c>
      <c r="CE261" s="38" t="str">
        <f t="shared" ref="CE261:CE324" si="46">IF(COUNT(T261:U261)=0,"",AVERAGE(T261:U261)*4)</f>
        <v/>
      </c>
      <c r="CF261" s="38" t="str">
        <f t="shared" ref="CF261:CF324" si="47">IF(COUNT(V261:Z261)=0,"",AVERAGE(V261:Z261)*4)</f>
        <v/>
      </c>
      <c r="CG261" s="38" t="str">
        <f t="shared" ref="CG261:CG324" si="48">IF(COUNT(AA261:AC261)=0,"",AVERAGE(AA261:AC261)*4)</f>
        <v/>
      </c>
      <c r="CH261" s="38" t="str">
        <f t="shared" ref="CH261:CH324" si="49">IF(COUNT(AD261:AI261)=0,"",AVERAGE(AD261:AI261)*4)</f>
        <v/>
      </c>
      <c r="CI261" s="38" t="str">
        <f t="shared" ref="CI261:CI324" si="50">IF(COUNT(AJ261:AP261)=0,"",AVERAGE(AJ261:AP261)*4)</f>
        <v/>
      </c>
      <c r="CJ261" s="38" t="str">
        <f t="shared" ref="CJ261:CJ324" si="51">IF(COUNT(AQ261:AW261)=0,"",AVERAGE(AQ261:AW261)*4)</f>
        <v/>
      </c>
      <c r="CK261" s="38" t="str">
        <f t="shared" ref="CK261:CK324" si="52">IF(COUNT(AX261:AZ261)=0,"",AVERAGE(AX261:AZ261)*4)</f>
        <v/>
      </c>
      <c r="CL261" s="38" t="str">
        <f>IF(C261="","",IF(COUNT(G261:AZ261)&lt;46,"",SUMPRODUCT(CC261:CK261,'تنظیمات وزن‌دهی'!$C$5:$C$13)/100))</f>
        <v/>
      </c>
      <c r="CM261" s="38" t="str">
        <f t="shared" ref="CM261:CM324" si="53">IF(C261="","",IF(COUNT(G261:AZ261)=0,"",IF(COUNT(G261:AZ261)&lt;46,"موقت - اطلاعات ناقص",IF(CL261&gt;=17,"عالی",IF(CL261&gt;=14,"خوب",IF(CL261&gt;=10,"متوسط","ضعیف"))))))</f>
        <v/>
      </c>
      <c r="CN261" s="38">
        <v>5</v>
      </c>
      <c r="CO261" s="28">
        <f t="shared" ref="CO261:CO324" si="54">IF(C261="","",COUNT(G261:AZ261)/46)</f>
        <v>0</v>
      </c>
      <c r="CP261" s="58"/>
    </row>
    <row r="262" spans="1:94" ht="17.25" hidden="1">
      <c r="A262" s="33">
        <v>258</v>
      </c>
      <c r="B262" s="55" t="s">
        <v>188</v>
      </c>
      <c r="C262" s="55">
        <f>IF(دانش‌آموزان!E26="","",دانش‌آموزان!B26)</f>
        <v>22</v>
      </c>
      <c r="D262" s="55" t="str">
        <f>IF(دانش‌آموزان!C26="","",دانش‌آموزان!C26)</f>
        <v>0960368736</v>
      </c>
      <c r="E262" s="55" t="str">
        <f>IF(دانش‌آموزان!E26="","",دانش‌آموزان!E26&amp;" "&amp;دانش‌آموزان!F26)</f>
        <v>اميررضا صهبا</v>
      </c>
      <c r="F262" s="34">
        <f>IF(دانش‌آموزان!I26="","",دانش‌آموزان!I26)</f>
        <v>901</v>
      </c>
      <c r="G262" s="19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1"/>
      <c r="CC262" s="27" t="str">
        <f t="shared" si="44"/>
        <v/>
      </c>
      <c r="CD262" s="38" t="str">
        <f t="shared" si="45"/>
        <v/>
      </c>
      <c r="CE262" s="38" t="str">
        <f t="shared" si="46"/>
        <v/>
      </c>
      <c r="CF262" s="38" t="str">
        <f t="shared" si="47"/>
        <v/>
      </c>
      <c r="CG262" s="38" t="str">
        <f t="shared" si="48"/>
        <v/>
      </c>
      <c r="CH262" s="38" t="str">
        <f t="shared" si="49"/>
        <v/>
      </c>
      <c r="CI262" s="38" t="str">
        <f t="shared" si="50"/>
        <v/>
      </c>
      <c r="CJ262" s="38" t="str">
        <f t="shared" si="51"/>
        <v/>
      </c>
      <c r="CK262" s="38" t="str">
        <f t="shared" si="52"/>
        <v/>
      </c>
      <c r="CL262" s="38" t="str">
        <f>IF(C262="","",IF(COUNT(G262:AZ262)&lt;46,"",SUMPRODUCT(CC262:CK262,'تنظیمات وزن‌دهی'!$C$5:$C$13)/100))</f>
        <v/>
      </c>
      <c r="CM262" s="38" t="str">
        <f t="shared" si="53"/>
        <v/>
      </c>
      <c r="CN262" s="38">
        <v>6</v>
      </c>
      <c r="CO262" s="28">
        <f t="shared" si="54"/>
        <v>0</v>
      </c>
      <c r="CP262" s="58"/>
    </row>
    <row r="263" spans="1:94" ht="17.25" hidden="1">
      <c r="A263" s="33">
        <v>259</v>
      </c>
      <c r="B263" s="55" t="s">
        <v>189</v>
      </c>
      <c r="C263" s="55">
        <f>IF(دانش‌آموزان!E26="","",دانش‌آموزان!B26)</f>
        <v>22</v>
      </c>
      <c r="D263" s="55" t="str">
        <f>IF(دانش‌آموزان!C26="","",دانش‌آموزان!C26)</f>
        <v>0960368736</v>
      </c>
      <c r="E263" s="55" t="str">
        <f>IF(دانش‌آموزان!E26="","",دانش‌آموزان!E26&amp;" "&amp;دانش‌آموزان!F26)</f>
        <v>اميررضا صهبا</v>
      </c>
      <c r="F263" s="34">
        <f>IF(دانش‌آموزان!I26="","",دانش‌آموزان!I26)</f>
        <v>901</v>
      </c>
      <c r="G263" s="19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1"/>
      <c r="CC263" s="27" t="str">
        <f t="shared" si="44"/>
        <v/>
      </c>
      <c r="CD263" s="38" t="str">
        <f t="shared" si="45"/>
        <v/>
      </c>
      <c r="CE263" s="38" t="str">
        <f t="shared" si="46"/>
        <v/>
      </c>
      <c r="CF263" s="38" t="str">
        <f t="shared" si="47"/>
        <v/>
      </c>
      <c r="CG263" s="38" t="str">
        <f t="shared" si="48"/>
        <v/>
      </c>
      <c r="CH263" s="38" t="str">
        <f t="shared" si="49"/>
        <v/>
      </c>
      <c r="CI263" s="38" t="str">
        <f t="shared" si="50"/>
        <v/>
      </c>
      <c r="CJ263" s="38" t="str">
        <f t="shared" si="51"/>
        <v/>
      </c>
      <c r="CK263" s="38" t="str">
        <f t="shared" si="52"/>
        <v/>
      </c>
      <c r="CL263" s="38" t="str">
        <f>IF(C263="","",IF(COUNT(G263:AZ263)&lt;46,"",SUMPRODUCT(CC263:CK263,'تنظیمات وزن‌دهی'!$C$5:$C$13)/100))</f>
        <v/>
      </c>
      <c r="CM263" s="38" t="str">
        <f t="shared" si="53"/>
        <v/>
      </c>
      <c r="CN263" s="38">
        <v>7</v>
      </c>
      <c r="CO263" s="28">
        <f t="shared" si="54"/>
        <v>0</v>
      </c>
      <c r="CP263" s="58"/>
    </row>
    <row r="264" spans="1:94" ht="17.25" hidden="1">
      <c r="A264" s="33">
        <v>260</v>
      </c>
      <c r="B264" s="55" t="s">
        <v>190</v>
      </c>
      <c r="C264" s="55">
        <f>IF(دانش‌آموزان!E26="","",دانش‌آموزان!B26)</f>
        <v>22</v>
      </c>
      <c r="D264" s="55" t="str">
        <f>IF(دانش‌آموزان!C26="","",دانش‌آموزان!C26)</f>
        <v>0960368736</v>
      </c>
      <c r="E264" s="55" t="str">
        <f>IF(دانش‌آموزان!E26="","",دانش‌آموزان!E26&amp;" "&amp;دانش‌آموزان!F26)</f>
        <v>اميررضا صهبا</v>
      </c>
      <c r="F264" s="34">
        <f>IF(دانش‌آموزان!I26="","",دانش‌آموزان!I26)</f>
        <v>901</v>
      </c>
      <c r="G264" s="19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1"/>
      <c r="CC264" s="27" t="str">
        <f t="shared" si="44"/>
        <v/>
      </c>
      <c r="CD264" s="38" t="str">
        <f t="shared" si="45"/>
        <v/>
      </c>
      <c r="CE264" s="38" t="str">
        <f t="shared" si="46"/>
        <v/>
      </c>
      <c r="CF264" s="38" t="str">
        <f t="shared" si="47"/>
        <v/>
      </c>
      <c r="CG264" s="38" t="str">
        <f t="shared" si="48"/>
        <v/>
      </c>
      <c r="CH264" s="38" t="str">
        <f t="shared" si="49"/>
        <v/>
      </c>
      <c r="CI264" s="38" t="str">
        <f t="shared" si="50"/>
        <v/>
      </c>
      <c r="CJ264" s="38" t="str">
        <f t="shared" si="51"/>
        <v/>
      </c>
      <c r="CK264" s="38" t="str">
        <f t="shared" si="52"/>
        <v/>
      </c>
      <c r="CL264" s="38" t="str">
        <f>IF(C264="","",IF(COUNT(G264:AZ264)&lt;46,"",SUMPRODUCT(CC264:CK264,'تنظیمات وزن‌دهی'!$C$5:$C$13)/100))</f>
        <v/>
      </c>
      <c r="CM264" s="38" t="str">
        <f t="shared" si="53"/>
        <v/>
      </c>
      <c r="CN264" s="38">
        <v>8</v>
      </c>
      <c r="CO264" s="28">
        <f t="shared" si="54"/>
        <v>0</v>
      </c>
      <c r="CP264" s="58"/>
    </row>
    <row r="265" spans="1:94" ht="17.25" hidden="1">
      <c r="A265" s="33">
        <v>261</v>
      </c>
      <c r="B265" s="55" t="s">
        <v>191</v>
      </c>
      <c r="C265" s="55">
        <f>IF(دانش‌آموزان!E26="","",دانش‌آموزان!B26)</f>
        <v>22</v>
      </c>
      <c r="D265" s="55" t="str">
        <f>IF(دانش‌آموزان!C26="","",دانش‌آموزان!C26)</f>
        <v>0960368736</v>
      </c>
      <c r="E265" s="55" t="str">
        <f>IF(دانش‌آموزان!E26="","",دانش‌آموزان!E26&amp;" "&amp;دانش‌آموزان!F26)</f>
        <v>اميررضا صهبا</v>
      </c>
      <c r="F265" s="34">
        <f>IF(دانش‌آموزان!I26="","",دانش‌آموزان!I26)</f>
        <v>901</v>
      </c>
      <c r="G265" s="19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1"/>
      <c r="CC265" s="27" t="str">
        <f t="shared" si="44"/>
        <v/>
      </c>
      <c r="CD265" s="38" t="str">
        <f t="shared" si="45"/>
        <v/>
      </c>
      <c r="CE265" s="38" t="str">
        <f t="shared" si="46"/>
        <v/>
      </c>
      <c r="CF265" s="38" t="str">
        <f t="shared" si="47"/>
        <v/>
      </c>
      <c r="CG265" s="38" t="str">
        <f t="shared" si="48"/>
        <v/>
      </c>
      <c r="CH265" s="38" t="str">
        <f t="shared" si="49"/>
        <v/>
      </c>
      <c r="CI265" s="38" t="str">
        <f t="shared" si="50"/>
        <v/>
      </c>
      <c r="CJ265" s="38" t="str">
        <f t="shared" si="51"/>
        <v/>
      </c>
      <c r="CK265" s="38" t="str">
        <f t="shared" si="52"/>
        <v/>
      </c>
      <c r="CL265" s="38" t="str">
        <f>IF(C265="","",IF(COUNT(G265:AZ265)&lt;46,"",SUMPRODUCT(CC265:CK265,'تنظیمات وزن‌دهی'!$C$5:$C$13)/100))</f>
        <v/>
      </c>
      <c r="CM265" s="38" t="str">
        <f t="shared" si="53"/>
        <v/>
      </c>
      <c r="CN265" s="38">
        <v>9</v>
      </c>
      <c r="CO265" s="28">
        <f t="shared" si="54"/>
        <v>0</v>
      </c>
      <c r="CP265" s="58"/>
    </row>
    <row r="266" spans="1:94" ht="17.25" hidden="1">
      <c r="A266" s="33">
        <v>262</v>
      </c>
      <c r="B266" s="55" t="s">
        <v>192</v>
      </c>
      <c r="C266" s="55">
        <f>IF(دانش‌آموزان!E26="","",دانش‌آموزان!B26)</f>
        <v>22</v>
      </c>
      <c r="D266" s="55" t="str">
        <f>IF(دانش‌آموزان!C26="","",دانش‌آموزان!C26)</f>
        <v>0960368736</v>
      </c>
      <c r="E266" s="55" t="str">
        <f>IF(دانش‌آموزان!E26="","",دانش‌آموزان!E26&amp;" "&amp;دانش‌آموزان!F26)</f>
        <v>اميررضا صهبا</v>
      </c>
      <c r="F266" s="34">
        <f>IF(دانش‌آموزان!I26="","",دانش‌آموزان!I26)</f>
        <v>901</v>
      </c>
      <c r="G266" s="19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1"/>
      <c r="CC266" s="27" t="str">
        <f t="shared" si="44"/>
        <v/>
      </c>
      <c r="CD266" s="38" t="str">
        <f t="shared" si="45"/>
        <v/>
      </c>
      <c r="CE266" s="38" t="str">
        <f t="shared" si="46"/>
        <v/>
      </c>
      <c r="CF266" s="38" t="str">
        <f t="shared" si="47"/>
        <v/>
      </c>
      <c r="CG266" s="38" t="str">
        <f t="shared" si="48"/>
        <v/>
      </c>
      <c r="CH266" s="38" t="str">
        <f t="shared" si="49"/>
        <v/>
      </c>
      <c r="CI266" s="38" t="str">
        <f t="shared" si="50"/>
        <v/>
      </c>
      <c r="CJ266" s="38" t="str">
        <f t="shared" si="51"/>
        <v/>
      </c>
      <c r="CK266" s="38" t="str">
        <f t="shared" si="52"/>
        <v/>
      </c>
      <c r="CL266" s="38" t="str">
        <f>IF(C266="","",IF(COUNT(G266:AZ266)&lt;46,"",SUMPRODUCT(CC266:CK266,'تنظیمات وزن‌دهی'!$C$5:$C$13)/100))</f>
        <v/>
      </c>
      <c r="CM266" s="38" t="str">
        <f t="shared" si="53"/>
        <v/>
      </c>
      <c r="CN266" s="38">
        <v>10</v>
      </c>
      <c r="CO266" s="28">
        <f t="shared" si="54"/>
        <v>0</v>
      </c>
      <c r="CP266" s="58"/>
    </row>
    <row r="267" spans="1:94" ht="17.25" hidden="1">
      <c r="A267" s="33">
        <v>263</v>
      </c>
      <c r="B267" s="55" t="s">
        <v>193</v>
      </c>
      <c r="C267" s="55">
        <f>IF(دانش‌آموزان!E26="","",دانش‌آموزان!B26)</f>
        <v>22</v>
      </c>
      <c r="D267" s="55" t="str">
        <f>IF(دانش‌آموزان!C26="","",دانش‌آموزان!C26)</f>
        <v>0960368736</v>
      </c>
      <c r="E267" s="55" t="str">
        <f>IF(دانش‌آموزان!E26="","",دانش‌آموزان!E26&amp;" "&amp;دانش‌آموزان!F26)</f>
        <v>اميررضا صهبا</v>
      </c>
      <c r="F267" s="34">
        <f>IF(دانش‌آموزان!I26="","",دانش‌آموزان!I26)</f>
        <v>901</v>
      </c>
      <c r="G267" s="19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1"/>
      <c r="CC267" s="27" t="str">
        <f t="shared" si="44"/>
        <v/>
      </c>
      <c r="CD267" s="38" t="str">
        <f t="shared" si="45"/>
        <v/>
      </c>
      <c r="CE267" s="38" t="str">
        <f t="shared" si="46"/>
        <v/>
      </c>
      <c r="CF267" s="38" t="str">
        <f t="shared" si="47"/>
        <v/>
      </c>
      <c r="CG267" s="38" t="str">
        <f t="shared" si="48"/>
        <v/>
      </c>
      <c r="CH267" s="38" t="str">
        <f t="shared" si="49"/>
        <v/>
      </c>
      <c r="CI267" s="38" t="str">
        <f t="shared" si="50"/>
        <v/>
      </c>
      <c r="CJ267" s="38" t="str">
        <f t="shared" si="51"/>
        <v/>
      </c>
      <c r="CK267" s="38" t="str">
        <f t="shared" si="52"/>
        <v/>
      </c>
      <c r="CL267" s="38" t="str">
        <f>IF(C267="","",IF(COUNT(G267:AZ267)&lt;46,"",SUMPRODUCT(CC267:CK267,'تنظیمات وزن‌دهی'!$C$5:$C$13)/100))</f>
        <v/>
      </c>
      <c r="CM267" s="38" t="str">
        <f t="shared" si="53"/>
        <v/>
      </c>
      <c r="CN267" s="38">
        <v>11</v>
      </c>
      <c r="CO267" s="28">
        <f t="shared" si="54"/>
        <v>0</v>
      </c>
      <c r="CP267" s="58"/>
    </row>
    <row r="268" spans="1:94" ht="17.25" hidden="1">
      <c r="A268" s="33">
        <v>264</v>
      </c>
      <c r="B268" s="55" t="s">
        <v>194</v>
      </c>
      <c r="C268" s="55">
        <f>IF(دانش‌آموزان!E26="","",دانش‌آموزان!B26)</f>
        <v>22</v>
      </c>
      <c r="D268" s="55" t="str">
        <f>IF(دانش‌آموزان!C26="","",دانش‌آموزان!C26)</f>
        <v>0960368736</v>
      </c>
      <c r="E268" s="55" t="str">
        <f>IF(دانش‌آموزان!E26="","",دانش‌آموزان!E26&amp;" "&amp;دانش‌آموزان!F26)</f>
        <v>اميررضا صهبا</v>
      </c>
      <c r="F268" s="34">
        <f>IF(دانش‌آموزان!I26="","",دانش‌آموزان!I26)</f>
        <v>901</v>
      </c>
      <c r="G268" s="19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1"/>
      <c r="CC268" s="27" t="str">
        <f t="shared" si="44"/>
        <v/>
      </c>
      <c r="CD268" s="38" t="str">
        <f t="shared" si="45"/>
        <v/>
      </c>
      <c r="CE268" s="38" t="str">
        <f t="shared" si="46"/>
        <v/>
      </c>
      <c r="CF268" s="38" t="str">
        <f t="shared" si="47"/>
        <v/>
      </c>
      <c r="CG268" s="38" t="str">
        <f t="shared" si="48"/>
        <v/>
      </c>
      <c r="CH268" s="38" t="str">
        <f t="shared" si="49"/>
        <v/>
      </c>
      <c r="CI268" s="38" t="str">
        <f t="shared" si="50"/>
        <v/>
      </c>
      <c r="CJ268" s="38" t="str">
        <f t="shared" si="51"/>
        <v/>
      </c>
      <c r="CK268" s="38" t="str">
        <f t="shared" si="52"/>
        <v/>
      </c>
      <c r="CL268" s="38" t="str">
        <f>IF(C268="","",IF(COUNT(G268:AZ268)&lt;46,"",SUMPRODUCT(CC268:CK268,'تنظیمات وزن‌دهی'!$C$5:$C$13)/100))</f>
        <v/>
      </c>
      <c r="CM268" s="38" t="str">
        <f t="shared" si="53"/>
        <v/>
      </c>
      <c r="CN268" s="38">
        <v>12</v>
      </c>
      <c r="CO268" s="28">
        <f t="shared" si="54"/>
        <v>0</v>
      </c>
      <c r="CP268" s="58"/>
    </row>
    <row r="269" spans="1:94" ht="17.25" hidden="1">
      <c r="A269" s="33">
        <v>265</v>
      </c>
      <c r="B269" s="55" t="s">
        <v>183</v>
      </c>
      <c r="C269" s="55">
        <f>IF(دانش‌آموزان!E27="","",دانش‌آموزان!B27)</f>
        <v>23</v>
      </c>
      <c r="D269" s="55" t="str">
        <f>IF(دانش‌آموزان!C27="","",دانش‌آموزان!C27)</f>
        <v>0960316027</v>
      </c>
      <c r="E269" s="55" t="str">
        <f>IF(دانش‌آموزان!E27="","",دانش‌آموزان!E27&amp;" "&amp;دانش‌آموزان!F27)</f>
        <v>شايان عرفانيان ستارزاده</v>
      </c>
      <c r="F269" s="34">
        <f>IF(دانش‌آموزان!I27="","",دانش‌آموزان!I27)</f>
        <v>901</v>
      </c>
      <c r="G269" s="19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1"/>
      <c r="CC269" s="27" t="str">
        <f t="shared" si="44"/>
        <v/>
      </c>
      <c r="CD269" s="38" t="str">
        <f t="shared" si="45"/>
        <v/>
      </c>
      <c r="CE269" s="38" t="str">
        <f t="shared" si="46"/>
        <v/>
      </c>
      <c r="CF269" s="38" t="str">
        <f t="shared" si="47"/>
        <v/>
      </c>
      <c r="CG269" s="38" t="str">
        <f t="shared" si="48"/>
        <v/>
      </c>
      <c r="CH269" s="38" t="str">
        <f t="shared" si="49"/>
        <v/>
      </c>
      <c r="CI269" s="38" t="str">
        <f t="shared" si="50"/>
        <v/>
      </c>
      <c r="CJ269" s="38" t="str">
        <f t="shared" si="51"/>
        <v/>
      </c>
      <c r="CK269" s="38" t="str">
        <f t="shared" si="52"/>
        <v/>
      </c>
      <c r="CL269" s="38" t="str">
        <f>IF(C269="","",IF(COUNT(G269:AZ269)&lt;46,"",SUMPRODUCT(CC269:CK269,'تنظیمات وزن‌دهی'!$C$5:$C$13)/100))</f>
        <v/>
      </c>
      <c r="CM269" s="38" t="str">
        <f t="shared" si="53"/>
        <v/>
      </c>
      <c r="CN269" s="38">
        <v>1</v>
      </c>
      <c r="CO269" s="28">
        <f t="shared" si="54"/>
        <v>0</v>
      </c>
      <c r="CP269" s="58"/>
    </row>
    <row r="270" spans="1:94" ht="17.25" hidden="1">
      <c r="A270" s="33">
        <v>266</v>
      </c>
      <c r="B270" s="55" t="s">
        <v>184</v>
      </c>
      <c r="C270" s="55">
        <f>IF(دانش‌آموزان!E27="","",دانش‌آموزان!B27)</f>
        <v>23</v>
      </c>
      <c r="D270" s="55" t="str">
        <f>IF(دانش‌آموزان!C27="","",دانش‌آموزان!C27)</f>
        <v>0960316027</v>
      </c>
      <c r="E270" s="55" t="str">
        <f>IF(دانش‌آموزان!E27="","",دانش‌آموزان!E27&amp;" "&amp;دانش‌آموزان!F27)</f>
        <v>شايان عرفانيان ستارزاده</v>
      </c>
      <c r="F270" s="34">
        <f>IF(دانش‌آموزان!I27="","",دانش‌آموزان!I27)</f>
        <v>901</v>
      </c>
      <c r="G270" s="19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1"/>
      <c r="CC270" s="27" t="str">
        <f t="shared" si="44"/>
        <v/>
      </c>
      <c r="CD270" s="38" t="str">
        <f t="shared" si="45"/>
        <v/>
      </c>
      <c r="CE270" s="38" t="str">
        <f t="shared" si="46"/>
        <v/>
      </c>
      <c r="CF270" s="38" t="str">
        <f t="shared" si="47"/>
        <v/>
      </c>
      <c r="CG270" s="38" t="str">
        <f t="shared" si="48"/>
        <v/>
      </c>
      <c r="CH270" s="38" t="str">
        <f t="shared" si="49"/>
        <v/>
      </c>
      <c r="CI270" s="38" t="str">
        <f t="shared" si="50"/>
        <v/>
      </c>
      <c r="CJ270" s="38" t="str">
        <f t="shared" si="51"/>
        <v/>
      </c>
      <c r="CK270" s="38" t="str">
        <f t="shared" si="52"/>
        <v/>
      </c>
      <c r="CL270" s="38" t="str">
        <f>IF(C270="","",IF(COUNT(G270:AZ270)&lt;46,"",SUMPRODUCT(CC270:CK270,'تنظیمات وزن‌دهی'!$C$5:$C$13)/100))</f>
        <v/>
      </c>
      <c r="CM270" s="38" t="str">
        <f t="shared" si="53"/>
        <v/>
      </c>
      <c r="CN270" s="38">
        <v>2</v>
      </c>
      <c r="CO270" s="28">
        <f t="shared" si="54"/>
        <v>0</v>
      </c>
      <c r="CP270" s="58"/>
    </row>
    <row r="271" spans="1:94" ht="17.25">
      <c r="A271" s="33">
        <v>267</v>
      </c>
      <c r="B271" s="55" t="s">
        <v>185</v>
      </c>
      <c r="C271" s="55">
        <f>IF(دانش‌آموزان!E27="","",دانش‌آموزان!B27)</f>
        <v>23</v>
      </c>
      <c r="D271" s="55" t="str">
        <f>IF(دانش‌آموزان!C27="","",دانش‌آموزان!C27)</f>
        <v>0960316027</v>
      </c>
      <c r="E271" s="55" t="str">
        <f>IF(دانش‌آموزان!E27="","",دانش‌آموزان!E27&amp;" "&amp;دانش‌آموزان!F27)</f>
        <v>شايان عرفانيان ستارزاده</v>
      </c>
      <c r="F271" s="34">
        <f>IF(دانش‌آموزان!I27="","",دانش‌آموزان!I27)</f>
        <v>901</v>
      </c>
      <c r="G271" s="19">
        <v>19.43</v>
      </c>
      <c r="H271" s="20">
        <v>-6.43</v>
      </c>
      <c r="I271" s="20">
        <v>0</v>
      </c>
      <c r="J271" s="20">
        <v>4</v>
      </c>
      <c r="K271" s="20">
        <v>0</v>
      </c>
      <c r="L271" s="20">
        <v>0</v>
      </c>
      <c r="M271" s="20">
        <v>0</v>
      </c>
      <c r="N271" s="20">
        <v>0</v>
      </c>
      <c r="O271" s="20">
        <v>4</v>
      </c>
      <c r="P271" s="20">
        <v>4</v>
      </c>
      <c r="Q271" s="20">
        <v>4</v>
      </c>
      <c r="R271" s="20">
        <v>4</v>
      </c>
      <c r="S271" s="20">
        <v>4</v>
      </c>
      <c r="T271" s="20">
        <v>0</v>
      </c>
      <c r="U271" s="20">
        <v>4</v>
      </c>
      <c r="V271" s="20">
        <v>5</v>
      </c>
      <c r="W271" s="20">
        <v>5</v>
      </c>
      <c r="X271" s="20">
        <v>4</v>
      </c>
      <c r="Y271" s="20">
        <v>4</v>
      </c>
      <c r="Z271" s="20">
        <v>4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20">
        <v>0</v>
      </c>
      <c r="AG271" s="20">
        <v>0</v>
      </c>
      <c r="AH271" s="20">
        <v>0</v>
      </c>
      <c r="AI271" s="20">
        <v>0</v>
      </c>
      <c r="AJ271" s="20">
        <v>0</v>
      </c>
      <c r="AK271" s="20">
        <v>0</v>
      </c>
      <c r="AL271" s="20">
        <v>0</v>
      </c>
      <c r="AM271" s="20">
        <v>0</v>
      </c>
      <c r="AN271" s="20">
        <v>0</v>
      </c>
      <c r="AO271" s="20">
        <v>0</v>
      </c>
      <c r="AP271" s="20">
        <v>0</v>
      </c>
      <c r="AQ271" s="20">
        <v>0</v>
      </c>
      <c r="AR271" s="20">
        <v>0</v>
      </c>
      <c r="AS271" s="20">
        <v>0</v>
      </c>
      <c r="AT271" s="20">
        <v>0</v>
      </c>
      <c r="AU271" s="20">
        <v>0</v>
      </c>
      <c r="AV271" s="20">
        <v>0</v>
      </c>
      <c r="AW271" s="20">
        <v>0</v>
      </c>
      <c r="AX271" s="20">
        <v>0</v>
      </c>
      <c r="AY271" s="20">
        <v>0</v>
      </c>
      <c r="AZ271" s="20">
        <v>0</v>
      </c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1"/>
      <c r="CC271" s="27">
        <f t="shared" si="44"/>
        <v>8.5</v>
      </c>
      <c r="CD271" s="38">
        <f t="shared" si="45"/>
        <v>16</v>
      </c>
      <c r="CE271" s="38">
        <f t="shared" si="46"/>
        <v>8</v>
      </c>
      <c r="CF271" s="38">
        <f t="shared" si="47"/>
        <v>17.600000000000001</v>
      </c>
      <c r="CG271" s="38">
        <f t="shared" si="48"/>
        <v>0</v>
      </c>
      <c r="CH271" s="38">
        <f t="shared" si="49"/>
        <v>0</v>
      </c>
      <c r="CI271" s="38">
        <f t="shared" si="50"/>
        <v>0</v>
      </c>
      <c r="CJ271" s="38">
        <f t="shared" si="51"/>
        <v>0</v>
      </c>
      <c r="CK271" s="38">
        <f t="shared" si="52"/>
        <v>0</v>
      </c>
      <c r="CL271" s="38" t="e">
        <f>IF(C271="","",IF(COUNT(G271:AZ271)&lt;46,"",SUMPRODUCT(CC271:CK271,'تنظیمات وزن‌دهی'!$C$5:$C$13)/100))</f>
        <v>#VALUE!</v>
      </c>
      <c r="CM271" s="38" t="e">
        <f t="shared" si="53"/>
        <v>#VALUE!</v>
      </c>
      <c r="CN271" s="38">
        <v>3</v>
      </c>
      <c r="CO271" s="28">
        <f t="shared" si="54"/>
        <v>1</v>
      </c>
      <c r="CP271" s="58"/>
    </row>
    <row r="272" spans="1:94" ht="17.25" hidden="1">
      <c r="A272" s="33">
        <v>268</v>
      </c>
      <c r="B272" s="55" t="s">
        <v>186</v>
      </c>
      <c r="C272" s="55">
        <f>IF(دانش‌آموزان!E27="","",دانش‌آموزان!B27)</f>
        <v>23</v>
      </c>
      <c r="D272" s="55" t="str">
        <f>IF(دانش‌آموزان!C27="","",دانش‌آموزان!C27)</f>
        <v>0960316027</v>
      </c>
      <c r="E272" s="55" t="str">
        <f>IF(دانش‌آموزان!E27="","",دانش‌آموزان!E27&amp;" "&amp;دانش‌آموزان!F27)</f>
        <v>شايان عرفانيان ستارزاده</v>
      </c>
      <c r="F272" s="34">
        <f>IF(دانش‌آموزان!I27="","",دانش‌آموزان!I27)</f>
        <v>901</v>
      </c>
      <c r="G272" s="19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1"/>
      <c r="CC272" s="27" t="str">
        <f t="shared" si="44"/>
        <v/>
      </c>
      <c r="CD272" s="38" t="str">
        <f t="shared" si="45"/>
        <v/>
      </c>
      <c r="CE272" s="38" t="str">
        <f t="shared" si="46"/>
        <v/>
      </c>
      <c r="CF272" s="38" t="str">
        <f t="shared" si="47"/>
        <v/>
      </c>
      <c r="CG272" s="38" t="str">
        <f t="shared" si="48"/>
        <v/>
      </c>
      <c r="CH272" s="38" t="str">
        <f t="shared" si="49"/>
        <v/>
      </c>
      <c r="CI272" s="38" t="str">
        <f t="shared" si="50"/>
        <v/>
      </c>
      <c r="CJ272" s="38" t="str">
        <f t="shared" si="51"/>
        <v/>
      </c>
      <c r="CK272" s="38" t="str">
        <f t="shared" si="52"/>
        <v/>
      </c>
      <c r="CL272" s="38" t="str">
        <f>IF(C272="","",IF(COUNT(G272:AZ272)&lt;46,"",SUMPRODUCT(CC272:CK272,'تنظیمات وزن‌دهی'!$C$5:$C$13)/100))</f>
        <v/>
      </c>
      <c r="CM272" s="38" t="str">
        <f t="shared" si="53"/>
        <v/>
      </c>
      <c r="CN272" s="38">
        <v>4</v>
      </c>
      <c r="CO272" s="28">
        <f t="shared" si="54"/>
        <v>0</v>
      </c>
      <c r="CP272" s="58"/>
    </row>
    <row r="273" spans="1:94" ht="17.25" hidden="1">
      <c r="A273" s="33">
        <v>269</v>
      </c>
      <c r="B273" s="55" t="s">
        <v>187</v>
      </c>
      <c r="C273" s="55">
        <f>IF(دانش‌آموزان!E27="","",دانش‌آموزان!B27)</f>
        <v>23</v>
      </c>
      <c r="D273" s="55" t="str">
        <f>IF(دانش‌آموزان!C27="","",دانش‌آموزان!C27)</f>
        <v>0960316027</v>
      </c>
      <c r="E273" s="55" t="str">
        <f>IF(دانش‌آموزان!E27="","",دانش‌آموزان!E27&amp;" "&amp;دانش‌آموزان!F27)</f>
        <v>شايان عرفانيان ستارزاده</v>
      </c>
      <c r="F273" s="34">
        <f>IF(دانش‌آموزان!I27="","",دانش‌آموزان!I27)</f>
        <v>901</v>
      </c>
      <c r="G273" s="19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1"/>
      <c r="CC273" s="27" t="str">
        <f t="shared" si="44"/>
        <v/>
      </c>
      <c r="CD273" s="38" t="str">
        <f t="shared" si="45"/>
        <v/>
      </c>
      <c r="CE273" s="38" t="str">
        <f t="shared" si="46"/>
        <v/>
      </c>
      <c r="CF273" s="38" t="str">
        <f t="shared" si="47"/>
        <v/>
      </c>
      <c r="CG273" s="38" t="str">
        <f t="shared" si="48"/>
        <v/>
      </c>
      <c r="CH273" s="38" t="str">
        <f t="shared" si="49"/>
        <v/>
      </c>
      <c r="CI273" s="38" t="str">
        <f t="shared" si="50"/>
        <v/>
      </c>
      <c r="CJ273" s="38" t="str">
        <f t="shared" si="51"/>
        <v/>
      </c>
      <c r="CK273" s="38" t="str">
        <f t="shared" si="52"/>
        <v/>
      </c>
      <c r="CL273" s="38" t="str">
        <f>IF(C273="","",IF(COUNT(G273:AZ273)&lt;46,"",SUMPRODUCT(CC273:CK273,'تنظیمات وزن‌دهی'!$C$5:$C$13)/100))</f>
        <v/>
      </c>
      <c r="CM273" s="38" t="str">
        <f t="shared" si="53"/>
        <v/>
      </c>
      <c r="CN273" s="38">
        <v>5</v>
      </c>
      <c r="CO273" s="28">
        <f t="shared" si="54"/>
        <v>0</v>
      </c>
      <c r="CP273" s="58"/>
    </row>
    <row r="274" spans="1:94" ht="17.25" hidden="1">
      <c r="A274" s="33">
        <v>270</v>
      </c>
      <c r="B274" s="55" t="s">
        <v>188</v>
      </c>
      <c r="C274" s="55">
        <f>IF(دانش‌آموزان!E27="","",دانش‌آموزان!B27)</f>
        <v>23</v>
      </c>
      <c r="D274" s="55" t="str">
        <f>IF(دانش‌آموزان!C27="","",دانش‌آموزان!C27)</f>
        <v>0960316027</v>
      </c>
      <c r="E274" s="55" t="str">
        <f>IF(دانش‌آموزان!E27="","",دانش‌آموزان!E27&amp;" "&amp;دانش‌آموزان!F27)</f>
        <v>شايان عرفانيان ستارزاده</v>
      </c>
      <c r="F274" s="34">
        <f>IF(دانش‌آموزان!I27="","",دانش‌آموزان!I27)</f>
        <v>901</v>
      </c>
      <c r="G274" s="19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1"/>
      <c r="CC274" s="27" t="str">
        <f t="shared" si="44"/>
        <v/>
      </c>
      <c r="CD274" s="38" t="str">
        <f t="shared" si="45"/>
        <v/>
      </c>
      <c r="CE274" s="38" t="str">
        <f t="shared" si="46"/>
        <v/>
      </c>
      <c r="CF274" s="38" t="str">
        <f t="shared" si="47"/>
        <v/>
      </c>
      <c r="CG274" s="38" t="str">
        <f t="shared" si="48"/>
        <v/>
      </c>
      <c r="CH274" s="38" t="str">
        <f t="shared" si="49"/>
        <v/>
      </c>
      <c r="CI274" s="38" t="str">
        <f t="shared" si="50"/>
        <v/>
      </c>
      <c r="CJ274" s="38" t="str">
        <f t="shared" si="51"/>
        <v/>
      </c>
      <c r="CK274" s="38" t="str">
        <f t="shared" si="52"/>
        <v/>
      </c>
      <c r="CL274" s="38" t="str">
        <f>IF(C274="","",IF(COUNT(G274:AZ274)&lt;46,"",SUMPRODUCT(CC274:CK274,'تنظیمات وزن‌دهی'!$C$5:$C$13)/100))</f>
        <v/>
      </c>
      <c r="CM274" s="38" t="str">
        <f t="shared" si="53"/>
        <v/>
      </c>
      <c r="CN274" s="38">
        <v>6</v>
      </c>
      <c r="CO274" s="28">
        <f t="shared" si="54"/>
        <v>0</v>
      </c>
      <c r="CP274" s="58"/>
    </row>
    <row r="275" spans="1:94" ht="17.25" hidden="1">
      <c r="A275" s="33">
        <v>271</v>
      </c>
      <c r="B275" s="55" t="s">
        <v>189</v>
      </c>
      <c r="C275" s="55">
        <f>IF(دانش‌آموزان!E27="","",دانش‌آموزان!B27)</f>
        <v>23</v>
      </c>
      <c r="D275" s="55" t="str">
        <f>IF(دانش‌آموزان!C27="","",دانش‌آموزان!C27)</f>
        <v>0960316027</v>
      </c>
      <c r="E275" s="55" t="str">
        <f>IF(دانش‌آموزان!E27="","",دانش‌آموزان!E27&amp;" "&amp;دانش‌آموزان!F27)</f>
        <v>شايان عرفانيان ستارزاده</v>
      </c>
      <c r="F275" s="34">
        <f>IF(دانش‌آموزان!I27="","",دانش‌آموزان!I27)</f>
        <v>901</v>
      </c>
      <c r="G275" s="19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1"/>
      <c r="CC275" s="27" t="str">
        <f t="shared" si="44"/>
        <v/>
      </c>
      <c r="CD275" s="38" t="str">
        <f t="shared" si="45"/>
        <v/>
      </c>
      <c r="CE275" s="38" t="str">
        <f t="shared" si="46"/>
        <v/>
      </c>
      <c r="CF275" s="38" t="str">
        <f t="shared" si="47"/>
        <v/>
      </c>
      <c r="CG275" s="38" t="str">
        <f t="shared" si="48"/>
        <v/>
      </c>
      <c r="CH275" s="38" t="str">
        <f t="shared" si="49"/>
        <v/>
      </c>
      <c r="CI275" s="38" t="str">
        <f t="shared" si="50"/>
        <v/>
      </c>
      <c r="CJ275" s="38" t="str">
        <f t="shared" si="51"/>
        <v/>
      </c>
      <c r="CK275" s="38" t="str">
        <f t="shared" si="52"/>
        <v/>
      </c>
      <c r="CL275" s="38" t="str">
        <f>IF(C275="","",IF(COUNT(G275:AZ275)&lt;46,"",SUMPRODUCT(CC275:CK275,'تنظیمات وزن‌دهی'!$C$5:$C$13)/100))</f>
        <v/>
      </c>
      <c r="CM275" s="38" t="str">
        <f t="shared" si="53"/>
        <v/>
      </c>
      <c r="CN275" s="38">
        <v>7</v>
      </c>
      <c r="CO275" s="28">
        <f t="shared" si="54"/>
        <v>0</v>
      </c>
      <c r="CP275" s="58"/>
    </row>
    <row r="276" spans="1:94" ht="17.25" hidden="1">
      <c r="A276" s="33">
        <v>272</v>
      </c>
      <c r="B276" s="55" t="s">
        <v>190</v>
      </c>
      <c r="C276" s="55">
        <f>IF(دانش‌آموزان!E27="","",دانش‌آموزان!B27)</f>
        <v>23</v>
      </c>
      <c r="D276" s="55" t="str">
        <f>IF(دانش‌آموزان!C27="","",دانش‌آموزان!C27)</f>
        <v>0960316027</v>
      </c>
      <c r="E276" s="55" t="str">
        <f>IF(دانش‌آموزان!E27="","",دانش‌آموزان!E27&amp;" "&amp;دانش‌آموزان!F27)</f>
        <v>شايان عرفانيان ستارزاده</v>
      </c>
      <c r="F276" s="34">
        <f>IF(دانش‌آموزان!I27="","",دانش‌آموزان!I27)</f>
        <v>901</v>
      </c>
      <c r="G276" s="19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1"/>
      <c r="CC276" s="27" t="str">
        <f t="shared" si="44"/>
        <v/>
      </c>
      <c r="CD276" s="38" t="str">
        <f t="shared" si="45"/>
        <v/>
      </c>
      <c r="CE276" s="38" t="str">
        <f t="shared" si="46"/>
        <v/>
      </c>
      <c r="CF276" s="38" t="str">
        <f t="shared" si="47"/>
        <v/>
      </c>
      <c r="CG276" s="38" t="str">
        <f t="shared" si="48"/>
        <v/>
      </c>
      <c r="CH276" s="38" t="str">
        <f t="shared" si="49"/>
        <v/>
      </c>
      <c r="CI276" s="38" t="str">
        <f t="shared" si="50"/>
        <v/>
      </c>
      <c r="CJ276" s="38" t="str">
        <f t="shared" si="51"/>
        <v/>
      </c>
      <c r="CK276" s="38" t="str">
        <f t="shared" si="52"/>
        <v/>
      </c>
      <c r="CL276" s="38" t="str">
        <f>IF(C276="","",IF(COUNT(G276:AZ276)&lt;46,"",SUMPRODUCT(CC276:CK276,'تنظیمات وزن‌دهی'!$C$5:$C$13)/100))</f>
        <v/>
      </c>
      <c r="CM276" s="38" t="str">
        <f t="shared" si="53"/>
        <v/>
      </c>
      <c r="CN276" s="38">
        <v>8</v>
      </c>
      <c r="CO276" s="28">
        <f t="shared" si="54"/>
        <v>0</v>
      </c>
      <c r="CP276" s="58"/>
    </row>
    <row r="277" spans="1:94" ht="17.25" hidden="1">
      <c r="A277" s="33">
        <v>273</v>
      </c>
      <c r="B277" s="55" t="s">
        <v>191</v>
      </c>
      <c r="C277" s="55">
        <f>IF(دانش‌آموزان!E27="","",دانش‌آموزان!B27)</f>
        <v>23</v>
      </c>
      <c r="D277" s="55" t="str">
        <f>IF(دانش‌آموزان!C27="","",دانش‌آموزان!C27)</f>
        <v>0960316027</v>
      </c>
      <c r="E277" s="55" t="str">
        <f>IF(دانش‌آموزان!E27="","",دانش‌آموزان!E27&amp;" "&amp;دانش‌آموزان!F27)</f>
        <v>شايان عرفانيان ستارزاده</v>
      </c>
      <c r="F277" s="34">
        <f>IF(دانش‌آموزان!I27="","",دانش‌آموزان!I27)</f>
        <v>901</v>
      </c>
      <c r="G277" s="19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1"/>
      <c r="CC277" s="27" t="str">
        <f t="shared" si="44"/>
        <v/>
      </c>
      <c r="CD277" s="38" t="str">
        <f t="shared" si="45"/>
        <v/>
      </c>
      <c r="CE277" s="38" t="str">
        <f t="shared" si="46"/>
        <v/>
      </c>
      <c r="CF277" s="38" t="str">
        <f t="shared" si="47"/>
        <v/>
      </c>
      <c r="CG277" s="38" t="str">
        <f t="shared" si="48"/>
        <v/>
      </c>
      <c r="CH277" s="38" t="str">
        <f t="shared" si="49"/>
        <v/>
      </c>
      <c r="CI277" s="38" t="str">
        <f t="shared" si="50"/>
        <v/>
      </c>
      <c r="CJ277" s="38" t="str">
        <f t="shared" si="51"/>
        <v/>
      </c>
      <c r="CK277" s="38" t="str">
        <f t="shared" si="52"/>
        <v/>
      </c>
      <c r="CL277" s="38" t="str">
        <f>IF(C277="","",IF(COUNT(G277:AZ277)&lt;46,"",SUMPRODUCT(CC277:CK277,'تنظیمات وزن‌دهی'!$C$5:$C$13)/100))</f>
        <v/>
      </c>
      <c r="CM277" s="38" t="str">
        <f t="shared" si="53"/>
        <v/>
      </c>
      <c r="CN277" s="38">
        <v>9</v>
      </c>
      <c r="CO277" s="28">
        <f t="shared" si="54"/>
        <v>0</v>
      </c>
      <c r="CP277" s="58"/>
    </row>
    <row r="278" spans="1:94" ht="17.25" hidden="1">
      <c r="A278" s="33">
        <v>274</v>
      </c>
      <c r="B278" s="55" t="s">
        <v>192</v>
      </c>
      <c r="C278" s="55">
        <f>IF(دانش‌آموزان!E27="","",دانش‌آموزان!B27)</f>
        <v>23</v>
      </c>
      <c r="D278" s="55" t="str">
        <f>IF(دانش‌آموزان!C27="","",دانش‌آموزان!C27)</f>
        <v>0960316027</v>
      </c>
      <c r="E278" s="55" t="str">
        <f>IF(دانش‌آموزان!E27="","",دانش‌آموزان!E27&amp;" "&amp;دانش‌آموزان!F27)</f>
        <v>شايان عرفانيان ستارزاده</v>
      </c>
      <c r="F278" s="34">
        <f>IF(دانش‌آموزان!I27="","",دانش‌آموزان!I27)</f>
        <v>901</v>
      </c>
      <c r="G278" s="19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1"/>
      <c r="CC278" s="27" t="str">
        <f t="shared" si="44"/>
        <v/>
      </c>
      <c r="CD278" s="38" t="str">
        <f t="shared" si="45"/>
        <v/>
      </c>
      <c r="CE278" s="38" t="str">
        <f t="shared" si="46"/>
        <v/>
      </c>
      <c r="CF278" s="38" t="str">
        <f t="shared" si="47"/>
        <v/>
      </c>
      <c r="CG278" s="38" t="str">
        <f t="shared" si="48"/>
        <v/>
      </c>
      <c r="CH278" s="38" t="str">
        <f t="shared" si="49"/>
        <v/>
      </c>
      <c r="CI278" s="38" t="str">
        <f t="shared" si="50"/>
        <v/>
      </c>
      <c r="CJ278" s="38" t="str">
        <f t="shared" si="51"/>
        <v/>
      </c>
      <c r="CK278" s="38" t="str">
        <f t="shared" si="52"/>
        <v/>
      </c>
      <c r="CL278" s="38" t="str">
        <f>IF(C278="","",IF(COUNT(G278:AZ278)&lt;46,"",SUMPRODUCT(CC278:CK278,'تنظیمات وزن‌دهی'!$C$5:$C$13)/100))</f>
        <v/>
      </c>
      <c r="CM278" s="38" t="str">
        <f t="shared" si="53"/>
        <v/>
      </c>
      <c r="CN278" s="38">
        <v>10</v>
      </c>
      <c r="CO278" s="28">
        <f t="shared" si="54"/>
        <v>0</v>
      </c>
      <c r="CP278" s="58"/>
    </row>
    <row r="279" spans="1:94" ht="17.25" hidden="1">
      <c r="A279" s="33">
        <v>275</v>
      </c>
      <c r="B279" s="55" t="s">
        <v>193</v>
      </c>
      <c r="C279" s="55">
        <f>IF(دانش‌آموزان!E27="","",دانش‌آموزان!B27)</f>
        <v>23</v>
      </c>
      <c r="D279" s="55" t="str">
        <f>IF(دانش‌آموزان!C27="","",دانش‌آموزان!C27)</f>
        <v>0960316027</v>
      </c>
      <c r="E279" s="55" t="str">
        <f>IF(دانش‌آموزان!E27="","",دانش‌آموزان!E27&amp;" "&amp;دانش‌آموزان!F27)</f>
        <v>شايان عرفانيان ستارزاده</v>
      </c>
      <c r="F279" s="34">
        <f>IF(دانش‌آموزان!I27="","",دانش‌آموزان!I27)</f>
        <v>901</v>
      </c>
      <c r="G279" s="19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1"/>
      <c r="CC279" s="27" t="str">
        <f t="shared" si="44"/>
        <v/>
      </c>
      <c r="CD279" s="38" t="str">
        <f t="shared" si="45"/>
        <v/>
      </c>
      <c r="CE279" s="38" t="str">
        <f t="shared" si="46"/>
        <v/>
      </c>
      <c r="CF279" s="38" t="str">
        <f t="shared" si="47"/>
        <v/>
      </c>
      <c r="CG279" s="38" t="str">
        <f t="shared" si="48"/>
        <v/>
      </c>
      <c r="CH279" s="38" t="str">
        <f t="shared" si="49"/>
        <v/>
      </c>
      <c r="CI279" s="38" t="str">
        <f t="shared" si="50"/>
        <v/>
      </c>
      <c r="CJ279" s="38" t="str">
        <f t="shared" si="51"/>
        <v/>
      </c>
      <c r="CK279" s="38" t="str">
        <f t="shared" si="52"/>
        <v/>
      </c>
      <c r="CL279" s="38" t="str">
        <f>IF(C279="","",IF(COUNT(G279:AZ279)&lt;46,"",SUMPRODUCT(CC279:CK279,'تنظیمات وزن‌دهی'!$C$5:$C$13)/100))</f>
        <v/>
      </c>
      <c r="CM279" s="38" t="str">
        <f t="shared" si="53"/>
        <v/>
      </c>
      <c r="CN279" s="38">
        <v>11</v>
      </c>
      <c r="CO279" s="28">
        <f t="shared" si="54"/>
        <v>0</v>
      </c>
      <c r="CP279" s="58"/>
    </row>
    <row r="280" spans="1:94" ht="17.25" hidden="1">
      <c r="A280" s="33">
        <v>276</v>
      </c>
      <c r="B280" s="55" t="s">
        <v>194</v>
      </c>
      <c r="C280" s="55">
        <f>IF(دانش‌آموزان!E27="","",دانش‌آموزان!B27)</f>
        <v>23</v>
      </c>
      <c r="D280" s="55" t="str">
        <f>IF(دانش‌آموزان!C27="","",دانش‌آموزان!C27)</f>
        <v>0960316027</v>
      </c>
      <c r="E280" s="55" t="str">
        <f>IF(دانش‌آموزان!E27="","",دانش‌آموزان!E27&amp;" "&amp;دانش‌آموزان!F27)</f>
        <v>شايان عرفانيان ستارزاده</v>
      </c>
      <c r="F280" s="34">
        <f>IF(دانش‌آموزان!I27="","",دانش‌آموزان!I27)</f>
        <v>901</v>
      </c>
      <c r="G280" s="19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1"/>
      <c r="CC280" s="27" t="str">
        <f t="shared" si="44"/>
        <v/>
      </c>
      <c r="CD280" s="38" t="str">
        <f t="shared" si="45"/>
        <v/>
      </c>
      <c r="CE280" s="38" t="str">
        <f t="shared" si="46"/>
        <v/>
      </c>
      <c r="CF280" s="38" t="str">
        <f t="shared" si="47"/>
        <v/>
      </c>
      <c r="CG280" s="38" t="str">
        <f t="shared" si="48"/>
        <v/>
      </c>
      <c r="CH280" s="38" t="str">
        <f t="shared" si="49"/>
        <v/>
      </c>
      <c r="CI280" s="38" t="str">
        <f t="shared" si="50"/>
        <v/>
      </c>
      <c r="CJ280" s="38" t="str">
        <f t="shared" si="51"/>
        <v/>
      </c>
      <c r="CK280" s="38" t="str">
        <f t="shared" si="52"/>
        <v/>
      </c>
      <c r="CL280" s="38" t="str">
        <f>IF(C280="","",IF(COUNT(G280:AZ280)&lt;46,"",SUMPRODUCT(CC280:CK280,'تنظیمات وزن‌دهی'!$C$5:$C$13)/100))</f>
        <v/>
      </c>
      <c r="CM280" s="38" t="str">
        <f t="shared" si="53"/>
        <v/>
      </c>
      <c r="CN280" s="38">
        <v>12</v>
      </c>
      <c r="CO280" s="28">
        <f t="shared" si="54"/>
        <v>0</v>
      </c>
      <c r="CP280" s="58"/>
    </row>
    <row r="281" spans="1:94" ht="17.25" hidden="1">
      <c r="A281" s="33">
        <v>277</v>
      </c>
      <c r="B281" s="55" t="s">
        <v>183</v>
      </c>
      <c r="C281" s="55">
        <f>IF(دانش‌آموزان!E28="","",دانش‌آموزان!B28)</f>
        <v>24</v>
      </c>
      <c r="D281" s="55" t="str">
        <f>IF(دانش‌آموزان!C28="","",دانش‌آموزان!C28)</f>
        <v>0960438629</v>
      </c>
      <c r="E281" s="55" t="str">
        <f>IF(دانش‌آموزان!E28="","",دانش‌آموزان!E28&amp;" "&amp;دانش‌آموزان!F28)</f>
        <v>كسري عصمتي</v>
      </c>
      <c r="F281" s="34">
        <f>IF(دانش‌آموزان!I28="","",دانش‌آموزان!I28)</f>
        <v>901</v>
      </c>
      <c r="G281" s="19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1"/>
      <c r="CC281" s="27" t="str">
        <f t="shared" si="44"/>
        <v/>
      </c>
      <c r="CD281" s="38" t="str">
        <f t="shared" si="45"/>
        <v/>
      </c>
      <c r="CE281" s="38" t="str">
        <f t="shared" si="46"/>
        <v/>
      </c>
      <c r="CF281" s="38" t="str">
        <f t="shared" si="47"/>
        <v/>
      </c>
      <c r="CG281" s="38" t="str">
        <f t="shared" si="48"/>
        <v/>
      </c>
      <c r="CH281" s="38" t="str">
        <f t="shared" si="49"/>
        <v/>
      </c>
      <c r="CI281" s="38" t="str">
        <f t="shared" si="50"/>
        <v/>
      </c>
      <c r="CJ281" s="38" t="str">
        <f t="shared" si="51"/>
        <v/>
      </c>
      <c r="CK281" s="38" t="str">
        <f t="shared" si="52"/>
        <v/>
      </c>
      <c r="CL281" s="38" t="str">
        <f>IF(C281="","",IF(COUNT(G281:AZ281)&lt;46,"",SUMPRODUCT(CC281:CK281,'تنظیمات وزن‌دهی'!$C$5:$C$13)/100))</f>
        <v/>
      </c>
      <c r="CM281" s="38" t="str">
        <f t="shared" si="53"/>
        <v/>
      </c>
      <c r="CN281" s="38">
        <v>1</v>
      </c>
      <c r="CO281" s="28">
        <f t="shared" si="54"/>
        <v>0</v>
      </c>
      <c r="CP281" s="58"/>
    </row>
    <row r="282" spans="1:94" ht="17.25" hidden="1">
      <c r="A282" s="33">
        <v>278</v>
      </c>
      <c r="B282" s="55" t="s">
        <v>184</v>
      </c>
      <c r="C282" s="55">
        <f>IF(دانش‌آموزان!E28="","",دانش‌آموزان!B28)</f>
        <v>24</v>
      </c>
      <c r="D282" s="55" t="str">
        <f>IF(دانش‌آموزان!C28="","",دانش‌آموزان!C28)</f>
        <v>0960438629</v>
      </c>
      <c r="E282" s="55" t="str">
        <f>IF(دانش‌آموزان!E28="","",دانش‌آموزان!E28&amp;" "&amp;دانش‌آموزان!F28)</f>
        <v>كسري عصمتي</v>
      </c>
      <c r="F282" s="34">
        <f>IF(دانش‌آموزان!I28="","",دانش‌آموزان!I28)</f>
        <v>901</v>
      </c>
      <c r="G282" s="19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1"/>
      <c r="CC282" s="27" t="str">
        <f t="shared" si="44"/>
        <v/>
      </c>
      <c r="CD282" s="38" t="str">
        <f t="shared" si="45"/>
        <v/>
      </c>
      <c r="CE282" s="38" t="str">
        <f t="shared" si="46"/>
        <v/>
      </c>
      <c r="CF282" s="38" t="str">
        <f t="shared" si="47"/>
        <v/>
      </c>
      <c r="CG282" s="38" t="str">
        <f t="shared" si="48"/>
        <v/>
      </c>
      <c r="CH282" s="38" t="str">
        <f t="shared" si="49"/>
        <v/>
      </c>
      <c r="CI282" s="38" t="str">
        <f t="shared" si="50"/>
        <v/>
      </c>
      <c r="CJ282" s="38" t="str">
        <f t="shared" si="51"/>
        <v/>
      </c>
      <c r="CK282" s="38" t="str">
        <f t="shared" si="52"/>
        <v/>
      </c>
      <c r="CL282" s="38" t="str">
        <f>IF(C282="","",IF(COUNT(G282:AZ282)&lt;46,"",SUMPRODUCT(CC282:CK282,'تنظیمات وزن‌دهی'!$C$5:$C$13)/100))</f>
        <v/>
      </c>
      <c r="CM282" s="38" t="str">
        <f t="shared" si="53"/>
        <v/>
      </c>
      <c r="CN282" s="38">
        <v>2</v>
      </c>
      <c r="CO282" s="28">
        <f t="shared" si="54"/>
        <v>0</v>
      </c>
      <c r="CP282" s="58"/>
    </row>
    <row r="283" spans="1:94" ht="17.25">
      <c r="A283" s="33">
        <v>279</v>
      </c>
      <c r="B283" s="55" t="s">
        <v>185</v>
      </c>
      <c r="C283" s="55">
        <f>IF(دانش‌آموزان!E28="","",دانش‌آموزان!B28)</f>
        <v>24</v>
      </c>
      <c r="D283" s="55" t="str">
        <f>IF(دانش‌آموزان!C28="","",دانش‌آموزان!C28)</f>
        <v>0960438629</v>
      </c>
      <c r="E283" s="55" t="str">
        <f>IF(دانش‌آموزان!E28="","",دانش‌آموزان!E28&amp;" "&amp;دانش‌آموزان!F28)</f>
        <v>كسري عصمتي</v>
      </c>
      <c r="F283" s="34">
        <f>IF(دانش‌آموزان!I28="","",دانش‌آموزان!I28)</f>
        <v>901</v>
      </c>
      <c r="G283" s="19">
        <v>18.72</v>
      </c>
      <c r="H283" s="20">
        <v>-6.72</v>
      </c>
      <c r="I283" s="20">
        <v>0</v>
      </c>
      <c r="J283" s="20">
        <v>4</v>
      </c>
      <c r="K283" s="20">
        <v>3</v>
      </c>
      <c r="L283" s="20">
        <v>3</v>
      </c>
      <c r="M283" s="20">
        <v>0</v>
      </c>
      <c r="N283" s="20">
        <v>0</v>
      </c>
      <c r="O283" s="20">
        <v>4</v>
      </c>
      <c r="P283" s="20">
        <v>5</v>
      </c>
      <c r="Q283" s="20">
        <v>4</v>
      </c>
      <c r="R283" s="20">
        <v>5</v>
      </c>
      <c r="S283" s="20">
        <v>5</v>
      </c>
      <c r="T283" s="20">
        <v>0</v>
      </c>
      <c r="U283" s="20">
        <v>4</v>
      </c>
      <c r="V283" s="20">
        <v>4</v>
      </c>
      <c r="W283" s="20">
        <v>4</v>
      </c>
      <c r="X283" s="20">
        <v>5</v>
      </c>
      <c r="Y283" s="20">
        <v>4</v>
      </c>
      <c r="Z283" s="20">
        <v>4</v>
      </c>
      <c r="AA283" s="20">
        <v>0</v>
      </c>
      <c r="AB283" s="20">
        <v>0</v>
      </c>
      <c r="AC283" s="20">
        <v>0</v>
      </c>
      <c r="AD283" s="20">
        <v>0</v>
      </c>
      <c r="AE283" s="20">
        <v>0</v>
      </c>
      <c r="AF283" s="20">
        <v>0</v>
      </c>
      <c r="AG283" s="20">
        <v>0</v>
      </c>
      <c r="AH283" s="20">
        <v>0</v>
      </c>
      <c r="AI283" s="20">
        <v>0</v>
      </c>
      <c r="AJ283" s="20">
        <v>0</v>
      </c>
      <c r="AK283" s="20">
        <v>0</v>
      </c>
      <c r="AL283" s="20">
        <v>0</v>
      </c>
      <c r="AM283" s="20">
        <v>0</v>
      </c>
      <c r="AN283" s="20">
        <v>0</v>
      </c>
      <c r="AO283" s="20">
        <v>0</v>
      </c>
      <c r="AP283" s="20">
        <v>0</v>
      </c>
      <c r="AQ283" s="20">
        <v>0</v>
      </c>
      <c r="AR283" s="20">
        <v>0</v>
      </c>
      <c r="AS283" s="20">
        <v>0</v>
      </c>
      <c r="AT283" s="20">
        <v>0</v>
      </c>
      <c r="AU283" s="20">
        <v>0</v>
      </c>
      <c r="AV283" s="20">
        <v>0</v>
      </c>
      <c r="AW283" s="20">
        <v>0</v>
      </c>
      <c r="AX283" s="20">
        <v>0</v>
      </c>
      <c r="AY283" s="20">
        <v>0</v>
      </c>
      <c r="AZ283" s="20">
        <v>0</v>
      </c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1"/>
      <c r="CC283" s="27">
        <f t="shared" si="44"/>
        <v>11</v>
      </c>
      <c r="CD283" s="38">
        <f t="shared" si="45"/>
        <v>18.399999999999999</v>
      </c>
      <c r="CE283" s="38">
        <f t="shared" si="46"/>
        <v>8</v>
      </c>
      <c r="CF283" s="38">
        <f t="shared" si="47"/>
        <v>16.8</v>
      </c>
      <c r="CG283" s="38">
        <f t="shared" si="48"/>
        <v>0</v>
      </c>
      <c r="CH283" s="38">
        <f t="shared" si="49"/>
        <v>0</v>
      </c>
      <c r="CI283" s="38">
        <f t="shared" si="50"/>
        <v>0</v>
      </c>
      <c r="CJ283" s="38">
        <f t="shared" si="51"/>
        <v>0</v>
      </c>
      <c r="CK283" s="38">
        <f t="shared" si="52"/>
        <v>0</v>
      </c>
      <c r="CL283" s="38" t="e">
        <f>IF(C283="","",IF(COUNT(G283:AZ283)&lt;46,"",SUMPRODUCT(CC283:CK283,'تنظیمات وزن‌دهی'!$C$5:$C$13)/100))</f>
        <v>#VALUE!</v>
      </c>
      <c r="CM283" s="38" t="e">
        <f t="shared" si="53"/>
        <v>#VALUE!</v>
      </c>
      <c r="CN283" s="38">
        <v>3</v>
      </c>
      <c r="CO283" s="28">
        <f t="shared" si="54"/>
        <v>1</v>
      </c>
      <c r="CP283" s="58"/>
    </row>
    <row r="284" spans="1:94" ht="17.25" hidden="1">
      <c r="A284" s="33">
        <v>280</v>
      </c>
      <c r="B284" s="55" t="s">
        <v>186</v>
      </c>
      <c r="C284" s="55">
        <f>IF(دانش‌آموزان!E28="","",دانش‌آموزان!B28)</f>
        <v>24</v>
      </c>
      <c r="D284" s="55" t="str">
        <f>IF(دانش‌آموزان!C28="","",دانش‌آموزان!C28)</f>
        <v>0960438629</v>
      </c>
      <c r="E284" s="55" t="str">
        <f>IF(دانش‌آموزان!E28="","",دانش‌آموزان!E28&amp;" "&amp;دانش‌آموزان!F28)</f>
        <v>كسري عصمتي</v>
      </c>
      <c r="F284" s="34">
        <f>IF(دانش‌آموزان!I28="","",دانش‌آموزان!I28)</f>
        <v>901</v>
      </c>
      <c r="G284" s="19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1"/>
      <c r="CC284" s="27" t="str">
        <f t="shared" si="44"/>
        <v/>
      </c>
      <c r="CD284" s="38" t="str">
        <f t="shared" si="45"/>
        <v/>
      </c>
      <c r="CE284" s="38" t="str">
        <f t="shared" si="46"/>
        <v/>
      </c>
      <c r="CF284" s="38" t="str">
        <f t="shared" si="47"/>
        <v/>
      </c>
      <c r="CG284" s="38" t="str">
        <f t="shared" si="48"/>
        <v/>
      </c>
      <c r="CH284" s="38" t="str">
        <f t="shared" si="49"/>
        <v/>
      </c>
      <c r="CI284" s="38" t="str">
        <f t="shared" si="50"/>
        <v/>
      </c>
      <c r="CJ284" s="38" t="str">
        <f t="shared" si="51"/>
        <v/>
      </c>
      <c r="CK284" s="38" t="str">
        <f t="shared" si="52"/>
        <v/>
      </c>
      <c r="CL284" s="38" t="str">
        <f>IF(C284="","",IF(COUNT(G284:AZ284)&lt;46,"",SUMPRODUCT(CC284:CK284,'تنظیمات وزن‌دهی'!$C$5:$C$13)/100))</f>
        <v/>
      </c>
      <c r="CM284" s="38" t="str">
        <f t="shared" si="53"/>
        <v/>
      </c>
      <c r="CN284" s="38">
        <v>4</v>
      </c>
      <c r="CO284" s="28">
        <f t="shared" si="54"/>
        <v>0</v>
      </c>
      <c r="CP284" s="58"/>
    </row>
    <row r="285" spans="1:94" ht="17.25" hidden="1">
      <c r="A285" s="33">
        <v>281</v>
      </c>
      <c r="B285" s="55" t="s">
        <v>187</v>
      </c>
      <c r="C285" s="55">
        <f>IF(دانش‌آموزان!E28="","",دانش‌آموزان!B28)</f>
        <v>24</v>
      </c>
      <c r="D285" s="55" t="str">
        <f>IF(دانش‌آموزان!C28="","",دانش‌آموزان!C28)</f>
        <v>0960438629</v>
      </c>
      <c r="E285" s="55" t="str">
        <f>IF(دانش‌آموزان!E28="","",دانش‌آموزان!E28&amp;" "&amp;دانش‌آموزان!F28)</f>
        <v>كسري عصمتي</v>
      </c>
      <c r="F285" s="34">
        <f>IF(دانش‌آموزان!I28="","",دانش‌آموزان!I28)</f>
        <v>901</v>
      </c>
      <c r="G285" s="19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1"/>
      <c r="CC285" s="27" t="str">
        <f t="shared" si="44"/>
        <v/>
      </c>
      <c r="CD285" s="38" t="str">
        <f t="shared" si="45"/>
        <v/>
      </c>
      <c r="CE285" s="38" t="str">
        <f t="shared" si="46"/>
        <v/>
      </c>
      <c r="CF285" s="38" t="str">
        <f t="shared" si="47"/>
        <v/>
      </c>
      <c r="CG285" s="38" t="str">
        <f t="shared" si="48"/>
        <v/>
      </c>
      <c r="CH285" s="38" t="str">
        <f t="shared" si="49"/>
        <v/>
      </c>
      <c r="CI285" s="38" t="str">
        <f t="shared" si="50"/>
        <v/>
      </c>
      <c r="CJ285" s="38" t="str">
        <f t="shared" si="51"/>
        <v/>
      </c>
      <c r="CK285" s="38" t="str">
        <f t="shared" si="52"/>
        <v/>
      </c>
      <c r="CL285" s="38" t="str">
        <f>IF(C285="","",IF(COUNT(G285:AZ285)&lt;46,"",SUMPRODUCT(CC285:CK285,'تنظیمات وزن‌دهی'!$C$5:$C$13)/100))</f>
        <v/>
      </c>
      <c r="CM285" s="38" t="str">
        <f t="shared" si="53"/>
        <v/>
      </c>
      <c r="CN285" s="38">
        <v>5</v>
      </c>
      <c r="CO285" s="28">
        <f t="shared" si="54"/>
        <v>0</v>
      </c>
      <c r="CP285" s="58"/>
    </row>
    <row r="286" spans="1:94" ht="17.25" hidden="1">
      <c r="A286" s="33">
        <v>282</v>
      </c>
      <c r="B286" s="55" t="s">
        <v>188</v>
      </c>
      <c r="C286" s="55">
        <f>IF(دانش‌آموزان!E28="","",دانش‌آموزان!B28)</f>
        <v>24</v>
      </c>
      <c r="D286" s="55" t="str">
        <f>IF(دانش‌آموزان!C28="","",دانش‌آموزان!C28)</f>
        <v>0960438629</v>
      </c>
      <c r="E286" s="55" t="str">
        <f>IF(دانش‌آموزان!E28="","",دانش‌آموزان!E28&amp;" "&amp;دانش‌آموزان!F28)</f>
        <v>كسري عصمتي</v>
      </c>
      <c r="F286" s="34">
        <f>IF(دانش‌آموزان!I28="","",دانش‌آموزان!I28)</f>
        <v>901</v>
      </c>
      <c r="G286" s="19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1"/>
      <c r="CC286" s="27" t="str">
        <f t="shared" si="44"/>
        <v/>
      </c>
      <c r="CD286" s="38" t="str">
        <f t="shared" si="45"/>
        <v/>
      </c>
      <c r="CE286" s="38" t="str">
        <f t="shared" si="46"/>
        <v/>
      </c>
      <c r="CF286" s="38" t="str">
        <f t="shared" si="47"/>
        <v/>
      </c>
      <c r="CG286" s="38" t="str">
        <f t="shared" si="48"/>
        <v/>
      </c>
      <c r="CH286" s="38" t="str">
        <f t="shared" si="49"/>
        <v/>
      </c>
      <c r="CI286" s="38" t="str">
        <f t="shared" si="50"/>
        <v/>
      </c>
      <c r="CJ286" s="38" t="str">
        <f t="shared" si="51"/>
        <v/>
      </c>
      <c r="CK286" s="38" t="str">
        <f t="shared" si="52"/>
        <v/>
      </c>
      <c r="CL286" s="38" t="str">
        <f>IF(C286="","",IF(COUNT(G286:AZ286)&lt;46,"",SUMPRODUCT(CC286:CK286,'تنظیمات وزن‌دهی'!$C$5:$C$13)/100))</f>
        <v/>
      </c>
      <c r="CM286" s="38" t="str">
        <f t="shared" si="53"/>
        <v/>
      </c>
      <c r="CN286" s="38">
        <v>6</v>
      </c>
      <c r="CO286" s="28">
        <f t="shared" si="54"/>
        <v>0</v>
      </c>
      <c r="CP286" s="58"/>
    </row>
    <row r="287" spans="1:94" ht="17.25" hidden="1">
      <c r="A287" s="33">
        <v>283</v>
      </c>
      <c r="B287" s="55" t="s">
        <v>189</v>
      </c>
      <c r="C287" s="55">
        <f>IF(دانش‌آموزان!E28="","",دانش‌آموزان!B28)</f>
        <v>24</v>
      </c>
      <c r="D287" s="55" t="str">
        <f>IF(دانش‌آموزان!C28="","",دانش‌آموزان!C28)</f>
        <v>0960438629</v>
      </c>
      <c r="E287" s="55" t="str">
        <f>IF(دانش‌آموزان!E28="","",دانش‌آموزان!E28&amp;" "&amp;دانش‌آموزان!F28)</f>
        <v>كسري عصمتي</v>
      </c>
      <c r="F287" s="34">
        <f>IF(دانش‌آموزان!I28="","",دانش‌آموزان!I28)</f>
        <v>901</v>
      </c>
      <c r="G287" s="19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1"/>
      <c r="CC287" s="27" t="str">
        <f t="shared" si="44"/>
        <v/>
      </c>
      <c r="CD287" s="38" t="str">
        <f t="shared" si="45"/>
        <v/>
      </c>
      <c r="CE287" s="38" t="str">
        <f t="shared" si="46"/>
        <v/>
      </c>
      <c r="CF287" s="38" t="str">
        <f t="shared" si="47"/>
        <v/>
      </c>
      <c r="CG287" s="38" t="str">
        <f t="shared" si="48"/>
        <v/>
      </c>
      <c r="CH287" s="38" t="str">
        <f t="shared" si="49"/>
        <v/>
      </c>
      <c r="CI287" s="38" t="str">
        <f t="shared" si="50"/>
        <v/>
      </c>
      <c r="CJ287" s="38" t="str">
        <f t="shared" si="51"/>
        <v/>
      </c>
      <c r="CK287" s="38" t="str">
        <f t="shared" si="52"/>
        <v/>
      </c>
      <c r="CL287" s="38" t="str">
        <f>IF(C287="","",IF(COUNT(G287:AZ287)&lt;46,"",SUMPRODUCT(CC287:CK287,'تنظیمات وزن‌دهی'!$C$5:$C$13)/100))</f>
        <v/>
      </c>
      <c r="CM287" s="38" t="str">
        <f t="shared" si="53"/>
        <v/>
      </c>
      <c r="CN287" s="38">
        <v>7</v>
      </c>
      <c r="CO287" s="28">
        <f t="shared" si="54"/>
        <v>0</v>
      </c>
      <c r="CP287" s="58"/>
    </row>
    <row r="288" spans="1:94" ht="17.25" hidden="1">
      <c r="A288" s="33">
        <v>284</v>
      </c>
      <c r="B288" s="55" t="s">
        <v>190</v>
      </c>
      <c r="C288" s="55">
        <f>IF(دانش‌آموزان!E28="","",دانش‌آموزان!B28)</f>
        <v>24</v>
      </c>
      <c r="D288" s="55" t="str">
        <f>IF(دانش‌آموزان!C28="","",دانش‌آموزان!C28)</f>
        <v>0960438629</v>
      </c>
      <c r="E288" s="55" t="str">
        <f>IF(دانش‌آموزان!E28="","",دانش‌آموزان!E28&amp;" "&amp;دانش‌آموزان!F28)</f>
        <v>كسري عصمتي</v>
      </c>
      <c r="F288" s="34">
        <f>IF(دانش‌آموزان!I28="","",دانش‌آموزان!I28)</f>
        <v>901</v>
      </c>
      <c r="G288" s="19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1"/>
      <c r="CC288" s="27" t="str">
        <f t="shared" si="44"/>
        <v/>
      </c>
      <c r="CD288" s="38" t="str">
        <f t="shared" si="45"/>
        <v/>
      </c>
      <c r="CE288" s="38" t="str">
        <f t="shared" si="46"/>
        <v/>
      </c>
      <c r="CF288" s="38" t="str">
        <f t="shared" si="47"/>
        <v/>
      </c>
      <c r="CG288" s="38" t="str">
        <f t="shared" si="48"/>
        <v/>
      </c>
      <c r="CH288" s="38" t="str">
        <f t="shared" si="49"/>
        <v/>
      </c>
      <c r="CI288" s="38" t="str">
        <f t="shared" si="50"/>
        <v/>
      </c>
      <c r="CJ288" s="38" t="str">
        <f t="shared" si="51"/>
        <v/>
      </c>
      <c r="CK288" s="38" t="str">
        <f t="shared" si="52"/>
        <v/>
      </c>
      <c r="CL288" s="38" t="str">
        <f>IF(C288="","",IF(COUNT(G288:AZ288)&lt;46,"",SUMPRODUCT(CC288:CK288,'تنظیمات وزن‌دهی'!$C$5:$C$13)/100))</f>
        <v/>
      </c>
      <c r="CM288" s="38" t="str">
        <f t="shared" si="53"/>
        <v/>
      </c>
      <c r="CN288" s="38">
        <v>8</v>
      </c>
      <c r="CO288" s="28">
        <f t="shared" si="54"/>
        <v>0</v>
      </c>
      <c r="CP288" s="58"/>
    </row>
    <row r="289" spans="1:94" ht="17.25" hidden="1">
      <c r="A289" s="33">
        <v>285</v>
      </c>
      <c r="B289" s="55" t="s">
        <v>191</v>
      </c>
      <c r="C289" s="55">
        <f>IF(دانش‌آموزان!E28="","",دانش‌آموزان!B28)</f>
        <v>24</v>
      </c>
      <c r="D289" s="55" t="str">
        <f>IF(دانش‌آموزان!C28="","",دانش‌آموزان!C28)</f>
        <v>0960438629</v>
      </c>
      <c r="E289" s="55" t="str">
        <f>IF(دانش‌آموزان!E28="","",دانش‌آموزان!E28&amp;" "&amp;دانش‌آموزان!F28)</f>
        <v>كسري عصمتي</v>
      </c>
      <c r="F289" s="34">
        <f>IF(دانش‌آموزان!I28="","",دانش‌آموزان!I28)</f>
        <v>901</v>
      </c>
      <c r="G289" s="19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1"/>
      <c r="CC289" s="27" t="str">
        <f t="shared" si="44"/>
        <v/>
      </c>
      <c r="CD289" s="38" t="str">
        <f t="shared" si="45"/>
        <v/>
      </c>
      <c r="CE289" s="38" t="str">
        <f t="shared" si="46"/>
        <v/>
      </c>
      <c r="CF289" s="38" t="str">
        <f t="shared" si="47"/>
        <v/>
      </c>
      <c r="CG289" s="38" t="str">
        <f t="shared" si="48"/>
        <v/>
      </c>
      <c r="CH289" s="38" t="str">
        <f t="shared" si="49"/>
        <v/>
      </c>
      <c r="CI289" s="38" t="str">
        <f t="shared" si="50"/>
        <v/>
      </c>
      <c r="CJ289" s="38" t="str">
        <f t="shared" si="51"/>
        <v/>
      </c>
      <c r="CK289" s="38" t="str">
        <f t="shared" si="52"/>
        <v/>
      </c>
      <c r="CL289" s="38" t="str">
        <f>IF(C289="","",IF(COUNT(G289:AZ289)&lt;46,"",SUMPRODUCT(CC289:CK289,'تنظیمات وزن‌دهی'!$C$5:$C$13)/100))</f>
        <v/>
      </c>
      <c r="CM289" s="38" t="str">
        <f t="shared" si="53"/>
        <v/>
      </c>
      <c r="CN289" s="38">
        <v>9</v>
      </c>
      <c r="CO289" s="28">
        <f t="shared" si="54"/>
        <v>0</v>
      </c>
      <c r="CP289" s="58"/>
    </row>
    <row r="290" spans="1:94" ht="17.25" hidden="1">
      <c r="A290" s="33">
        <v>286</v>
      </c>
      <c r="B290" s="55" t="s">
        <v>192</v>
      </c>
      <c r="C290" s="55">
        <f>IF(دانش‌آموزان!E28="","",دانش‌آموزان!B28)</f>
        <v>24</v>
      </c>
      <c r="D290" s="55" t="str">
        <f>IF(دانش‌آموزان!C28="","",دانش‌آموزان!C28)</f>
        <v>0960438629</v>
      </c>
      <c r="E290" s="55" t="str">
        <f>IF(دانش‌آموزان!E28="","",دانش‌آموزان!E28&amp;" "&amp;دانش‌آموزان!F28)</f>
        <v>كسري عصمتي</v>
      </c>
      <c r="F290" s="34">
        <f>IF(دانش‌آموزان!I28="","",دانش‌آموزان!I28)</f>
        <v>901</v>
      </c>
      <c r="G290" s="19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1"/>
      <c r="CC290" s="27" t="str">
        <f t="shared" si="44"/>
        <v/>
      </c>
      <c r="CD290" s="38" t="str">
        <f t="shared" si="45"/>
        <v/>
      </c>
      <c r="CE290" s="38" t="str">
        <f t="shared" si="46"/>
        <v/>
      </c>
      <c r="CF290" s="38" t="str">
        <f t="shared" si="47"/>
        <v/>
      </c>
      <c r="CG290" s="38" t="str">
        <f t="shared" si="48"/>
        <v/>
      </c>
      <c r="CH290" s="38" t="str">
        <f t="shared" si="49"/>
        <v/>
      </c>
      <c r="CI290" s="38" t="str">
        <f t="shared" si="50"/>
        <v/>
      </c>
      <c r="CJ290" s="38" t="str">
        <f t="shared" si="51"/>
        <v/>
      </c>
      <c r="CK290" s="38" t="str">
        <f t="shared" si="52"/>
        <v/>
      </c>
      <c r="CL290" s="38" t="str">
        <f>IF(C290="","",IF(COUNT(G290:AZ290)&lt;46,"",SUMPRODUCT(CC290:CK290,'تنظیمات وزن‌دهی'!$C$5:$C$13)/100))</f>
        <v/>
      </c>
      <c r="CM290" s="38" t="str">
        <f t="shared" si="53"/>
        <v/>
      </c>
      <c r="CN290" s="38">
        <v>10</v>
      </c>
      <c r="CO290" s="28">
        <f t="shared" si="54"/>
        <v>0</v>
      </c>
      <c r="CP290" s="58"/>
    </row>
    <row r="291" spans="1:94" ht="17.25" hidden="1">
      <c r="A291" s="33">
        <v>287</v>
      </c>
      <c r="B291" s="55" t="s">
        <v>193</v>
      </c>
      <c r="C291" s="55">
        <f>IF(دانش‌آموزان!E28="","",دانش‌آموزان!B28)</f>
        <v>24</v>
      </c>
      <c r="D291" s="55" t="str">
        <f>IF(دانش‌آموزان!C28="","",دانش‌آموزان!C28)</f>
        <v>0960438629</v>
      </c>
      <c r="E291" s="55" t="str">
        <f>IF(دانش‌آموزان!E28="","",دانش‌آموزان!E28&amp;" "&amp;دانش‌آموزان!F28)</f>
        <v>كسري عصمتي</v>
      </c>
      <c r="F291" s="34">
        <f>IF(دانش‌آموزان!I28="","",دانش‌آموزان!I28)</f>
        <v>901</v>
      </c>
      <c r="G291" s="19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1"/>
      <c r="CC291" s="27" t="str">
        <f t="shared" si="44"/>
        <v/>
      </c>
      <c r="CD291" s="38" t="str">
        <f t="shared" si="45"/>
        <v/>
      </c>
      <c r="CE291" s="38" t="str">
        <f t="shared" si="46"/>
        <v/>
      </c>
      <c r="CF291" s="38" t="str">
        <f t="shared" si="47"/>
        <v/>
      </c>
      <c r="CG291" s="38" t="str">
        <f t="shared" si="48"/>
        <v/>
      </c>
      <c r="CH291" s="38" t="str">
        <f t="shared" si="49"/>
        <v/>
      </c>
      <c r="CI291" s="38" t="str">
        <f t="shared" si="50"/>
        <v/>
      </c>
      <c r="CJ291" s="38" t="str">
        <f t="shared" si="51"/>
        <v/>
      </c>
      <c r="CK291" s="38" t="str">
        <f t="shared" si="52"/>
        <v/>
      </c>
      <c r="CL291" s="38" t="str">
        <f>IF(C291="","",IF(COUNT(G291:AZ291)&lt;46,"",SUMPRODUCT(CC291:CK291,'تنظیمات وزن‌دهی'!$C$5:$C$13)/100))</f>
        <v/>
      </c>
      <c r="CM291" s="38" t="str">
        <f t="shared" si="53"/>
        <v/>
      </c>
      <c r="CN291" s="38">
        <v>11</v>
      </c>
      <c r="CO291" s="28">
        <f t="shared" si="54"/>
        <v>0</v>
      </c>
      <c r="CP291" s="58"/>
    </row>
    <row r="292" spans="1:94" ht="17.25" hidden="1">
      <c r="A292" s="33">
        <v>288</v>
      </c>
      <c r="B292" s="55" t="s">
        <v>194</v>
      </c>
      <c r="C292" s="55">
        <f>IF(دانش‌آموزان!E28="","",دانش‌آموزان!B28)</f>
        <v>24</v>
      </c>
      <c r="D292" s="55" t="str">
        <f>IF(دانش‌آموزان!C28="","",دانش‌آموزان!C28)</f>
        <v>0960438629</v>
      </c>
      <c r="E292" s="55" t="str">
        <f>IF(دانش‌آموزان!E28="","",دانش‌آموزان!E28&amp;" "&amp;دانش‌آموزان!F28)</f>
        <v>كسري عصمتي</v>
      </c>
      <c r="F292" s="34">
        <f>IF(دانش‌آموزان!I28="","",دانش‌آموزان!I28)</f>
        <v>901</v>
      </c>
      <c r="G292" s="19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1"/>
      <c r="CC292" s="27" t="str">
        <f t="shared" si="44"/>
        <v/>
      </c>
      <c r="CD292" s="38" t="str">
        <f t="shared" si="45"/>
        <v/>
      </c>
      <c r="CE292" s="38" t="str">
        <f t="shared" si="46"/>
        <v/>
      </c>
      <c r="CF292" s="38" t="str">
        <f t="shared" si="47"/>
        <v/>
      </c>
      <c r="CG292" s="38" t="str">
        <f t="shared" si="48"/>
        <v/>
      </c>
      <c r="CH292" s="38" t="str">
        <f t="shared" si="49"/>
        <v/>
      </c>
      <c r="CI292" s="38" t="str">
        <f t="shared" si="50"/>
        <v/>
      </c>
      <c r="CJ292" s="38" t="str">
        <f t="shared" si="51"/>
        <v/>
      </c>
      <c r="CK292" s="38" t="str">
        <f t="shared" si="52"/>
        <v/>
      </c>
      <c r="CL292" s="38" t="str">
        <f>IF(C292="","",IF(COUNT(G292:AZ292)&lt;46,"",SUMPRODUCT(CC292:CK292,'تنظیمات وزن‌دهی'!$C$5:$C$13)/100))</f>
        <v/>
      </c>
      <c r="CM292" s="38" t="str">
        <f t="shared" si="53"/>
        <v/>
      </c>
      <c r="CN292" s="38">
        <v>12</v>
      </c>
      <c r="CO292" s="28">
        <f t="shared" si="54"/>
        <v>0</v>
      </c>
      <c r="CP292" s="58"/>
    </row>
    <row r="293" spans="1:94" ht="17.25" hidden="1">
      <c r="A293" s="33">
        <v>289</v>
      </c>
      <c r="B293" s="55" t="s">
        <v>183</v>
      </c>
      <c r="C293" s="55">
        <f>IF(دانش‌آموزان!E29="","",دانش‌آموزان!B29)</f>
        <v>25</v>
      </c>
      <c r="D293" s="55" t="str">
        <f>IF(دانش‌آموزان!C29="","",دانش‌آموزان!C29)</f>
        <v>0970511914</v>
      </c>
      <c r="E293" s="55" t="str">
        <f>IF(دانش‌آموزان!E29="","",دانش‌آموزان!E29&amp;" "&amp;دانش‌آموزان!F29)</f>
        <v>محمدصدرا عطاردي شوراب</v>
      </c>
      <c r="F293" s="34">
        <f>IF(دانش‌آموزان!I29="","",دانش‌آموزان!I29)</f>
        <v>901</v>
      </c>
      <c r="G293" s="19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1"/>
      <c r="CC293" s="27" t="str">
        <f t="shared" si="44"/>
        <v/>
      </c>
      <c r="CD293" s="38" t="str">
        <f t="shared" si="45"/>
        <v/>
      </c>
      <c r="CE293" s="38" t="str">
        <f t="shared" si="46"/>
        <v/>
      </c>
      <c r="CF293" s="38" t="str">
        <f t="shared" si="47"/>
        <v/>
      </c>
      <c r="CG293" s="38" t="str">
        <f t="shared" si="48"/>
        <v/>
      </c>
      <c r="CH293" s="38" t="str">
        <f t="shared" si="49"/>
        <v/>
      </c>
      <c r="CI293" s="38" t="str">
        <f t="shared" si="50"/>
        <v/>
      </c>
      <c r="CJ293" s="38" t="str">
        <f t="shared" si="51"/>
        <v/>
      </c>
      <c r="CK293" s="38" t="str">
        <f t="shared" si="52"/>
        <v/>
      </c>
      <c r="CL293" s="38" t="str">
        <f>IF(C293="","",IF(COUNT(G293:AZ293)&lt;46,"",SUMPRODUCT(CC293:CK293,'تنظیمات وزن‌دهی'!$C$5:$C$13)/100))</f>
        <v/>
      </c>
      <c r="CM293" s="38" t="str">
        <f t="shared" si="53"/>
        <v/>
      </c>
      <c r="CN293" s="38">
        <v>1</v>
      </c>
      <c r="CO293" s="28">
        <f t="shared" si="54"/>
        <v>0</v>
      </c>
      <c r="CP293" s="58"/>
    </row>
    <row r="294" spans="1:94" ht="17.25" hidden="1">
      <c r="A294" s="33">
        <v>290</v>
      </c>
      <c r="B294" s="55" t="s">
        <v>184</v>
      </c>
      <c r="C294" s="55">
        <f>IF(دانش‌آموزان!E29="","",دانش‌آموزان!B29)</f>
        <v>25</v>
      </c>
      <c r="D294" s="55" t="str">
        <f>IF(دانش‌آموزان!C29="","",دانش‌آموزان!C29)</f>
        <v>0970511914</v>
      </c>
      <c r="E294" s="55" t="str">
        <f>IF(دانش‌آموزان!E29="","",دانش‌آموزان!E29&amp;" "&amp;دانش‌آموزان!F29)</f>
        <v>محمدصدرا عطاردي شوراب</v>
      </c>
      <c r="F294" s="34">
        <f>IF(دانش‌آموزان!I29="","",دانش‌آموزان!I29)</f>
        <v>901</v>
      </c>
      <c r="G294" s="19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1"/>
      <c r="CC294" s="27" t="str">
        <f t="shared" si="44"/>
        <v/>
      </c>
      <c r="CD294" s="38" t="str">
        <f t="shared" si="45"/>
        <v/>
      </c>
      <c r="CE294" s="38" t="str">
        <f t="shared" si="46"/>
        <v/>
      </c>
      <c r="CF294" s="38" t="str">
        <f t="shared" si="47"/>
        <v/>
      </c>
      <c r="CG294" s="38" t="str">
        <f t="shared" si="48"/>
        <v/>
      </c>
      <c r="CH294" s="38" t="str">
        <f t="shared" si="49"/>
        <v/>
      </c>
      <c r="CI294" s="38" t="str">
        <f t="shared" si="50"/>
        <v/>
      </c>
      <c r="CJ294" s="38" t="str">
        <f t="shared" si="51"/>
        <v/>
      </c>
      <c r="CK294" s="38" t="str">
        <f t="shared" si="52"/>
        <v/>
      </c>
      <c r="CL294" s="38" t="str">
        <f>IF(C294="","",IF(COUNT(G294:AZ294)&lt;46,"",SUMPRODUCT(CC294:CK294,'تنظیمات وزن‌دهی'!$C$5:$C$13)/100))</f>
        <v/>
      </c>
      <c r="CM294" s="38" t="str">
        <f t="shared" si="53"/>
        <v/>
      </c>
      <c r="CN294" s="38">
        <v>2</v>
      </c>
      <c r="CO294" s="28">
        <f t="shared" si="54"/>
        <v>0</v>
      </c>
      <c r="CP294" s="58"/>
    </row>
    <row r="295" spans="1:94" ht="17.25">
      <c r="A295" s="33">
        <v>291</v>
      </c>
      <c r="B295" s="55" t="s">
        <v>185</v>
      </c>
      <c r="C295" s="55">
        <f>IF(دانش‌آموزان!E29="","",دانش‌آموزان!B29)</f>
        <v>25</v>
      </c>
      <c r="D295" s="55" t="str">
        <f>IF(دانش‌آموزان!C29="","",دانش‌آموزان!C29)</f>
        <v>0970511914</v>
      </c>
      <c r="E295" s="55" t="str">
        <f>IF(دانش‌آموزان!E29="","",دانش‌آموزان!E29&amp;" "&amp;دانش‌آموزان!F29)</f>
        <v>محمدصدرا عطاردي شوراب</v>
      </c>
      <c r="F295" s="34">
        <f>IF(دانش‌آموزان!I29="","",دانش‌آموزان!I29)</f>
        <v>901</v>
      </c>
      <c r="G295" s="19">
        <v>18.43</v>
      </c>
      <c r="H295" s="20">
        <v>0</v>
      </c>
      <c r="I295" s="20">
        <v>0</v>
      </c>
      <c r="J295" s="20">
        <v>4</v>
      </c>
      <c r="K295" s="20">
        <v>0</v>
      </c>
      <c r="L295" s="20">
        <v>0</v>
      </c>
      <c r="M295" s="20">
        <v>0</v>
      </c>
      <c r="N295" s="20">
        <v>0</v>
      </c>
      <c r="O295" s="20">
        <v>4</v>
      </c>
      <c r="P295" s="20">
        <v>4</v>
      </c>
      <c r="Q295" s="20">
        <v>4</v>
      </c>
      <c r="R295" s="20">
        <v>4</v>
      </c>
      <c r="S295" s="20">
        <v>4</v>
      </c>
      <c r="T295" s="20">
        <v>4</v>
      </c>
      <c r="U295" s="20">
        <v>4</v>
      </c>
      <c r="V295" s="20">
        <v>2</v>
      </c>
      <c r="W295" s="20">
        <v>4</v>
      </c>
      <c r="X295" s="20">
        <v>4</v>
      </c>
      <c r="Y295" s="20">
        <v>4</v>
      </c>
      <c r="Z295" s="20">
        <v>4</v>
      </c>
      <c r="AA295" s="20">
        <v>0</v>
      </c>
      <c r="AB295" s="20">
        <v>0</v>
      </c>
      <c r="AC295" s="20">
        <v>0</v>
      </c>
      <c r="AD295" s="20">
        <v>0</v>
      </c>
      <c r="AE295" s="20">
        <v>0</v>
      </c>
      <c r="AF295" s="20">
        <v>0</v>
      </c>
      <c r="AG295" s="20">
        <v>0</v>
      </c>
      <c r="AH295" s="20">
        <v>0</v>
      </c>
      <c r="AI295" s="20">
        <v>0</v>
      </c>
      <c r="AJ295" s="20">
        <v>0</v>
      </c>
      <c r="AK295" s="20">
        <v>0</v>
      </c>
      <c r="AL295" s="20">
        <v>0</v>
      </c>
      <c r="AM295" s="20">
        <v>0</v>
      </c>
      <c r="AN295" s="20">
        <v>0</v>
      </c>
      <c r="AO295" s="20">
        <v>0</v>
      </c>
      <c r="AP295" s="20">
        <v>0</v>
      </c>
      <c r="AQ295" s="20">
        <v>0</v>
      </c>
      <c r="AR295" s="20">
        <v>0</v>
      </c>
      <c r="AS295" s="20">
        <v>0</v>
      </c>
      <c r="AT295" s="20">
        <v>0</v>
      </c>
      <c r="AU295" s="20">
        <v>0</v>
      </c>
      <c r="AV295" s="20">
        <v>0</v>
      </c>
      <c r="AW295" s="20">
        <v>0</v>
      </c>
      <c r="AX295" s="20">
        <v>0</v>
      </c>
      <c r="AY295" s="20">
        <v>0</v>
      </c>
      <c r="AZ295" s="20">
        <v>0</v>
      </c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1"/>
      <c r="CC295" s="27">
        <f t="shared" si="44"/>
        <v>11.215</v>
      </c>
      <c r="CD295" s="38">
        <f t="shared" si="45"/>
        <v>16</v>
      </c>
      <c r="CE295" s="38">
        <f t="shared" si="46"/>
        <v>16</v>
      </c>
      <c r="CF295" s="38">
        <f t="shared" si="47"/>
        <v>14.4</v>
      </c>
      <c r="CG295" s="38">
        <f t="shared" si="48"/>
        <v>0</v>
      </c>
      <c r="CH295" s="38">
        <f t="shared" si="49"/>
        <v>0</v>
      </c>
      <c r="CI295" s="38">
        <f t="shared" si="50"/>
        <v>0</v>
      </c>
      <c r="CJ295" s="38">
        <f t="shared" si="51"/>
        <v>0</v>
      </c>
      <c r="CK295" s="38">
        <f t="shared" si="52"/>
        <v>0</v>
      </c>
      <c r="CL295" s="38" t="e">
        <f>IF(C295="","",IF(COUNT(G295:AZ295)&lt;46,"",SUMPRODUCT(CC295:CK295,'تنظیمات وزن‌دهی'!$C$5:$C$13)/100))</f>
        <v>#VALUE!</v>
      </c>
      <c r="CM295" s="38" t="e">
        <f t="shared" si="53"/>
        <v>#VALUE!</v>
      </c>
      <c r="CN295" s="38">
        <v>3</v>
      </c>
      <c r="CO295" s="28">
        <f t="shared" si="54"/>
        <v>1</v>
      </c>
      <c r="CP295" s="58"/>
    </row>
    <row r="296" spans="1:94" ht="17.25" hidden="1">
      <c r="A296" s="33">
        <v>292</v>
      </c>
      <c r="B296" s="55" t="s">
        <v>186</v>
      </c>
      <c r="C296" s="55">
        <f>IF(دانش‌آموزان!E29="","",دانش‌آموزان!B29)</f>
        <v>25</v>
      </c>
      <c r="D296" s="55" t="str">
        <f>IF(دانش‌آموزان!C29="","",دانش‌آموزان!C29)</f>
        <v>0970511914</v>
      </c>
      <c r="E296" s="55" t="str">
        <f>IF(دانش‌آموزان!E29="","",دانش‌آموزان!E29&amp;" "&amp;دانش‌آموزان!F29)</f>
        <v>محمدصدرا عطاردي شوراب</v>
      </c>
      <c r="F296" s="34">
        <f>IF(دانش‌آموزان!I29="","",دانش‌آموزان!I29)</f>
        <v>901</v>
      </c>
      <c r="G296" s="19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1"/>
      <c r="CC296" s="27" t="str">
        <f t="shared" si="44"/>
        <v/>
      </c>
      <c r="CD296" s="38" t="str">
        <f t="shared" si="45"/>
        <v/>
      </c>
      <c r="CE296" s="38" t="str">
        <f t="shared" si="46"/>
        <v/>
      </c>
      <c r="CF296" s="38" t="str">
        <f t="shared" si="47"/>
        <v/>
      </c>
      <c r="CG296" s="38" t="str">
        <f t="shared" si="48"/>
        <v/>
      </c>
      <c r="CH296" s="38" t="str">
        <f t="shared" si="49"/>
        <v/>
      </c>
      <c r="CI296" s="38" t="str">
        <f t="shared" si="50"/>
        <v/>
      </c>
      <c r="CJ296" s="38" t="str">
        <f t="shared" si="51"/>
        <v/>
      </c>
      <c r="CK296" s="38" t="str">
        <f t="shared" si="52"/>
        <v/>
      </c>
      <c r="CL296" s="38" t="str">
        <f>IF(C296="","",IF(COUNT(G296:AZ296)&lt;46,"",SUMPRODUCT(CC296:CK296,'تنظیمات وزن‌دهی'!$C$5:$C$13)/100))</f>
        <v/>
      </c>
      <c r="CM296" s="38" t="str">
        <f t="shared" si="53"/>
        <v/>
      </c>
      <c r="CN296" s="38">
        <v>4</v>
      </c>
      <c r="CO296" s="28">
        <f t="shared" si="54"/>
        <v>0</v>
      </c>
      <c r="CP296" s="58"/>
    </row>
    <row r="297" spans="1:94" ht="17.25" hidden="1">
      <c r="A297" s="33">
        <v>293</v>
      </c>
      <c r="B297" s="55" t="s">
        <v>187</v>
      </c>
      <c r="C297" s="55">
        <f>IF(دانش‌آموزان!E29="","",دانش‌آموزان!B29)</f>
        <v>25</v>
      </c>
      <c r="D297" s="55" t="str">
        <f>IF(دانش‌آموزان!C29="","",دانش‌آموزان!C29)</f>
        <v>0970511914</v>
      </c>
      <c r="E297" s="55" t="str">
        <f>IF(دانش‌آموزان!E29="","",دانش‌آموزان!E29&amp;" "&amp;دانش‌آموزان!F29)</f>
        <v>محمدصدرا عطاردي شوراب</v>
      </c>
      <c r="F297" s="34">
        <f>IF(دانش‌آموزان!I29="","",دانش‌آموزان!I29)</f>
        <v>901</v>
      </c>
      <c r="G297" s="19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1"/>
      <c r="CC297" s="27" t="str">
        <f t="shared" si="44"/>
        <v/>
      </c>
      <c r="CD297" s="38" t="str">
        <f t="shared" si="45"/>
        <v/>
      </c>
      <c r="CE297" s="38" t="str">
        <f t="shared" si="46"/>
        <v/>
      </c>
      <c r="CF297" s="38" t="str">
        <f t="shared" si="47"/>
        <v/>
      </c>
      <c r="CG297" s="38" t="str">
        <f t="shared" si="48"/>
        <v/>
      </c>
      <c r="CH297" s="38" t="str">
        <f t="shared" si="49"/>
        <v/>
      </c>
      <c r="CI297" s="38" t="str">
        <f t="shared" si="50"/>
        <v/>
      </c>
      <c r="CJ297" s="38" t="str">
        <f t="shared" si="51"/>
        <v/>
      </c>
      <c r="CK297" s="38" t="str">
        <f t="shared" si="52"/>
        <v/>
      </c>
      <c r="CL297" s="38" t="str">
        <f>IF(C297="","",IF(COUNT(G297:AZ297)&lt;46,"",SUMPRODUCT(CC297:CK297,'تنظیمات وزن‌دهی'!$C$5:$C$13)/100))</f>
        <v/>
      </c>
      <c r="CM297" s="38" t="str">
        <f t="shared" si="53"/>
        <v/>
      </c>
      <c r="CN297" s="38">
        <v>5</v>
      </c>
      <c r="CO297" s="28">
        <f t="shared" si="54"/>
        <v>0</v>
      </c>
      <c r="CP297" s="58"/>
    </row>
    <row r="298" spans="1:94" ht="17.25" hidden="1">
      <c r="A298" s="33">
        <v>294</v>
      </c>
      <c r="B298" s="55" t="s">
        <v>188</v>
      </c>
      <c r="C298" s="55">
        <f>IF(دانش‌آموزان!E29="","",دانش‌آموزان!B29)</f>
        <v>25</v>
      </c>
      <c r="D298" s="55" t="str">
        <f>IF(دانش‌آموزان!C29="","",دانش‌آموزان!C29)</f>
        <v>0970511914</v>
      </c>
      <c r="E298" s="55" t="str">
        <f>IF(دانش‌آموزان!E29="","",دانش‌آموزان!E29&amp;" "&amp;دانش‌آموزان!F29)</f>
        <v>محمدصدرا عطاردي شوراب</v>
      </c>
      <c r="F298" s="34">
        <f>IF(دانش‌آموزان!I29="","",دانش‌آموزان!I29)</f>
        <v>901</v>
      </c>
      <c r="G298" s="19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1"/>
      <c r="CC298" s="27" t="str">
        <f t="shared" si="44"/>
        <v/>
      </c>
      <c r="CD298" s="38" t="str">
        <f t="shared" si="45"/>
        <v/>
      </c>
      <c r="CE298" s="38" t="str">
        <f t="shared" si="46"/>
        <v/>
      </c>
      <c r="CF298" s="38" t="str">
        <f t="shared" si="47"/>
        <v/>
      </c>
      <c r="CG298" s="38" t="str">
        <f t="shared" si="48"/>
        <v/>
      </c>
      <c r="CH298" s="38" t="str">
        <f t="shared" si="49"/>
        <v/>
      </c>
      <c r="CI298" s="38" t="str">
        <f t="shared" si="50"/>
        <v/>
      </c>
      <c r="CJ298" s="38" t="str">
        <f t="shared" si="51"/>
        <v/>
      </c>
      <c r="CK298" s="38" t="str">
        <f t="shared" si="52"/>
        <v/>
      </c>
      <c r="CL298" s="38" t="str">
        <f>IF(C298="","",IF(COUNT(G298:AZ298)&lt;46,"",SUMPRODUCT(CC298:CK298,'تنظیمات وزن‌دهی'!$C$5:$C$13)/100))</f>
        <v/>
      </c>
      <c r="CM298" s="38" t="str">
        <f t="shared" si="53"/>
        <v/>
      </c>
      <c r="CN298" s="38">
        <v>6</v>
      </c>
      <c r="CO298" s="28">
        <f t="shared" si="54"/>
        <v>0</v>
      </c>
      <c r="CP298" s="58"/>
    </row>
    <row r="299" spans="1:94" ht="17.25" hidden="1">
      <c r="A299" s="33">
        <v>295</v>
      </c>
      <c r="B299" s="55" t="s">
        <v>189</v>
      </c>
      <c r="C299" s="55">
        <f>IF(دانش‌آموزان!E29="","",دانش‌آموزان!B29)</f>
        <v>25</v>
      </c>
      <c r="D299" s="55" t="str">
        <f>IF(دانش‌آموزان!C29="","",دانش‌آموزان!C29)</f>
        <v>0970511914</v>
      </c>
      <c r="E299" s="55" t="str">
        <f>IF(دانش‌آموزان!E29="","",دانش‌آموزان!E29&amp;" "&amp;دانش‌آموزان!F29)</f>
        <v>محمدصدرا عطاردي شوراب</v>
      </c>
      <c r="F299" s="34">
        <f>IF(دانش‌آموزان!I29="","",دانش‌آموزان!I29)</f>
        <v>901</v>
      </c>
      <c r="G299" s="19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1"/>
      <c r="CC299" s="27" t="str">
        <f t="shared" si="44"/>
        <v/>
      </c>
      <c r="CD299" s="38" t="str">
        <f t="shared" si="45"/>
        <v/>
      </c>
      <c r="CE299" s="38" t="str">
        <f t="shared" si="46"/>
        <v/>
      </c>
      <c r="CF299" s="38" t="str">
        <f t="shared" si="47"/>
        <v/>
      </c>
      <c r="CG299" s="38" t="str">
        <f t="shared" si="48"/>
        <v/>
      </c>
      <c r="CH299" s="38" t="str">
        <f t="shared" si="49"/>
        <v/>
      </c>
      <c r="CI299" s="38" t="str">
        <f t="shared" si="50"/>
        <v/>
      </c>
      <c r="CJ299" s="38" t="str">
        <f t="shared" si="51"/>
        <v/>
      </c>
      <c r="CK299" s="38" t="str">
        <f t="shared" si="52"/>
        <v/>
      </c>
      <c r="CL299" s="38" t="str">
        <f>IF(C299="","",IF(COUNT(G299:AZ299)&lt;46,"",SUMPRODUCT(CC299:CK299,'تنظیمات وزن‌دهی'!$C$5:$C$13)/100))</f>
        <v/>
      </c>
      <c r="CM299" s="38" t="str">
        <f t="shared" si="53"/>
        <v/>
      </c>
      <c r="CN299" s="38">
        <v>7</v>
      </c>
      <c r="CO299" s="28">
        <f t="shared" si="54"/>
        <v>0</v>
      </c>
      <c r="CP299" s="58"/>
    </row>
    <row r="300" spans="1:94" ht="17.25" hidden="1">
      <c r="A300" s="33">
        <v>296</v>
      </c>
      <c r="B300" s="55" t="s">
        <v>190</v>
      </c>
      <c r="C300" s="55">
        <f>IF(دانش‌آموزان!E29="","",دانش‌آموزان!B29)</f>
        <v>25</v>
      </c>
      <c r="D300" s="55" t="str">
        <f>IF(دانش‌آموزان!C29="","",دانش‌آموزان!C29)</f>
        <v>0970511914</v>
      </c>
      <c r="E300" s="55" t="str">
        <f>IF(دانش‌آموزان!E29="","",دانش‌آموزان!E29&amp;" "&amp;دانش‌آموزان!F29)</f>
        <v>محمدصدرا عطاردي شوراب</v>
      </c>
      <c r="F300" s="34">
        <f>IF(دانش‌آموزان!I29="","",دانش‌آموزان!I29)</f>
        <v>901</v>
      </c>
      <c r="G300" s="19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1"/>
      <c r="CC300" s="27" t="str">
        <f t="shared" si="44"/>
        <v/>
      </c>
      <c r="CD300" s="38" t="str">
        <f t="shared" si="45"/>
        <v/>
      </c>
      <c r="CE300" s="38" t="str">
        <f t="shared" si="46"/>
        <v/>
      </c>
      <c r="CF300" s="38" t="str">
        <f t="shared" si="47"/>
        <v/>
      </c>
      <c r="CG300" s="38" t="str">
        <f t="shared" si="48"/>
        <v/>
      </c>
      <c r="CH300" s="38" t="str">
        <f t="shared" si="49"/>
        <v/>
      </c>
      <c r="CI300" s="38" t="str">
        <f t="shared" si="50"/>
        <v/>
      </c>
      <c r="CJ300" s="38" t="str">
        <f t="shared" si="51"/>
        <v/>
      </c>
      <c r="CK300" s="38" t="str">
        <f t="shared" si="52"/>
        <v/>
      </c>
      <c r="CL300" s="38" t="str">
        <f>IF(C300="","",IF(COUNT(G300:AZ300)&lt;46,"",SUMPRODUCT(CC300:CK300,'تنظیمات وزن‌دهی'!$C$5:$C$13)/100))</f>
        <v/>
      </c>
      <c r="CM300" s="38" t="str">
        <f t="shared" si="53"/>
        <v/>
      </c>
      <c r="CN300" s="38">
        <v>8</v>
      </c>
      <c r="CO300" s="28">
        <f t="shared" si="54"/>
        <v>0</v>
      </c>
      <c r="CP300" s="58"/>
    </row>
    <row r="301" spans="1:94" ht="17.25" hidden="1">
      <c r="A301" s="33">
        <v>297</v>
      </c>
      <c r="B301" s="55" t="s">
        <v>191</v>
      </c>
      <c r="C301" s="55">
        <f>IF(دانش‌آموزان!E29="","",دانش‌آموزان!B29)</f>
        <v>25</v>
      </c>
      <c r="D301" s="55" t="str">
        <f>IF(دانش‌آموزان!C29="","",دانش‌آموزان!C29)</f>
        <v>0970511914</v>
      </c>
      <c r="E301" s="55" t="str">
        <f>IF(دانش‌آموزان!E29="","",دانش‌آموزان!E29&amp;" "&amp;دانش‌آموزان!F29)</f>
        <v>محمدصدرا عطاردي شوراب</v>
      </c>
      <c r="F301" s="34">
        <f>IF(دانش‌آموزان!I29="","",دانش‌آموزان!I29)</f>
        <v>901</v>
      </c>
      <c r="G301" s="19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1"/>
      <c r="CC301" s="27" t="str">
        <f t="shared" si="44"/>
        <v/>
      </c>
      <c r="CD301" s="38" t="str">
        <f t="shared" si="45"/>
        <v/>
      </c>
      <c r="CE301" s="38" t="str">
        <f t="shared" si="46"/>
        <v/>
      </c>
      <c r="CF301" s="38" t="str">
        <f t="shared" si="47"/>
        <v/>
      </c>
      <c r="CG301" s="38" t="str">
        <f t="shared" si="48"/>
        <v/>
      </c>
      <c r="CH301" s="38" t="str">
        <f t="shared" si="49"/>
        <v/>
      </c>
      <c r="CI301" s="38" t="str">
        <f t="shared" si="50"/>
        <v/>
      </c>
      <c r="CJ301" s="38" t="str">
        <f t="shared" si="51"/>
        <v/>
      </c>
      <c r="CK301" s="38" t="str">
        <f t="shared" si="52"/>
        <v/>
      </c>
      <c r="CL301" s="38" t="str">
        <f>IF(C301="","",IF(COUNT(G301:AZ301)&lt;46,"",SUMPRODUCT(CC301:CK301,'تنظیمات وزن‌دهی'!$C$5:$C$13)/100))</f>
        <v/>
      </c>
      <c r="CM301" s="38" t="str">
        <f t="shared" si="53"/>
        <v/>
      </c>
      <c r="CN301" s="38">
        <v>9</v>
      </c>
      <c r="CO301" s="28">
        <f t="shared" si="54"/>
        <v>0</v>
      </c>
      <c r="CP301" s="58"/>
    </row>
    <row r="302" spans="1:94" ht="17.25" hidden="1">
      <c r="A302" s="33">
        <v>298</v>
      </c>
      <c r="B302" s="55" t="s">
        <v>192</v>
      </c>
      <c r="C302" s="55">
        <f>IF(دانش‌آموزان!E29="","",دانش‌آموزان!B29)</f>
        <v>25</v>
      </c>
      <c r="D302" s="55" t="str">
        <f>IF(دانش‌آموزان!C29="","",دانش‌آموزان!C29)</f>
        <v>0970511914</v>
      </c>
      <c r="E302" s="55" t="str">
        <f>IF(دانش‌آموزان!E29="","",دانش‌آموزان!E29&amp;" "&amp;دانش‌آموزان!F29)</f>
        <v>محمدصدرا عطاردي شوراب</v>
      </c>
      <c r="F302" s="34">
        <f>IF(دانش‌آموزان!I29="","",دانش‌آموزان!I29)</f>
        <v>901</v>
      </c>
      <c r="G302" s="19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1"/>
      <c r="CC302" s="27" t="str">
        <f t="shared" si="44"/>
        <v/>
      </c>
      <c r="CD302" s="38" t="str">
        <f t="shared" si="45"/>
        <v/>
      </c>
      <c r="CE302" s="38" t="str">
        <f t="shared" si="46"/>
        <v/>
      </c>
      <c r="CF302" s="38" t="str">
        <f t="shared" si="47"/>
        <v/>
      </c>
      <c r="CG302" s="38" t="str">
        <f t="shared" si="48"/>
        <v/>
      </c>
      <c r="CH302" s="38" t="str">
        <f t="shared" si="49"/>
        <v/>
      </c>
      <c r="CI302" s="38" t="str">
        <f t="shared" si="50"/>
        <v/>
      </c>
      <c r="CJ302" s="38" t="str">
        <f t="shared" si="51"/>
        <v/>
      </c>
      <c r="CK302" s="38" t="str">
        <f t="shared" si="52"/>
        <v/>
      </c>
      <c r="CL302" s="38" t="str">
        <f>IF(C302="","",IF(COUNT(G302:AZ302)&lt;46,"",SUMPRODUCT(CC302:CK302,'تنظیمات وزن‌دهی'!$C$5:$C$13)/100))</f>
        <v/>
      </c>
      <c r="CM302" s="38" t="str">
        <f t="shared" si="53"/>
        <v/>
      </c>
      <c r="CN302" s="38">
        <v>10</v>
      </c>
      <c r="CO302" s="28">
        <f t="shared" si="54"/>
        <v>0</v>
      </c>
      <c r="CP302" s="58"/>
    </row>
    <row r="303" spans="1:94" ht="17.25" hidden="1">
      <c r="A303" s="33">
        <v>299</v>
      </c>
      <c r="B303" s="55" t="s">
        <v>193</v>
      </c>
      <c r="C303" s="55">
        <f>IF(دانش‌آموزان!E29="","",دانش‌آموزان!B29)</f>
        <v>25</v>
      </c>
      <c r="D303" s="55" t="str">
        <f>IF(دانش‌آموزان!C29="","",دانش‌آموزان!C29)</f>
        <v>0970511914</v>
      </c>
      <c r="E303" s="55" t="str">
        <f>IF(دانش‌آموزان!E29="","",دانش‌آموزان!E29&amp;" "&amp;دانش‌آموزان!F29)</f>
        <v>محمدصدرا عطاردي شوراب</v>
      </c>
      <c r="F303" s="34">
        <f>IF(دانش‌آموزان!I29="","",دانش‌آموزان!I29)</f>
        <v>901</v>
      </c>
      <c r="G303" s="19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1"/>
      <c r="CC303" s="27" t="str">
        <f t="shared" si="44"/>
        <v/>
      </c>
      <c r="CD303" s="38" t="str">
        <f t="shared" si="45"/>
        <v/>
      </c>
      <c r="CE303" s="38" t="str">
        <f t="shared" si="46"/>
        <v/>
      </c>
      <c r="CF303" s="38" t="str">
        <f t="shared" si="47"/>
        <v/>
      </c>
      <c r="CG303" s="38" t="str">
        <f t="shared" si="48"/>
        <v/>
      </c>
      <c r="CH303" s="38" t="str">
        <f t="shared" si="49"/>
        <v/>
      </c>
      <c r="CI303" s="38" t="str">
        <f t="shared" si="50"/>
        <v/>
      </c>
      <c r="CJ303" s="38" t="str">
        <f t="shared" si="51"/>
        <v/>
      </c>
      <c r="CK303" s="38" t="str">
        <f t="shared" si="52"/>
        <v/>
      </c>
      <c r="CL303" s="38" t="str">
        <f>IF(C303="","",IF(COUNT(G303:AZ303)&lt;46,"",SUMPRODUCT(CC303:CK303,'تنظیمات وزن‌دهی'!$C$5:$C$13)/100))</f>
        <v/>
      </c>
      <c r="CM303" s="38" t="str">
        <f t="shared" si="53"/>
        <v/>
      </c>
      <c r="CN303" s="38">
        <v>11</v>
      </c>
      <c r="CO303" s="28">
        <f t="shared" si="54"/>
        <v>0</v>
      </c>
      <c r="CP303" s="58"/>
    </row>
    <row r="304" spans="1:94" ht="17.25" hidden="1">
      <c r="A304" s="33">
        <v>300</v>
      </c>
      <c r="B304" s="55" t="s">
        <v>194</v>
      </c>
      <c r="C304" s="55">
        <f>IF(دانش‌آموزان!E29="","",دانش‌آموزان!B29)</f>
        <v>25</v>
      </c>
      <c r="D304" s="55" t="str">
        <f>IF(دانش‌آموزان!C29="","",دانش‌آموزان!C29)</f>
        <v>0970511914</v>
      </c>
      <c r="E304" s="55" t="str">
        <f>IF(دانش‌آموزان!E29="","",دانش‌آموزان!E29&amp;" "&amp;دانش‌آموزان!F29)</f>
        <v>محمدصدرا عطاردي شوراب</v>
      </c>
      <c r="F304" s="34">
        <f>IF(دانش‌آموزان!I29="","",دانش‌آموزان!I29)</f>
        <v>901</v>
      </c>
      <c r="G304" s="19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1"/>
      <c r="CC304" s="27" t="str">
        <f t="shared" si="44"/>
        <v/>
      </c>
      <c r="CD304" s="38" t="str">
        <f t="shared" si="45"/>
        <v/>
      </c>
      <c r="CE304" s="38" t="str">
        <f t="shared" si="46"/>
        <v/>
      </c>
      <c r="CF304" s="38" t="str">
        <f t="shared" si="47"/>
        <v/>
      </c>
      <c r="CG304" s="38" t="str">
        <f t="shared" si="48"/>
        <v/>
      </c>
      <c r="CH304" s="38" t="str">
        <f t="shared" si="49"/>
        <v/>
      </c>
      <c r="CI304" s="38" t="str">
        <f t="shared" si="50"/>
        <v/>
      </c>
      <c r="CJ304" s="38" t="str">
        <f t="shared" si="51"/>
        <v/>
      </c>
      <c r="CK304" s="38" t="str">
        <f t="shared" si="52"/>
        <v/>
      </c>
      <c r="CL304" s="38" t="str">
        <f>IF(C304="","",IF(COUNT(G304:AZ304)&lt;46,"",SUMPRODUCT(CC304:CK304,'تنظیمات وزن‌دهی'!$C$5:$C$13)/100))</f>
        <v/>
      </c>
      <c r="CM304" s="38" t="str">
        <f t="shared" si="53"/>
        <v/>
      </c>
      <c r="CN304" s="38">
        <v>12</v>
      </c>
      <c r="CO304" s="28">
        <f t="shared" si="54"/>
        <v>0</v>
      </c>
      <c r="CP304" s="58"/>
    </row>
    <row r="305" spans="1:94" ht="17.25" hidden="1">
      <c r="A305" s="33">
        <v>301</v>
      </c>
      <c r="B305" s="55" t="s">
        <v>183</v>
      </c>
      <c r="C305" s="55">
        <f>IF(دانش‌آموزان!E30="","",دانش‌آموزان!B30)</f>
        <v>26</v>
      </c>
      <c r="D305" s="55" t="str">
        <f>IF(دانش‌آموزان!C30="","",دانش‌آموزان!C30)</f>
        <v>0970482078</v>
      </c>
      <c r="E305" s="55" t="str">
        <f>IF(دانش‌آموزان!E30="","",دانش‌آموزان!E30&amp;" "&amp;دانش‌آموزان!F30)</f>
        <v>كوروش غريب حسني</v>
      </c>
      <c r="F305" s="34">
        <f>IF(دانش‌آموزان!I30="","",دانش‌آموزان!I30)</f>
        <v>901</v>
      </c>
      <c r="G305" s="19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1"/>
      <c r="CC305" s="27" t="str">
        <f t="shared" si="44"/>
        <v/>
      </c>
      <c r="CD305" s="38" t="str">
        <f t="shared" si="45"/>
        <v/>
      </c>
      <c r="CE305" s="38" t="str">
        <f t="shared" si="46"/>
        <v/>
      </c>
      <c r="CF305" s="38" t="str">
        <f t="shared" si="47"/>
        <v/>
      </c>
      <c r="CG305" s="38" t="str">
        <f t="shared" si="48"/>
        <v/>
      </c>
      <c r="CH305" s="38" t="str">
        <f t="shared" si="49"/>
        <v/>
      </c>
      <c r="CI305" s="38" t="str">
        <f t="shared" si="50"/>
        <v/>
      </c>
      <c r="CJ305" s="38" t="str">
        <f t="shared" si="51"/>
        <v/>
      </c>
      <c r="CK305" s="38" t="str">
        <f t="shared" si="52"/>
        <v/>
      </c>
      <c r="CL305" s="38" t="str">
        <f>IF(C305="","",IF(COUNT(G305:AZ305)&lt;46,"",SUMPRODUCT(CC305:CK305,'تنظیمات وزن‌دهی'!$C$5:$C$13)/100))</f>
        <v/>
      </c>
      <c r="CM305" s="38" t="str">
        <f t="shared" si="53"/>
        <v/>
      </c>
      <c r="CN305" s="38">
        <v>1</v>
      </c>
      <c r="CO305" s="28">
        <f t="shared" si="54"/>
        <v>0</v>
      </c>
      <c r="CP305" s="58"/>
    </row>
    <row r="306" spans="1:94" ht="17.25" hidden="1">
      <c r="A306" s="33">
        <v>302</v>
      </c>
      <c r="B306" s="55" t="s">
        <v>184</v>
      </c>
      <c r="C306" s="55">
        <f>IF(دانش‌آموزان!E30="","",دانش‌آموزان!B30)</f>
        <v>26</v>
      </c>
      <c r="D306" s="55" t="str">
        <f>IF(دانش‌آموزان!C30="","",دانش‌آموزان!C30)</f>
        <v>0970482078</v>
      </c>
      <c r="E306" s="55" t="str">
        <f>IF(دانش‌آموزان!E30="","",دانش‌آموزان!E30&amp;" "&amp;دانش‌آموزان!F30)</f>
        <v>كوروش غريب حسني</v>
      </c>
      <c r="F306" s="34">
        <f>IF(دانش‌آموزان!I30="","",دانش‌آموزان!I30)</f>
        <v>901</v>
      </c>
      <c r="G306" s="19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1"/>
      <c r="CC306" s="27" t="str">
        <f t="shared" si="44"/>
        <v/>
      </c>
      <c r="CD306" s="38" t="str">
        <f t="shared" si="45"/>
        <v/>
      </c>
      <c r="CE306" s="38" t="str">
        <f t="shared" si="46"/>
        <v/>
      </c>
      <c r="CF306" s="38" t="str">
        <f t="shared" si="47"/>
        <v/>
      </c>
      <c r="CG306" s="38" t="str">
        <f t="shared" si="48"/>
        <v/>
      </c>
      <c r="CH306" s="38" t="str">
        <f t="shared" si="49"/>
        <v/>
      </c>
      <c r="CI306" s="38" t="str">
        <f t="shared" si="50"/>
        <v/>
      </c>
      <c r="CJ306" s="38" t="str">
        <f t="shared" si="51"/>
        <v/>
      </c>
      <c r="CK306" s="38" t="str">
        <f t="shared" si="52"/>
        <v/>
      </c>
      <c r="CL306" s="38" t="str">
        <f>IF(C306="","",IF(COUNT(G306:AZ306)&lt;46,"",SUMPRODUCT(CC306:CK306,'تنظیمات وزن‌دهی'!$C$5:$C$13)/100))</f>
        <v/>
      </c>
      <c r="CM306" s="38" t="str">
        <f t="shared" si="53"/>
        <v/>
      </c>
      <c r="CN306" s="38">
        <v>2</v>
      </c>
      <c r="CO306" s="28">
        <f t="shared" si="54"/>
        <v>0</v>
      </c>
      <c r="CP306" s="58"/>
    </row>
    <row r="307" spans="1:94" ht="17.25">
      <c r="A307" s="33">
        <v>303</v>
      </c>
      <c r="B307" s="55" t="s">
        <v>185</v>
      </c>
      <c r="C307" s="55">
        <f>IF(دانش‌آموزان!E30="","",دانش‌آموزان!B30)</f>
        <v>26</v>
      </c>
      <c r="D307" s="55" t="str">
        <f>IF(دانش‌آموزان!C30="","",دانش‌آموزان!C30)</f>
        <v>0970482078</v>
      </c>
      <c r="E307" s="55" t="str">
        <f>IF(دانش‌آموزان!E30="","",دانش‌آموزان!E30&amp;" "&amp;دانش‌آموزان!F30)</f>
        <v>كوروش غريب حسني</v>
      </c>
      <c r="F307" s="34">
        <f>IF(دانش‌آموزان!I30="","",دانش‌آموزان!I30)</f>
        <v>901</v>
      </c>
      <c r="G307" s="19">
        <v>19.91</v>
      </c>
      <c r="H307" s="20">
        <v>-5.91</v>
      </c>
      <c r="I307" s="20">
        <v>0</v>
      </c>
      <c r="J307" s="20">
        <v>4</v>
      </c>
      <c r="K307" s="20">
        <v>0</v>
      </c>
      <c r="L307" s="20">
        <v>0</v>
      </c>
      <c r="M307" s="20">
        <v>0</v>
      </c>
      <c r="N307" s="20">
        <v>0</v>
      </c>
      <c r="O307" s="20">
        <v>4</v>
      </c>
      <c r="P307" s="20">
        <v>4</v>
      </c>
      <c r="Q307" s="20">
        <v>4</v>
      </c>
      <c r="R307" s="20">
        <v>4</v>
      </c>
      <c r="S307" s="20">
        <v>4</v>
      </c>
      <c r="T307" s="20">
        <v>0</v>
      </c>
      <c r="U307" s="20">
        <v>4</v>
      </c>
      <c r="V307" s="20">
        <v>4</v>
      </c>
      <c r="W307" s="20">
        <v>4</v>
      </c>
      <c r="X307" s="20">
        <v>4</v>
      </c>
      <c r="Y307" s="20">
        <v>4</v>
      </c>
      <c r="Z307" s="20">
        <v>4</v>
      </c>
      <c r="AA307" s="20">
        <v>0</v>
      </c>
      <c r="AB307" s="20">
        <v>0</v>
      </c>
      <c r="AC307" s="20">
        <v>0</v>
      </c>
      <c r="AD307" s="20">
        <v>0</v>
      </c>
      <c r="AE307" s="20">
        <v>0</v>
      </c>
      <c r="AF307" s="20">
        <v>0</v>
      </c>
      <c r="AG307" s="20">
        <v>0</v>
      </c>
      <c r="AH307" s="20">
        <v>0</v>
      </c>
      <c r="AI307" s="20">
        <v>0</v>
      </c>
      <c r="AJ307" s="20">
        <v>0</v>
      </c>
      <c r="AK307" s="20">
        <v>0</v>
      </c>
      <c r="AL307" s="20">
        <v>0</v>
      </c>
      <c r="AM307" s="20">
        <v>0</v>
      </c>
      <c r="AN307" s="20">
        <v>0</v>
      </c>
      <c r="AO307" s="20">
        <v>0</v>
      </c>
      <c r="AP307" s="20">
        <v>0</v>
      </c>
      <c r="AQ307" s="20">
        <v>0</v>
      </c>
      <c r="AR307" s="20">
        <v>0</v>
      </c>
      <c r="AS307" s="20">
        <v>0</v>
      </c>
      <c r="AT307" s="20">
        <v>0</v>
      </c>
      <c r="AU307" s="20">
        <v>0</v>
      </c>
      <c r="AV307" s="20">
        <v>0</v>
      </c>
      <c r="AW307" s="20">
        <v>0</v>
      </c>
      <c r="AX307" s="20">
        <v>0</v>
      </c>
      <c r="AY307" s="20">
        <v>0</v>
      </c>
      <c r="AZ307" s="20">
        <v>0</v>
      </c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/>
      <c r="BZ307" s="20"/>
      <c r="CA307" s="20"/>
      <c r="CB307" s="21"/>
      <c r="CC307" s="27">
        <f t="shared" si="44"/>
        <v>9</v>
      </c>
      <c r="CD307" s="38">
        <f t="shared" si="45"/>
        <v>16</v>
      </c>
      <c r="CE307" s="38">
        <f t="shared" si="46"/>
        <v>8</v>
      </c>
      <c r="CF307" s="38">
        <f t="shared" si="47"/>
        <v>16</v>
      </c>
      <c r="CG307" s="38">
        <f t="shared" si="48"/>
        <v>0</v>
      </c>
      <c r="CH307" s="38">
        <f t="shared" si="49"/>
        <v>0</v>
      </c>
      <c r="CI307" s="38">
        <f t="shared" si="50"/>
        <v>0</v>
      </c>
      <c r="CJ307" s="38">
        <f t="shared" si="51"/>
        <v>0</v>
      </c>
      <c r="CK307" s="38">
        <f t="shared" si="52"/>
        <v>0</v>
      </c>
      <c r="CL307" s="38" t="e">
        <f>IF(C307="","",IF(COUNT(G307:AZ307)&lt;46,"",SUMPRODUCT(CC307:CK307,'تنظیمات وزن‌دهی'!$C$5:$C$13)/100))</f>
        <v>#VALUE!</v>
      </c>
      <c r="CM307" s="38" t="e">
        <f t="shared" si="53"/>
        <v>#VALUE!</v>
      </c>
      <c r="CN307" s="38">
        <v>3</v>
      </c>
      <c r="CO307" s="28">
        <f t="shared" si="54"/>
        <v>1</v>
      </c>
      <c r="CP307" s="58"/>
    </row>
    <row r="308" spans="1:94" ht="17.25" hidden="1">
      <c r="A308" s="33">
        <v>304</v>
      </c>
      <c r="B308" s="55" t="s">
        <v>186</v>
      </c>
      <c r="C308" s="55">
        <f>IF(دانش‌آموزان!E30="","",دانش‌آموزان!B30)</f>
        <v>26</v>
      </c>
      <c r="D308" s="55" t="str">
        <f>IF(دانش‌آموزان!C30="","",دانش‌آموزان!C30)</f>
        <v>0970482078</v>
      </c>
      <c r="E308" s="55" t="str">
        <f>IF(دانش‌آموزان!E30="","",دانش‌آموزان!E30&amp;" "&amp;دانش‌آموزان!F30)</f>
        <v>كوروش غريب حسني</v>
      </c>
      <c r="F308" s="34">
        <f>IF(دانش‌آموزان!I30="","",دانش‌آموزان!I30)</f>
        <v>901</v>
      </c>
      <c r="G308" s="19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  <c r="CA308" s="20"/>
      <c r="CB308" s="21"/>
      <c r="CC308" s="27" t="str">
        <f t="shared" si="44"/>
        <v/>
      </c>
      <c r="CD308" s="38" t="str">
        <f t="shared" si="45"/>
        <v/>
      </c>
      <c r="CE308" s="38" t="str">
        <f t="shared" si="46"/>
        <v/>
      </c>
      <c r="CF308" s="38" t="str">
        <f t="shared" si="47"/>
        <v/>
      </c>
      <c r="CG308" s="38" t="str">
        <f t="shared" si="48"/>
        <v/>
      </c>
      <c r="CH308" s="38" t="str">
        <f t="shared" si="49"/>
        <v/>
      </c>
      <c r="CI308" s="38" t="str">
        <f t="shared" si="50"/>
        <v/>
      </c>
      <c r="CJ308" s="38" t="str">
        <f t="shared" si="51"/>
        <v/>
      </c>
      <c r="CK308" s="38" t="str">
        <f t="shared" si="52"/>
        <v/>
      </c>
      <c r="CL308" s="38" t="str">
        <f>IF(C308="","",IF(COUNT(G308:AZ308)&lt;46,"",SUMPRODUCT(CC308:CK308,'تنظیمات وزن‌دهی'!$C$5:$C$13)/100))</f>
        <v/>
      </c>
      <c r="CM308" s="38" t="str">
        <f t="shared" si="53"/>
        <v/>
      </c>
      <c r="CN308" s="38">
        <v>4</v>
      </c>
      <c r="CO308" s="28">
        <f t="shared" si="54"/>
        <v>0</v>
      </c>
      <c r="CP308" s="58"/>
    </row>
    <row r="309" spans="1:94" ht="17.25" hidden="1">
      <c r="A309" s="33">
        <v>305</v>
      </c>
      <c r="B309" s="55" t="s">
        <v>187</v>
      </c>
      <c r="C309" s="55">
        <f>IF(دانش‌آموزان!E30="","",دانش‌آموزان!B30)</f>
        <v>26</v>
      </c>
      <c r="D309" s="55" t="str">
        <f>IF(دانش‌آموزان!C30="","",دانش‌آموزان!C30)</f>
        <v>0970482078</v>
      </c>
      <c r="E309" s="55" t="str">
        <f>IF(دانش‌آموزان!E30="","",دانش‌آموزان!E30&amp;" "&amp;دانش‌آموزان!F30)</f>
        <v>كوروش غريب حسني</v>
      </c>
      <c r="F309" s="34">
        <f>IF(دانش‌آموزان!I30="","",دانش‌آموزان!I30)</f>
        <v>901</v>
      </c>
      <c r="G309" s="19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1"/>
      <c r="CC309" s="27" t="str">
        <f t="shared" si="44"/>
        <v/>
      </c>
      <c r="CD309" s="38" t="str">
        <f t="shared" si="45"/>
        <v/>
      </c>
      <c r="CE309" s="38" t="str">
        <f t="shared" si="46"/>
        <v/>
      </c>
      <c r="CF309" s="38" t="str">
        <f t="shared" si="47"/>
        <v/>
      </c>
      <c r="CG309" s="38" t="str">
        <f t="shared" si="48"/>
        <v/>
      </c>
      <c r="CH309" s="38" t="str">
        <f t="shared" si="49"/>
        <v/>
      </c>
      <c r="CI309" s="38" t="str">
        <f t="shared" si="50"/>
        <v/>
      </c>
      <c r="CJ309" s="38" t="str">
        <f t="shared" si="51"/>
        <v/>
      </c>
      <c r="CK309" s="38" t="str">
        <f t="shared" si="52"/>
        <v/>
      </c>
      <c r="CL309" s="38" t="str">
        <f>IF(C309="","",IF(COUNT(G309:AZ309)&lt;46,"",SUMPRODUCT(CC309:CK309,'تنظیمات وزن‌دهی'!$C$5:$C$13)/100))</f>
        <v/>
      </c>
      <c r="CM309" s="38" t="str">
        <f t="shared" si="53"/>
        <v/>
      </c>
      <c r="CN309" s="38">
        <v>5</v>
      </c>
      <c r="CO309" s="28">
        <f t="shared" si="54"/>
        <v>0</v>
      </c>
      <c r="CP309" s="58"/>
    </row>
    <row r="310" spans="1:94" ht="17.25" hidden="1">
      <c r="A310" s="33">
        <v>306</v>
      </c>
      <c r="B310" s="55" t="s">
        <v>188</v>
      </c>
      <c r="C310" s="55">
        <f>IF(دانش‌آموزان!E30="","",دانش‌آموزان!B30)</f>
        <v>26</v>
      </c>
      <c r="D310" s="55" t="str">
        <f>IF(دانش‌آموزان!C30="","",دانش‌آموزان!C30)</f>
        <v>0970482078</v>
      </c>
      <c r="E310" s="55" t="str">
        <f>IF(دانش‌آموزان!E30="","",دانش‌آموزان!E30&amp;" "&amp;دانش‌آموزان!F30)</f>
        <v>كوروش غريب حسني</v>
      </c>
      <c r="F310" s="34">
        <f>IF(دانش‌آموزان!I30="","",دانش‌آموزان!I30)</f>
        <v>901</v>
      </c>
      <c r="G310" s="19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1"/>
      <c r="CC310" s="27" t="str">
        <f t="shared" si="44"/>
        <v/>
      </c>
      <c r="CD310" s="38" t="str">
        <f t="shared" si="45"/>
        <v/>
      </c>
      <c r="CE310" s="38" t="str">
        <f t="shared" si="46"/>
        <v/>
      </c>
      <c r="CF310" s="38" t="str">
        <f t="shared" si="47"/>
        <v/>
      </c>
      <c r="CG310" s="38" t="str">
        <f t="shared" si="48"/>
        <v/>
      </c>
      <c r="CH310" s="38" t="str">
        <f t="shared" si="49"/>
        <v/>
      </c>
      <c r="CI310" s="38" t="str">
        <f t="shared" si="50"/>
        <v/>
      </c>
      <c r="CJ310" s="38" t="str">
        <f t="shared" si="51"/>
        <v/>
      </c>
      <c r="CK310" s="38" t="str">
        <f t="shared" si="52"/>
        <v/>
      </c>
      <c r="CL310" s="38" t="str">
        <f>IF(C310="","",IF(COUNT(G310:AZ310)&lt;46,"",SUMPRODUCT(CC310:CK310,'تنظیمات وزن‌دهی'!$C$5:$C$13)/100))</f>
        <v/>
      </c>
      <c r="CM310" s="38" t="str">
        <f t="shared" si="53"/>
        <v/>
      </c>
      <c r="CN310" s="38">
        <v>6</v>
      </c>
      <c r="CO310" s="28">
        <f t="shared" si="54"/>
        <v>0</v>
      </c>
      <c r="CP310" s="58"/>
    </row>
    <row r="311" spans="1:94" ht="17.25" hidden="1">
      <c r="A311" s="33">
        <v>307</v>
      </c>
      <c r="B311" s="55" t="s">
        <v>189</v>
      </c>
      <c r="C311" s="55">
        <f>IF(دانش‌آموزان!E30="","",دانش‌آموزان!B30)</f>
        <v>26</v>
      </c>
      <c r="D311" s="55" t="str">
        <f>IF(دانش‌آموزان!C30="","",دانش‌آموزان!C30)</f>
        <v>0970482078</v>
      </c>
      <c r="E311" s="55" t="str">
        <f>IF(دانش‌آموزان!E30="","",دانش‌آموزان!E30&amp;" "&amp;دانش‌آموزان!F30)</f>
        <v>كوروش غريب حسني</v>
      </c>
      <c r="F311" s="34">
        <f>IF(دانش‌آموزان!I30="","",دانش‌آموزان!I30)</f>
        <v>901</v>
      </c>
      <c r="G311" s="19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1"/>
      <c r="CC311" s="27" t="str">
        <f t="shared" si="44"/>
        <v/>
      </c>
      <c r="CD311" s="38" t="str">
        <f t="shared" si="45"/>
        <v/>
      </c>
      <c r="CE311" s="38" t="str">
        <f t="shared" si="46"/>
        <v/>
      </c>
      <c r="CF311" s="38" t="str">
        <f t="shared" si="47"/>
        <v/>
      </c>
      <c r="CG311" s="38" t="str">
        <f t="shared" si="48"/>
        <v/>
      </c>
      <c r="CH311" s="38" t="str">
        <f t="shared" si="49"/>
        <v/>
      </c>
      <c r="CI311" s="38" t="str">
        <f t="shared" si="50"/>
        <v/>
      </c>
      <c r="CJ311" s="38" t="str">
        <f t="shared" si="51"/>
        <v/>
      </c>
      <c r="CK311" s="38" t="str">
        <f t="shared" si="52"/>
        <v/>
      </c>
      <c r="CL311" s="38" t="str">
        <f>IF(C311="","",IF(COUNT(G311:AZ311)&lt;46,"",SUMPRODUCT(CC311:CK311,'تنظیمات وزن‌دهی'!$C$5:$C$13)/100))</f>
        <v/>
      </c>
      <c r="CM311" s="38" t="str">
        <f t="shared" si="53"/>
        <v/>
      </c>
      <c r="CN311" s="38">
        <v>7</v>
      </c>
      <c r="CO311" s="28">
        <f t="shared" si="54"/>
        <v>0</v>
      </c>
      <c r="CP311" s="58"/>
    </row>
    <row r="312" spans="1:94" ht="17.25" hidden="1">
      <c r="A312" s="33">
        <v>308</v>
      </c>
      <c r="B312" s="55" t="s">
        <v>190</v>
      </c>
      <c r="C312" s="55">
        <f>IF(دانش‌آموزان!E30="","",دانش‌آموزان!B30)</f>
        <v>26</v>
      </c>
      <c r="D312" s="55" t="str">
        <f>IF(دانش‌آموزان!C30="","",دانش‌آموزان!C30)</f>
        <v>0970482078</v>
      </c>
      <c r="E312" s="55" t="str">
        <f>IF(دانش‌آموزان!E30="","",دانش‌آموزان!E30&amp;" "&amp;دانش‌آموزان!F30)</f>
        <v>كوروش غريب حسني</v>
      </c>
      <c r="F312" s="34">
        <f>IF(دانش‌آموزان!I30="","",دانش‌آموزان!I30)</f>
        <v>901</v>
      </c>
      <c r="G312" s="19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1"/>
      <c r="CC312" s="27" t="str">
        <f t="shared" si="44"/>
        <v/>
      </c>
      <c r="CD312" s="38" t="str">
        <f t="shared" si="45"/>
        <v/>
      </c>
      <c r="CE312" s="38" t="str">
        <f t="shared" si="46"/>
        <v/>
      </c>
      <c r="CF312" s="38" t="str">
        <f t="shared" si="47"/>
        <v/>
      </c>
      <c r="CG312" s="38" t="str">
        <f t="shared" si="48"/>
        <v/>
      </c>
      <c r="CH312" s="38" t="str">
        <f t="shared" si="49"/>
        <v/>
      </c>
      <c r="CI312" s="38" t="str">
        <f t="shared" si="50"/>
        <v/>
      </c>
      <c r="CJ312" s="38" t="str">
        <f t="shared" si="51"/>
        <v/>
      </c>
      <c r="CK312" s="38" t="str">
        <f t="shared" si="52"/>
        <v/>
      </c>
      <c r="CL312" s="38" t="str">
        <f>IF(C312="","",IF(COUNT(G312:AZ312)&lt;46,"",SUMPRODUCT(CC312:CK312,'تنظیمات وزن‌دهی'!$C$5:$C$13)/100))</f>
        <v/>
      </c>
      <c r="CM312" s="38" t="str">
        <f t="shared" si="53"/>
        <v/>
      </c>
      <c r="CN312" s="38">
        <v>8</v>
      </c>
      <c r="CO312" s="28">
        <f t="shared" si="54"/>
        <v>0</v>
      </c>
      <c r="CP312" s="58"/>
    </row>
    <row r="313" spans="1:94" ht="17.25" hidden="1">
      <c r="A313" s="33">
        <v>309</v>
      </c>
      <c r="B313" s="55" t="s">
        <v>191</v>
      </c>
      <c r="C313" s="55">
        <f>IF(دانش‌آموزان!E30="","",دانش‌آموزان!B30)</f>
        <v>26</v>
      </c>
      <c r="D313" s="55" t="str">
        <f>IF(دانش‌آموزان!C30="","",دانش‌آموزان!C30)</f>
        <v>0970482078</v>
      </c>
      <c r="E313" s="55" t="str">
        <f>IF(دانش‌آموزان!E30="","",دانش‌آموزان!E30&amp;" "&amp;دانش‌آموزان!F30)</f>
        <v>كوروش غريب حسني</v>
      </c>
      <c r="F313" s="34">
        <f>IF(دانش‌آموزان!I30="","",دانش‌آموزان!I30)</f>
        <v>901</v>
      </c>
      <c r="G313" s="19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1"/>
      <c r="CC313" s="27" t="str">
        <f t="shared" si="44"/>
        <v/>
      </c>
      <c r="CD313" s="38" t="str">
        <f t="shared" si="45"/>
        <v/>
      </c>
      <c r="CE313" s="38" t="str">
        <f t="shared" si="46"/>
        <v/>
      </c>
      <c r="CF313" s="38" t="str">
        <f t="shared" si="47"/>
        <v/>
      </c>
      <c r="CG313" s="38" t="str">
        <f t="shared" si="48"/>
        <v/>
      </c>
      <c r="CH313" s="38" t="str">
        <f t="shared" si="49"/>
        <v/>
      </c>
      <c r="CI313" s="38" t="str">
        <f t="shared" si="50"/>
        <v/>
      </c>
      <c r="CJ313" s="38" t="str">
        <f t="shared" si="51"/>
        <v/>
      </c>
      <c r="CK313" s="38" t="str">
        <f t="shared" si="52"/>
        <v/>
      </c>
      <c r="CL313" s="38" t="str">
        <f>IF(C313="","",IF(COUNT(G313:AZ313)&lt;46,"",SUMPRODUCT(CC313:CK313,'تنظیمات وزن‌دهی'!$C$5:$C$13)/100))</f>
        <v/>
      </c>
      <c r="CM313" s="38" t="str">
        <f t="shared" si="53"/>
        <v/>
      </c>
      <c r="CN313" s="38">
        <v>9</v>
      </c>
      <c r="CO313" s="28">
        <f t="shared" si="54"/>
        <v>0</v>
      </c>
      <c r="CP313" s="58"/>
    </row>
    <row r="314" spans="1:94" ht="17.25" hidden="1">
      <c r="A314" s="33">
        <v>310</v>
      </c>
      <c r="B314" s="55" t="s">
        <v>192</v>
      </c>
      <c r="C314" s="55">
        <f>IF(دانش‌آموزان!E30="","",دانش‌آموزان!B30)</f>
        <v>26</v>
      </c>
      <c r="D314" s="55" t="str">
        <f>IF(دانش‌آموزان!C30="","",دانش‌آموزان!C30)</f>
        <v>0970482078</v>
      </c>
      <c r="E314" s="55" t="str">
        <f>IF(دانش‌آموزان!E30="","",دانش‌آموزان!E30&amp;" "&amp;دانش‌آموزان!F30)</f>
        <v>كوروش غريب حسني</v>
      </c>
      <c r="F314" s="34">
        <f>IF(دانش‌آموزان!I30="","",دانش‌آموزان!I30)</f>
        <v>901</v>
      </c>
      <c r="G314" s="19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1"/>
      <c r="CC314" s="27" t="str">
        <f t="shared" si="44"/>
        <v/>
      </c>
      <c r="CD314" s="38" t="str">
        <f t="shared" si="45"/>
        <v/>
      </c>
      <c r="CE314" s="38" t="str">
        <f t="shared" si="46"/>
        <v/>
      </c>
      <c r="CF314" s="38" t="str">
        <f t="shared" si="47"/>
        <v/>
      </c>
      <c r="CG314" s="38" t="str">
        <f t="shared" si="48"/>
        <v/>
      </c>
      <c r="CH314" s="38" t="str">
        <f t="shared" si="49"/>
        <v/>
      </c>
      <c r="CI314" s="38" t="str">
        <f t="shared" si="50"/>
        <v/>
      </c>
      <c r="CJ314" s="38" t="str">
        <f t="shared" si="51"/>
        <v/>
      </c>
      <c r="CK314" s="38" t="str">
        <f t="shared" si="52"/>
        <v/>
      </c>
      <c r="CL314" s="38" t="str">
        <f>IF(C314="","",IF(COUNT(G314:AZ314)&lt;46,"",SUMPRODUCT(CC314:CK314,'تنظیمات وزن‌دهی'!$C$5:$C$13)/100))</f>
        <v/>
      </c>
      <c r="CM314" s="38" t="str">
        <f t="shared" si="53"/>
        <v/>
      </c>
      <c r="CN314" s="38">
        <v>10</v>
      </c>
      <c r="CO314" s="28">
        <f t="shared" si="54"/>
        <v>0</v>
      </c>
      <c r="CP314" s="58"/>
    </row>
    <row r="315" spans="1:94" ht="17.25" hidden="1">
      <c r="A315" s="33">
        <v>311</v>
      </c>
      <c r="B315" s="55" t="s">
        <v>193</v>
      </c>
      <c r="C315" s="55">
        <f>IF(دانش‌آموزان!E30="","",دانش‌آموزان!B30)</f>
        <v>26</v>
      </c>
      <c r="D315" s="55" t="str">
        <f>IF(دانش‌آموزان!C30="","",دانش‌آموزان!C30)</f>
        <v>0970482078</v>
      </c>
      <c r="E315" s="55" t="str">
        <f>IF(دانش‌آموزان!E30="","",دانش‌آموزان!E30&amp;" "&amp;دانش‌آموزان!F30)</f>
        <v>كوروش غريب حسني</v>
      </c>
      <c r="F315" s="34">
        <f>IF(دانش‌آموزان!I30="","",دانش‌آموزان!I30)</f>
        <v>901</v>
      </c>
      <c r="G315" s="19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1"/>
      <c r="CC315" s="27" t="str">
        <f t="shared" si="44"/>
        <v/>
      </c>
      <c r="CD315" s="38" t="str">
        <f t="shared" si="45"/>
        <v/>
      </c>
      <c r="CE315" s="38" t="str">
        <f t="shared" si="46"/>
        <v/>
      </c>
      <c r="CF315" s="38" t="str">
        <f t="shared" si="47"/>
        <v/>
      </c>
      <c r="CG315" s="38" t="str">
        <f t="shared" si="48"/>
        <v/>
      </c>
      <c r="CH315" s="38" t="str">
        <f t="shared" si="49"/>
        <v/>
      </c>
      <c r="CI315" s="38" t="str">
        <f t="shared" si="50"/>
        <v/>
      </c>
      <c r="CJ315" s="38" t="str">
        <f t="shared" si="51"/>
        <v/>
      </c>
      <c r="CK315" s="38" t="str">
        <f t="shared" si="52"/>
        <v/>
      </c>
      <c r="CL315" s="38" t="str">
        <f>IF(C315="","",IF(COUNT(G315:AZ315)&lt;46,"",SUMPRODUCT(CC315:CK315,'تنظیمات وزن‌دهی'!$C$5:$C$13)/100))</f>
        <v/>
      </c>
      <c r="CM315" s="38" t="str">
        <f t="shared" si="53"/>
        <v/>
      </c>
      <c r="CN315" s="38">
        <v>11</v>
      </c>
      <c r="CO315" s="28">
        <f t="shared" si="54"/>
        <v>0</v>
      </c>
      <c r="CP315" s="58"/>
    </row>
    <row r="316" spans="1:94" ht="17.25" hidden="1">
      <c r="A316" s="33">
        <v>312</v>
      </c>
      <c r="B316" s="55" t="s">
        <v>194</v>
      </c>
      <c r="C316" s="55">
        <f>IF(دانش‌آموزان!E30="","",دانش‌آموزان!B30)</f>
        <v>26</v>
      </c>
      <c r="D316" s="55" t="str">
        <f>IF(دانش‌آموزان!C30="","",دانش‌آموزان!C30)</f>
        <v>0970482078</v>
      </c>
      <c r="E316" s="55" t="str">
        <f>IF(دانش‌آموزان!E30="","",دانش‌آموزان!E30&amp;" "&amp;دانش‌آموزان!F30)</f>
        <v>كوروش غريب حسني</v>
      </c>
      <c r="F316" s="34">
        <f>IF(دانش‌آموزان!I30="","",دانش‌آموزان!I30)</f>
        <v>901</v>
      </c>
      <c r="G316" s="19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1"/>
      <c r="CC316" s="27" t="str">
        <f t="shared" si="44"/>
        <v/>
      </c>
      <c r="CD316" s="38" t="str">
        <f t="shared" si="45"/>
        <v/>
      </c>
      <c r="CE316" s="38" t="str">
        <f t="shared" si="46"/>
        <v/>
      </c>
      <c r="CF316" s="38" t="str">
        <f t="shared" si="47"/>
        <v/>
      </c>
      <c r="CG316" s="38" t="str">
        <f t="shared" si="48"/>
        <v/>
      </c>
      <c r="CH316" s="38" t="str">
        <f t="shared" si="49"/>
        <v/>
      </c>
      <c r="CI316" s="38" t="str">
        <f t="shared" si="50"/>
        <v/>
      </c>
      <c r="CJ316" s="38" t="str">
        <f t="shared" si="51"/>
        <v/>
      </c>
      <c r="CK316" s="38" t="str">
        <f t="shared" si="52"/>
        <v/>
      </c>
      <c r="CL316" s="38" t="str">
        <f>IF(C316="","",IF(COUNT(G316:AZ316)&lt;46,"",SUMPRODUCT(CC316:CK316,'تنظیمات وزن‌دهی'!$C$5:$C$13)/100))</f>
        <v/>
      </c>
      <c r="CM316" s="38" t="str">
        <f t="shared" si="53"/>
        <v/>
      </c>
      <c r="CN316" s="38">
        <v>12</v>
      </c>
      <c r="CO316" s="28">
        <f t="shared" si="54"/>
        <v>0</v>
      </c>
      <c r="CP316" s="58"/>
    </row>
    <row r="317" spans="1:94" ht="17.25" hidden="1">
      <c r="A317" s="33">
        <v>313</v>
      </c>
      <c r="B317" s="55" t="s">
        <v>183</v>
      </c>
      <c r="C317" s="55">
        <f>IF(دانش‌آموزان!E31="","",دانش‌آموزان!B31)</f>
        <v>27</v>
      </c>
      <c r="D317" s="55" t="str">
        <f>IF(دانش‌آموزان!C31="","",دانش‌آموزان!C31)</f>
        <v>0960294058</v>
      </c>
      <c r="E317" s="55" t="str">
        <f>IF(دانش‌آموزان!E31="","",دانش‌آموزان!E31&amp;" "&amp;دانش‌آموزان!F31)</f>
        <v>سيدرئوف فصيحي</v>
      </c>
      <c r="F317" s="34">
        <f>IF(دانش‌آموزان!I31="","",دانش‌آموزان!I31)</f>
        <v>901</v>
      </c>
      <c r="G317" s="19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1"/>
      <c r="CC317" s="27" t="str">
        <f t="shared" si="44"/>
        <v/>
      </c>
      <c r="CD317" s="38" t="str">
        <f t="shared" si="45"/>
        <v/>
      </c>
      <c r="CE317" s="38" t="str">
        <f t="shared" si="46"/>
        <v/>
      </c>
      <c r="CF317" s="38" t="str">
        <f t="shared" si="47"/>
        <v/>
      </c>
      <c r="CG317" s="38" t="str">
        <f t="shared" si="48"/>
        <v/>
      </c>
      <c r="CH317" s="38" t="str">
        <f t="shared" si="49"/>
        <v/>
      </c>
      <c r="CI317" s="38" t="str">
        <f t="shared" si="50"/>
        <v/>
      </c>
      <c r="CJ317" s="38" t="str">
        <f t="shared" si="51"/>
        <v/>
      </c>
      <c r="CK317" s="38" t="str">
        <f t="shared" si="52"/>
        <v/>
      </c>
      <c r="CL317" s="38" t="str">
        <f>IF(C317="","",IF(COUNT(G317:AZ317)&lt;46,"",SUMPRODUCT(CC317:CK317,'تنظیمات وزن‌دهی'!$C$5:$C$13)/100))</f>
        <v/>
      </c>
      <c r="CM317" s="38" t="str">
        <f t="shared" si="53"/>
        <v/>
      </c>
      <c r="CN317" s="38">
        <v>1</v>
      </c>
      <c r="CO317" s="28">
        <f t="shared" si="54"/>
        <v>0</v>
      </c>
      <c r="CP317" s="58"/>
    </row>
    <row r="318" spans="1:94" ht="17.25" hidden="1">
      <c r="A318" s="33">
        <v>314</v>
      </c>
      <c r="B318" s="55" t="s">
        <v>184</v>
      </c>
      <c r="C318" s="55">
        <f>IF(دانش‌آموزان!E31="","",دانش‌آموزان!B31)</f>
        <v>27</v>
      </c>
      <c r="D318" s="55" t="str">
        <f>IF(دانش‌آموزان!C31="","",دانش‌آموزان!C31)</f>
        <v>0960294058</v>
      </c>
      <c r="E318" s="55" t="str">
        <f>IF(دانش‌آموزان!E31="","",دانش‌آموزان!E31&amp;" "&amp;دانش‌آموزان!F31)</f>
        <v>سيدرئوف فصيحي</v>
      </c>
      <c r="F318" s="34">
        <f>IF(دانش‌آموزان!I31="","",دانش‌آموزان!I31)</f>
        <v>901</v>
      </c>
      <c r="G318" s="19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  <c r="CA318" s="20"/>
      <c r="CB318" s="21"/>
      <c r="CC318" s="27" t="str">
        <f t="shared" si="44"/>
        <v/>
      </c>
      <c r="CD318" s="38" t="str">
        <f t="shared" si="45"/>
        <v/>
      </c>
      <c r="CE318" s="38" t="str">
        <f t="shared" si="46"/>
        <v/>
      </c>
      <c r="CF318" s="38" t="str">
        <f t="shared" si="47"/>
        <v/>
      </c>
      <c r="CG318" s="38" t="str">
        <f t="shared" si="48"/>
        <v/>
      </c>
      <c r="CH318" s="38" t="str">
        <f t="shared" si="49"/>
        <v/>
      </c>
      <c r="CI318" s="38" t="str">
        <f t="shared" si="50"/>
        <v/>
      </c>
      <c r="CJ318" s="38" t="str">
        <f t="shared" si="51"/>
        <v/>
      </c>
      <c r="CK318" s="38" t="str">
        <f t="shared" si="52"/>
        <v/>
      </c>
      <c r="CL318" s="38" t="str">
        <f>IF(C318="","",IF(COUNT(G318:AZ318)&lt;46,"",SUMPRODUCT(CC318:CK318,'تنظیمات وزن‌دهی'!$C$5:$C$13)/100))</f>
        <v/>
      </c>
      <c r="CM318" s="38" t="str">
        <f t="shared" si="53"/>
        <v/>
      </c>
      <c r="CN318" s="38">
        <v>2</v>
      </c>
      <c r="CO318" s="28">
        <f t="shared" si="54"/>
        <v>0</v>
      </c>
      <c r="CP318" s="58"/>
    </row>
    <row r="319" spans="1:94" ht="17.25">
      <c r="A319" s="33">
        <v>315</v>
      </c>
      <c r="B319" s="55" t="s">
        <v>185</v>
      </c>
      <c r="C319" s="55">
        <f>IF(دانش‌آموزان!E31="","",دانش‌آموزان!B31)</f>
        <v>27</v>
      </c>
      <c r="D319" s="55" t="str">
        <f>IF(دانش‌آموزان!C31="","",دانش‌آموزان!C31)</f>
        <v>0960294058</v>
      </c>
      <c r="E319" s="55" t="str">
        <f>IF(دانش‌آموزان!E31="","",دانش‌آموزان!E31&amp;" "&amp;دانش‌آموزان!F31)</f>
        <v>سيدرئوف فصيحي</v>
      </c>
      <c r="F319" s="34">
        <f>IF(دانش‌آموزان!I31="","",دانش‌آموزان!I31)</f>
        <v>901</v>
      </c>
      <c r="G319" s="19">
        <v>18.91</v>
      </c>
      <c r="H319" s="20">
        <v>-2.91</v>
      </c>
      <c r="I319" s="20">
        <v>0</v>
      </c>
      <c r="J319" s="20">
        <v>4</v>
      </c>
      <c r="K319" s="20">
        <v>0</v>
      </c>
      <c r="L319" s="20">
        <v>0</v>
      </c>
      <c r="M319" s="20">
        <v>0</v>
      </c>
      <c r="N319" s="20">
        <v>0</v>
      </c>
      <c r="O319" s="20">
        <v>3</v>
      </c>
      <c r="P319" s="20">
        <v>3</v>
      </c>
      <c r="Q319" s="20">
        <v>3</v>
      </c>
      <c r="R319" s="20">
        <v>3</v>
      </c>
      <c r="S319" s="20">
        <v>3</v>
      </c>
      <c r="T319" s="20">
        <v>0</v>
      </c>
      <c r="U319" s="20">
        <v>4</v>
      </c>
      <c r="V319" s="20">
        <v>4</v>
      </c>
      <c r="W319" s="20">
        <v>4</v>
      </c>
      <c r="X319" s="20">
        <v>3</v>
      </c>
      <c r="Y319" s="20">
        <v>0</v>
      </c>
      <c r="Z319" s="20">
        <v>3</v>
      </c>
      <c r="AA319" s="20">
        <v>0</v>
      </c>
      <c r="AB319" s="20">
        <v>0</v>
      </c>
      <c r="AC319" s="20">
        <v>0</v>
      </c>
      <c r="AD319" s="20">
        <v>0</v>
      </c>
      <c r="AE319" s="20">
        <v>0</v>
      </c>
      <c r="AF319" s="20">
        <v>0</v>
      </c>
      <c r="AG319" s="20">
        <v>0</v>
      </c>
      <c r="AH319" s="20">
        <v>0</v>
      </c>
      <c r="AI319" s="20">
        <v>0</v>
      </c>
      <c r="AJ319" s="20">
        <v>0</v>
      </c>
      <c r="AK319" s="20">
        <v>0</v>
      </c>
      <c r="AL319" s="20">
        <v>0</v>
      </c>
      <c r="AM319" s="20">
        <v>0</v>
      </c>
      <c r="AN319" s="20">
        <v>0</v>
      </c>
      <c r="AO319" s="20">
        <v>0</v>
      </c>
      <c r="AP319" s="20">
        <v>0</v>
      </c>
      <c r="AQ319" s="20">
        <v>0</v>
      </c>
      <c r="AR319" s="20">
        <v>0</v>
      </c>
      <c r="AS319" s="20">
        <v>0</v>
      </c>
      <c r="AT319" s="20">
        <v>0</v>
      </c>
      <c r="AU319" s="20">
        <v>0</v>
      </c>
      <c r="AV319" s="20">
        <v>0</v>
      </c>
      <c r="AW319" s="20">
        <v>0</v>
      </c>
      <c r="AX319" s="20">
        <v>0</v>
      </c>
      <c r="AY319" s="20">
        <v>0</v>
      </c>
      <c r="AZ319" s="20">
        <v>0</v>
      </c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  <c r="BZ319" s="20"/>
      <c r="CA319" s="20"/>
      <c r="CB319" s="21"/>
      <c r="CC319" s="27">
        <f t="shared" si="44"/>
        <v>10</v>
      </c>
      <c r="CD319" s="38">
        <f t="shared" si="45"/>
        <v>12</v>
      </c>
      <c r="CE319" s="38">
        <f t="shared" si="46"/>
        <v>8</v>
      </c>
      <c r="CF319" s="38">
        <f t="shared" si="47"/>
        <v>11.2</v>
      </c>
      <c r="CG319" s="38">
        <f t="shared" si="48"/>
        <v>0</v>
      </c>
      <c r="CH319" s="38">
        <f t="shared" si="49"/>
        <v>0</v>
      </c>
      <c r="CI319" s="38">
        <f t="shared" si="50"/>
        <v>0</v>
      </c>
      <c r="CJ319" s="38">
        <f t="shared" si="51"/>
        <v>0</v>
      </c>
      <c r="CK319" s="38">
        <f t="shared" si="52"/>
        <v>0</v>
      </c>
      <c r="CL319" s="38" t="e">
        <f>IF(C319="","",IF(COUNT(G319:AZ319)&lt;46,"",SUMPRODUCT(CC319:CK319,'تنظیمات وزن‌دهی'!$C$5:$C$13)/100))</f>
        <v>#VALUE!</v>
      </c>
      <c r="CM319" s="38" t="e">
        <f t="shared" si="53"/>
        <v>#VALUE!</v>
      </c>
      <c r="CN319" s="38">
        <v>3</v>
      </c>
      <c r="CO319" s="28">
        <f t="shared" si="54"/>
        <v>1</v>
      </c>
      <c r="CP319" s="58"/>
    </row>
    <row r="320" spans="1:94" ht="17.25" hidden="1">
      <c r="A320" s="33">
        <v>316</v>
      </c>
      <c r="B320" s="55" t="s">
        <v>186</v>
      </c>
      <c r="C320" s="55">
        <f>IF(دانش‌آموزان!E31="","",دانش‌آموزان!B31)</f>
        <v>27</v>
      </c>
      <c r="D320" s="55" t="str">
        <f>IF(دانش‌آموزان!C31="","",دانش‌آموزان!C31)</f>
        <v>0960294058</v>
      </c>
      <c r="E320" s="55" t="str">
        <f>IF(دانش‌آموزان!E31="","",دانش‌آموزان!E31&amp;" "&amp;دانش‌آموزان!F31)</f>
        <v>سيدرئوف فصيحي</v>
      </c>
      <c r="F320" s="34">
        <f>IF(دانش‌آموزان!I31="","",دانش‌آموزان!I31)</f>
        <v>901</v>
      </c>
      <c r="G320" s="19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1"/>
      <c r="CC320" s="27" t="str">
        <f t="shared" si="44"/>
        <v/>
      </c>
      <c r="CD320" s="38" t="str">
        <f t="shared" si="45"/>
        <v/>
      </c>
      <c r="CE320" s="38" t="str">
        <f t="shared" si="46"/>
        <v/>
      </c>
      <c r="CF320" s="38" t="str">
        <f t="shared" si="47"/>
        <v/>
      </c>
      <c r="CG320" s="38" t="str">
        <f t="shared" si="48"/>
        <v/>
      </c>
      <c r="CH320" s="38" t="str">
        <f t="shared" si="49"/>
        <v/>
      </c>
      <c r="CI320" s="38" t="str">
        <f t="shared" si="50"/>
        <v/>
      </c>
      <c r="CJ320" s="38" t="str">
        <f t="shared" si="51"/>
        <v/>
      </c>
      <c r="CK320" s="38" t="str">
        <f t="shared" si="52"/>
        <v/>
      </c>
      <c r="CL320" s="38" t="str">
        <f>IF(C320="","",IF(COUNT(G320:AZ320)&lt;46,"",SUMPRODUCT(CC320:CK320,'تنظیمات وزن‌دهی'!$C$5:$C$13)/100))</f>
        <v/>
      </c>
      <c r="CM320" s="38" t="str">
        <f t="shared" si="53"/>
        <v/>
      </c>
      <c r="CN320" s="38">
        <v>4</v>
      </c>
      <c r="CO320" s="28">
        <f t="shared" si="54"/>
        <v>0</v>
      </c>
      <c r="CP320" s="58"/>
    </row>
    <row r="321" spans="1:94" ht="17.25" hidden="1">
      <c r="A321" s="33">
        <v>317</v>
      </c>
      <c r="B321" s="55" t="s">
        <v>187</v>
      </c>
      <c r="C321" s="55">
        <f>IF(دانش‌آموزان!E31="","",دانش‌آموزان!B31)</f>
        <v>27</v>
      </c>
      <c r="D321" s="55" t="str">
        <f>IF(دانش‌آموزان!C31="","",دانش‌آموزان!C31)</f>
        <v>0960294058</v>
      </c>
      <c r="E321" s="55" t="str">
        <f>IF(دانش‌آموزان!E31="","",دانش‌آموزان!E31&amp;" "&amp;دانش‌آموزان!F31)</f>
        <v>سيدرئوف فصيحي</v>
      </c>
      <c r="F321" s="34">
        <f>IF(دانش‌آموزان!I31="","",دانش‌آموزان!I31)</f>
        <v>901</v>
      </c>
      <c r="G321" s="19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1"/>
      <c r="CC321" s="27" t="str">
        <f t="shared" si="44"/>
        <v/>
      </c>
      <c r="CD321" s="38" t="str">
        <f t="shared" si="45"/>
        <v/>
      </c>
      <c r="CE321" s="38" t="str">
        <f t="shared" si="46"/>
        <v/>
      </c>
      <c r="CF321" s="38" t="str">
        <f t="shared" si="47"/>
        <v/>
      </c>
      <c r="CG321" s="38" t="str">
        <f t="shared" si="48"/>
        <v/>
      </c>
      <c r="CH321" s="38" t="str">
        <f t="shared" si="49"/>
        <v/>
      </c>
      <c r="CI321" s="38" t="str">
        <f t="shared" si="50"/>
        <v/>
      </c>
      <c r="CJ321" s="38" t="str">
        <f t="shared" si="51"/>
        <v/>
      </c>
      <c r="CK321" s="38" t="str">
        <f t="shared" si="52"/>
        <v/>
      </c>
      <c r="CL321" s="38" t="str">
        <f>IF(C321="","",IF(COUNT(G321:AZ321)&lt;46,"",SUMPRODUCT(CC321:CK321,'تنظیمات وزن‌دهی'!$C$5:$C$13)/100))</f>
        <v/>
      </c>
      <c r="CM321" s="38" t="str">
        <f t="shared" si="53"/>
        <v/>
      </c>
      <c r="CN321" s="38">
        <v>5</v>
      </c>
      <c r="CO321" s="28">
        <f t="shared" si="54"/>
        <v>0</v>
      </c>
      <c r="CP321" s="58"/>
    </row>
    <row r="322" spans="1:94" ht="17.25" hidden="1">
      <c r="A322" s="33">
        <v>318</v>
      </c>
      <c r="B322" s="55" t="s">
        <v>188</v>
      </c>
      <c r="C322" s="55">
        <f>IF(دانش‌آموزان!E31="","",دانش‌آموزان!B31)</f>
        <v>27</v>
      </c>
      <c r="D322" s="55" t="str">
        <f>IF(دانش‌آموزان!C31="","",دانش‌آموزان!C31)</f>
        <v>0960294058</v>
      </c>
      <c r="E322" s="55" t="str">
        <f>IF(دانش‌آموزان!E31="","",دانش‌آموزان!E31&amp;" "&amp;دانش‌آموزان!F31)</f>
        <v>سيدرئوف فصيحي</v>
      </c>
      <c r="F322" s="34">
        <f>IF(دانش‌آموزان!I31="","",دانش‌آموزان!I31)</f>
        <v>901</v>
      </c>
      <c r="G322" s="19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1"/>
      <c r="CC322" s="27" t="str">
        <f t="shared" si="44"/>
        <v/>
      </c>
      <c r="CD322" s="38" t="str">
        <f t="shared" si="45"/>
        <v/>
      </c>
      <c r="CE322" s="38" t="str">
        <f t="shared" si="46"/>
        <v/>
      </c>
      <c r="CF322" s="38" t="str">
        <f t="shared" si="47"/>
        <v/>
      </c>
      <c r="CG322" s="38" t="str">
        <f t="shared" si="48"/>
        <v/>
      </c>
      <c r="CH322" s="38" t="str">
        <f t="shared" si="49"/>
        <v/>
      </c>
      <c r="CI322" s="38" t="str">
        <f t="shared" si="50"/>
        <v/>
      </c>
      <c r="CJ322" s="38" t="str">
        <f t="shared" si="51"/>
        <v/>
      </c>
      <c r="CK322" s="38" t="str">
        <f t="shared" si="52"/>
        <v/>
      </c>
      <c r="CL322" s="38" t="str">
        <f>IF(C322="","",IF(COUNT(G322:AZ322)&lt;46,"",SUMPRODUCT(CC322:CK322,'تنظیمات وزن‌دهی'!$C$5:$C$13)/100))</f>
        <v/>
      </c>
      <c r="CM322" s="38" t="str">
        <f t="shared" si="53"/>
        <v/>
      </c>
      <c r="CN322" s="38">
        <v>6</v>
      </c>
      <c r="CO322" s="28">
        <f t="shared" si="54"/>
        <v>0</v>
      </c>
      <c r="CP322" s="58"/>
    </row>
    <row r="323" spans="1:94" ht="17.25" hidden="1">
      <c r="A323" s="33">
        <v>319</v>
      </c>
      <c r="B323" s="55" t="s">
        <v>189</v>
      </c>
      <c r="C323" s="55">
        <f>IF(دانش‌آموزان!E31="","",دانش‌آموزان!B31)</f>
        <v>27</v>
      </c>
      <c r="D323" s="55" t="str">
        <f>IF(دانش‌آموزان!C31="","",دانش‌آموزان!C31)</f>
        <v>0960294058</v>
      </c>
      <c r="E323" s="55" t="str">
        <f>IF(دانش‌آموزان!E31="","",دانش‌آموزان!E31&amp;" "&amp;دانش‌آموزان!F31)</f>
        <v>سيدرئوف فصيحي</v>
      </c>
      <c r="F323" s="34">
        <f>IF(دانش‌آموزان!I31="","",دانش‌آموزان!I31)</f>
        <v>901</v>
      </c>
      <c r="G323" s="19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1"/>
      <c r="CC323" s="27" t="str">
        <f t="shared" si="44"/>
        <v/>
      </c>
      <c r="CD323" s="38" t="str">
        <f t="shared" si="45"/>
        <v/>
      </c>
      <c r="CE323" s="38" t="str">
        <f t="shared" si="46"/>
        <v/>
      </c>
      <c r="CF323" s="38" t="str">
        <f t="shared" si="47"/>
        <v/>
      </c>
      <c r="CG323" s="38" t="str">
        <f t="shared" si="48"/>
        <v/>
      </c>
      <c r="CH323" s="38" t="str">
        <f t="shared" si="49"/>
        <v/>
      </c>
      <c r="CI323" s="38" t="str">
        <f t="shared" si="50"/>
        <v/>
      </c>
      <c r="CJ323" s="38" t="str">
        <f t="shared" si="51"/>
        <v/>
      </c>
      <c r="CK323" s="38" t="str">
        <f t="shared" si="52"/>
        <v/>
      </c>
      <c r="CL323" s="38" t="str">
        <f>IF(C323="","",IF(COUNT(G323:AZ323)&lt;46,"",SUMPRODUCT(CC323:CK323,'تنظیمات وزن‌دهی'!$C$5:$C$13)/100))</f>
        <v/>
      </c>
      <c r="CM323" s="38" t="str">
        <f t="shared" si="53"/>
        <v/>
      </c>
      <c r="CN323" s="38">
        <v>7</v>
      </c>
      <c r="CO323" s="28">
        <f t="shared" si="54"/>
        <v>0</v>
      </c>
      <c r="CP323" s="58"/>
    </row>
    <row r="324" spans="1:94" ht="17.25" hidden="1">
      <c r="A324" s="33">
        <v>320</v>
      </c>
      <c r="B324" s="55" t="s">
        <v>190</v>
      </c>
      <c r="C324" s="55">
        <f>IF(دانش‌آموزان!E31="","",دانش‌آموزان!B31)</f>
        <v>27</v>
      </c>
      <c r="D324" s="55" t="str">
        <f>IF(دانش‌آموزان!C31="","",دانش‌آموزان!C31)</f>
        <v>0960294058</v>
      </c>
      <c r="E324" s="55" t="str">
        <f>IF(دانش‌آموزان!E31="","",دانش‌آموزان!E31&amp;" "&amp;دانش‌آموزان!F31)</f>
        <v>سيدرئوف فصيحي</v>
      </c>
      <c r="F324" s="34">
        <f>IF(دانش‌آموزان!I31="","",دانش‌آموزان!I31)</f>
        <v>901</v>
      </c>
      <c r="G324" s="19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1"/>
      <c r="CC324" s="27" t="str">
        <f t="shared" si="44"/>
        <v/>
      </c>
      <c r="CD324" s="38" t="str">
        <f t="shared" si="45"/>
        <v/>
      </c>
      <c r="CE324" s="38" t="str">
        <f t="shared" si="46"/>
        <v/>
      </c>
      <c r="CF324" s="38" t="str">
        <f t="shared" si="47"/>
        <v/>
      </c>
      <c r="CG324" s="38" t="str">
        <f t="shared" si="48"/>
        <v/>
      </c>
      <c r="CH324" s="38" t="str">
        <f t="shared" si="49"/>
        <v/>
      </c>
      <c r="CI324" s="38" t="str">
        <f t="shared" si="50"/>
        <v/>
      </c>
      <c r="CJ324" s="38" t="str">
        <f t="shared" si="51"/>
        <v/>
      </c>
      <c r="CK324" s="38" t="str">
        <f t="shared" si="52"/>
        <v/>
      </c>
      <c r="CL324" s="38" t="str">
        <f>IF(C324="","",IF(COUNT(G324:AZ324)&lt;46,"",SUMPRODUCT(CC324:CK324,'تنظیمات وزن‌دهی'!$C$5:$C$13)/100))</f>
        <v/>
      </c>
      <c r="CM324" s="38" t="str">
        <f t="shared" si="53"/>
        <v/>
      </c>
      <c r="CN324" s="38">
        <v>8</v>
      </c>
      <c r="CO324" s="28">
        <f t="shared" si="54"/>
        <v>0</v>
      </c>
      <c r="CP324" s="58"/>
    </row>
    <row r="325" spans="1:94" ht="17.25" hidden="1">
      <c r="A325" s="33">
        <v>321</v>
      </c>
      <c r="B325" s="55" t="s">
        <v>191</v>
      </c>
      <c r="C325" s="55">
        <f>IF(دانش‌آموزان!E31="","",دانش‌آموزان!B31)</f>
        <v>27</v>
      </c>
      <c r="D325" s="55" t="str">
        <f>IF(دانش‌آموزان!C31="","",دانش‌آموزان!C31)</f>
        <v>0960294058</v>
      </c>
      <c r="E325" s="55" t="str">
        <f>IF(دانش‌آموزان!E31="","",دانش‌آموزان!E31&amp;" "&amp;دانش‌آموزان!F31)</f>
        <v>سيدرئوف فصيحي</v>
      </c>
      <c r="F325" s="34">
        <f>IF(دانش‌آموزان!I31="","",دانش‌آموزان!I31)</f>
        <v>901</v>
      </c>
      <c r="G325" s="19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1"/>
      <c r="CC325" s="27" t="str">
        <f t="shared" ref="CC325:CC388" si="55">IF(COUNT(G325:N325)=0,"",AVERAGE(G325:N325)*4)</f>
        <v/>
      </c>
      <c r="CD325" s="38" t="str">
        <f t="shared" ref="CD325:CD388" si="56">IF(COUNT(O325:S325)=0,"",AVERAGE(O325:S325)*4)</f>
        <v/>
      </c>
      <c r="CE325" s="38" t="str">
        <f t="shared" ref="CE325:CE388" si="57">IF(COUNT(T325:U325)=0,"",AVERAGE(T325:U325)*4)</f>
        <v/>
      </c>
      <c r="CF325" s="38" t="str">
        <f t="shared" ref="CF325:CF388" si="58">IF(COUNT(V325:Z325)=0,"",AVERAGE(V325:Z325)*4)</f>
        <v/>
      </c>
      <c r="CG325" s="38" t="str">
        <f t="shared" ref="CG325:CG388" si="59">IF(COUNT(AA325:AC325)=0,"",AVERAGE(AA325:AC325)*4)</f>
        <v/>
      </c>
      <c r="CH325" s="38" t="str">
        <f t="shared" ref="CH325:CH388" si="60">IF(COUNT(AD325:AI325)=0,"",AVERAGE(AD325:AI325)*4)</f>
        <v/>
      </c>
      <c r="CI325" s="38" t="str">
        <f t="shared" ref="CI325:CI388" si="61">IF(COUNT(AJ325:AP325)=0,"",AVERAGE(AJ325:AP325)*4)</f>
        <v/>
      </c>
      <c r="CJ325" s="38" t="str">
        <f t="shared" ref="CJ325:CJ388" si="62">IF(COUNT(AQ325:AW325)=0,"",AVERAGE(AQ325:AW325)*4)</f>
        <v/>
      </c>
      <c r="CK325" s="38" t="str">
        <f t="shared" ref="CK325:CK388" si="63">IF(COUNT(AX325:AZ325)=0,"",AVERAGE(AX325:AZ325)*4)</f>
        <v/>
      </c>
      <c r="CL325" s="38" t="str">
        <f>IF(C325="","",IF(COUNT(G325:AZ325)&lt;46,"",SUMPRODUCT(CC325:CK325,'تنظیمات وزن‌دهی'!$C$5:$C$13)/100))</f>
        <v/>
      </c>
      <c r="CM325" s="38" t="str">
        <f t="shared" ref="CM325:CM388" si="64">IF(C325="","",IF(COUNT(G325:AZ325)=0,"",IF(COUNT(G325:AZ325)&lt;46,"موقت - اطلاعات ناقص",IF(CL325&gt;=17,"عالی",IF(CL325&gt;=14,"خوب",IF(CL325&gt;=10,"متوسط","ضعیف"))))))</f>
        <v/>
      </c>
      <c r="CN325" s="38">
        <v>9</v>
      </c>
      <c r="CO325" s="28">
        <f t="shared" ref="CO325:CO388" si="65">IF(C325="","",COUNT(G325:AZ325)/46)</f>
        <v>0</v>
      </c>
      <c r="CP325" s="58"/>
    </row>
    <row r="326" spans="1:94" ht="17.25" hidden="1">
      <c r="A326" s="33">
        <v>322</v>
      </c>
      <c r="B326" s="55" t="s">
        <v>192</v>
      </c>
      <c r="C326" s="55">
        <f>IF(دانش‌آموزان!E31="","",دانش‌آموزان!B31)</f>
        <v>27</v>
      </c>
      <c r="D326" s="55" t="str">
        <f>IF(دانش‌آموزان!C31="","",دانش‌آموزان!C31)</f>
        <v>0960294058</v>
      </c>
      <c r="E326" s="55" t="str">
        <f>IF(دانش‌آموزان!E31="","",دانش‌آموزان!E31&amp;" "&amp;دانش‌آموزان!F31)</f>
        <v>سيدرئوف فصيحي</v>
      </c>
      <c r="F326" s="34">
        <f>IF(دانش‌آموزان!I31="","",دانش‌آموزان!I31)</f>
        <v>901</v>
      </c>
      <c r="G326" s="19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  <c r="BY326" s="20"/>
      <c r="BZ326" s="20"/>
      <c r="CA326" s="20"/>
      <c r="CB326" s="21"/>
      <c r="CC326" s="27" t="str">
        <f t="shared" si="55"/>
        <v/>
      </c>
      <c r="CD326" s="38" t="str">
        <f t="shared" si="56"/>
        <v/>
      </c>
      <c r="CE326" s="38" t="str">
        <f t="shared" si="57"/>
        <v/>
      </c>
      <c r="CF326" s="38" t="str">
        <f t="shared" si="58"/>
        <v/>
      </c>
      <c r="CG326" s="38" t="str">
        <f t="shared" si="59"/>
        <v/>
      </c>
      <c r="CH326" s="38" t="str">
        <f t="shared" si="60"/>
        <v/>
      </c>
      <c r="CI326" s="38" t="str">
        <f t="shared" si="61"/>
        <v/>
      </c>
      <c r="CJ326" s="38" t="str">
        <f t="shared" si="62"/>
        <v/>
      </c>
      <c r="CK326" s="38" t="str">
        <f t="shared" si="63"/>
        <v/>
      </c>
      <c r="CL326" s="38" t="str">
        <f>IF(C326="","",IF(COUNT(G326:AZ326)&lt;46,"",SUMPRODUCT(CC326:CK326,'تنظیمات وزن‌دهی'!$C$5:$C$13)/100))</f>
        <v/>
      </c>
      <c r="CM326" s="38" t="str">
        <f t="shared" si="64"/>
        <v/>
      </c>
      <c r="CN326" s="38">
        <v>10</v>
      </c>
      <c r="CO326" s="28">
        <f t="shared" si="65"/>
        <v>0</v>
      </c>
      <c r="CP326" s="58"/>
    </row>
    <row r="327" spans="1:94" ht="17.25" hidden="1">
      <c r="A327" s="33">
        <v>323</v>
      </c>
      <c r="B327" s="55" t="s">
        <v>193</v>
      </c>
      <c r="C327" s="55">
        <f>IF(دانش‌آموزان!E31="","",دانش‌آموزان!B31)</f>
        <v>27</v>
      </c>
      <c r="D327" s="55" t="str">
        <f>IF(دانش‌آموزان!C31="","",دانش‌آموزان!C31)</f>
        <v>0960294058</v>
      </c>
      <c r="E327" s="55" t="str">
        <f>IF(دانش‌آموزان!E31="","",دانش‌آموزان!E31&amp;" "&amp;دانش‌آموزان!F31)</f>
        <v>سيدرئوف فصيحي</v>
      </c>
      <c r="F327" s="34">
        <f>IF(دانش‌آموزان!I31="","",دانش‌آموزان!I31)</f>
        <v>901</v>
      </c>
      <c r="G327" s="19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1"/>
      <c r="CC327" s="27" t="str">
        <f t="shared" si="55"/>
        <v/>
      </c>
      <c r="CD327" s="38" t="str">
        <f t="shared" si="56"/>
        <v/>
      </c>
      <c r="CE327" s="38" t="str">
        <f t="shared" si="57"/>
        <v/>
      </c>
      <c r="CF327" s="38" t="str">
        <f t="shared" si="58"/>
        <v/>
      </c>
      <c r="CG327" s="38" t="str">
        <f t="shared" si="59"/>
        <v/>
      </c>
      <c r="CH327" s="38" t="str">
        <f t="shared" si="60"/>
        <v/>
      </c>
      <c r="CI327" s="38" t="str">
        <f t="shared" si="61"/>
        <v/>
      </c>
      <c r="CJ327" s="38" t="str">
        <f t="shared" si="62"/>
        <v/>
      </c>
      <c r="CK327" s="38" t="str">
        <f t="shared" si="63"/>
        <v/>
      </c>
      <c r="CL327" s="38" t="str">
        <f>IF(C327="","",IF(COUNT(G327:AZ327)&lt;46,"",SUMPRODUCT(CC327:CK327,'تنظیمات وزن‌دهی'!$C$5:$C$13)/100))</f>
        <v/>
      </c>
      <c r="CM327" s="38" t="str">
        <f t="shared" si="64"/>
        <v/>
      </c>
      <c r="CN327" s="38">
        <v>11</v>
      </c>
      <c r="CO327" s="28">
        <f t="shared" si="65"/>
        <v>0</v>
      </c>
      <c r="CP327" s="58"/>
    </row>
    <row r="328" spans="1:94" ht="17.25" hidden="1">
      <c r="A328" s="33">
        <v>324</v>
      </c>
      <c r="B328" s="55" t="s">
        <v>194</v>
      </c>
      <c r="C328" s="55">
        <f>IF(دانش‌آموزان!E31="","",دانش‌آموزان!B31)</f>
        <v>27</v>
      </c>
      <c r="D328" s="55" t="str">
        <f>IF(دانش‌آموزان!C31="","",دانش‌آموزان!C31)</f>
        <v>0960294058</v>
      </c>
      <c r="E328" s="55" t="str">
        <f>IF(دانش‌آموزان!E31="","",دانش‌آموزان!E31&amp;" "&amp;دانش‌آموزان!F31)</f>
        <v>سيدرئوف فصيحي</v>
      </c>
      <c r="F328" s="34">
        <f>IF(دانش‌آموزان!I31="","",دانش‌آموزان!I31)</f>
        <v>901</v>
      </c>
      <c r="G328" s="19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1"/>
      <c r="CC328" s="27" t="str">
        <f t="shared" si="55"/>
        <v/>
      </c>
      <c r="CD328" s="38" t="str">
        <f t="shared" si="56"/>
        <v/>
      </c>
      <c r="CE328" s="38" t="str">
        <f t="shared" si="57"/>
        <v/>
      </c>
      <c r="CF328" s="38" t="str">
        <f t="shared" si="58"/>
        <v/>
      </c>
      <c r="CG328" s="38" t="str">
        <f t="shared" si="59"/>
        <v/>
      </c>
      <c r="CH328" s="38" t="str">
        <f t="shared" si="60"/>
        <v/>
      </c>
      <c r="CI328" s="38" t="str">
        <f t="shared" si="61"/>
        <v/>
      </c>
      <c r="CJ328" s="38" t="str">
        <f t="shared" si="62"/>
        <v/>
      </c>
      <c r="CK328" s="38" t="str">
        <f t="shared" si="63"/>
        <v/>
      </c>
      <c r="CL328" s="38" t="str">
        <f>IF(C328="","",IF(COUNT(G328:AZ328)&lt;46,"",SUMPRODUCT(CC328:CK328,'تنظیمات وزن‌دهی'!$C$5:$C$13)/100))</f>
        <v/>
      </c>
      <c r="CM328" s="38" t="str">
        <f t="shared" si="64"/>
        <v/>
      </c>
      <c r="CN328" s="38">
        <v>12</v>
      </c>
      <c r="CO328" s="28">
        <f t="shared" si="65"/>
        <v>0</v>
      </c>
      <c r="CP328" s="58"/>
    </row>
    <row r="329" spans="1:94" ht="17.25" hidden="1">
      <c r="A329" s="33">
        <v>325</v>
      </c>
      <c r="B329" s="55" t="s">
        <v>183</v>
      </c>
      <c r="C329" s="55">
        <f>IF(دانش‌آموزان!E32="","",دانش‌آموزان!B32)</f>
        <v>28</v>
      </c>
      <c r="D329" s="55" t="str">
        <f>IF(دانش‌آموزان!C32="","",دانش‌آموزان!C32)</f>
        <v>0980356512</v>
      </c>
      <c r="E329" s="55" t="str">
        <f>IF(دانش‌آموزان!E32="","",دانش‌آموزان!E32&amp;" "&amp;دانش‌آموزان!F32)</f>
        <v>سجاد كرماني</v>
      </c>
      <c r="F329" s="34">
        <f>IF(دانش‌آموزان!I32="","",دانش‌آموزان!I32)</f>
        <v>901</v>
      </c>
      <c r="G329" s="19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1"/>
      <c r="CC329" s="27" t="str">
        <f t="shared" si="55"/>
        <v/>
      </c>
      <c r="CD329" s="38" t="str">
        <f t="shared" si="56"/>
        <v/>
      </c>
      <c r="CE329" s="38" t="str">
        <f t="shared" si="57"/>
        <v/>
      </c>
      <c r="CF329" s="38" t="str">
        <f t="shared" si="58"/>
        <v/>
      </c>
      <c r="CG329" s="38" t="str">
        <f t="shared" si="59"/>
        <v/>
      </c>
      <c r="CH329" s="38" t="str">
        <f t="shared" si="60"/>
        <v/>
      </c>
      <c r="CI329" s="38" t="str">
        <f t="shared" si="61"/>
        <v/>
      </c>
      <c r="CJ329" s="38" t="str">
        <f t="shared" si="62"/>
        <v/>
      </c>
      <c r="CK329" s="38" t="str">
        <f t="shared" si="63"/>
        <v/>
      </c>
      <c r="CL329" s="38" t="str">
        <f>IF(C329="","",IF(COUNT(G329:AZ329)&lt;46,"",SUMPRODUCT(CC329:CK329,'تنظیمات وزن‌دهی'!$C$5:$C$13)/100))</f>
        <v/>
      </c>
      <c r="CM329" s="38" t="str">
        <f t="shared" si="64"/>
        <v/>
      </c>
      <c r="CN329" s="38">
        <v>1</v>
      </c>
      <c r="CO329" s="28">
        <f t="shared" si="65"/>
        <v>0</v>
      </c>
      <c r="CP329" s="58"/>
    </row>
    <row r="330" spans="1:94" ht="17.25" hidden="1">
      <c r="A330" s="33">
        <v>326</v>
      </c>
      <c r="B330" s="55" t="s">
        <v>184</v>
      </c>
      <c r="C330" s="55">
        <f>IF(دانش‌آموزان!E32="","",دانش‌آموزان!B32)</f>
        <v>28</v>
      </c>
      <c r="D330" s="55" t="str">
        <f>IF(دانش‌آموزان!C32="","",دانش‌آموزان!C32)</f>
        <v>0980356512</v>
      </c>
      <c r="E330" s="55" t="str">
        <f>IF(دانش‌آموزان!E32="","",دانش‌آموزان!E32&amp;" "&amp;دانش‌آموزان!F32)</f>
        <v>سجاد كرماني</v>
      </c>
      <c r="F330" s="34">
        <f>IF(دانش‌آموزان!I32="","",دانش‌آموزان!I32)</f>
        <v>901</v>
      </c>
      <c r="G330" s="19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1"/>
      <c r="CC330" s="27" t="str">
        <f t="shared" si="55"/>
        <v/>
      </c>
      <c r="CD330" s="38" t="str">
        <f t="shared" si="56"/>
        <v/>
      </c>
      <c r="CE330" s="38" t="str">
        <f t="shared" si="57"/>
        <v/>
      </c>
      <c r="CF330" s="38" t="str">
        <f t="shared" si="58"/>
        <v/>
      </c>
      <c r="CG330" s="38" t="str">
        <f t="shared" si="59"/>
        <v/>
      </c>
      <c r="CH330" s="38" t="str">
        <f t="shared" si="60"/>
        <v/>
      </c>
      <c r="CI330" s="38" t="str">
        <f t="shared" si="61"/>
        <v/>
      </c>
      <c r="CJ330" s="38" t="str">
        <f t="shared" si="62"/>
        <v/>
      </c>
      <c r="CK330" s="38" t="str">
        <f t="shared" si="63"/>
        <v/>
      </c>
      <c r="CL330" s="38" t="str">
        <f>IF(C330="","",IF(COUNT(G330:AZ330)&lt;46,"",SUMPRODUCT(CC330:CK330,'تنظیمات وزن‌دهی'!$C$5:$C$13)/100))</f>
        <v/>
      </c>
      <c r="CM330" s="38" t="str">
        <f t="shared" si="64"/>
        <v/>
      </c>
      <c r="CN330" s="38">
        <v>2</v>
      </c>
      <c r="CO330" s="28">
        <f t="shared" si="65"/>
        <v>0</v>
      </c>
      <c r="CP330" s="58"/>
    </row>
    <row r="331" spans="1:94" ht="17.25">
      <c r="A331" s="33">
        <v>327</v>
      </c>
      <c r="B331" s="55" t="s">
        <v>185</v>
      </c>
      <c r="C331" s="55">
        <f>IF(دانش‌آموزان!E32="","",دانش‌آموزان!B32)</f>
        <v>28</v>
      </c>
      <c r="D331" s="55" t="str">
        <f>IF(دانش‌آموزان!C32="","",دانش‌آموزان!C32)</f>
        <v>0980356512</v>
      </c>
      <c r="E331" s="55" t="str">
        <f>IF(دانش‌آموزان!E32="","",دانش‌آموزان!E32&amp;" "&amp;دانش‌آموزان!F32)</f>
        <v>سجاد كرماني</v>
      </c>
      <c r="F331" s="34">
        <f>IF(دانش‌آموزان!I32="","",دانش‌آموزان!I32)</f>
        <v>901</v>
      </c>
      <c r="G331" s="19">
        <v>19</v>
      </c>
      <c r="H331" s="20">
        <v>-6</v>
      </c>
      <c r="I331" s="20">
        <v>0</v>
      </c>
      <c r="J331" s="20">
        <v>4</v>
      </c>
      <c r="K331" s="20">
        <v>0</v>
      </c>
      <c r="L331" s="20">
        <v>0</v>
      </c>
      <c r="M331" s="20">
        <v>0</v>
      </c>
      <c r="N331" s="20">
        <v>0</v>
      </c>
      <c r="O331" s="20">
        <v>4</v>
      </c>
      <c r="P331" s="20">
        <v>4</v>
      </c>
      <c r="Q331" s="20">
        <v>4</v>
      </c>
      <c r="R331" s="20">
        <v>4</v>
      </c>
      <c r="S331" s="20">
        <v>4</v>
      </c>
      <c r="T331" s="20">
        <v>0</v>
      </c>
      <c r="U331" s="20">
        <v>4</v>
      </c>
      <c r="V331" s="20">
        <v>3</v>
      </c>
      <c r="W331" s="20">
        <v>3</v>
      </c>
      <c r="X331" s="20">
        <v>4</v>
      </c>
      <c r="Y331" s="20">
        <v>4</v>
      </c>
      <c r="Z331" s="20">
        <v>4</v>
      </c>
      <c r="AA331" s="20">
        <v>0</v>
      </c>
      <c r="AB331" s="20">
        <v>0</v>
      </c>
      <c r="AC331" s="20">
        <v>0</v>
      </c>
      <c r="AD331" s="20">
        <v>0</v>
      </c>
      <c r="AE331" s="20">
        <v>0</v>
      </c>
      <c r="AF331" s="20">
        <v>0</v>
      </c>
      <c r="AG331" s="20">
        <v>0</v>
      </c>
      <c r="AH331" s="20">
        <v>0</v>
      </c>
      <c r="AI331" s="20">
        <v>0</v>
      </c>
      <c r="AJ331" s="20">
        <v>0</v>
      </c>
      <c r="AK331" s="20">
        <v>0</v>
      </c>
      <c r="AL331" s="20">
        <v>0</v>
      </c>
      <c r="AM331" s="20">
        <v>0</v>
      </c>
      <c r="AN331" s="20">
        <v>0</v>
      </c>
      <c r="AO331" s="20">
        <v>0</v>
      </c>
      <c r="AP331" s="20">
        <v>0</v>
      </c>
      <c r="AQ331" s="20">
        <v>0</v>
      </c>
      <c r="AR331" s="20">
        <v>0</v>
      </c>
      <c r="AS331" s="20">
        <v>0</v>
      </c>
      <c r="AT331" s="20">
        <v>0</v>
      </c>
      <c r="AU331" s="20">
        <v>0</v>
      </c>
      <c r="AV331" s="20">
        <v>0</v>
      </c>
      <c r="AW331" s="20">
        <v>0</v>
      </c>
      <c r="AX331" s="20">
        <v>0</v>
      </c>
      <c r="AY331" s="20">
        <v>0</v>
      </c>
      <c r="AZ331" s="20">
        <v>0</v>
      </c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1"/>
      <c r="CC331" s="27">
        <f t="shared" si="55"/>
        <v>8.5</v>
      </c>
      <c r="CD331" s="38">
        <f t="shared" si="56"/>
        <v>16</v>
      </c>
      <c r="CE331" s="38">
        <f t="shared" si="57"/>
        <v>8</v>
      </c>
      <c r="CF331" s="38">
        <f t="shared" si="58"/>
        <v>14.4</v>
      </c>
      <c r="CG331" s="38">
        <f t="shared" si="59"/>
        <v>0</v>
      </c>
      <c r="CH331" s="38">
        <f t="shared" si="60"/>
        <v>0</v>
      </c>
      <c r="CI331" s="38">
        <f t="shared" si="61"/>
        <v>0</v>
      </c>
      <c r="CJ331" s="38">
        <f t="shared" si="62"/>
        <v>0</v>
      </c>
      <c r="CK331" s="38">
        <f t="shared" si="63"/>
        <v>0</v>
      </c>
      <c r="CL331" s="38" t="e">
        <f>IF(C331="","",IF(COUNT(G331:AZ331)&lt;46,"",SUMPRODUCT(CC331:CK331,'تنظیمات وزن‌دهی'!$C$5:$C$13)/100))</f>
        <v>#VALUE!</v>
      </c>
      <c r="CM331" s="38" t="e">
        <f t="shared" si="64"/>
        <v>#VALUE!</v>
      </c>
      <c r="CN331" s="38">
        <v>3</v>
      </c>
      <c r="CO331" s="28">
        <f t="shared" si="65"/>
        <v>1</v>
      </c>
      <c r="CP331" s="58"/>
    </row>
    <row r="332" spans="1:94" ht="17.25" hidden="1">
      <c r="A332" s="33">
        <v>328</v>
      </c>
      <c r="B332" s="55" t="s">
        <v>186</v>
      </c>
      <c r="C332" s="55">
        <f>IF(دانش‌آموزان!E32="","",دانش‌آموزان!B32)</f>
        <v>28</v>
      </c>
      <c r="D332" s="55" t="str">
        <f>IF(دانش‌آموزان!C32="","",دانش‌آموزان!C32)</f>
        <v>0980356512</v>
      </c>
      <c r="E332" s="55" t="str">
        <f>IF(دانش‌آموزان!E32="","",دانش‌آموزان!E32&amp;" "&amp;دانش‌آموزان!F32)</f>
        <v>سجاد كرماني</v>
      </c>
      <c r="F332" s="34">
        <f>IF(دانش‌آموزان!I32="","",دانش‌آموزان!I32)</f>
        <v>901</v>
      </c>
      <c r="G332" s="19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1"/>
      <c r="CC332" s="27" t="str">
        <f t="shared" si="55"/>
        <v/>
      </c>
      <c r="CD332" s="38" t="str">
        <f t="shared" si="56"/>
        <v/>
      </c>
      <c r="CE332" s="38" t="str">
        <f t="shared" si="57"/>
        <v/>
      </c>
      <c r="CF332" s="38" t="str">
        <f t="shared" si="58"/>
        <v/>
      </c>
      <c r="CG332" s="38" t="str">
        <f t="shared" si="59"/>
        <v/>
      </c>
      <c r="CH332" s="38" t="str">
        <f t="shared" si="60"/>
        <v/>
      </c>
      <c r="CI332" s="38" t="str">
        <f t="shared" si="61"/>
        <v/>
      </c>
      <c r="CJ332" s="38" t="str">
        <f t="shared" si="62"/>
        <v/>
      </c>
      <c r="CK332" s="38" t="str">
        <f t="shared" si="63"/>
        <v/>
      </c>
      <c r="CL332" s="38" t="str">
        <f>IF(C332="","",IF(COUNT(G332:AZ332)&lt;46,"",SUMPRODUCT(CC332:CK332,'تنظیمات وزن‌دهی'!$C$5:$C$13)/100))</f>
        <v/>
      </c>
      <c r="CM332" s="38" t="str">
        <f t="shared" si="64"/>
        <v/>
      </c>
      <c r="CN332" s="38">
        <v>4</v>
      </c>
      <c r="CO332" s="28">
        <f t="shared" si="65"/>
        <v>0</v>
      </c>
      <c r="CP332" s="58"/>
    </row>
    <row r="333" spans="1:94" ht="17.25" hidden="1">
      <c r="A333" s="33">
        <v>329</v>
      </c>
      <c r="B333" s="55" t="s">
        <v>187</v>
      </c>
      <c r="C333" s="55">
        <f>IF(دانش‌آموزان!E32="","",دانش‌آموزان!B32)</f>
        <v>28</v>
      </c>
      <c r="D333" s="55" t="str">
        <f>IF(دانش‌آموزان!C32="","",دانش‌آموزان!C32)</f>
        <v>0980356512</v>
      </c>
      <c r="E333" s="55" t="str">
        <f>IF(دانش‌آموزان!E32="","",دانش‌آموزان!E32&amp;" "&amp;دانش‌آموزان!F32)</f>
        <v>سجاد كرماني</v>
      </c>
      <c r="F333" s="34">
        <f>IF(دانش‌آموزان!I32="","",دانش‌آموزان!I32)</f>
        <v>901</v>
      </c>
      <c r="G333" s="19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1"/>
      <c r="CC333" s="27" t="str">
        <f t="shared" si="55"/>
        <v/>
      </c>
      <c r="CD333" s="38" t="str">
        <f t="shared" si="56"/>
        <v/>
      </c>
      <c r="CE333" s="38" t="str">
        <f t="shared" si="57"/>
        <v/>
      </c>
      <c r="CF333" s="38" t="str">
        <f t="shared" si="58"/>
        <v/>
      </c>
      <c r="CG333" s="38" t="str">
        <f t="shared" si="59"/>
        <v/>
      </c>
      <c r="CH333" s="38" t="str">
        <f t="shared" si="60"/>
        <v/>
      </c>
      <c r="CI333" s="38" t="str">
        <f t="shared" si="61"/>
        <v/>
      </c>
      <c r="CJ333" s="38" t="str">
        <f t="shared" si="62"/>
        <v/>
      </c>
      <c r="CK333" s="38" t="str">
        <f t="shared" si="63"/>
        <v/>
      </c>
      <c r="CL333" s="38" t="str">
        <f>IF(C333="","",IF(COUNT(G333:AZ333)&lt;46,"",SUMPRODUCT(CC333:CK333,'تنظیمات وزن‌دهی'!$C$5:$C$13)/100))</f>
        <v/>
      </c>
      <c r="CM333" s="38" t="str">
        <f t="shared" si="64"/>
        <v/>
      </c>
      <c r="CN333" s="38">
        <v>5</v>
      </c>
      <c r="CO333" s="28">
        <f t="shared" si="65"/>
        <v>0</v>
      </c>
      <c r="CP333" s="58"/>
    </row>
    <row r="334" spans="1:94" ht="17.25" hidden="1">
      <c r="A334" s="33">
        <v>330</v>
      </c>
      <c r="B334" s="55" t="s">
        <v>188</v>
      </c>
      <c r="C334" s="55">
        <f>IF(دانش‌آموزان!E32="","",دانش‌آموزان!B32)</f>
        <v>28</v>
      </c>
      <c r="D334" s="55" t="str">
        <f>IF(دانش‌آموزان!C32="","",دانش‌آموزان!C32)</f>
        <v>0980356512</v>
      </c>
      <c r="E334" s="55" t="str">
        <f>IF(دانش‌آموزان!E32="","",دانش‌آموزان!E32&amp;" "&amp;دانش‌آموزان!F32)</f>
        <v>سجاد كرماني</v>
      </c>
      <c r="F334" s="34">
        <f>IF(دانش‌آموزان!I32="","",دانش‌آموزان!I32)</f>
        <v>901</v>
      </c>
      <c r="G334" s="19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1"/>
      <c r="CC334" s="27" t="str">
        <f t="shared" si="55"/>
        <v/>
      </c>
      <c r="CD334" s="38" t="str">
        <f t="shared" si="56"/>
        <v/>
      </c>
      <c r="CE334" s="38" t="str">
        <f t="shared" si="57"/>
        <v/>
      </c>
      <c r="CF334" s="38" t="str">
        <f t="shared" si="58"/>
        <v/>
      </c>
      <c r="CG334" s="38" t="str">
        <f t="shared" si="59"/>
        <v/>
      </c>
      <c r="CH334" s="38" t="str">
        <f t="shared" si="60"/>
        <v/>
      </c>
      <c r="CI334" s="38" t="str">
        <f t="shared" si="61"/>
        <v/>
      </c>
      <c r="CJ334" s="38" t="str">
        <f t="shared" si="62"/>
        <v/>
      </c>
      <c r="CK334" s="38" t="str">
        <f t="shared" si="63"/>
        <v/>
      </c>
      <c r="CL334" s="38" t="str">
        <f>IF(C334="","",IF(COUNT(G334:AZ334)&lt;46,"",SUMPRODUCT(CC334:CK334,'تنظیمات وزن‌دهی'!$C$5:$C$13)/100))</f>
        <v/>
      </c>
      <c r="CM334" s="38" t="str">
        <f t="shared" si="64"/>
        <v/>
      </c>
      <c r="CN334" s="38">
        <v>6</v>
      </c>
      <c r="CO334" s="28">
        <f t="shared" si="65"/>
        <v>0</v>
      </c>
      <c r="CP334" s="58"/>
    </row>
    <row r="335" spans="1:94" ht="17.25" hidden="1">
      <c r="A335" s="33">
        <v>331</v>
      </c>
      <c r="B335" s="55" t="s">
        <v>189</v>
      </c>
      <c r="C335" s="55">
        <f>IF(دانش‌آموزان!E32="","",دانش‌آموزان!B32)</f>
        <v>28</v>
      </c>
      <c r="D335" s="55" t="str">
        <f>IF(دانش‌آموزان!C32="","",دانش‌آموزان!C32)</f>
        <v>0980356512</v>
      </c>
      <c r="E335" s="55" t="str">
        <f>IF(دانش‌آموزان!E32="","",دانش‌آموزان!E32&amp;" "&amp;دانش‌آموزان!F32)</f>
        <v>سجاد كرماني</v>
      </c>
      <c r="F335" s="34">
        <f>IF(دانش‌آموزان!I32="","",دانش‌آموزان!I32)</f>
        <v>901</v>
      </c>
      <c r="G335" s="19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1"/>
      <c r="CC335" s="27" t="str">
        <f t="shared" si="55"/>
        <v/>
      </c>
      <c r="CD335" s="38" t="str">
        <f t="shared" si="56"/>
        <v/>
      </c>
      <c r="CE335" s="38" t="str">
        <f t="shared" si="57"/>
        <v/>
      </c>
      <c r="CF335" s="38" t="str">
        <f t="shared" si="58"/>
        <v/>
      </c>
      <c r="CG335" s="38" t="str">
        <f t="shared" si="59"/>
        <v/>
      </c>
      <c r="CH335" s="38" t="str">
        <f t="shared" si="60"/>
        <v/>
      </c>
      <c r="CI335" s="38" t="str">
        <f t="shared" si="61"/>
        <v/>
      </c>
      <c r="CJ335" s="38" t="str">
        <f t="shared" si="62"/>
        <v/>
      </c>
      <c r="CK335" s="38" t="str">
        <f t="shared" si="63"/>
        <v/>
      </c>
      <c r="CL335" s="38" t="str">
        <f>IF(C335="","",IF(COUNT(G335:AZ335)&lt;46,"",SUMPRODUCT(CC335:CK335,'تنظیمات وزن‌دهی'!$C$5:$C$13)/100))</f>
        <v/>
      </c>
      <c r="CM335" s="38" t="str">
        <f t="shared" si="64"/>
        <v/>
      </c>
      <c r="CN335" s="38">
        <v>7</v>
      </c>
      <c r="CO335" s="28">
        <f t="shared" si="65"/>
        <v>0</v>
      </c>
      <c r="CP335" s="58"/>
    </row>
    <row r="336" spans="1:94" ht="17.25" hidden="1">
      <c r="A336" s="33">
        <v>332</v>
      </c>
      <c r="B336" s="55" t="s">
        <v>190</v>
      </c>
      <c r="C336" s="55">
        <f>IF(دانش‌آموزان!E32="","",دانش‌آموزان!B32)</f>
        <v>28</v>
      </c>
      <c r="D336" s="55" t="str">
        <f>IF(دانش‌آموزان!C32="","",دانش‌آموزان!C32)</f>
        <v>0980356512</v>
      </c>
      <c r="E336" s="55" t="str">
        <f>IF(دانش‌آموزان!E32="","",دانش‌آموزان!E32&amp;" "&amp;دانش‌آموزان!F32)</f>
        <v>سجاد كرماني</v>
      </c>
      <c r="F336" s="34">
        <f>IF(دانش‌آموزان!I32="","",دانش‌آموزان!I32)</f>
        <v>901</v>
      </c>
      <c r="G336" s="19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  <c r="BZ336" s="20"/>
      <c r="CA336" s="20"/>
      <c r="CB336" s="21"/>
      <c r="CC336" s="27" t="str">
        <f t="shared" si="55"/>
        <v/>
      </c>
      <c r="CD336" s="38" t="str">
        <f t="shared" si="56"/>
        <v/>
      </c>
      <c r="CE336" s="38" t="str">
        <f t="shared" si="57"/>
        <v/>
      </c>
      <c r="CF336" s="38" t="str">
        <f t="shared" si="58"/>
        <v/>
      </c>
      <c r="CG336" s="38" t="str">
        <f t="shared" si="59"/>
        <v/>
      </c>
      <c r="CH336" s="38" t="str">
        <f t="shared" si="60"/>
        <v/>
      </c>
      <c r="CI336" s="38" t="str">
        <f t="shared" si="61"/>
        <v/>
      </c>
      <c r="CJ336" s="38" t="str">
        <f t="shared" si="62"/>
        <v/>
      </c>
      <c r="CK336" s="38" t="str">
        <f t="shared" si="63"/>
        <v/>
      </c>
      <c r="CL336" s="38" t="str">
        <f>IF(C336="","",IF(COUNT(G336:AZ336)&lt;46,"",SUMPRODUCT(CC336:CK336,'تنظیمات وزن‌دهی'!$C$5:$C$13)/100))</f>
        <v/>
      </c>
      <c r="CM336" s="38" t="str">
        <f t="shared" si="64"/>
        <v/>
      </c>
      <c r="CN336" s="38">
        <v>8</v>
      </c>
      <c r="CO336" s="28">
        <f t="shared" si="65"/>
        <v>0</v>
      </c>
      <c r="CP336" s="58"/>
    </row>
    <row r="337" spans="1:94" ht="17.25" hidden="1">
      <c r="A337" s="33">
        <v>333</v>
      </c>
      <c r="B337" s="55" t="s">
        <v>191</v>
      </c>
      <c r="C337" s="55">
        <f>IF(دانش‌آموزان!E32="","",دانش‌آموزان!B32)</f>
        <v>28</v>
      </c>
      <c r="D337" s="55" t="str">
        <f>IF(دانش‌آموزان!C32="","",دانش‌آموزان!C32)</f>
        <v>0980356512</v>
      </c>
      <c r="E337" s="55" t="str">
        <f>IF(دانش‌آموزان!E32="","",دانش‌آموزان!E32&amp;" "&amp;دانش‌آموزان!F32)</f>
        <v>سجاد كرماني</v>
      </c>
      <c r="F337" s="34">
        <f>IF(دانش‌آموزان!I32="","",دانش‌آموزان!I32)</f>
        <v>901</v>
      </c>
      <c r="G337" s="19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1"/>
      <c r="CC337" s="27" t="str">
        <f t="shared" si="55"/>
        <v/>
      </c>
      <c r="CD337" s="38" t="str">
        <f t="shared" si="56"/>
        <v/>
      </c>
      <c r="CE337" s="38" t="str">
        <f t="shared" si="57"/>
        <v/>
      </c>
      <c r="CF337" s="38" t="str">
        <f t="shared" si="58"/>
        <v/>
      </c>
      <c r="CG337" s="38" t="str">
        <f t="shared" si="59"/>
        <v/>
      </c>
      <c r="CH337" s="38" t="str">
        <f t="shared" si="60"/>
        <v/>
      </c>
      <c r="CI337" s="38" t="str">
        <f t="shared" si="61"/>
        <v/>
      </c>
      <c r="CJ337" s="38" t="str">
        <f t="shared" si="62"/>
        <v/>
      </c>
      <c r="CK337" s="38" t="str">
        <f t="shared" si="63"/>
        <v/>
      </c>
      <c r="CL337" s="38" t="str">
        <f>IF(C337="","",IF(COUNT(G337:AZ337)&lt;46,"",SUMPRODUCT(CC337:CK337,'تنظیمات وزن‌دهی'!$C$5:$C$13)/100))</f>
        <v/>
      </c>
      <c r="CM337" s="38" t="str">
        <f t="shared" si="64"/>
        <v/>
      </c>
      <c r="CN337" s="38">
        <v>9</v>
      </c>
      <c r="CO337" s="28">
        <f t="shared" si="65"/>
        <v>0</v>
      </c>
      <c r="CP337" s="58"/>
    </row>
    <row r="338" spans="1:94" ht="17.25" hidden="1">
      <c r="A338" s="33">
        <v>334</v>
      </c>
      <c r="B338" s="55" t="s">
        <v>192</v>
      </c>
      <c r="C338" s="55">
        <f>IF(دانش‌آموزان!E32="","",دانش‌آموزان!B32)</f>
        <v>28</v>
      </c>
      <c r="D338" s="55" t="str">
        <f>IF(دانش‌آموزان!C32="","",دانش‌آموزان!C32)</f>
        <v>0980356512</v>
      </c>
      <c r="E338" s="55" t="str">
        <f>IF(دانش‌آموزان!E32="","",دانش‌آموزان!E32&amp;" "&amp;دانش‌آموزان!F32)</f>
        <v>سجاد كرماني</v>
      </c>
      <c r="F338" s="34">
        <f>IF(دانش‌آموزان!I32="","",دانش‌آموزان!I32)</f>
        <v>901</v>
      </c>
      <c r="G338" s="19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  <c r="BY338" s="20"/>
      <c r="BZ338" s="20"/>
      <c r="CA338" s="20"/>
      <c r="CB338" s="21"/>
      <c r="CC338" s="27" t="str">
        <f t="shared" si="55"/>
        <v/>
      </c>
      <c r="CD338" s="38" t="str">
        <f t="shared" si="56"/>
        <v/>
      </c>
      <c r="CE338" s="38" t="str">
        <f t="shared" si="57"/>
        <v/>
      </c>
      <c r="CF338" s="38" t="str">
        <f t="shared" si="58"/>
        <v/>
      </c>
      <c r="CG338" s="38" t="str">
        <f t="shared" si="59"/>
        <v/>
      </c>
      <c r="CH338" s="38" t="str">
        <f t="shared" si="60"/>
        <v/>
      </c>
      <c r="CI338" s="38" t="str">
        <f t="shared" si="61"/>
        <v/>
      </c>
      <c r="CJ338" s="38" t="str">
        <f t="shared" si="62"/>
        <v/>
      </c>
      <c r="CK338" s="38" t="str">
        <f t="shared" si="63"/>
        <v/>
      </c>
      <c r="CL338" s="38" t="str">
        <f>IF(C338="","",IF(COUNT(G338:AZ338)&lt;46,"",SUMPRODUCT(CC338:CK338,'تنظیمات وزن‌دهی'!$C$5:$C$13)/100))</f>
        <v/>
      </c>
      <c r="CM338" s="38" t="str">
        <f t="shared" si="64"/>
        <v/>
      </c>
      <c r="CN338" s="38">
        <v>10</v>
      </c>
      <c r="CO338" s="28">
        <f t="shared" si="65"/>
        <v>0</v>
      </c>
      <c r="CP338" s="58"/>
    </row>
    <row r="339" spans="1:94" ht="17.25" hidden="1">
      <c r="A339" s="33">
        <v>335</v>
      </c>
      <c r="B339" s="55" t="s">
        <v>193</v>
      </c>
      <c r="C339" s="55">
        <f>IF(دانش‌آموزان!E32="","",دانش‌آموزان!B32)</f>
        <v>28</v>
      </c>
      <c r="D339" s="55" t="str">
        <f>IF(دانش‌آموزان!C32="","",دانش‌آموزان!C32)</f>
        <v>0980356512</v>
      </c>
      <c r="E339" s="55" t="str">
        <f>IF(دانش‌آموزان!E32="","",دانش‌آموزان!E32&amp;" "&amp;دانش‌آموزان!F32)</f>
        <v>سجاد كرماني</v>
      </c>
      <c r="F339" s="34">
        <f>IF(دانش‌آموزان!I32="","",دانش‌آموزان!I32)</f>
        <v>901</v>
      </c>
      <c r="G339" s="19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1"/>
      <c r="CC339" s="27" t="str">
        <f t="shared" si="55"/>
        <v/>
      </c>
      <c r="CD339" s="38" t="str">
        <f t="shared" si="56"/>
        <v/>
      </c>
      <c r="CE339" s="38" t="str">
        <f t="shared" si="57"/>
        <v/>
      </c>
      <c r="CF339" s="38" t="str">
        <f t="shared" si="58"/>
        <v/>
      </c>
      <c r="CG339" s="38" t="str">
        <f t="shared" si="59"/>
        <v/>
      </c>
      <c r="CH339" s="38" t="str">
        <f t="shared" si="60"/>
        <v/>
      </c>
      <c r="CI339" s="38" t="str">
        <f t="shared" si="61"/>
        <v/>
      </c>
      <c r="CJ339" s="38" t="str">
        <f t="shared" si="62"/>
        <v/>
      </c>
      <c r="CK339" s="38" t="str">
        <f t="shared" si="63"/>
        <v/>
      </c>
      <c r="CL339" s="38" t="str">
        <f>IF(C339="","",IF(COUNT(G339:AZ339)&lt;46,"",SUMPRODUCT(CC339:CK339,'تنظیمات وزن‌دهی'!$C$5:$C$13)/100))</f>
        <v/>
      </c>
      <c r="CM339" s="38" t="str">
        <f t="shared" si="64"/>
        <v/>
      </c>
      <c r="CN339" s="38">
        <v>11</v>
      </c>
      <c r="CO339" s="28">
        <f t="shared" si="65"/>
        <v>0</v>
      </c>
      <c r="CP339" s="58"/>
    </row>
    <row r="340" spans="1:94" ht="17.25" hidden="1">
      <c r="A340" s="33">
        <v>336</v>
      </c>
      <c r="B340" s="55" t="s">
        <v>194</v>
      </c>
      <c r="C340" s="55">
        <f>IF(دانش‌آموزان!E32="","",دانش‌آموزان!B32)</f>
        <v>28</v>
      </c>
      <c r="D340" s="55" t="str">
        <f>IF(دانش‌آموزان!C32="","",دانش‌آموزان!C32)</f>
        <v>0980356512</v>
      </c>
      <c r="E340" s="55" t="str">
        <f>IF(دانش‌آموزان!E32="","",دانش‌آموزان!E32&amp;" "&amp;دانش‌آموزان!F32)</f>
        <v>سجاد كرماني</v>
      </c>
      <c r="F340" s="34">
        <f>IF(دانش‌آموزان!I32="","",دانش‌آموزان!I32)</f>
        <v>901</v>
      </c>
      <c r="G340" s="19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1"/>
      <c r="CC340" s="27" t="str">
        <f t="shared" si="55"/>
        <v/>
      </c>
      <c r="CD340" s="38" t="str">
        <f t="shared" si="56"/>
        <v/>
      </c>
      <c r="CE340" s="38" t="str">
        <f t="shared" si="57"/>
        <v/>
      </c>
      <c r="CF340" s="38" t="str">
        <f t="shared" si="58"/>
        <v/>
      </c>
      <c r="CG340" s="38" t="str">
        <f t="shared" si="59"/>
        <v/>
      </c>
      <c r="CH340" s="38" t="str">
        <f t="shared" si="60"/>
        <v/>
      </c>
      <c r="CI340" s="38" t="str">
        <f t="shared" si="61"/>
        <v/>
      </c>
      <c r="CJ340" s="38" t="str">
        <f t="shared" si="62"/>
        <v/>
      </c>
      <c r="CK340" s="38" t="str">
        <f t="shared" si="63"/>
        <v/>
      </c>
      <c r="CL340" s="38" t="str">
        <f>IF(C340="","",IF(COUNT(G340:AZ340)&lt;46,"",SUMPRODUCT(CC340:CK340,'تنظیمات وزن‌دهی'!$C$5:$C$13)/100))</f>
        <v/>
      </c>
      <c r="CM340" s="38" t="str">
        <f t="shared" si="64"/>
        <v/>
      </c>
      <c r="CN340" s="38">
        <v>12</v>
      </c>
      <c r="CO340" s="28">
        <f t="shared" si="65"/>
        <v>0</v>
      </c>
      <c r="CP340" s="58"/>
    </row>
    <row r="341" spans="1:94" ht="17.25" hidden="1">
      <c r="A341" s="33">
        <v>337</v>
      </c>
      <c r="B341" s="55" t="s">
        <v>183</v>
      </c>
      <c r="C341" s="55">
        <f>IF(دانش‌آموزان!E33="","",دانش‌آموزان!B33)</f>
        <v>29</v>
      </c>
      <c r="D341" s="55" t="str">
        <f>IF(دانش‌آموزان!C33="","",دانش‌آموزان!C33)</f>
        <v>0980326842</v>
      </c>
      <c r="E341" s="55" t="str">
        <f>IF(دانش‌آموزان!E33="","",دانش‌آموزان!E33&amp;" "&amp;دانش‌آموزان!F33)</f>
        <v>حسين كريمي</v>
      </c>
      <c r="F341" s="34">
        <f>IF(دانش‌آموزان!I33="","",دانش‌آموزان!I33)</f>
        <v>901</v>
      </c>
      <c r="G341" s="19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1"/>
      <c r="CC341" s="27" t="str">
        <f t="shared" si="55"/>
        <v/>
      </c>
      <c r="CD341" s="38" t="str">
        <f t="shared" si="56"/>
        <v/>
      </c>
      <c r="CE341" s="38" t="str">
        <f t="shared" si="57"/>
        <v/>
      </c>
      <c r="CF341" s="38" t="str">
        <f t="shared" si="58"/>
        <v/>
      </c>
      <c r="CG341" s="38" t="str">
        <f t="shared" si="59"/>
        <v/>
      </c>
      <c r="CH341" s="38" t="str">
        <f t="shared" si="60"/>
        <v/>
      </c>
      <c r="CI341" s="38" t="str">
        <f t="shared" si="61"/>
        <v/>
      </c>
      <c r="CJ341" s="38" t="str">
        <f t="shared" si="62"/>
        <v/>
      </c>
      <c r="CK341" s="38" t="str">
        <f t="shared" si="63"/>
        <v/>
      </c>
      <c r="CL341" s="38" t="str">
        <f>IF(C341="","",IF(COUNT(G341:AZ341)&lt;46,"",SUMPRODUCT(CC341:CK341,'تنظیمات وزن‌دهی'!$C$5:$C$13)/100))</f>
        <v/>
      </c>
      <c r="CM341" s="38" t="str">
        <f t="shared" si="64"/>
        <v/>
      </c>
      <c r="CN341" s="38">
        <v>1</v>
      </c>
      <c r="CO341" s="28">
        <f t="shared" si="65"/>
        <v>0</v>
      </c>
      <c r="CP341" s="58"/>
    </row>
    <row r="342" spans="1:94" ht="17.25" hidden="1">
      <c r="A342" s="33">
        <v>338</v>
      </c>
      <c r="B342" s="55" t="s">
        <v>184</v>
      </c>
      <c r="C342" s="55">
        <f>IF(دانش‌آموزان!E33="","",دانش‌آموزان!B33)</f>
        <v>29</v>
      </c>
      <c r="D342" s="55" t="str">
        <f>IF(دانش‌آموزان!C33="","",دانش‌آموزان!C33)</f>
        <v>0980326842</v>
      </c>
      <c r="E342" s="55" t="str">
        <f>IF(دانش‌آموزان!E33="","",دانش‌آموزان!E33&amp;" "&amp;دانش‌آموزان!F33)</f>
        <v>حسين كريمي</v>
      </c>
      <c r="F342" s="34">
        <f>IF(دانش‌آموزان!I33="","",دانش‌آموزان!I33)</f>
        <v>901</v>
      </c>
      <c r="G342" s="19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  <c r="BZ342" s="20"/>
      <c r="CA342" s="20"/>
      <c r="CB342" s="21"/>
      <c r="CC342" s="27" t="str">
        <f t="shared" si="55"/>
        <v/>
      </c>
      <c r="CD342" s="38" t="str">
        <f t="shared" si="56"/>
        <v/>
      </c>
      <c r="CE342" s="38" t="str">
        <f t="shared" si="57"/>
        <v/>
      </c>
      <c r="CF342" s="38" t="str">
        <f t="shared" si="58"/>
        <v/>
      </c>
      <c r="CG342" s="38" t="str">
        <f t="shared" si="59"/>
        <v/>
      </c>
      <c r="CH342" s="38" t="str">
        <f t="shared" si="60"/>
        <v/>
      </c>
      <c r="CI342" s="38" t="str">
        <f t="shared" si="61"/>
        <v/>
      </c>
      <c r="CJ342" s="38" t="str">
        <f t="shared" si="62"/>
        <v/>
      </c>
      <c r="CK342" s="38" t="str">
        <f t="shared" si="63"/>
        <v/>
      </c>
      <c r="CL342" s="38" t="str">
        <f>IF(C342="","",IF(COUNT(G342:AZ342)&lt;46,"",SUMPRODUCT(CC342:CK342,'تنظیمات وزن‌دهی'!$C$5:$C$13)/100))</f>
        <v/>
      </c>
      <c r="CM342" s="38" t="str">
        <f t="shared" si="64"/>
        <v/>
      </c>
      <c r="CN342" s="38">
        <v>2</v>
      </c>
      <c r="CO342" s="28">
        <f t="shared" si="65"/>
        <v>0</v>
      </c>
      <c r="CP342" s="58"/>
    </row>
    <row r="343" spans="1:94" ht="17.25">
      <c r="A343" s="33">
        <v>339</v>
      </c>
      <c r="B343" s="55" t="s">
        <v>185</v>
      </c>
      <c r="C343" s="55">
        <f>IF(دانش‌آموزان!E33="","",دانش‌آموزان!B33)</f>
        <v>29</v>
      </c>
      <c r="D343" s="55" t="str">
        <f>IF(دانش‌آموزان!C33="","",دانش‌آموزان!C33)</f>
        <v>0980326842</v>
      </c>
      <c r="E343" s="55" t="str">
        <f>IF(دانش‌آموزان!E33="","",دانش‌آموزان!E33&amp;" "&amp;دانش‌آموزان!F33)</f>
        <v>حسين كريمي</v>
      </c>
      <c r="F343" s="34">
        <f>IF(دانش‌آموزان!I33="","",دانش‌آموزان!I33)</f>
        <v>901</v>
      </c>
      <c r="G343" s="19">
        <v>16.93</v>
      </c>
      <c r="H343" s="20">
        <v>-3.93</v>
      </c>
      <c r="I343" s="20">
        <v>0</v>
      </c>
      <c r="J343" s="20">
        <v>3</v>
      </c>
      <c r="K343" s="20">
        <v>0</v>
      </c>
      <c r="L343" s="20">
        <v>0</v>
      </c>
      <c r="M343" s="20">
        <v>0</v>
      </c>
      <c r="N343" s="20">
        <v>0</v>
      </c>
      <c r="O343" s="20">
        <v>3</v>
      </c>
      <c r="P343" s="20">
        <v>4</v>
      </c>
      <c r="Q343" s="20">
        <v>4</v>
      </c>
      <c r="R343" s="20">
        <v>4</v>
      </c>
      <c r="S343" s="20">
        <v>4</v>
      </c>
      <c r="T343" s="20">
        <v>0</v>
      </c>
      <c r="U343" s="20">
        <v>4</v>
      </c>
      <c r="V343" s="20">
        <v>4</v>
      </c>
      <c r="W343" s="20">
        <v>3</v>
      </c>
      <c r="X343" s="20">
        <v>4</v>
      </c>
      <c r="Y343" s="20">
        <v>4</v>
      </c>
      <c r="Z343" s="20">
        <v>4</v>
      </c>
      <c r="AA343" s="20">
        <v>0</v>
      </c>
      <c r="AB343" s="20">
        <v>0</v>
      </c>
      <c r="AC343" s="20">
        <v>0</v>
      </c>
      <c r="AD343" s="20">
        <v>0</v>
      </c>
      <c r="AE343" s="20">
        <v>0</v>
      </c>
      <c r="AF343" s="20">
        <v>0</v>
      </c>
      <c r="AG343" s="20">
        <v>0</v>
      </c>
      <c r="AH343" s="20">
        <v>0</v>
      </c>
      <c r="AI343" s="20">
        <v>0</v>
      </c>
      <c r="AJ343" s="20">
        <v>0</v>
      </c>
      <c r="AK343" s="20">
        <v>0</v>
      </c>
      <c r="AL343" s="20">
        <v>0</v>
      </c>
      <c r="AM343" s="20">
        <v>0</v>
      </c>
      <c r="AN343" s="20">
        <v>0</v>
      </c>
      <c r="AO343" s="20">
        <v>0</v>
      </c>
      <c r="AP343" s="20">
        <v>0</v>
      </c>
      <c r="AQ343" s="20">
        <v>0</v>
      </c>
      <c r="AR343" s="20">
        <v>0</v>
      </c>
      <c r="AS343" s="20">
        <v>0</v>
      </c>
      <c r="AT343" s="20">
        <v>0</v>
      </c>
      <c r="AU343" s="20">
        <v>0</v>
      </c>
      <c r="AV343" s="20">
        <v>0</v>
      </c>
      <c r="AW343" s="20">
        <v>0</v>
      </c>
      <c r="AX343" s="20">
        <v>0</v>
      </c>
      <c r="AY343" s="20">
        <v>0</v>
      </c>
      <c r="AZ343" s="20">
        <v>0</v>
      </c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1"/>
      <c r="CC343" s="27">
        <f t="shared" si="55"/>
        <v>8</v>
      </c>
      <c r="CD343" s="38">
        <f t="shared" si="56"/>
        <v>15.2</v>
      </c>
      <c r="CE343" s="38">
        <f t="shared" si="57"/>
        <v>8</v>
      </c>
      <c r="CF343" s="38">
        <f t="shared" si="58"/>
        <v>15.2</v>
      </c>
      <c r="CG343" s="38">
        <f t="shared" si="59"/>
        <v>0</v>
      </c>
      <c r="CH343" s="38">
        <f t="shared" si="60"/>
        <v>0</v>
      </c>
      <c r="CI343" s="38">
        <f t="shared" si="61"/>
        <v>0</v>
      </c>
      <c r="CJ343" s="38">
        <f t="shared" si="62"/>
        <v>0</v>
      </c>
      <c r="CK343" s="38">
        <f t="shared" si="63"/>
        <v>0</v>
      </c>
      <c r="CL343" s="38" t="e">
        <f>IF(C343="","",IF(COUNT(G343:AZ343)&lt;46,"",SUMPRODUCT(CC343:CK343,'تنظیمات وزن‌دهی'!$C$5:$C$13)/100))</f>
        <v>#VALUE!</v>
      </c>
      <c r="CM343" s="38" t="e">
        <f t="shared" si="64"/>
        <v>#VALUE!</v>
      </c>
      <c r="CN343" s="38">
        <v>3</v>
      </c>
      <c r="CO343" s="28">
        <f t="shared" si="65"/>
        <v>1</v>
      </c>
      <c r="CP343" s="58"/>
    </row>
    <row r="344" spans="1:94" ht="17.25" hidden="1">
      <c r="A344" s="33">
        <v>340</v>
      </c>
      <c r="B344" s="55" t="s">
        <v>186</v>
      </c>
      <c r="C344" s="55">
        <f>IF(دانش‌آموزان!E33="","",دانش‌آموزان!B33)</f>
        <v>29</v>
      </c>
      <c r="D344" s="55" t="str">
        <f>IF(دانش‌آموزان!C33="","",دانش‌آموزان!C33)</f>
        <v>0980326842</v>
      </c>
      <c r="E344" s="55" t="str">
        <f>IF(دانش‌آموزان!E33="","",دانش‌آموزان!E33&amp;" "&amp;دانش‌آموزان!F33)</f>
        <v>حسين كريمي</v>
      </c>
      <c r="F344" s="34">
        <f>IF(دانش‌آموزان!I33="","",دانش‌آموزان!I33)</f>
        <v>901</v>
      </c>
      <c r="G344" s="19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1"/>
      <c r="CC344" s="27" t="str">
        <f t="shared" si="55"/>
        <v/>
      </c>
      <c r="CD344" s="38" t="str">
        <f t="shared" si="56"/>
        <v/>
      </c>
      <c r="CE344" s="38" t="str">
        <f t="shared" si="57"/>
        <v/>
      </c>
      <c r="CF344" s="38" t="str">
        <f t="shared" si="58"/>
        <v/>
      </c>
      <c r="CG344" s="38" t="str">
        <f t="shared" si="59"/>
        <v/>
      </c>
      <c r="CH344" s="38" t="str">
        <f t="shared" si="60"/>
        <v/>
      </c>
      <c r="CI344" s="38" t="str">
        <f t="shared" si="61"/>
        <v/>
      </c>
      <c r="CJ344" s="38" t="str">
        <f t="shared" si="62"/>
        <v/>
      </c>
      <c r="CK344" s="38" t="str">
        <f t="shared" si="63"/>
        <v/>
      </c>
      <c r="CL344" s="38" t="str">
        <f>IF(C344="","",IF(COUNT(G344:AZ344)&lt;46,"",SUMPRODUCT(CC344:CK344,'تنظیمات وزن‌دهی'!$C$5:$C$13)/100))</f>
        <v/>
      </c>
      <c r="CM344" s="38" t="str">
        <f t="shared" si="64"/>
        <v/>
      </c>
      <c r="CN344" s="38">
        <v>4</v>
      </c>
      <c r="CO344" s="28">
        <f t="shared" si="65"/>
        <v>0</v>
      </c>
      <c r="CP344" s="58"/>
    </row>
    <row r="345" spans="1:94" ht="17.25" hidden="1">
      <c r="A345" s="33">
        <v>341</v>
      </c>
      <c r="B345" s="55" t="s">
        <v>187</v>
      </c>
      <c r="C345" s="55">
        <f>IF(دانش‌آموزان!E33="","",دانش‌آموزان!B33)</f>
        <v>29</v>
      </c>
      <c r="D345" s="55" t="str">
        <f>IF(دانش‌آموزان!C33="","",دانش‌آموزان!C33)</f>
        <v>0980326842</v>
      </c>
      <c r="E345" s="55" t="str">
        <f>IF(دانش‌آموزان!E33="","",دانش‌آموزان!E33&amp;" "&amp;دانش‌آموزان!F33)</f>
        <v>حسين كريمي</v>
      </c>
      <c r="F345" s="34">
        <f>IF(دانش‌آموزان!I33="","",دانش‌آموزان!I33)</f>
        <v>901</v>
      </c>
      <c r="G345" s="19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1"/>
      <c r="CC345" s="27" t="str">
        <f t="shared" si="55"/>
        <v/>
      </c>
      <c r="CD345" s="38" t="str">
        <f t="shared" si="56"/>
        <v/>
      </c>
      <c r="CE345" s="38" t="str">
        <f t="shared" si="57"/>
        <v/>
      </c>
      <c r="CF345" s="38" t="str">
        <f t="shared" si="58"/>
        <v/>
      </c>
      <c r="CG345" s="38" t="str">
        <f t="shared" si="59"/>
        <v/>
      </c>
      <c r="CH345" s="38" t="str">
        <f t="shared" si="60"/>
        <v/>
      </c>
      <c r="CI345" s="38" t="str">
        <f t="shared" si="61"/>
        <v/>
      </c>
      <c r="CJ345" s="38" t="str">
        <f t="shared" si="62"/>
        <v/>
      </c>
      <c r="CK345" s="38" t="str">
        <f t="shared" si="63"/>
        <v/>
      </c>
      <c r="CL345" s="38" t="str">
        <f>IF(C345="","",IF(COUNT(G345:AZ345)&lt;46,"",SUMPRODUCT(CC345:CK345,'تنظیمات وزن‌دهی'!$C$5:$C$13)/100))</f>
        <v/>
      </c>
      <c r="CM345" s="38" t="str">
        <f t="shared" si="64"/>
        <v/>
      </c>
      <c r="CN345" s="38">
        <v>5</v>
      </c>
      <c r="CO345" s="28">
        <f t="shared" si="65"/>
        <v>0</v>
      </c>
      <c r="CP345" s="58"/>
    </row>
    <row r="346" spans="1:94" ht="17.25" hidden="1">
      <c r="A346" s="33">
        <v>342</v>
      </c>
      <c r="B346" s="55" t="s">
        <v>188</v>
      </c>
      <c r="C346" s="55">
        <f>IF(دانش‌آموزان!E33="","",دانش‌آموزان!B33)</f>
        <v>29</v>
      </c>
      <c r="D346" s="55" t="str">
        <f>IF(دانش‌آموزان!C33="","",دانش‌آموزان!C33)</f>
        <v>0980326842</v>
      </c>
      <c r="E346" s="55" t="str">
        <f>IF(دانش‌آموزان!E33="","",دانش‌آموزان!E33&amp;" "&amp;دانش‌آموزان!F33)</f>
        <v>حسين كريمي</v>
      </c>
      <c r="F346" s="34">
        <f>IF(دانش‌آموزان!I33="","",دانش‌آموزان!I33)</f>
        <v>901</v>
      </c>
      <c r="G346" s="19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1"/>
      <c r="CC346" s="27" t="str">
        <f t="shared" si="55"/>
        <v/>
      </c>
      <c r="CD346" s="38" t="str">
        <f t="shared" si="56"/>
        <v/>
      </c>
      <c r="CE346" s="38" t="str">
        <f t="shared" si="57"/>
        <v/>
      </c>
      <c r="CF346" s="38" t="str">
        <f t="shared" si="58"/>
        <v/>
      </c>
      <c r="CG346" s="38" t="str">
        <f t="shared" si="59"/>
        <v/>
      </c>
      <c r="CH346" s="38" t="str">
        <f t="shared" si="60"/>
        <v/>
      </c>
      <c r="CI346" s="38" t="str">
        <f t="shared" si="61"/>
        <v/>
      </c>
      <c r="CJ346" s="38" t="str">
        <f t="shared" si="62"/>
        <v/>
      </c>
      <c r="CK346" s="38" t="str">
        <f t="shared" si="63"/>
        <v/>
      </c>
      <c r="CL346" s="38" t="str">
        <f>IF(C346="","",IF(COUNT(G346:AZ346)&lt;46,"",SUMPRODUCT(CC346:CK346,'تنظیمات وزن‌دهی'!$C$5:$C$13)/100))</f>
        <v/>
      </c>
      <c r="CM346" s="38" t="str">
        <f t="shared" si="64"/>
        <v/>
      </c>
      <c r="CN346" s="38">
        <v>6</v>
      </c>
      <c r="CO346" s="28">
        <f t="shared" si="65"/>
        <v>0</v>
      </c>
      <c r="CP346" s="58"/>
    </row>
    <row r="347" spans="1:94" ht="17.25" hidden="1">
      <c r="A347" s="33">
        <v>343</v>
      </c>
      <c r="B347" s="55" t="s">
        <v>189</v>
      </c>
      <c r="C347" s="55">
        <f>IF(دانش‌آموزان!E33="","",دانش‌آموزان!B33)</f>
        <v>29</v>
      </c>
      <c r="D347" s="55" t="str">
        <f>IF(دانش‌آموزان!C33="","",دانش‌آموزان!C33)</f>
        <v>0980326842</v>
      </c>
      <c r="E347" s="55" t="str">
        <f>IF(دانش‌آموزان!E33="","",دانش‌آموزان!E33&amp;" "&amp;دانش‌آموزان!F33)</f>
        <v>حسين كريمي</v>
      </c>
      <c r="F347" s="34">
        <f>IF(دانش‌آموزان!I33="","",دانش‌آموزان!I33)</f>
        <v>901</v>
      </c>
      <c r="G347" s="19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1"/>
      <c r="CC347" s="27" t="str">
        <f t="shared" si="55"/>
        <v/>
      </c>
      <c r="CD347" s="38" t="str">
        <f t="shared" si="56"/>
        <v/>
      </c>
      <c r="CE347" s="38" t="str">
        <f t="shared" si="57"/>
        <v/>
      </c>
      <c r="CF347" s="38" t="str">
        <f t="shared" si="58"/>
        <v/>
      </c>
      <c r="CG347" s="38" t="str">
        <f t="shared" si="59"/>
        <v/>
      </c>
      <c r="CH347" s="38" t="str">
        <f t="shared" si="60"/>
        <v/>
      </c>
      <c r="CI347" s="38" t="str">
        <f t="shared" si="61"/>
        <v/>
      </c>
      <c r="CJ347" s="38" t="str">
        <f t="shared" si="62"/>
        <v/>
      </c>
      <c r="CK347" s="38" t="str">
        <f t="shared" si="63"/>
        <v/>
      </c>
      <c r="CL347" s="38" t="str">
        <f>IF(C347="","",IF(COUNT(G347:AZ347)&lt;46,"",SUMPRODUCT(CC347:CK347,'تنظیمات وزن‌دهی'!$C$5:$C$13)/100))</f>
        <v/>
      </c>
      <c r="CM347" s="38" t="str">
        <f t="shared" si="64"/>
        <v/>
      </c>
      <c r="CN347" s="38">
        <v>7</v>
      </c>
      <c r="CO347" s="28">
        <f t="shared" si="65"/>
        <v>0</v>
      </c>
      <c r="CP347" s="58"/>
    </row>
    <row r="348" spans="1:94" ht="17.25" hidden="1">
      <c r="A348" s="33">
        <v>344</v>
      </c>
      <c r="B348" s="55" t="s">
        <v>190</v>
      </c>
      <c r="C348" s="55">
        <f>IF(دانش‌آموزان!E33="","",دانش‌آموزان!B33)</f>
        <v>29</v>
      </c>
      <c r="D348" s="55" t="str">
        <f>IF(دانش‌آموزان!C33="","",دانش‌آموزان!C33)</f>
        <v>0980326842</v>
      </c>
      <c r="E348" s="55" t="str">
        <f>IF(دانش‌آموزان!E33="","",دانش‌آموزان!E33&amp;" "&amp;دانش‌آموزان!F33)</f>
        <v>حسين كريمي</v>
      </c>
      <c r="F348" s="34">
        <f>IF(دانش‌آموزان!I33="","",دانش‌آموزان!I33)</f>
        <v>901</v>
      </c>
      <c r="G348" s="19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1"/>
      <c r="CC348" s="27" t="str">
        <f t="shared" si="55"/>
        <v/>
      </c>
      <c r="CD348" s="38" t="str">
        <f t="shared" si="56"/>
        <v/>
      </c>
      <c r="CE348" s="38" t="str">
        <f t="shared" si="57"/>
        <v/>
      </c>
      <c r="CF348" s="38" t="str">
        <f t="shared" si="58"/>
        <v/>
      </c>
      <c r="CG348" s="38" t="str">
        <f t="shared" si="59"/>
        <v/>
      </c>
      <c r="CH348" s="38" t="str">
        <f t="shared" si="60"/>
        <v/>
      </c>
      <c r="CI348" s="38" t="str">
        <f t="shared" si="61"/>
        <v/>
      </c>
      <c r="CJ348" s="38" t="str">
        <f t="shared" si="62"/>
        <v/>
      </c>
      <c r="CK348" s="38" t="str">
        <f t="shared" si="63"/>
        <v/>
      </c>
      <c r="CL348" s="38" t="str">
        <f>IF(C348="","",IF(COUNT(G348:AZ348)&lt;46,"",SUMPRODUCT(CC348:CK348,'تنظیمات وزن‌دهی'!$C$5:$C$13)/100))</f>
        <v/>
      </c>
      <c r="CM348" s="38" t="str">
        <f t="shared" si="64"/>
        <v/>
      </c>
      <c r="CN348" s="38">
        <v>8</v>
      </c>
      <c r="CO348" s="28">
        <f t="shared" si="65"/>
        <v>0</v>
      </c>
      <c r="CP348" s="58"/>
    </row>
    <row r="349" spans="1:94" ht="17.25" hidden="1">
      <c r="A349" s="33">
        <v>345</v>
      </c>
      <c r="B349" s="55" t="s">
        <v>191</v>
      </c>
      <c r="C349" s="55">
        <f>IF(دانش‌آموزان!E33="","",دانش‌آموزان!B33)</f>
        <v>29</v>
      </c>
      <c r="D349" s="55" t="str">
        <f>IF(دانش‌آموزان!C33="","",دانش‌آموزان!C33)</f>
        <v>0980326842</v>
      </c>
      <c r="E349" s="55" t="str">
        <f>IF(دانش‌آموزان!E33="","",دانش‌آموزان!E33&amp;" "&amp;دانش‌آموزان!F33)</f>
        <v>حسين كريمي</v>
      </c>
      <c r="F349" s="34">
        <f>IF(دانش‌آموزان!I33="","",دانش‌آموزان!I33)</f>
        <v>901</v>
      </c>
      <c r="G349" s="19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1"/>
      <c r="CC349" s="27" t="str">
        <f t="shared" si="55"/>
        <v/>
      </c>
      <c r="CD349" s="38" t="str">
        <f t="shared" si="56"/>
        <v/>
      </c>
      <c r="CE349" s="38" t="str">
        <f t="shared" si="57"/>
        <v/>
      </c>
      <c r="CF349" s="38" t="str">
        <f t="shared" si="58"/>
        <v/>
      </c>
      <c r="CG349" s="38" t="str">
        <f t="shared" si="59"/>
        <v/>
      </c>
      <c r="CH349" s="38" t="str">
        <f t="shared" si="60"/>
        <v/>
      </c>
      <c r="CI349" s="38" t="str">
        <f t="shared" si="61"/>
        <v/>
      </c>
      <c r="CJ349" s="38" t="str">
        <f t="shared" si="62"/>
        <v/>
      </c>
      <c r="CK349" s="38" t="str">
        <f t="shared" si="63"/>
        <v/>
      </c>
      <c r="CL349" s="38" t="str">
        <f>IF(C349="","",IF(COUNT(G349:AZ349)&lt;46,"",SUMPRODUCT(CC349:CK349,'تنظیمات وزن‌دهی'!$C$5:$C$13)/100))</f>
        <v/>
      </c>
      <c r="CM349" s="38" t="str">
        <f t="shared" si="64"/>
        <v/>
      </c>
      <c r="CN349" s="38">
        <v>9</v>
      </c>
      <c r="CO349" s="28">
        <f t="shared" si="65"/>
        <v>0</v>
      </c>
      <c r="CP349" s="58"/>
    </row>
    <row r="350" spans="1:94" ht="17.25" hidden="1">
      <c r="A350" s="33">
        <v>346</v>
      </c>
      <c r="B350" s="55" t="s">
        <v>192</v>
      </c>
      <c r="C350" s="55">
        <f>IF(دانش‌آموزان!E33="","",دانش‌آموزان!B33)</f>
        <v>29</v>
      </c>
      <c r="D350" s="55" t="str">
        <f>IF(دانش‌آموزان!C33="","",دانش‌آموزان!C33)</f>
        <v>0980326842</v>
      </c>
      <c r="E350" s="55" t="str">
        <f>IF(دانش‌آموزان!E33="","",دانش‌آموزان!E33&amp;" "&amp;دانش‌آموزان!F33)</f>
        <v>حسين كريمي</v>
      </c>
      <c r="F350" s="34">
        <f>IF(دانش‌آموزان!I33="","",دانش‌آموزان!I33)</f>
        <v>901</v>
      </c>
      <c r="G350" s="19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1"/>
      <c r="CC350" s="27" t="str">
        <f t="shared" si="55"/>
        <v/>
      </c>
      <c r="CD350" s="38" t="str">
        <f t="shared" si="56"/>
        <v/>
      </c>
      <c r="CE350" s="38" t="str">
        <f t="shared" si="57"/>
        <v/>
      </c>
      <c r="CF350" s="38" t="str">
        <f t="shared" si="58"/>
        <v/>
      </c>
      <c r="CG350" s="38" t="str">
        <f t="shared" si="59"/>
        <v/>
      </c>
      <c r="CH350" s="38" t="str">
        <f t="shared" si="60"/>
        <v/>
      </c>
      <c r="CI350" s="38" t="str">
        <f t="shared" si="61"/>
        <v/>
      </c>
      <c r="CJ350" s="38" t="str">
        <f t="shared" si="62"/>
        <v/>
      </c>
      <c r="CK350" s="38" t="str">
        <f t="shared" si="63"/>
        <v/>
      </c>
      <c r="CL350" s="38" t="str">
        <f>IF(C350="","",IF(COUNT(G350:AZ350)&lt;46,"",SUMPRODUCT(CC350:CK350,'تنظیمات وزن‌دهی'!$C$5:$C$13)/100))</f>
        <v/>
      </c>
      <c r="CM350" s="38" t="str">
        <f t="shared" si="64"/>
        <v/>
      </c>
      <c r="CN350" s="38">
        <v>10</v>
      </c>
      <c r="CO350" s="28">
        <f t="shared" si="65"/>
        <v>0</v>
      </c>
      <c r="CP350" s="58"/>
    </row>
    <row r="351" spans="1:94" ht="17.25" hidden="1">
      <c r="A351" s="33">
        <v>347</v>
      </c>
      <c r="B351" s="55" t="s">
        <v>193</v>
      </c>
      <c r="C351" s="55">
        <f>IF(دانش‌آموزان!E33="","",دانش‌آموزان!B33)</f>
        <v>29</v>
      </c>
      <c r="D351" s="55" t="str">
        <f>IF(دانش‌آموزان!C33="","",دانش‌آموزان!C33)</f>
        <v>0980326842</v>
      </c>
      <c r="E351" s="55" t="str">
        <f>IF(دانش‌آموزان!E33="","",دانش‌آموزان!E33&amp;" "&amp;دانش‌آموزان!F33)</f>
        <v>حسين كريمي</v>
      </c>
      <c r="F351" s="34">
        <f>IF(دانش‌آموزان!I33="","",دانش‌آموزان!I33)</f>
        <v>901</v>
      </c>
      <c r="G351" s="19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1"/>
      <c r="CC351" s="27" t="str">
        <f t="shared" si="55"/>
        <v/>
      </c>
      <c r="CD351" s="38" t="str">
        <f t="shared" si="56"/>
        <v/>
      </c>
      <c r="CE351" s="38" t="str">
        <f t="shared" si="57"/>
        <v/>
      </c>
      <c r="CF351" s="38" t="str">
        <f t="shared" si="58"/>
        <v/>
      </c>
      <c r="CG351" s="38" t="str">
        <f t="shared" si="59"/>
        <v/>
      </c>
      <c r="CH351" s="38" t="str">
        <f t="shared" si="60"/>
        <v/>
      </c>
      <c r="CI351" s="38" t="str">
        <f t="shared" si="61"/>
        <v/>
      </c>
      <c r="CJ351" s="38" t="str">
        <f t="shared" si="62"/>
        <v/>
      </c>
      <c r="CK351" s="38" t="str">
        <f t="shared" si="63"/>
        <v/>
      </c>
      <c r="CL351" s="38" t="str">
        <f>IF(C351="","",IF(COUNT(G351:AZ351)&lt;46,"",SUMPRODUCT(CC351:CK351,'تنظیمات وزن‌دهی'!$C$5:$C$13)/100))</f>
        <v/>
      </c>
      <c r="CM351" s="38" t="str">
        <f t="shared" si="64"/>
        <v/>
      </c>
      <c r="CN351" s="38">
        <v>11</v>
      </c>
      <c r="CO351" s="28">
        <f t="shared" si="65"/>
        <v>0</v>
      </c>
      <c r="CP351" s="58"/>
    </row>
    <row r="352" spans="1:94" ht="17.25" hidden="1">
      <c r="A352" s="33">
        <v>348</v>
      </c>
      <c r="B352" s="55" t="s">
        <v>194</v>
      </c>
      <c r="C352" s="55">
        <f>IF(دانش‌آموزان!E33="","",دانش‌آموزان!B33)</f>
        <v>29</v>
      </c>
      <c r="D352" s="55" t="str">
        <f>IF(دانش‌آموزان!C33="","",دانش‌آموزان!C33)</f>
        <v>0980326842</v>
      </c>
      <c r="E352" s="55" t="str">
        <f>IF(دانش‌آموزان!E33="","",دانش‌آموزان!E33&amp;" "&amp;دانش‌آموزان!F33)</f>
        <v>حسين كريمي</v>
      </c>
      <c r="F352" s="34">
        <f>IF(دانش‌آموزان!I33="","",دانش‌آموزان!I33)</f>
        <v>901</v>
      </c>
      <c r="G352" s="19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1"/>
      <c r="CC352" s="27" t="str">
        <f t="shared" si="55"/>
        <v/>
      </c>
      <c r="CD352" s="38" t="str">
        <f t="shared" si="56"/>
        <v/>
      </c>
      <c r="CE352" s="38" t="str">
        <f t="shared" si="57"/>
        <v/>
      </c>
      <c r="CF352" s="38" t="str">
        <f t="shared" si="58"/>
        <v/>
      </c>
      <c r="CG352" s="38" t="str">
        <f t="shared" si="59"/>
        <v/>
      </c>
      <c r="CH352" s="38" t="str">
        <f t="shared" si="60"/>
        <v/>
      </c>
      <c r="CI352" s="38" t="str">
        <f t="shared" si="61"/>
        <v/>
      </c>
      <c r="CJ352" s="38" t="str">
        <f t="shared" si="62"/>
        <v/>
      </c>
      <c r="CK352" s="38" t="str">
        <f t="shared" si="63"/>
        <v/>
      </c>
      <c r="CL352" s="38" t="str">
        <f>IF(C352="","",IF(COUNT(G352:AZ352)&lt;46,"",SUMPRODUCT(CC352:CK352,'تنظیمات وزن‌دهی'!$C$5:$C$13)/100))</f>
        <v/>
      </c>
      <c r="CM352" s="38" t="str">
        <f t="shared" si="64"/>
        <v/>
      </c>
      <c r="CN352" s="38">
        <v>12</v>
      </c>
      <c r="CO352" s="28">
        <f t="shared" si="65"/>
        <v>0</v>
      </c>
      <c r="CP352" s="58"/>
    </row>
    <row r="353" spans="1:94" ht="17.25" hidden="1">
      <c r="A353" s="33">
        <v>349</v>
      </c>
      <c r="B353" s="55" t="s">
        <v>183</v>
      </c>
      <c r="C353" s="55">
        <f>IF(دانش‌آموزان!E34="","",دانش‌آموزان!B34)</f>
        <v>30</v>
      </c>
      <c r="D353" s="55" t="str">
        <f>IF(دانش‌آموزان!C34="","",دانش‌آموزان!C34)</f>
        <v>0970583893</v>
      </c>
      <c r="E353" s="55" t="str">
        <f>IF(دانش‌آموزان!E34="","",دانش‌آموزان!E34&amp;" "&amp;دانش‌آموزان!F34)</f>
        <v>محمديوسف مظهري</v>
      </c>
      <c r="F353" s="34">
        <f>IF(دانش‌آموزان!I34="","",دانش‌آموزان!I34)</f>
        <v>901</v>
      </c>
      <c r="G353" s="19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1"/>
      <c r="CC353" s="27" t="str">
        <f t="shared" si="55"/>
        <v/>
      </c>
      <c r="CD353" s="38" t="str">
        <f t="shared" si="56"/>
        <v/>
      </c>
      <c r="CE353" s="38" t="str">
        <f t="shared" si="57"/>
        <v/>
      </c>
      <c r="CF353" s="38" t="str">
        <f t="shared" si="58"/>
        <v/>
      </c>
      <c r="CG353" s="38" t="str">
        <f t="shared" si="59"/>
        <v/>
      </c>
      <c r="CH353" s="38" t="str">
        <f t="shared" si="60"/>
        <v/>
      </c>
      <c r="CI353" s="38" t="str">
        <f t="shared" si="61"/>
        <v/>
      </c>
      <c r="CJ353" s="38" t="str">
        <f t="shared" si="62"/>
        <v/>
      </c>
      <c r="CK353" s="38" t="str">
        <f t="shared" si="63"/>
        <v/>
      </c>
      <c r="CL353" s="38" t="str">
        <f>IF(C353="","",IF(COUNT(G353:AZ353)&lt;46,"",SUMPRODUCT(CC353:CK353,'تنظیمات وزن‌دهی'!$C$5:$C$13)/100))</f>
        <v/>
      </c>
      <c r="CM353" s="38" t="str">
        <f t="shared" si="64"/>
        <v/>
      </c>
      <c r="CN353" s="38">
        <v>1</v>
      </c>
      <c r="CO353" s="28">
        <f t="shared" si="65"/>
        <v>0</v>
      </c>
      <c r="CP353" s="58"/>
    </row>
    <row r="354" spans="1:94" ht="17.25" hidden="1">
      <c r="A354" s="33">
        <v>350</v>
      </c>
      <c r="B354" s="55" t="s">
        <v>184</v>
      </c>
      <c r="C354" s="55">
        <f>IF(دانش‌آموزان!E34="","",دانش‌آموزان!B34)</f>
        <v>30</v>
      </c>
      <c r="D354" s="55" t="str">
        <f>IF(دانش‌آموزان!C34="","",دانش‌آموزان!C34)</f>
        <v>0970583893</v>
      </c>
      <c r="E354" s="55" t="str">
        <f>IF(دانش‌آموزان!E34="","",دانش‌آموزان!E34&amp;" "&amp;دانش‌آموزان!F34)</f>
        <v>محمديوسف مظهري</v>
      </c>
      <c r="F354" s="34">
        <f>IF(دانش‌آموزان!I34="","",دانش‌آموزان!I34)</f>
        <v>901</v>
      </c>
      <c r="G354" s="19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1"/>
      <c r="CC354" s="27" t="str">
        <f t="shared" si="55"/>
        <v/>
      </c>
      <c r="CD354" s="38" t="str">
        <f t="shared" si="56"/>
        <v/>
      </c>
      <c r="CE354" s="38" t="str">
        <f t="shared" si="57"/>
        <v/>
      </c>
      <c r="CF354" s="38" t="str">
        <f t="shared" si="58"/>
        <v/>
      </c>
      <c r="CG354" s="38" t="str">
        <f t="shared" si="59"/>
        <v/>
      </c>
      <c r="CH354" s="38" t="str">
        <f t="shared" si="60"/>
        <v/>
      </c>
      <c r="CI354" s="38" t="str">
        <f t="shared" si="61"/>
        <v/>
      </c>
      <c r="CJ354" s="38" t="str">
        <f t="shared" si="62"/>
        <v/>
      </c>
      <c r="CK354" s="38" t="str">
        <f t="shared" si="63"/>
        <v/>
      </c>
      <c r="CL354" s="38" t="str">
        <f>IF(C354="","",IF(COUNT(G354:AZ354)&lt;46,"",SUMPRODUCT(CC354:CK354,'تنظیمات وزن‌دهی'!$C$5:$C$13)/100))</f>
        <v/>
      </c>
      <c r="CM354" s="38" t="str">
        <f t="shared" si="64"/>
        <v/>
      </c>
      <c r="CN354" s="38">
        <v>2</v>
      </c>
      <c r="CO354" s="28">
        <f t="shared" si="65"/>
        <v>0</v>
      </c>
      <c r="CP354" s="58"/>
    </row>
    <row r="355" spans="1:94" ht="17.25">
      <c r="A355" s="33">
        <v>351</v>
      </c>
      <c r="B355" s="55" t="s">
        <v>185</v>
      </c>
      <c r="C355" s="55">
        <f>IF(دانش‌آموزان!E34="","",دانش‌آموزان!B34)</f>
        <v>30</v>
      </c>
      <c r="D355" s="55" t="str">
        <f>IF(دانش‌آموزان!C34="","",دانش‌آموزان!C34)</f>
        <v>0970583893</v>
      </c>
      <c r="E355" s="55" t="str">
        <f>IF(دانش‌آموزان!E34="","",دانش‌آموزان!E34&amp;" "&amp;دانش‌آموزان!F34)</f>
        <v>محمديوسف مظهري</v>
      </c>
      <c r="F355" s="34">
        <f>IF(دانش‌آموزان!I34="","",دانش‌آموزان!I34)</f>
        <v>901</v>
      </c>
      <c r="G355" s="19">
        <v>19.670000000000002</v>
      </c>
      <c r="H355" s="20">
        <v>-5.67</v>
      </c>
      <c r="I355" s="20">
        <v>0</v>
      </c>
      <c r="J355" s="20">
        <v>4</v>
      </c>
      <c r="K355" s="20">
        <v>0</v>
      </c>
      <c r="L355" s="20">
        <v>0</v>
      </c>
      <c r="M355" s="20">
        <v>0</v>
      </c>
      <c r="N355" s="20">
        <v>0</v>
      </c>
      <c r="O355" s="20">
        <v>5</v>
      </c>
      <c r="P355" s="20">
        <v>4</v>
      </c>
      <c r="Q355" s="20">
        <v>4</v>
      </c>
      <c r="R355" s="20">
        <v>5</v>
      </c>
      <c r="S355" s="20">
        <v>4</v>
      </c>
      <c r="T355" s="20">
        <v>0</v>
      </c>
      <c r="U355" s="20">
        <v>4</v>
      </c>
      <c r="V355" s="20">
        <v>5</v>
      </c>
      <c r="W355" s="20">
        <v>5</v>
      </c>
      <c r="X355" s="20">
        <v>4</v>
      </c>
      <c r="Y355" s="20">
        <v>5</v>
      </c>
      <c r="Z355" s="20">
        <v>4</v>
      </c>
      <c r="AA355" s="20">
        <v>0</v>
      </c>
      <c r="AB355" s="20">
        <v>0</v>
      </c>
      <c r="AC355" s="20">
        <v>0</v>
      </c>
      <c r="AD355" s="20">
        <v>0</v>
      </c>
      <c r="AE355" s="20">
        <v>0</v>
      </c>
      <c r="AF355" s="20">
        <v>0</v>
      </c>
      <c r="AG355" s="20">
        <v>0</v>
      </c>
      <c r="AH355" s="20">
        <v>0</v>
      </c>
      <c r="AI355" s="20">
        <v>0</v>
      </c>
      <c r="AJ355" s="20">
        <v>0</v>
      </c>
      <c r="AK355" s="20">
        <v>0</v>
      </c>
      <c r="AL355" s="20">
        <v>0</v>
      </c>
      <c r="AM355" s="20">
        <v>0</v>
      </c>
      <c r="AN355" s="20">
        <v>0</v>
      </c>
      <c r="AO355" s="20">
        <v>0</v>
      </c>
      <c r="AP355" s="20">
        <v>0</v>
      </c>
      <c r="AQ355" s="20">
        <v>0</v>
      </c>
      <c r="AR355" s="20">
        <v>0</v>
      </c>
      <c r="AS355" s="20">
        <v>0</v>
      </c>
      <c r="AT355" s="20">
        <v>0</v>
      </c>
      <c r="AU355" s="20">
        <v>0</v>
      </c>
      <c r="AV355" s="20">
        <v>0</v>
      </c>
      <c r="AW355" s="20">
        <v>0</v>
      </c>
      <c r="AX355" s="20">
        <v>0</v>
      </c>
      <c r="AY355" s="20">
        <v>0</v>
      </c>
      <c r="AZ355" s="20">
        <v>0</v>
      </c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1"/>
      <c r="CC355" s="27">
        <f t="shared" si="55"/>
        <v>9</v>
      </c>
      <c r="CD355" s="38">
        <f t="shared" si="56"/>
        <v>17.600000000000001</v>
      </c>
      <c r="CE355" s="38">
        <f t="shared" si="57"/>
        <v>8</v>
      </c>
      <c r="CF355" s="38">
        <f t="shared" si="58"/>
        <v>18.399999999999999</v>
      </c>
      <c r="CG355" s="38">
        <f t="shared" si="59"/>
        <v>0</v>
      </c>
      <c r="CH355" s="38">
        <f t="shared" si="60"/>
        <v>0</v>
      </c>
      <c r="CI355" s="38">
        <f t="shared" si="61"/>
        <v>0</v>
      </c>
      <c r="CJ355" s="38">
        <f t="shared" si="62"/>
        <v>0</v>
      </c>
      <c r="CK355" s="38">
        <f t="shared" si="63"/>
        <v>0</v>
      </c>
      <c r="CL355" s="38" t="e">
        <f>IF(C355="","",IF(COUNT(G355:AZ355)&lt;46,"",SUMPRODUCT(CC355:CK355,'تنظیمات وزن‌دهی'!$C$5:$C$13)/100))</f>
        <v>#VALUE!</v>
      </c>
      <c r="CM355" s="38" t="e">
        <f t="shared" si="64"/>
        <v>#VALUE!</v>
      </c>
      <c r="CN355" s="38">
        <v>3</v>
      </c>
      <c r="CO355" s="28">
        <f t="shared" si="65"/>
        <v>1</v>
      </c>
      <c r="CP355" s="58"/>
    </row>
    <row r="356" spans="1:94" ht="17.25" hidden="1">
      <c r="A356" s="33">
        <v>352</v>
      </c>
      <c r="B356" s="55" t="s">
        <v>186</v>
      </c>
      <c r="C356" s="55">
        <f>IF(دانش‌آموزان!E34="","",دانش‌آموزان!B34)</f>
        <v>30</v>
      </c>
      <c r="D356" s="55" t="str">
        <f>IF(دانش‌آموزان!C34="","",دانش‌آموزان!C34)</f>
        <v>0970583893</v>
      </c>
      <c r="E356" s="55" t="str">
        <f>IF(دانش‌آموزان!E34="","",دانش‌آموزان!E34&amp;" "&amp;دانش‌آموزان!F34)</f>
        <v>محمديوسف مظهري</v>
      </c>
      <c r="F356" s="34">
        <f>IF(دانش‌آموزان!I34="","",دانش‌آموزان!I34)</f>
        <v>901</v>
      </c>
      <c r="G356" s="19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1"/>
      <c r="CC356" s="27" t="str">
        <f t="shared" si="55"/>
        <v/>
      </c>
      <c r="CD356" s="38" t="str">
        <f t="shared" si="56"/>
        <v/>
      </c>
      <c r="CE356" s="38" t="str">
        <f t="shared" si="57"/>
        <v/>
      </c>
      <c r="CF356" s="38" t="str">
        <f t="shared" si="58"/>
        <v/>
      </c>
      <c r="CG356" s="38" t="str">
        <f t="shared" si="59"/>
        <v/>
      </c>
      <c r="CH356" s="38" t="str">
        <f t="shared" si="60"/>
        <v/>
      </c>
      <c r="CI356" s="38" t="str">
        <f t="shared" si="61"/>
        <v/>
      </c>
      <c r="CJ356" s="38" t="str">
        <f t="shared" si="62"/>
        <v/>
      </c>
      <c r="CK356" s="38" t="str">
        <f t="shared" si="63"/>
        <v/>
      </c>
      <c r="CL356" s="38" t="str">
        <f>IF(C356="","",IF(COUNT(G356:AZ356)&lt;46,"",SUMPRODUCT(CC356:CK356,'تنظیمات وزن‌دهی'!$C$5:$C$13)/100))</f>
        <v/>
      </c>
      <c r="CM356" s="38" t="str">
        <f t="shared" si="64"/>
        <v/>
      </c>
      <c r="CN356" s="38">
        <v>4</v>
      </c>
      <c r="CO356" s="28">
        <f t="shared" si="65"/>
        <v>0</v>
      </c>
      <c r="CP356" s="58"/>
    </row>
    <row r="357" spans="1:94" ht="17.25" hidden="1">
      <c r="A357" s="33">
        <v>353</v>
      </c>
      <c r="B357" s="55" t="s">
        <v>187</v>
      </c>
      <c r="C357" s="55">
        <f>IF(دانش‌آموزان!E34="","",دانش‌آموزان!B34)</f>
        <v>30</v>
      </c>
      <c r="D357" s="55" t="str">
        <f>IF(دانش‌آموزان!C34="","",دانش‌آموزان!C34)</f>
        <v>0970583893</v>
      </c>
      <c r="E357" s="55" t="str">
        <f>IF(دانش‌آموزان!E34="","",دانش‌آموزان!E34&amp;" "&amp;دانش‌آموزان!F34)</f>
        <v>محمديوسف مظهري</v>
      </c>
      <c r="F357" s="34">
        <f>IF(دانش‌آموزان!I34="","",دانش‌آموزان!I34)</f>
        <v>901</v>
      </c>
      <c r="G357" s="19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1"/>
      <c r="CC357" s="27" t="str">
        <f t="shared" si="55"/>
        <v/>
      </c>
      <c r="CD357" s="38" t="str">
        <f t="shared" si="56"/>
        <v/>
      </c>
      <c r="CE357" s="38" t="str">
        <f t="shared" si="57"/>
        <v/>
      </c>
      <c r="CF357" s="38" t="str">
        <f t="shared" si="58"/>
        <v/>
      </c>
      <c r="CG357" s="38" t="str">
        <f t="shared" si="59"/>
        <v/>
      </c>
      <c r="CH357" s="38" t="str">
        <f t="shared" si="60"/>
        <v/>
      </c>
      <c r="CI357" s="38" t="str">
        <f t="shared" si="61"/>
        <v/>
      </c>
      <c r="CJ357" s="38" t="str">
        <f t="shared" si="62"/>
        <v/>
      </c>
      <c r="CK357" s="38" t="str">
        <f t="shared" si="63"/>
        <v/>
      </c>
      <c r="CL357" s="38" t="str">
        <f>IF(C357="","",IF(COUNT(G357:AZ357)&lt;46,"",SUMPRODUCT(CC357:CK357,'تنظیمات وزن‌دهی'!$C$5:$C$13)/100))</f>
        <v/>
      </c>
      <c r="CM357" s="38" t="str">
        <f t="shared" si="64"/>
        <v/>
      </c>
      <c r="CN357" s="38">
        <v>5</v>
      </c>
      <c r="CO357" s="28">
        <f t="shared" si="65"/>
        <v>0</v>
      </c>
      <c r="CP357" s="58"/>
    </row>
    <row r="358" spans="1:94" ht="17.25" hidden="1">
      <c r="A358" s="33">
        <v>354</v>
      </c>
      <c r="B358" s="55" t="s">
        <v>188</v>
      </c>
      <c r="C358" s="55">
        <f>IF(دانش‌آموزان!E34="","",دانش‌آموزان!B34)</f>
        <v>30</v>
      </c>
      <c r="D358" s="55" t="str">
        <f>IF(دانش‌آموزان!C34="","",دانش‌آموزان!C34)</f>
        <v>0970583893</v>
      </c>
      <c r="E358" s="55" t="str">
        <f>IF(دانش‌آموزان!E34="","",دانش‌آموزان!E34&amp;" "&amp;دانش‌آموزان!F34)</f>
        <v>محمديوسف مظهري</v>
      </c>
      <c r="F358" s="34">
        <f>IF(دانش‌آموزان!I34="","",دانش‌آموزان!I34)</f>
        <v>901</v>
      </c>
      <c r="G358" s="19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1"/>
      <c r="CC358" s="27" t="str">
        <f t="shared" si="55"/>
        <v/>
      </c>
      <c r="CD358" s="38" t="str">
        <f t="shared" si="56"/>
        <v/>
      </c>
      <c r="CE358" s="38" t="str">
        <f t="shared" si="57"/>
        <v/>
      </c>
      <c r="CF358" s="38" t="str">
        <f t="shared" si="58"/>
        <v/>
      </c>
      <c r="CG358" s="38" t="str">
        <f t="shared" si="59"/>
        <v/>
      </c>
      <c r="CH358" s="38" t="str">
        <f t="shared" si="60"/>
        <v/>
      </c>
      <c r="CI358" s="38" t="str">
        <f t="shared" si="61"/>
        <v/>
      </c>
      <c r="CJ358" s="38" t="str">
        <f t="shared" si="62"/>
        <v/>
      </c>
      <c r="CK358" s="38" t="str">
        <f t="shared" si="63"/>
        <v/>
      </c>
      <c r="CL358" s="38" t="str">
        <f>IF(C358="","",IF(COUNT(G358:AZ358)&lt;46,"",SUMPRODUCT(CC358:CK358,'تنظیمات وزن‌دهی'!$C$5:$C$13)/100))</f>
        <v/>
      </c>
      <c r="CM358" s="38" t="str">
        <f t="shared" si="64"/>
        <v/>
      </c>
      <c r="CN358" s="38">
        <v>6</v>
      </c>
      <c r="CO358" s="28">
        <f t="shared" si="65"/>
        <v>0</v>
      </c>
      <c r="CP358" s="58"/>
    </row>
    <row r="359" spans="1:94" ht="17.25" hidden="1">
      <c r="A359" s="33">
        <v>355</v>
      </c>
      <c r="B359" s="55" t="s">
        <v>189</v>
      </c>
      <c r="C359" s="55">
        <f>IF(دانش‌آموزان!E34="","",دانش‌آموزان!B34)</f>
        <v>30</v>
      </c>
      <c r="D359" s="55" t="str">
        <f>IF(دانش‌آموزان!C34="","",دانش‌آموزان!C34)</f>
        <v>0970583893</v>
      </c>
      <c r="E359" s="55" t="str">
        <f>IF(دانش‌آموزان!E34="","",دانش‌آموزان!E34&amp;" "&amp;دانش‌آموزان!F34)</f>
        <v>محمديوسف مظهري</v>
      </c>
      <c r="F359" s="34">
        <f>IF(دانش‌آموزان!I34="","",دانش‌آموزان!I34)</f>
        <v>901</v>
      </c>
      <c r="G359" s="19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1"/>
      <c r="CC359" s="27" t="str">
        <f t="shared" si="55"/>
        <v/>
      </c>
      <c r="CD359" s="38" t="str">
        <f t="shared" si="56"/>
        <v/>
      </c>
      <c r="CE359" s="38" t="str">
        <f t="shared" si="57"/>
        <v/>
      </c>
      <c r="CF359" s="38" t="str">
        <f t="shared" si="58"/>
        <v/>
      </c>
      <c r="CG359" s="38" t="str">
        <f t="shared" si="59"/>
        <v/>
      </c>
      <c r="CH359" s="38" t="str">
        <f t="shared" si="60"/>
        <v/>
      </c>
      <c r="CI359" s="38" t="str">
        <f t="shared" si="61"/>
        <v/>
      </c>
      <c r="CJ359" s="38" t="str">
        <f t="shared" si="62"/>
        <v/>
      </c>
      <c r="CK359" s="38" t="str">
        <f t="shared" si="63"/>
        <v/>
      </c>
      <c r="CL359" s="38" t="str">
        <f>IF(C359="","",IF(COUNT(G359:AZ359)&lt;46,"",SUMPRODUCT(CC359:CK359,'تنظیمات وزن‌دهی'!$C$5:$C$13)/100))</f>
        <v/>
      </c>
      <c r="CM359" s="38" t="str">
        <f t="shared" si="64"/>
        <v/>
      </c>
      <c r="CN359" s="38">
        <v>7</v>
      </c>
      <c r="CO359" s="28">
        <f t="shared" si="65"/>
        <v>0</v>
      </c>
      <c r="CP359" s="58"/>
    </row>
    <row r="360" spans="1:94" ht="17.25" hidden="1">
      <c r="A360" s="33">
        <v>356</v>
      </c>
      <c r="B360" s="55" t="s">
        <v>190</v>
      </c>
      <c r="C360" s="55">
        <f>IF(دانش‌آموزان!E34="","",دانش‌آموزان!B34)</f>
        <v>30</v>
      </c>
      <c r="D360" s="55" t="str">
        <f>IF(دانش‌آموزان!C34="","",دانش‌آموزان!C34)</f>
        <v>0970583893</v>
      </c>
      <c r="E360" s="55" t="str">
        <f>IF(دانش‌آموزان!E34="","",دانش‌آموزان!E34&amp;" "&amp;دانش‌آموزان!F34)</f>
        <v>محمديوسف مظهري</v>
      </c>
      <c r="F360" s="34">
        <f>IF(دانش‌آموزان!I34="","",دانش‌آموزان!I34)</f>
        <v>901</v>
      </c>
      <c r="G360" s="19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1"/>
      <c r="CC360" s="27" t="str">
        <f t="shared" si="55"/>
        <v/>
      </c>
      <c r="CD360" s="38" t="str">
        <f t="shared" si="56"/>
        <v/>
      </c>
      <c r="CE360" s="38" t="str">
        <f t="shared" si="57"/>
        <v/>
      </c>
      <c r="CF360" s="38" t="str">
        <f t="shared" si="58"/>
        <v/>
      </c>
      <c r="CG360" s="38" t="str">
        <f t="shared" si="59"/>
        <v/>
      </c>
      <c r="CH360" s="38" t="str">
        <f t="shared" si="60"/>
        <v/>
      </c>
      <c r="CI360" s="38" t="str">
        <f t="shared" si="61"/>
        <v/>
      </c>
      <c r="CJ360" s="38" t="str">
        <f t="shared" si="62"/>
        <v/>
      </c>
      <c r="CK360" s="38" t="str">
        <f t="shared" si="63"/>
        <v/>
      </c>
      <c r="CL360" s="38" t="str">
        <f>IF(C360="","",IF(COUNT(G360:AZ360)&lt;46,"",SUMPRODUCT(CC360:CK360,'تنظیمات وزن‌دهی'!$C$5:$C$13)/100))</f>
        <v/>
      </c>
      <c r="CM360" s="38" t="str">
        <f t="shared" si="64"/>
        <v/>
      </c>
      <c r="CN360" s="38">
        <v>8</v>
      </c>
      <c r="CO360" s="28">
        <f t="shared" si="65"/>
        <v>0</v>
      </c>
      <c r="CP360" s="58"/>
    </row>
    <row r="361" spans="1:94" ht="17.25" hidden="1">
      <c r="A361" s="33">
        <v>357</v>
      </c>
      <c r="B361" s="55" t="s">
        <v>191</v>
      </c>
      <c r="C361" s="55">
        <f>IF(دانش‌آموزان!E34="","",دانش‌آموزان!B34)</f>
        <v>30</v>
      </c>
      <c r="D361" s="55" t="str">
        <f>IF(دانش‌آموزان!C34="","",دانش‌آموزان!C34)</f>
        <v>0970583893</v>
      </c>
      <c r="E361" s="55" t="str">
        <f>IF(دانش‌آموزان!E34="","",دانش‌آموزان!E34&amp;" "&amp;دانش‌آموزان!F34)</f>
        <v>محمديوسف مظهري</v>
      </c>
      <c r="F361" s="34">
        <f>IF(دانش‌آموزان!I34="","",دانش‌آموزان!I34)</f>
        <v>901</v>
      </c>
      <c r="G361" s="19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1"/>
      <c r="CC361" s="27" t="str">
        <f t="shared" si="55"/>
        <v/>
      </c>
      <c r="CD361" s="38" t="str">
        <f t="shared" si="56"/>
        <v/>
      </c>
      <c r="CE361" s="38" t="str">
        <f t="shared" si="57"/>
        <v/>
      </c>
      <c r="CF361" s="38" t="str">
        <f t="shared" si="58"/>
        <v/>
      </c>
      <c r="CG361" s="38" t="str">
        <f t="shared" si="59"/>
        <v/>
      </c>
      <c r="CH361" s="38" t="str">
        <f t="shared" si="60"/>
        <v/>
      </c>
      <c r="CI361" s="38" t="str">
        <f t="shared" si="61"/>
        <v/>
      </c>
      <c r="CJ361" s="38" t="str">
        <f t="shared" si="62"/>
        <v/>
      </c>
      <c r="CK361" s="38" t="str">
        <f t="shared" si="63"/>
        <v/>
      </c>
      <c r="CL361" s="38" t="str">
        <f>IF(C361="","",IF(COUNT(G361:AZ361)&lt;46,"",SUMPRODUCT(CC361:CK361,'تنظیمات وزن‌دهی'!$C$5:$C$13)/100))</f>
        <v/>
      </c>
      <c r="CM361" s="38" t="str">
        <f t="shared" si="64"/>
        <v/>
      </c>
      <c r="CN361" s="38">
        <v>9</v>
      </c>
      <c r="CO361" s="28">
        <f t="shared" si="65"/>
        <v>0</v>
      </c>
      <c r="CP361" s="58"/>
    </row>
    <row r="362" spans="1:94" ht="17.25" hidden="1">
      <c r="A362" s="33">
        <v>358</v>
      </c>
      <c r="B362" s="55" t="s">
        <v>192</v>
      </c>
      <c r="C362" s="55">
        <f>IF(دانش‌آموزان!E34="","",دانش‌آموزان!B34)</f>
        <v>30</v>
      </c>
      <c r="D362" s="55" t="str">
        <f>IF(دانش‌آموزان!C34="","",دانش‌آموزان!C34)</f>
        <v>0970583893</v>
      </c>
      <c r="E362" s="55" t="str">
        <f>IF(دانش‌آموزان!E34="","",دانش‌آموزان!E34&amp;" "&amp;دانش‌آموزان!F34)</f>
        <v>محمديوسف مظهري</v>
      </c>
      <c r="F362" s="34">
        <f>IF(دانش‌آموزان!I34="","",دانش‌آموزان!I34)</f>
        <v>901</v>
      </c>
      <c r="G362" s="19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1"/>
      <c r="CC362" s="27" t="str">
        <f t="shared" si="55"/>
        <v/>
      </c>
      <c r="CD362" s="38" t="str">
        <f t="shared" si="56"/>
        <v/>
      </c>
      <c r="CE362" s="38" t="str">
        <f t="shared" si="57"/>
        <v/>
      </c>
      <c r="CF362" s="38" t="str">
        <f t="shared" si="58"/>
        <v/>
      </c>
      <c r="CG362" s="38" t="str">
        <f t="shared" si="59"/>
        <v/>
      </c>
      <c r="CH362" s="38" t="str">
        <f t="shared" si="60"/>
        <v/>
      </c>
      <c r="CI362" s="38" t="str">
        <f t="shared" si="61"/>
        <v/>
      </c>
      <c r="CJ362" s="38" t="str">
        <f t="shared" si="62"/>
        <v/>
      </c>
      <c r="CK362" s="38" t="str">
        <f t="shared" si="63"/>
        <v/>
      </c>
      <c r="CL362" s="38" t="str">
        <f>IF(C362="","",IF(COUNT(G362:AZ362)&lt;46,"",SUMPRODUCT(CC362:CK362,'تنظیمات وزن‌دهی'!$C$5:$C$13)/100))</f>
        <v/>
      </c>
      <c r="CM362" s="38" t="str">
        <f t="shared" si="64"/>
        <v/>
      </c>
      <c r="CN362" s="38">
        <v>10</v>
      </c>
      <c r="CO362" s="28">
        <f t="shared" si="65"/>
        <v>0</v>
      </c>
      <c r="CP362" s="58"/>
    </row>
    <row r="363" spans="1:94" ht="17.25" hidden="1">
      <c r="A363" s="33">
        <v>359</v>
      </c>
      <c r="B363" s="55" t="s">
        <v>193</v>
      </c>
      <c r="C363" s="55">
        <f>IF(دانش‌آموزان!E34="","",دانش‌آموزان!B34)</f>
        <v>30</v>
      </c>
      <c r="D363" s="55" t="str">
        <f>IF(دانش‌آموزان!C34="","",دانش‌آموزان!C34)</f>
        <v>0970583893</v>
      </c>
      <c r="E363" s="55" t="str">
        <f>IF(دانش‌آموزان!E34="","",دانش‌آموزان!E34&amp;" "&amp;دانش‌آموزان!F34)</f>
        <v>محمديوسف مظهري</v>
      </c>
      <c r="F363" s="34">
        <f>IF(دانش‌آموزان!I34="","",دانش‌آموزان!I34)</f>
        <v>901</v>
      </c>
      <c r="G363" s="19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1"/>
      <c r="CC363" s="27" t="str">
        <f t="shared" si="55"/>
        <v/>
      </c>
      <c r="CD363" s="38" t="str">
        <f t="shared" si="56"/>
        <v/>
      </c>
      <c r="CE363" s="38" t="str">
        <f t="shared" si="57"/>
        <v/>
      </c>
      <c r="CF363" s="38" t="str">
        <f t="shared" si="58"/>
        <v/>
      </c>
      <c r="CG363" s="38" t="str">
        <f t="shared" si="59"/>
        <v/>
      </c>
      <c r="CH363" s="38" t="str">
        <f t="shared" si="60"/>
        <v/>
      </c>
      <c r="CI363" s="38" t="str">
        <f t="shared" si="61"/>
        <v/>
      </c>
      <c r="CJ363" s="38" t="str">
        <f t="shared" si="62"/>
        <v/>
      </c>
      <c r="CK363" s="38" t="str">
        <f t="shared" si="63"/>
        <v/>
      </c>
      <c r="CL363" s="38" t="str">
        <f>IF(C363="","",IF(COUNT(G363:AZ363)&lt;46,"",SUMPRODUCT(CC363:CK363,'تنظیمات وزن‌دهی'!$C$5:$C$13)/100))</f>
        <v/>
      </c>
      <c r="CM363" s="38" t="str">
        <f t="shared" si="64"/>
        <v/>
      </c>
      <c r="CN363" s="38">
        <v>11</v>
      </c>
      <c r="CO363" s="28">
        <f t="shared" si="65"/>
        <v>0</v>
      </c>
      <c r="CP363" s="58"/>
    </row>
    <row r="364" spans="1:94" ht="17.25" hidden="1">
      <c r="A364" s="33">
        <v>360</v>
      </c>
      <c r="B364" s="55" t="s">
        <v>194</v>
      </c>
      <c r="C364" s="55">
        <f>IF(دانش‌آموزان!E34="","",دانش‌آموزان!B34)</f>
        <v>30</v>
      </c>
      <c r="D364" s="55" t="str">
        <f>IF(دانش‌آموزان!C34="","",دانش‌آموزان!C34)</f>
        <v>0970583893</v>
      </c>
      <c r="E364" s="55" t="str">
        <f>IF(دانش‌آموزان!E34="","",دانش‌آموزان!E34&amp;" "&amp;دانش‌آموزان!F34)</f>
        <v>محمديوسف مظهري</v>
      </c>
      <c r="F364" s="34">
        <f>IF(دانش‌آموزان!I34="","",دانش‌آموزان!I34)</f>
        <v>901</v>
      </c>
      <c r="G364" s="19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1"/>
      <c r="CC364" s="27" t="str">
        <f t="shared" si="55"/>
        <v/>
      </c>
      <c r="CD364" s="38" t="str">
        <f t="shared" si="56"/>
        <v/>
      </c>
      <c r="CE364" s="38" t="str">
        <f t="shared" si="57"/>
        <v/>
      </c>
      <c r="CF364" s="38" t="str">
        <f t="shared" si="58"/>
        <v/>
      </c>
      <c r="CG364" s="38" t="str">
        <f t="shared" si="59"/>
        <v/>
      </c>
      <c r="CH364" s="38" t="str">
        <f t="shared" si="60"/>
        <v/>
      </c>
      <c r="CI364" s="38" t="str">
        <f t="shared" si="61"/>
        <v/>
      </c>
      <c r="CJ364" s="38" t="str">
        <f t="shared" si="62"/>
        <v/>
      </c>
      <c r="CK364" s="38" t="str">
        <f t="shared" si="63"/>
        <v/>
      </c>
      <c r="CL364" s="38" t="str">
        <f>IF(C364="","",IF(COUNT(G364:AZ364)&lt;46,"",SUMPRODUCT(CC364:CK364,'تنظیمات وزن‌دهی'!$C$5:$C$13)/100))</f>
        <v/>
      </c>
      <c r="CM364" s="38" t="str">
        <f t="shared" si="64"/>
        <v/>
      </c>
      <c r="CN364" s="38">
        <v>12</v>
      </c>
      <c r="CO364" s="28">
        <f t="shared" si="65"/>
        <v>0</v>
      </c>
      <c r="CP364" s="58"/>
    </row>
    <row r="365" spans="1:94" ht="17.25" hidden="1">
      <c r="A365" s="33">
        <v>361</v>
      </c>
      <c r="B365" s="55" t="s">
        <v>183</v>
      </c>
      <c r="C365" s="55">
        <f>IF(دانش‌آموزان!E35="","",دانش‌آموزان!B35)</f>
        <v>31</v>
      </c>
      <c r="D365" s="55">
        <f>IF(دانش‌آموزان!C35="","",دانش‌آموزان!C35)</f>
        <v>2285780362</v>
      </c>
      <c r="E365" s="55" t="str">
        <f>IF(دانش‌آموزان!E35="","",دانش‌آموزان!E35&amp;" "&amp;دانش‌آموزان!F35)</f>
        <v>پارسامهر وزيري</v>
      </c>
      <c r="F365" s="34">
        <f>IF(دانش‌آموزان!I35="","",دانش‌آموزان!I35)</f>
        <v>901</v>
      </c>
      <c r="G365" s="19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1"/>
      <c r="CC365" s="27" t="str">
        <f t="shared" si="55"/>
        <v/>
      </c>
      <c r="CD365" s="38" t="str">
        <f t="shared" si="56"/>
        <v/>
      </c>
      <c r="CE365" s="38" t="str">
        <f t="shared" si="57"/>
        <v/>
      </c>
      <c r="CF365" s="38" t="str">
        <f t="shared" si="58"/>
        <v/>
      </c>
      <c r="CG365" s="38" t="str">
        <f t="shared" si="59"/>
        <v/>
      </c>
      <c r="CH365" s="38" t="str">
        <f t="shared" si="60"/>
        <v/>
      </c>
      <c r="CI365" s="38" t="str">
        <f t="shared" si="61"/>
        <v/>
      </c>
      <c r="CJ365" s="38" t="str">
        <f t="shared" si="62"/>
        <v/>
      </c>
      <c r="CK365" s="38" t="str">
        <f t="shared" si="63"/>
        <v/>
      </c>
      <c r="CL365" s="38" t="str">
        <f>IF(C365="","",IF(COUNT(G365:AZ365)&lt;46,"",SUMPRODUCT(CC365:CK365,'تنظیمات وزن‌دهی'!$C$5:$C$13)/100))</f>
        <v/>
      </c>
      <c r="CM365" s="38" t="str">
        <f t="shared" si="64"/>
        <v/>
      </c>
      <c r="CN365" s="38">
        <v>1</v>
      </c>
      <c r="CO365" s="28">
        <f t="shared" si="65"/>
        <v>0</v>
      </c>
      <c r="CP365" s="58"/>
    </row>
    <row r="366" spans="1:94" ht="17.25" hidden="1">
      <c r="A366" s="33">
        <v>362</v>
      </c>
      <c r="B366" s="55" t="s">
        <v>184</v>
      </c>
      <c r="C366" s="55">
        <f>IF(دانش‌آموزان!E35="","",دانش‌آموزان!B35)</f>
        <v>31</v>
      </c>
      <c r="D366" s="55">
        <f>IF(دانش‌آموزان!C35="","",دانش‌آموزان!C35)</f>
        <v>2285780362</v>
      </c>
      <c r="E366" s="55" t="str">
        <f>IF(دانش‌آموزان!E35="","",دانش‌آموزان!E35&amp;" "&amp;دانش‌آموزان!F35)</f>
        <v>پارسامهر وزيري</v>
      </c>
      <c r="F366" s="34">
        <f>IF(دانش‌آموزان!I35="","",دانش‌آموزان!I35)</f>
        <v>901</v>
      </c>
      <c r="G366" s="19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1"/>
      <c r="CC366" s="27" t="str">
        <f t="shared" si="55"/>
        <v/>
      </c>
      <c r="CD366" s="38" t="str">
        <f t="shared" si="56"/>
        <v/>
      </c>
      <c r="CE366" s="38" t="str">
        <f t="shared" si="57"/>
        <v/>
      </c>
      <c r="CF366" s="38" t="str">
        <f t="shared" si="58"/>
        <v/>
      </c>
      <c r="CG366" s="38" t="str">
        <f t="shared" si="59"/>
        <v/>
      </c>
      <c r="CH366" s="38" t="str">
        <f t="shared" si="60"/>
        <v/>
      </c>
      <c r="CI366" s="38" t="str">
        <f t="shared" si="61"/>
        <v/>
      </c>
      <c r="CJ366" s="38" t="str">
        <f t="shared" si="62"/>
        <v/>
      </c>
      <c r="CK366" s="38" t="str">
        <f t="shared" si="63"/>
        <v/>
      </c>
      <c r="CL366" s="38" t="str">
        <f>IF(C366="","",IF(COUNT(G366:AZ366)&lt;46,"",SUMPRODUCT(CC366:CK366,'تنظیمات وزن‌دهی'!$C$5:$C$13)/100))</f>
        <v/>
      </c>
      <c r="CM366" s="38" t="str">
        <f t="shared" si="64"/>
        <v/>
      </c>
      <c r="CN366" s="38">
        <v>2</v>
      </c>
      <c r="CO366" s="28">
        <f t="shared" si="65"/>
        <v>0</v>
      </c>
      <c r="CP366" s="58"/>
    </row>
    <row r="367" spans="1:94" ht="17.25">
      <c r="A367" s="33">
        <v>363</v>
      </c>
      <c r="B367" s="55" t="s">
        <v>185</v>
      </c>
      <c r="C367" s="55">
        <f>IF(دانش‌آموزان!E35="","",دانش‌آموزان!B35)</f>
        <v>31</v>
      </c>
      <c r="D367" s="55">
        <f>IF(دانش‌آموزان!C35="","",دانش‌آموزان!C35)</f>
        <v>2285780362</v>
      </c>
      <c r="E367" s="55" t="str">
        <f>IF(دانش‌آموزان!E35="","",دانش‌آموزان!E35&amp;" "&amp;دانش‌آموزان!F35)</f>
        <v>پارسامهر وزيري</v>
      </c>
      <c r="F367" s="34">
        <f>IF(دانش‌آموزان!I35="","",دانش‌آموزان!I35)</f>
        <v>901</v>
      </c>
      <c r="G367" s="19">
        <v>18.829999999999998</v>
      </c>
      <c r="H367" s="20">
        <v>-5.88</v>
      </c>
      <c r="I367" s="20">
        <v>0</v>
      </c>
      <c r="J367" s="20">
        <v>4</v>
      </c>
      <c r="K367" s="20">
        <v>0</v>
      </c>
      <c r="L367" s="20">
        <v>0</v>
      </c>
      <c r="M367" s="20">
        <v>0</v>
      </c>
      <c r="N367" s="20">
        <v>0</v>
      </c>
      <c r="O367" s="20">
        <v>4</v>
      </c>
      <c r="P367" s="20">
        <v>4</v>
      </c>
      <c r="Q367" s="20">
        <v>4</v>
      </c>
      <c r="R367" s="20">
        <v>4</v>
      </c>
      <c r="S367" s="20">
        <v>0</v>
      </c>
      <c r="T367" s="20">
        <v>0</v>
      </c>
      <c r="U367" s="20">
        <v>4</v>
      </c>
      <c r="V367" s="20">
        <v>4</v>
      </c>
      <c r="W367" s="20">
        <v>5</v>
      </c>
      <c r="X367" s="20">
        <v>4</v>
      </c>
      <c r="Y367" s="20">
        <v>4</v>
      </c>
      <c r="Z367" s="20">
        <v>4</v>
      </c>
      <c r="AA367" s="20">
        <v>0</v>
      </c>
      <c r="AB367" s="20">
        <v>0</v>
      </c>
      <c r="AC367" s="20">
        <v>0</v>
      </c>
      <c r="AD367" s="20">
        <v>0</v>
      </c>
      <c r="AE367" s="20">
        <v>0</v>
      </c>
      <c r="AF367" s="20">
        <v>0</v>
      </c>
      <c r="AG367" s="20">
        <v>0</v>
      </c>
      <c r="AH367" s="20">
        <v>0</v>
      </c>
      <c r="AI367" s="20">
        <v>0</v>
      </c>
      <c r="AJ367" s="20">
        <v>0</v>
      </c>
      <c r="AK367" s="20">
        <v>0</v>
      </c>
      <c r="AL367" s="20">
        <v>0</v>
      </c>
      <c r="AM367" s="20">
        <v>0</v>
      </c>
      <c r="AN367" s="20">
        <v>0</v>
      </c>
      <c r="AO367" s="20">
        <v>0</v>
      </c>
      <c r="AP367" s="20">
        <v>0</v>
      </c>
      <c r="AQ367" s="20">
        <v>0</v>
      </c>
      <c r="AR367" s="20">
        <v>0</v>
      </c>
      <c r="AS367" s="20">
        <v>0</v>
      </c>
      <c r="AT367" s="20">
        <v>0</v>
      </c>
      <c r="AU367" s="20">
        <v>0</v>
      </c>
      <c r="AV367" s="20">
        <v>0</v>
      </c>
      <c r="AW367" s="20">
        <v>0</v>
      </c>
      <c r="AX367" s="20">
        <v>0</v>
      </c>
      <c r="AY367" s="20">
        <v>0</v>
      </c>
      <c r="AZ367" s="20">
        <v>0</v>
      </c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1"/>
      <c r="CC367" s="27">
        <f t="shared" si="55"/>
        <v>8.4749999999999996</v>
      </c>
      <c r="CD367" s="38">
        <f t="shared" si="56"/>
        <v>12.8</v>
      </c>
      <c r="CE367" s="38">
        <f t="shared" si="57"/>
        <v>8</v>
      </c>
      <c r="CF367" s="38">
        <f t="shared" si="58"/>
        <v>16.8</v>
      </c>
      <c r="CG367" s="38">
        <f t="shared" si="59"/>
        <v>0</v>
      </c>
      <c r="CH367" s="38">
        <f t="shared" si="60"/>
        <v>0</v>
      </c>
      <c r="CI367" s="38">
        <f t="shared" si="61"/>
        <v>0</v>
      </c>
      <c r="CJ367" s="38">
        <f t="shared" si="62"/>
        <v>0</v>
      </c>
      <c r="CK367" s="38">
        <f t="shared" si="63"/>
        <v>0</v>
      </c>
      <c r="CL367" s="38" t="e">
        <f>IF(C367="","",IF(COUNT(G367:AZ367)&lt;46,"",SUMPRODUCT(CC367:CK367,'تنظیمات وزن‌دهی'!$C$5:$C$13)/100))</f>
        <v>#VALUE!</v>
      </c>
      <c r="CM367" s="38" t="e">
        <f t="shared" si="64"/>
        <v>#VALUE!</v>
      </c>
      <c r="CN367" s="38">
        <v>3</v>
      </c>
      <c r="CO367" s="28">
        <f t="shared" si="65"/>
        <v>1</v>
      </c>
      <c r="CP367" s="58"/>
    </row>
    <row r="368" spans="1:94" ht="17.25" hidden="1">
      <c r="A368" s="33">
        <v>364</v>
      </c>
      <c r="B368" s="55" t="s">
        <v>186</v>
      </c>
      <c r="C368" s="55">
        <f>IF(دانش‌آموزان!E35="","",دانش‌آموزان!B35)</f>
        <v>31</v>
      </c>
      <c r="D368" s="55">
        <f>IF(دانش‌آموزان!C35="","",دانش‌آموزان!C35)</f>
        <v>2285780362</v>
      </c>
      <c r="E368" s="55" t="str">
        <f>IF(دانش‌آموزان!E35="","",دانش‌آموزان!E35&amp;" "&amp;دانش‌آموزان!F35)</f>
        <v>پارسامهر وزيري</v>
      </c>
      <c r="F368" s="34">
        <f>IF(دانش‌آموزان!I35="","",دانش‌آموزان!I35)</f>
        <v>901</v>
      </c>
      <c r="G368" s="19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1"/>
      <c r="CC368" s="27" t="str">
        <f t="shared" si="55"/>
        <v/>
      </c>
      <c r="CD368" s="38" t="str">
        <f t="shared" si="56"/>
        <v/>
      </c>
      <c r="CE368" s="38" t="str">
        <f t="shared" si="57"/>
        <v/>
      </c>
      <c r="CF368" s="38" t="str">
        <f t="shared" si="58"/>
        <v/>
      </c>
      <c r="CG368" s="38" t="str">
        <f t="shared" si="59"/>
        <v/>
      </c>
      <c r="CH368" s="38" t="str">
        <f t="shared" si="60"/>
        <v/>
      </c>
      <c r="CI368" s="38" t="str">
        <f t="shared" si="61"/>
        <v/>
      </c>
      <c r="CJ368" s="38" t="str">
        <f t="shared" si="62"/>
        <v/>
      </c>
      <c r="CK368" s="38" t="str">
        <f t="shared" si="63"/>
        <v/>
      </c>
      <c r="CL368" s="38" t="str">
        <f>IF(C368="","",IF(COUNT(G368:AZ368)&lt;46,"",SUMPRODUCT(CC368:CK368,'تنظیمات وزن‌دهی'!$C$5:$C$13)/100))</f>
        <v/>
      </c>
      <c r="CM368" s="38" t="str">
        <f t="shared" si="64"/>
        <v/>
      </c>
      <c r="CN368" s="38">
        <v>4</v>
      </c>
      <c r="CO368" s="28">
        <f t="shared" si="65"/>
        <v>0</v>
      </c>
      <c r="CP368" s="58"/>
    </row>
    <row r="369" spans="1:94" ht="17.25" hidden="1">
      <c r="A369" s="33">
        <v>365</v>
      </c>
      <c r="B369" s="55" t="s">
        <v>187</v>
      </c>
      <c r="C369" s="55">
        <f>IF(دانش‌آموزان!E35="","",دانش‌آموزان!B35)</f>
        <v>31</v>
      </c>
      <c r="D369" s="55">
        <f>IF(دانش‌آموزان!C35="","",دانش‌آموزان!C35)</f>
        <v>2285780362</v>
      </c>
      <c r="E369" s="55" t="str">
        <f>IF(دانش‌آموزان!E35="","",دانش‌آموزان!E35&amp;" "&amp;دانش‌آموزان!F35)</f>
        <v>پارسامهر وزيري</v>
      </c>
      <c r="F369" s="34">
        <f>IF(دانش‌آموزان!I35="","",دانش‌آموزان!I35)</f>
        <v>901</v>
      </c>
      <c r="G369" s="19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1"/>
      <c r="CC369" s="27" t="str">
        <f t="shared" si="55"/>
        <v/>
      </c>
      <c r="CD369" s="38" t="str">
        <f t="shared" si="56"/>
        <v/>
      </c>
      <c r="CE369" s="38" t="str">
        <f t="shared" si="57"/>
        <v/>
      </c>
      <c r="CF369" s="38" t="str">
        <f t="shared" si="58"/>
        <v/>
      </c>
      <c r="CG369" s="38" t="str">
        <f t="shared" si="59"/>
        <v/>
      </c>
      <c r="CH369" s="38" t="str">
        <f t="shared" si="60"/>
        <v/>
      </c>
      <c r="CI369" s="38" t="str">
        <f t="shared" si="61"/>
        <v/>
      </c>
      <c r="CJ369" s="38" t="str">
        <f t="shared" si="62"/>
        <v/>
      </c>
      <c r="CK369" s="38" t="str">
        <f t="shared" si="63"/>
        <v/>
      </c>
      <c r="CL369" s="38" t="str">
        <f>IF(C369="","",IF(COUNT(G369:AZ369)&lt;46,"",SUMPRODUCT(CC369:CK369,'تنظیمات وزن‌دهی'!$C$5:$C$13)/100))</f>
        <v/>
      </c>
      <c r="CM369" s="38" t="str">
        <f t="shared" si="64"/>
        <v/>
      </c>
      <c r="CN369" s="38">
        <v>5</v>
      </c>
      <c r="CO369" s="28">
        <f t="shared" si="65"/>
        <v>0</v>
      </c>
      <c r="CP369" s="58"/>
    </row>
    <row r="370" spans="1:94" ht="17.25" hidden="1">
      <c r="A370" s="33">
        <v>366</v>
      </c>
      <c r="B370" s="55" t="s">
        <v>188</v>
      </c>
      <c r="C370" s="55">
        <f>IF(دانش‌آموزان!E35="","",دانش‌آموزان!B35)</f>
        <v>31</v>
      </c>
      <c r="D370" s="55">
        <f>IF(دانش‌آموزان!C35="","",دانش‌آموزان!C35)</f>
        <v>2285780362</v>
      </c>
      <c r="E370" s="55" t="str">
        <f>IF(دانش‌آموزان!E35="","",دانش‌آموزان!E35&amp;" "&amp;دانش‌آموزان!F35)</f>
        <v>پارسامهر وزيري</v>
      </c>
      <c r="F370" s="34">
        <f>IF(دانش‌آموزان!I35="","",دانش‌آموزان!I35)</f>
        <v>901</v>
      </c>
      <c r="G370" s="19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1"/>
      <c r="CC370" s="27" t="str">
        <f t="shared" si="55"/>
        <v/>
      </c>
      <c r="CD370" s="38" t="str">
        <f t="shared" si="56"/>
        <v/>
      </c>
      <c r="CE370" s="38" t="str">
        <f t="shared" si="57"/>
        <v/>
      </c>
      <c r="CF370" s="38" t="str">
        <f t="shared" si="58"/>
        <v/>
      </c>
      <c r="CG370" s="38" t="str">
        <f t="shared" si="59"/>
        <v/>
      </c>
      <c r="CH370" s="38" t="str">
        <f t="shared" si="60"/>
        <v/>
      </c>
      <c r="CI370" s="38" t="str">
        <f t="shared" si="61"/>
        <v/>
      </c>
      <c r="CJ370" s="38" t="str">
        <f t="shared" si="62"/>
        <v/>
      </c>
      <c r="CK370" s="38" t="str">
        <f t="shared" si="63"/>
        <v/>
      </c>
      <c r="CL370" s="38" t="str">
        <f>IF(C370="","",IF(COUNT(G370:AZ370)&lt;46,"",SUMPRODUCT(CC370:CK370,'تنظیمات وزن‌دهی'!$C$5:$C$13)/100))</f>
        <v/>
      </c>
      <c r="CM370" s="38" t="str">
        <f t="shared" si="64"/>
        <v/>
      </c>
      <c r="CN370" s="38">
        <v>6</v>
      </c>
      <c r="CO370" s="28">
        <f t="shared" si="65"/>
        <v>0</v>
      </c>
      <c r="CP370" s="58"/>
    </row>
    <row r="371" spans="1:94" ht="17.25" hidden="1">
      <c r="A371" s="33">
        <v>367</v>
      </c>
      <c r="B371" s="55" t="s">
        <v>189</v>
      </c>
      <c r="C371" s="55">
        <f>IF(دانش‌آموزان!E35="","",دانش‌آموزان!B35)</f>
        <v>31</v>
      </c>
      <c r="D371" s="55">
        <f>IF(دانش‌آموزان!C35="","",دانش‌آموزان!C35)</f>
        <v>2285780362</v>
      </c>
      <c r="E371" s="55" t="str">
        <f>IF(دانش‌آموزان!E35="","",دانش‌آموزان!E35&amp;" "&amp;دانش‌آموزان!F35)</f>
        <v>پارسامهر وزيري</v>
      </c>
      <c r="F371" s="34">
        <f>IF(دانش‌آموزان!I35="","",دانش‌آموزان!I35)</f>
        <v>901</v>
      </c>
      <c r="G371" s="19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1"/>
      <c r="CC371" s="27" t="str">
        <f t="shared" si="55"/>
        <v/>
      </c>
      <c r="CD371" s="38" t="str">
        <f t="shared" si="56"/>
        <v/>
      </c>
      <c r="CE371" s="38" t="str">
        <f t="shared" si="57"/>
        <v/>
      </c>
      <c r="CF371" s="38" t="str">
        <f t="shared" si="58"/>
        <v/>
      </c>
      <c r="CG371" s="38" t="str">
        <f t="shared" si="59"/>
        <v/>
      </c>
      <c r="CH371" s="38" t="str">
        <f t="shared" si="60"/>
        <v/>
      </c>
      <c r="CI371" s="38" t="str">
        <f t="shared" si="61"/>
        <v/>
      </c>
      <c r="CJ371" s="38" t="str">
        <f t="shared" si="62"/>
        <v/>
      </c>
      <c r="CK371" s="38" t="str">
        <f t="shared" si="63"/>
        <v/>
      </c>
      <c r="CL371" s="38" t="str">
        <f>IF(C371="","",IF(COUNT(G371:AZ371)&lt;46,"",SUMPRODUCT(CC371:CK371,'تنظیمات وزن‌دهی'!$C$5:$C$13)/100))</f>
        <v/>
      </c>
      <c r="CM371" s="38" t="str">
        <f t="shared" si="64"/>
        <v/>
      </c>
      <c r="CN371" s="38">
        <v>7</v>
      </c>
      <c r="CO371" s="28">
        <f t="shared" si="65"/>
        <v>0</v>
      </c>
      <c r="CP371" s="58"/>
    </row>
    <row r="372" spans="1:94" ht="17.25" hidden="1">
      <c r="A372" s="33">
        <v>368</v>
      </c>
      <c r="B372" s="55" t="s">
        <v>190</v>
      </c>
      <c r="C372" s="55">
        <f>IF(دانش‌آموزان!E35="","",دانش‌آموزان!B35)</f>
        <v>31</v>
      </c>
      <c r="D372" s="55">
        <f>IF(دانش‌آموزان!C35="","",دانش‌آموزان!C35)</f>
        <v>2285780362</v>
      </c>
      <c r="E372" s="55" t="str">
        <f>IF(دانش‌آموزان!E35="","",دانش‌آموزان!E35&amp;" "&amp;دانش‌آموزان!F35)</f>
        <v>پارسامهر وزيري</v>
      </c>
      <c r="F372" s="34">
        <f>IF(دانش‌آموزان!I35="","",دانش‌آموزان!I35)</f>
        <v>901</v>
      </c>
      <c r="G372" s="19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1"/>
      <c r="CC372" s="27" t="str">
        <f t="shared" si="55"/>
        <v/>
      </c>
      <c r="CD372" s="38" t="str">
        <f t="shared" si="56"/>
        <v/>
      </c>
      <c r="CE372" s="38" t="str">
        <f t="shared" si="57"/>
        <v/>
      </c>
      <c r="CF372" s="38" t="str">
        <f t="shared" si="58"/>
        <v/>
      </c>
      <c r="CG372" s="38" t="str">
        <f t="shared" si="59"/>
        <v/>
      </c>
      <c r="CH372" s="38" t="str">
        <f t="shared" si="60"/>
        <v/>
      </c>
      <c r="CI372" s="38" t="str">
        <f t="shared" si="61"/>
        <v/>
      </c>
      <c r="CJ372" s="38" t="str">
        <f t="shared" si="62"/>
        <v/>
      </c>
      <c r="CK372" s="38" t="str">
        <f t="shared" si="63"/>
        <v/>
      </c>
      <c r="CL372" s="38" t="str">
        <f>IF(C372="","",IF(COUNT(G372:AZ372)&lt;46,"",SUMPRODUCT(CC372:CK372,'تنظیمات وزن‌دهی'!$C$5:$C$13)/100))</f>
        <v/>
      </c>
      <c r="CM372" s="38" t="str">
        <f t="shared" si="64"/>
        <v/>
      </c>
      <c r="CN372" s="38">
        <v>8</v>
      </c>
      <c r="CO372" s="28">
        <f t="shared" si="65"/>
        <v>0</v>
      </c>
      <c r="CP372" s="58"/>
    </row>
    <row r="373" spans="1:94" ht="17.25" hidden="1">
      <c r="A373" s="33">
        <v>369</v>
      </c>
      <c r="B373" s="55" t="s">
        <v>191</v>
      </c>
      <c r="C373" s="55">
        <f>IF(دانش‌آموزان!E35="","",دانش‌آموزان!B35)</f>
        <v>31</v>
      </c>
      <c r="D373" s="55">
        <f>IF(دانش‌آموزان!C35="","",دانش‌آموزان!C35)</f>
        <v>2285780362</v>
      </c>
      <c r="E373" s="55" t="str">
        <f>IF(دانش‌آموزان!E35="","",دانش‌آموزان!E35&amp;" "&amp;دانش‌آموزان!F35)</f>
        <v>پارسامهر وزيري</v>
      </c>
      <c r="F373" s="34">
        <f>IF(دانش‌آموزان!I35="","",دانش‌آموزان!I35)</f>
        <v>901</v>
      </c>
      <c r="G373" s="19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1"/>
      <c r="CC373" s="27" t="str">
        <f t="shared" si="55"/>
        <v/>
      </c>
      <c r="CD373" s="38" t="str">
        <f t="shared" si="56"/>
        <v/>
      </c>
      <c r="CE373" s="38" t="str">
        <f t="shared" si="57"/>
        <v/>
      </c>
      <c r="CF373" s="38" t="str">
        <f t="shared" si="58"/>
        <v/>
      </c>
      <c r="CG373" s="38" t="str">
        <f t="shared" si="59"/>
        <v/>
      </c>
      <c r="CH373" s="38" t="str">
        <f t="shared" si="60"/>
        <v/>
      </c>
      <c r="CI373" s="38" t="str">
        <f t="shared" si="61"/>
        <v/>
      </c>
      <c r="CJ373" s="38" t="str">
        <f t="shared" si="62"/>
        <v/>
      </c>
      <c r="CK373" s="38" t="str">
        <f t="shared" si="63"/>
        <v/>
      </c>
      <c r="CL373" s="38" t="str">
        <f>IF(C373="","",IF(COUNT(G373:AZ373)&lt;46,"",SUMPRODUCT(CC373:CK373,'تنظیمات وزن‌دهی'!$C$5:$C$13)/100))</f>
        <v/>
      </c>
      <c r="CM373" s="38" t="str">
        <f t="shared" si="64"/>
        <v/>
      </c>
      <c r="CN373" s="38">
        <v>9</v>
      </c>
      <c r="CO373" s="28">
        <f t="shared" si="65"/>
        <v>0</v>
      </c>
      <c r="CP373" s="58"/>
    </row>
    <row r="374" spans="1:94" ht="17.25" hidden="1">
      <c r="A374" s="33">
        <v>370</v>
      </c>
      <c r="B374" s="55" t="s">
        <v>192</v>
      </c>
      <c r="C374" s="55">
        <f>IF(دانش‌آموزان!E35="","",دانش‌آموزان!B35)</f>
        <v>31</v>
      </c>
      <c r="D374" s="55">
        <f>IF(دانش‌آموزان!C35="","",دانش‌آموزان!C35)</f>
        <v>2285780362</v>
      </c>
      <c r="E374" s="55" t="str">
        <f>IF(دانش‌آموزان!E35="","",دانش‌آموزان!E35&amp;" "&amp;دانش‌آموزان!F35)</f>
        <v>پارسامهر وزيري</v>
      </c>
      <c r="F374" s="34">
        <f>IF(دانش‌آموزان!I35="","",دانش‌آموزان!I35)</f>
        <v>901</v>
      </c>
      <c r="G374" s="19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1"/>
      <c r="CC374" s="27" t="str">
        <f t="shared" si="55"/>
        <v/>
      </c>
      <c r="CD374" s="38" t="str">
        <f t="shared" si="56"/>
        <v/>
      </c>
      <c r="CE374" s="38" t="str">
        <f t="shared" si="57"/>
        <v/>
      </c>
      <c r="CF374" s="38" t="str">
        <f t="shared" si="58"/>
        <v/>
      </c>
      <c r="CG374" s="38" t="str">
        <f t="shared" si="59"/>
        <v/>
      </c>
      <c r="CH374" s="38" t="str">
        <f t="shared" si="60"/>
        <v/>
      </c>
      <c r="CI374" s="38" t="str">
        <f t="shared" si="61"/>
        <v/>
      </c>
      <c r="CJ374" s="38" t="str">
        <f t="shared" si="62"/>
        <v/>
      </c>
      <c r="CK374" s="38" t="str">
        <f t="shared" si="63"/>
        <v/>
      </c>
      <c r="CL374" s="38" t="str">
        <f>IF(C374="","",IF(COUNT(G374:AZ374)&lt;46,"",SUMPRODUCT(CC374:CK374,'تنظیمات وزن‌دهی'!$C$5:$C$13)/100))</f>
        <v/>
      </c>
      <c r="CM374" s="38" t="str">
        <f t="shared" si="64"/>
        <v/>
      </c>
      <c r="CN374" s="38">
        <v>10</v>
      </c>
      <c r="CO374" s="28">
        <f t="shared" si="65"/>
        <v>0</v>
      </c>
      <c r="CP374" s="58"/>
    </row>
    <row r="375" spans="1:94" ht="17.25" hidden="1">
      <c r="A375" s="33">
        <v>371</v>
      </c>
      <c r="B375" s="55" t="s">
        <v>193</v>
      </c>
      <c r="C375" s="55">
        <f>IF(دانش‌آموزان!E35="","",دانش‌آموزان!B35)</f>
        <v>31</v>
      </c>
      <c r="D375" s="55">
        <f>IF(دانش‌آموزان!C35="","",دانش‌آموزان!C35)</f>
        <v>2285780362</v>
      </c>
      <c r="E375" s="55" t="str">
        <f>IF(دانش‌آموزان!E35="","",دانش‌آموزان!E35&amp;" "&amp;دانش‌آموزان!F35)</f>
        <v>پارسامهر وزيري</v>
      </c>
      <c r="F375" s="34">
        <f>IF(دانش‌آموزان!I35="","",دانش‌آموزان!I35)</f>
        <v>901</v>
      </c>
      <c r="G375" s="19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1"/>
      <c r="CC375" s="27" t="str">
        <f t="shared" si="55"/>
        <v/>
      </c>
      <c r="CD375" s="38" t="str">
        <f t="shared" si="56"/>
        <v/>
      </c>
      <c r="CE375" s="38" t="str">
        <f t="shared" si="57"/>
        <v/>
      </c>
      <c r="CF375" s="38" t="str">
        <f t="shared" si="58"/>
        <v/>
      </c>
      <c r="CG375" s="38" t="str">
        <f t="shared" si="59"/>
        <v/>
      </c>
      <c r="CH375" s="38" t="str">
        <f t="shared" si="60"/>
        <v/>
      </c>
      <c r="CI375" s="38" t="str">
        <f t="shared" si="61"/>
        <v/>
      </c>
      <c r="CJ375" s="38" t="str">
        <f t="shared" si="62"/>
        <v/>
      </c>
      <c r="CK375" s="38" t="str">
        <f t="shared" si="63"/>
        <v/>
      </c>
      <c r="CL375" s="38" t="str">
        <f>IF(C375="","",IF(COUNT(G375:AZ375)&lt;46,"",SUMPRODUCT(CC375:CK375,'تنظیمات وزن‌دهی'!$C$5:$C$13)/100))</f>
        <v/>
      </c>
      <c r="CM375" s="38" t="str">
        <f t="shared" si="64"/>
        <v/>
      </c>
      <c r="CN375" s="38">
        <v>11</v>
      </c>
      <c r="CO375" s="28">
        <f t="shared" si="65"/>
        <v>0</v>
      </c>
      <c r="CP375" s="58"/>
    </row>
    <row r="376" spans="1:94" ht="17.25" hidden="1">
      <c r="A376" s="33">
        <v>372</v>
      </c>
      <c r="B376" s="55" t="s">
        <v>194</v>
      </c>
      <c r="C376" s="55">
        <f>IF(دانش‌آموزان!E35="","",دانش‌آموزان!B35)</f>
        <v>31</v>
      </c>
      <c r="D376" s="55">
        <f>IF(دانش‌آموزان!C35="","",دانش‌آموزان!C35)</f>
        <v>2285780362</v>
      </c>
      <c r="E376" s="55" t="str">
        <f>IF(دانش‌آموزان!E35="","",دانش‌آموزان!E35&amp;" "&amp;دانش‌آموزان!F35)</f>
        <v>پارسامهر وزيري</v>
      </c>
      <c r="F376" s="34">
        <f>IF(دانش‌آموزان!I35="","",دانش‌آموزان!I35)</f>
        <v>901</v>
      </c>
      <c r="G376" s="19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1"/>
      <c r="CC376" s="27" t="str">
        <f t="shared" si="55"/>
        <v/>
      </c>
      <c r="CD376" s="38" t="str">
        <f t="shared" si="56"/>
        <v/>
      </c>
      <c r="CE376" s="38" t="str">
        <f t="shared" si="57"/>
        <v/>
      </c>
      <c r="CF376" s="38" t="str">
        <f t="shared" si="58"/>
        <v/>
      </c>
      <c r="CG376" s="38" t="str">
        <f t="shared" si="59"/>
        <v/>
      </c>
      <c r="CH376" s="38" t="str">
        <f t="shared" si="60"/>
        <v/>
      </c>
      <c r="CI376" s="38" t="str">
        <f t="shared" si="61"/>
        <v/>
      </c>
      <c r="CJ376" s="38" t="str">
        <f t="shared" si="62"/>
        <v/>
      </c>
      <c r="CK376" s="38" t="str">
        <f t="shared" si="63"/>
        <v/>
      </c>
      <c r="CL376" s="38" t="str">
        <f>IF(C376="","",IF(COUNT(G376:AZ376)&lt;46,"",SUMPRODUCT(CC376:CK376,'تنظیمات وزن‌دهی'!$C$5:$C$13)/100))</f>
        <v/>
      </c>
      <c r="CM376" s="38" t="str">
        <f t="shared" si="64"/>
        <v/>
      </c>
      <c r="CN376" s="38">
        <v>12</v>
      </c>
      <c r="CO376" s="28">
        <f t="shared" si="65"/>
        <v>0</v>
      </c>
      <c r="CP376" s="58"/>
    </row>
    <row r="377" spans="1:94" ht="17.25" hidden="1">
      <c r="A377" s="33">
        <v>373</v>
      </c>
      <c r="B377" s="55" t="s">
        <v>183</v>
      </c>
      <c r="C377" s="55">
        <f>IF(دانش‌آموزان!E36="","",دانش‌آموزان!B36)</f>
        <v>32</v>
      </c>
      <c r="D377" s="55" t="str">
        <f>IF(دانش‌آموزان!C36="","",دانش‌آموزان!C36)</f>
        <v>0970624794</v>
      </c>
      <c r="E377" s="55" t="str">
        <f>IF(دانش‌آموزان!E36="","",دانش‌آموزان!E36&amp;" "&amp;دانش‌آموزان!F36)</f>
        <v>سجاد يعقوبي</v>
      </c>
      <c r="F377" s="34">
        <f>IF(دانش‌آموزان!I36="","",دانش‌آموزان!I36)</f>
        <v>901</v>
      </c>
      <c r="G377" s="19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1"/>
      <c r="CC377" s="27" t="str">
        <f t="shared" si="55"/>
        <v/>
      </c>
      <c r="CD377" s="38" t="str">
        <f t="shared" si="56"/>
        <v/>
      </c>
      <c r="CE377" s="38" t="str">
        <f t="shared" si="57"/>
        <v/>
      </c>
      <c r="CF377" s="38" t="str">
        <f t="shared" si="58"/>
        <v/>
      </c>
      <c r="CG377" s="38" t="str">
        <f t="shared" si="59"/>
        <v/>
      </c>
      <c r="CH377" s="38" t="str">
        <f t="shared" si="60"/>
        <v/>
      </c>
      <c r="CI377" s="38" t="str">
        <f t="shared" si="61"/>
        <v/>
      </c>
      <c r="CJ377" s="38" t="str">
        <f t="shared" si="62"/>
        <v/>
      </c>
      <c r="CK377" s="38" t="str">
        <f t="shared" si="63"/>
        <v/>
      </c>
      <c r="CL377" s="38" t="str">
        <f>IF(C377="","",IF(COUNT(G377:AZ377)&lt;46,"",SUMPRODUCT(CC377:CK377,'تنظیمات وزن‌دهی'!$C$5:$C$13)/100))</f>
        <v/>
      </c>
      <c r="CM377" s="38" t="str">
        <f t="shared" si="64"/>
        <v/>
      </c>
      <c r="CN377" s="38">
        <v>1</v>
      </c>
      <c r="CO377" s="28">
        <f t="shared" si="65"/>
        <v>0</v>
      </c>
      <c r="CP377" s="58"/>
    </row>
    <row r="378" spans="1:94" ht="17.25" hidden="1">
      <c r="A378" s="33">
        <v>374</v>
      </c>
      <c r="B378" s="55" t="s">
        <v>184</v>
      </c>
      <c r="C378" s="55">
        <f>IF(دانش‌آموزان!E36="","",دانش‌آموزان!B36)</f>
        <v>32</v>
      </c>
      <c r="D378" s="55" t="str">
        <f>IF(دانش‌آموزان!C36="","",دانش‌آموزان!C36)</f>
        <v>0970624794</v>
      </c>
      <c r="E378" s="55" t="str">
        <f>IF(دانش‌آموزان!E36="","",دانش‌آموزان!E36&amp;" "&amp;دانش‌آموزان!F36)</f>
        <v>سجاد يعقوبي</v>
      </c>
      <c r="F378" s="34">
        <f>IF(دانش‌آموزان!I36="","",دانش‌آموزان!I36)</f>
        <v>901</v>
      </c>
      <c r="G378" s="19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1"/>
      <c r="CC378" s="27" t="str">
        <f t="shared" si="55"/>
        <v/>
      </c>
      <c r="CD378" s="38" t="str">
        <f t="shared" si="56"/>
        <v/>
      </c>
      <c r="CE378" s="38" t="str">
        <f t="shared" si="57"/>
        <v/>
      </c>
      <c r="CF378" s="38" t="str">
        <f t="shared" si="58"/>
        <v/>
      </c>
      <c r="CG378" s="38" t="str">
        <f t="shared" si="59"/>
        <v/>
      </c>
      <c r="CH378" s="38" t="str">
        <f t="shared" si="60"/>
        <v/>
      </c>
      <c r="CI378" s="38" t="str">
        <f t="shared" si="61"/>
        <v/>
      </c>
      <c r="CJ378" s="38" t="str">
        <f t="shared" si="62"/>
        <v/>
      </c>
      <c r="CK378" s="38" t="str">
        <f t="shared" si="63"/>
        <v/>
      </c>
      <c r="CL378" s="38" t="str">
        <f>IF(C378="","",IF(COUNT(G378:AZ378)&lt;46,"",SUMPRODUCT(CC378:CK378,'تنظیمات وزن‌دهی'!$C$5:$C$13)/100))</f>
        <v/>
      </c>
      <c r="CM378" s="38" t="str">
        <f t="shared" si="64"/>
        <v/>
      </c>
      <c r="CN378" s="38">
        <v>2</v>
      </c>
      <c r="CO378" s="28">
        <f t="shared" si="65"/>
        <v>0</v>
      </c>
      <c r="CP378" s="58"/>
    </row>
    <row r="379" spans="1:94" ht="17.25">
      <c r="A379" s="33">
        <v>375</v>
      </c>
      <c r="B379" s="55" t="s">
        <v>185</v>
      </c>
      <c r="C379" s="55">
        <f>IF(دانش‌آموزان!E36="","",دانش‌آموزان!B36)</f>
        <v>32</v>
      </c>
      <c r="D379" s="55" t="str">
        <f>IF(دانش‌آموزان!C36="","",دانش‌آموزان!C36)</f>
        <v>0970624794</v>
      </c>
      <c r="E379" s="55" t="str">
        <f>IF(دانش‌آموزان!E36="","",دانش‌آموزان!E36&amp;" "&amp;دانش‌آموزان!F36)</f>
        <v>سجاد يعقوبي</v>
      </c>
      <c r="F379" s="34">
        <f>IF(دانش‌آموزان!I36="","",دانش‌آموزان!I36)</f>
        <v>901</v>
      </c>
      <c r="G379" s="19">
        <v>18.309999999999999</v>
      </c>
      <c r="H379" s="20">
        <v>-4.3099999999999996</v>
      </c>
      <c r="I379" s="20">
        <v>0</v>
      </c>
      <c r="J379" s="20">
        <v>4</v>
      </c>
      <c r="K379" s="20">
        <v>0</v>
      </c>
      <c r="L379" s="20">
        <v>0</v>
      </c>
      <c r="M379" s="20">
        <v>0</v>
      </c>
      <c r="N379" s="20">
        <v>0</v>
      </c>
      <c r="O379" s="20">
        <v>4</v>
      </c>
      <c r="P379" s="20">
        <v>0</v>
      </c>
      <c r="Q379" s="20">
        <v>4</v>
      </c>
      <c r="R379" s="20">
        <v>4</v>
      </c>
      <c r="S379" s="20">
        <v>4</v>
      </c>
      <c r="T379" s="20">
        <v>0</v>
      </c>
      <c r="U379" s="20">
        <v>4</v>
      </c>
      <c r="V379" s="20">
        <v>4</v>
      </c>
      <c r="W379" s="20">
        <v>4</v>
      </c>
      <c r="X379" s="20">
        <v>4</v>
      </c>
      <c r="Y379" s="20">
        <v>0</v>
      </c>
      <c r="Z379" s="20">
        <v>0</v>
      </c>
      <c r="AA379" s="20">
        <v>0</v>
      </c>
      <c r="AB379" s="20">
        <v>0</v>
      </c>
      <c r="AC379" s="20">
        <v>0</v>
      </c>
      <c r="AD379" s="20">
        <v>0</v>
      </c>
      <c r="AE379" s="20">
        <v>0</v>
      </c>
      <c r="AF379" s="20">
        <v>0</v>
      </c>
      <c r="AG379" s="20">
        <v>0</v>
      </c>
      <c r="AH379" s="20">
        <v>0</v>
      </c>
      <c r="AI379" s="20">
        <v>0</v>
      </c>
      <c r="AJ379" s="20">
        <v>0</v>
      </c>
      <c r="AK379" s="20">
        <v>0</v>
      </c>
      <c r="AL379" s="20">
        <v>0</v>
      </c>
      <c r="AM379" s="20">
        <v>0</v>
      </c>
      <c r="AN379" s="20">
        <v>0</v>
      </c>
      <c r="AO379" s="20">
        <v>0</v>
      </c>
      <c r="AP379" s="20">
        <v>0</v>
      </c>
      <c r="AQ379" s="20">
        <v>0</v>
      </c>
      <c r="AR379" s="20">
        <v>0</v>
      </c>
      <c r="AS379" s="20">
        <v>0</v>
      </c>
      <c r="AT379" s="20">
        <v>0</v>
      </c>
      <c r="AU379" s="20">
        <v>0</v>
      </c>
      <c r="AV379" s="20">
        <v>0</v>
      </c>
      <c r="AW379" s="20">
        <v>0</v>
      </c>
      <c r="AX379" s="20">
        <v>0</v>
      </c>
      <c r="AY379" s="20">
        <v>0</v>
      </c>
      <c r="AZ379" s="20">
        <v>0</v>
      </c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1"/>
      <c r="CC379" s="27">
        <f t="shared" si="55"/>
        <v>9</v>
      </c>
      <c r="CD379" s="38">
        <f t="shared" si="56"/>
        <v>12.8</v>
      </c>
      <c r="CE379" s="38">
        <f t="shared" si="57"/>
        <v>8</v>
      </c>
      <c r="CF379" s="38">
        <f t="shared" si="58"/>
        <v>9.6</v>
      </c>
      <c r="CG379" s="38">
        <f t="shared" si="59"/>
        <v>0</v>
      </c>
      <c r="CH379" s="38">
        <f t="shared" si="60"/>
        <v>0</v>
      </c>
      <c r="CI379" s="38">
        <f t="shared" si="61"/>
        <v>0</v>
      </c>
      <c r="CJ379" s="38">
        <f t="shared" si="62"/>
        <v>0</v>
      </c>
      <c r="CK379" s="38">
        <f t="shared" si="63"/>
        <v>0</v>
      </c>
      <c r="CL379" s="38" t="e">
        <f>IF(C379="","",IF(COUNT(G379:AZ379)&lt;46,"",SUMPRODUCT(CC379:CK379,'تنظیمات وزن‌دهی'!$C$5:$C$13)/100))</f>
        <v>#VALUE!</v>
      </c>
      <c r="CM379" s="38" t="e">
        <f t="shared" si="64"/>
        <v>#VALUE!</v>
      </c>
      <c r="CN379" s="38">
        <v>3</v>
      </c>
      <c r="CO379" s="28">
        <f t="shared" si="65"/>
        <v>1</v>
      </c>
      <c r="CP379" s="58"/>
    </row>
    <row r="380" spans="1:94" ht="17.25" hidden="1">
      <c r="A380" s="33">
        <v>376</v>
      </c>
      <c r="B380" s="55" t="s">
        <v>186</v>
      </c>
      <c r="C380" s="55">
        <f>IF(دانش‌آموزان!E36="","",دانش‌آموزان!B36)</f>
        <v>32</v>
      </c>
      <c r="D380" s="55" t="str">
        <f>IF(دانش‌آموزان!C36="","",دانش‌آموزان!C36)</f>
        <v>0970624794</v>
      </c>
      <c r="E380" s="55" t="str">
        <f>IF(دانش‌آموزان!E36="","",دانش‌آموزان!E36&amp;" "&amp;دانش‌آموزان!F36)</f>
        <v>سجاد يعقوبي</v>
      </c>
      <c r="F380" s="34">
        <f>IF(دانش‌آموزان!I36="","",دانش‌آموزان!I36)</f>
        <v>901</v>
      </c>
      <c r="G380" s="19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1"/>
      <c r="CC380" s="27" t="str">
        <f t="shared" si="55"/>
        <v/>
      </c>
      <c r="CD380" s="38" t="str">
        <f t="shared" si="56"/>
        <v/>
      </c>
      <c r="CE380" s="38" t="str">
        <f t="shared" si="57"/>
        <v/>
      </c>
      <c r="CF380" s="38" t="str">
        <f t="shared" si="58"/>
        <v/>
      </c>
      <c r="CG380" s="38" t="str">
        <f t="shared" si="59"/>
        <v/>
      </c>
      <c r="CH380" s="38" t="str">
        <f t="shared" si="60"/>
        <v/>
      </c>
      <c r="CI380" s="38" t="str">
        <f t="shared" si="61"/>
        <v/>
      </c>
      <c r="CJ380" s="38" t="str">
        <f t="shared" si="62"/>
        <v/>
      </c>
      <c r="CK380" s="38" t="str">
        <f t="shared" si="63"/>
        <v/>
      </c>
      <c r="CL380" s="38" t="str">
        <f>IF(C380="","",IF(COUNT(G380:AZ380)&lt;46,"",SUMPRODUCT(CC380:CK380,'تنظیمات وزن‌دهی'!$C$5:$C$13)/100))</f>
        <v/>
      </c>
      <c r="CM380" s="38" t="str">
        <f t="shared" si="64"/>
        <v/>
      </c>
      <c r="CN380" s="38">
        <v>4</v>
      </c>
      <c r="CO380" s="28">
        <f t="shared" si="65"/>
        <v>0</v>
      </c>
      <c r="CP380" s="58"/>
    </row>
    <row r="381" spans="1:94" ht="17.25" hidden="1">
      <c r="A381" s="33">
        <v>377</v>
      </c>
      <c r="B381" s="55" t="s">
        <v>187</v>
      </c>
      <c r="C381" s="55">
        <f>IF(دانش‌آموزان!E36="","",دانش‌آموزان!B36)</f>
        <v>32</v>
      </c>
      <c r="D381" s="55" t="str">
        <f>IF(دانش‌آموزان!C36="","",دانش‌آموزان!C36)</f>
        <v>0970624794</v>
      </c>
      <c r="E381" s="55" t="str">
        <f>IF(دانش‌آموزان!E36="","",دانش‌آموزان!E36&amp;" "&amp;دانش‌آموزان!F36)</f>
        <v>سجاد يعقوبي</v>
      </c>
      <c r="F381" s="34">
        <f>IF(دانش‌آموزان!I36="","",دانش‌آموزان!I36)</f>
        <v>901</v>
      </c>
      <c r="G381" s="19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1"/>
      <c r="CC381" s="27" t="str">
        <f t="shared" si="55"/>
        <v/>
      </c>
      <c r="CD381" s="38" t="str">
        <f t="shared" si="56"/>
        <v/>
      </c>
      <c r="CE381" s="38" t="str">
        <f t="shared" si="57"/>
        <v/>
      </c>
      <c r="CF381" s="38" t="str">
        <f t="shared" si="58"/>
        <v/>
      </c>
      <c r="CG381" s="38" t="str">
        <f t="shared" si="59"/>
        <v/>
      </c>
      <c r="CH381" s="38" t="str">
        <f t="shared" si="60"/>
        <v/>
      </c>
      <c r="CI381" s="38" t="str">
        <f t="shared" si="61"/>
        <v/>
      </c>
      <c r="CJ381" s="38" t="str">
        <f t="shared" si="62"/>
        <v/>
      </c>
      <c r="CK381" s="38" t="str">
        <f t="shared" si="63"/>
        <v/>
      </c>
      <c r="CL381" s="38" t="str">
        <f>IF(C381="","",IF(COUNT(G381:AZ381)&lt;46,"",SUMPRODUCT(CC381:CK381,'تنظیمات وزن‌دهی'!$C$5:$C$13)/100))</f>
        <v/>
      </c>
      <c r="CM381" s="38" t="str">
        <f t="shared" si="64"/>
        <v/>
      </c>
      <c r="CN381" s="38">
        <v>5</v>
      </c>
      <c r="CO381" s="28">
        <f t="shared" si="65"/>
        <v>0</v>
      </c>
      <c r="CP381" s="58"/>
    </row>
    <row r="382" spans="1:94" ht="17.25" hidden="1">
      <c r="A382" s="33">
        <v>378</v>
      </c>
      <c r="B382" s="55" t="s">
        <v>188</v>
      </c>
      <c r="C382" s="55">
        <f>IF(دانش‌آموزان!E36="","",دانش‌آموزان!B36)</f>
        <v>32</v>
      </c>
      <c r="D382" s="55" t="str">
        <f>IF(دانش‌آموزان!C36="","",دانش‌آموزان!C36)</f>
        <v>0970624794</v>
      </c>
      <c r="E382" s="55" t="str">
        <f>IF(دانش‌آموزان!E36="","",دانش‌آموزان!E36&amp;" "&amp;دانش‌آموزان!F36)</f>
        <v>سجاد يعقوبي</v>
      </c>
      <c r="F382" s="34">
        <f>IF(دانش‌آموزان!I36="","",دانش‌آموزان!I36)</f>
        <v>901</v>
      </c>
      <c r="G382" s="19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1"/>
      <c r="CC382" s="27" t="str">
        <f t="shared" si="55"/>
        <v/>
      </c>
      <c r="CD382" s="38" t="str">
        <f t="shared" si="56"/>
        <v/>
      </c>
      <c r="CE382" s="38" t="str">
        <f t="shared" si="57"/>
        <v/>
      </c>
      <c r="CF382" s="38" t="str">
        <f t="shared" si="58"/>
        <v/>
      </c>
      <c r="CG382" s="38" t="str">
        <f t="shared" si="59"/>
        <v/>
      </c>
      <c r="CH382" s="38" t="str">
        <f t="shared" si="60"/>
        <v/>
      </c>
      <c r="CI382" s="38" t="str">
        <f t="shared" si="61"/>
        <v/>
      </c>
      <c r="CJ382" s="38" t="str">
        <f t="shared" si="62"/>
        <v/>
      </c>
      <c r="CK382" s="38" t="str">
        <f t="shared" si="63"/>
        <v/>
      </c>
      <c r="CL382" s="38" t="str">
        <f>IF(C382="","",IF(COUNT(G382:AZ382)&lt;46,"",SUMPRODUCT(CC382:CK382,'تنظیمات وزن‌دهی'!$C$5:$C$13)/100))</f>
        <v/>
      </c>
      <c r="CM382" s="38" t="str">
        <f t="shared" si="64"/>
        <v/>
      </c>
      <c r="CN382" s="38">
        <v>6</v>
      </c>
      <c r="CO382" s="28">
        <f t="shared" si="65"/>
        <v>0</v>
      </c>
      <c r="CP382" s="58"/>
    </row>
    <row r="383" spans="1:94" ht="17.25" hidden="1">
      <c r="A383" s="33">
        <v>379</v>
      </c>
      <c r="B383" s="55" t="s">
        <v>189</v>
      </c>
      <c r="C383" s="55">
        <f>IF(دانش‌آموزان!E36="","",دانش‌آموزان!B36)</f>
        <v>32</v>
      </c>
      <c r="D383" s="55" t="str">
        <f>IF(دانش‌آموزان!C36="","",دانش‌آموزان!C36)</f>
        <v>0970624794</v>
      </c>
      <c r="E383" s="55" t="str">
        <f>IF(دانش‌آموزان!E36="","",دانش‌آموزان!E36&amp;" "&amp;دانش‌آموزان!F36)</f>
        <v>سجاد يعقوبي</v>
      </c>
      <c r="F383" s="34">
        <f>IF(دانش‌آموزان!I36="","",دانش‌آموزان!I36)</f>
        <v>901</v>
      </c>
      <c r="G383" s="19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1"/>
      <c r="CC383" s="27" t="str">
        <f t="shared" si="55"/>
        <v/>
      </c>
      <c r="CD383" s="38" t="str">
        <f t="shared" si="56"/>
        <v/>
      </c>
      <c r="CE383" s="38" t="str">
        <f t="shared" si="57"/>
        <v/>
      </c>
      <c r="CF383" s="38" t="str">
        <f t="shared" si="58"/>
        <v/>
      </c>
      <c r="CG383" s="38" t="str">
        <f t="shared" si="59"/>
        <v/>
      </c>
      <c r="CH383" s="38" t="str">
        <f t="shared" si="60"/>
        <v/>
      </c>
      <c r="CI383" s="38" t="str">
        <f t="shared" si="61"/>
        <v/>
      </c>
      <c r="CJ383" s="38" t="str">
        <f t="shared" si="62"/>
        <v/>
      </c>
      <c r="CK383" s="38" t="str">
        <f t="shared" si="63"/>
        <v/>
      </c>
      <c r="CL383" s="38" t="str">
        <f>IF(C383="","",IF(COUNT(G383:AZ383)&lt;46,"",SUMPRODUCT(CC383:CK383,'تنظیمات وزن‌دهی'!$C$5:$C$13)/100))</f>
        <v/>
      </c>
      <c r="CM383" s="38" t="str">
        <f t="shared" si="64"/>
        <v/>
      </c>
      <c r="CN383" s="38">
        <v>7</v>
      </c>
      <c r="CO383" s="28">
        <f t="shared" si="65"/>
        <v>0</v>
      </c>
      <c r="CP383" s="58"/>
    </row>
    <row r="384" spans="1:94" ht="17.25" hidden="1">
      <c r="A384" s="33">
        <v>380</v>
      </c>
      <c r="B384" s="55" t="s">
        <v>190</v>
      </c>
      <c r="C384" s="55">
        <f>IF(دانش‌آموزان!E36="","",دانش‌آموزان!B36)</f>
        <v>32</v>
      </c>
      <c r="D384" s="55" t="str">
        <f>IF(دانش‌آموزان!C36="","",دانش‌آموزان!C36)</f>
        <v>0970624794</v>
      </c>
      <c r="E384" s="55" t="str">
        <f>IF(دانش‌آموزان!E36="","",دانش‌آموزان!E36&amp;" "&amp;دانش‌آموزان!F36)</f>
        <v>سجاد يعقوبي</v>
      </c>
      <c r="F384" s="34">
        <f>IF(دانش‌آموزان!I36="","",دانش‌آموزان!I36)</f>
        <v>901</v>
      </c>
      <c r="G384" s="19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1"/>
      <c r="CC384" s="27" t="str">
        <f t="shared" si="55"/>
        <v/>
      </c>
      <c r="CD384" s="38" t="str">
        <f t="shared" si="56"/>
        <v/>
      </c>
      <c r="CE384" s="38" t="str">
        <f t="shared" si="57"/>
        <v/>
      </c>
      <c r="CF384" s="38" t="str">
        <f t="shared" si="58"/>
        <v/>
      </c>
      <c r="CG384" s="38" t="str">
        <f t="shared" si="59"/>
        <v/>
      </c>
      <c r="CH384" s="38" t="str">
        <f t="shared" si="60"/>
        <v/>
      </c>
      <c r="CI384" s="38" t="str">
        <f t="shared" si="61"/>
        <v/>
      </c>
      <c r="CJ384" s="38" t="str">
        <f t="shared" si="62"/>
        <v/>
      </c>
      <c r="CK384" s="38" t="str">
        <f t="shared" si="63"/>
        <v/>
      </c>
      <c r="CL384" s="38" t="str">
        <f>IF(C384="","",IF(COUNT(G384:AZ384)&lt;46,"",SUMPRODUCT(CC384:CK384,'تنظیمات وزن‌دهی'!$C$5:$C$13)/100))</f>
        <v/>
      </c>
      <c r="CM384" s="38" t="str">
        <f t="shared" si="64"/>
        <v/>
      </c>
      <c r="CN384" s="38">
        <v>8</v>
      </c>
      <c r="CO384" s="28">
        <f t="shared" si="65"/>
        <v>0</v>
      </c>
      <c r="CP384" s="58"/>
    </row>
    <row r="385" spans="1:94" ht="17.25" hidden="1">
      <c r="A385" s="33">
        <v>381</v>
      </c>
      <c r="B385" s="55" t="s">
        <v>191</v>
      </c>
      <c r="C385" s="55">
        <f>IF(دانش‌آموزان!E36="","",دانش‌آموزان!B36)</f>
        <v>32</v>
      </c>
      <c r="D385" s="55" t="str">
        <f>IF(دانش‌آموزان!C36="","",دانش‌آموزان!C36)</f>
        <v>0970624794</v>
      </c>
      <c r="E385" s="55" t="str">
        <f>IF(دانش‌آموزان!E36="","",دانش‌آموزان!E36&amp;" "&amp;دانش‌آموزان!F36)</f>
        <v>سجاد يعقوبي</v>
      </c>
      <c r="F385" s="34">
        <f>IF(دانش‌آموزان!I36="","",دانش‌آموزان!I36)</f>
        <v>901</v>
      </c>
      <c r="G385" s="19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1"/>
      <c r="CC385" s="27" t="str">
        <f t="shared" si="55"/>
        <v/>
      </c>
      <c r="CD385" s="38" t="str">
        <f t="shared" si="56"/>
        <v/>
      </c>
      <c r="CE385" s="38" t="str">
        <f t="shared" si="57"/>
        <v/>
      </c>
      <c r="CF385" s="38" t="str">
        <f t="shared" si="58"/>
        <v/>
      </c>
      <c r="CG385" s="38" t="str">
        <f t="shared" si="59"/>
        <v/>
      </c>
      <c r="CH385" s="38" t="str">
        <f t="shared" si="60"/>
        <v/>
      </c>
      <c r="CI385" s="38" t="str">
        <f t="shared" si="61"/>
        <v/>
      </c>
      <c r="CJ385" s="38" t="str">
        <f t="shared" si="62"/>
        <v/>
      </c>
      <c r="CK385" s="38" t="str">
        <f t="shared" si="63"/>
        <v/>
      </c>
      <c r="CL385" s="38" t="str">
        <f>IF(C385="","",IF(COUNT(G385:AZ385)&lt;46,"",SUMPRODUCT(CC385:CK385,'تنظیمات وزن‌دهی'!$C$5:$C$13)/100))</f>
        <v/>
      </c>
      <c r="CM385" s="38" t="str">
        <f t="shared" si="64"/>
        <v/>
      </c>
      <c r="CN385" s="38">
        <v>9</v>
      </c>
      <c r="CO385" s="28">
        <f t="shared" si="65"/>
        <v>0</v>
      </c>
      <c r="CP385" s="58"/>
    </row>
    <row r="386" spans="1:94" ht="17.25" hidden="1">
      <c r="A386" s="33">
        <v>382</v>
      </c>
      <c r="B386" s="55" t="s">
        <v>192</v>
      </c>
      <c r="C386" s="55">
        <f>IF(دانش‌آموزان!E36="","",دانش‌آموزان!B36)</f>
        <v>32</v>
      </c>
      <c r="D386" s="55" t="str">
        <f>IF(دانش‌آموزان!C36="","",دانش‌آموزان!C36)</f>
        <v>0970624794</v>
      </c>
      <c r="E386" s="55" t="str">
        <f>IF(دانش‌آموزان!E36="","",دانش‌آموزان!E36&amp;" "&amp;دانش‌آموزان!F36)</f>
        <v>سجاد يعقوبي</v>
      </c>
      <c r="F386" s="34">
        <f>IF(دانش‌آموزان!I36="","",دانش‌آموزان!I36)</f>
        <v>901</v>
      </c>
      <c r="G386" s="19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1"/>
      <c r="CC386" s="27" t="str">
        <f t="shared" si="55"/>
        <v/>
      </c>
      <c r="CD386" s="38" t="str">
        <f t="shared" si="56"/>
        <v/>
      </c>
      <c r="CE386" s="38" t="str">
        <f t="shared" si="57"/>
        <v/>
      </c>
      <c r="CF386" s="38" t="str">
        <f t="shared" si="58"/>
        <v/>
      </c>
      <c r="CG386" s="38" t="str">
        <f t="shared" si="59"/>
        <v/>
      </c>
      <c r="CH386" s="38" t="str">
        <f t="shared" si="60"/>
        <v/>
      </c>
      <c r="CI386" s="38" t="str">
        <f t="shared" si="61"/>
        <v/>
      </c>
      <c r="CJ386" s="38" t="str">
        <f t="shared" si="62"/>
        <v/>
      </c>
      <c r="CK386" s="38" t="str">
        <f t="shared" si="63"/>
        <v/>
      </c>
      <c r="CL386" s="38" t="str">
        <f>IF(C386="","",IF(COUNT(G386:AZ386)&lt;46,"",SUMPRODUCT(CC386:CK386,'تنظیمات وزن‌دهی'!$C$5:$C$13)/100))</f>
        <v/>
      </c>
      <c r="CM386" s="38" t="str">
        <f t="shared" si="64"/>
        <v/>
      </c>
      <c r="CN386" s="38">
        <v>10</v>
      </c>
      <c r="CO386" s="28">
        <f t="shared" si="65"/>
        <v>0</v>
      </c>
      <c r="CP386" s="58"/>
    </row>
    <row r="387" spans="1:94" ht="17.25" hidden="1">
      <c r="A387" s="33">
        <v>383</v>
      </c>
      <c r="B387" s="55" t="s">
        <v>193</v>
      </c>
      <c r="C387" s="55">
        <f>IF(دانش‌آموزان!E36="","",دانش‌آموزان!B36)</f>
        <v>32</v>
      </c>
      <c r="D387" s="55" t="str">
        <f>IF(دانش‌آموزان!C36="","",دانش‌آموزان!C36)</f>
        <v>0970624794</v>
      </c>
      <c r="E387" s="55" t="str">
        <f>IF(دانش‌آموزان!E36="","",دانش‌آموزان!E36&amp;" "&amp;دانش‌آموزان!F36)</f>
        <v>سجاد يعقوبي</v>
      </c>
      <c r="F387" s="34">
        <f>IF(دانش‌آموزان!I36="","",دانش‌آموزان!I36)</f>
        <v>901</v>
      </c>
      <c r="G387" s="19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1"/>
      <c r="CC387" s="27" t="str">
        <f t="shared" si="55"/>
        <v/>
      </c>
      <c r="CD387" s="38" t="str">
        <f t="shared" si="56"/>
        <v/>
      </c>
      <c r="CE387" s="38" t="str">
        <f t="shared" si="57"/>
        <v/>
      </c>
      <c r="CF387" s="38" t="str">
        <f t="shared" si="58"/>
        <v/>
      </c>
      <c r="CG387" s="38" t="str">
        <f t="shared" si="59"/>
        <v/>
      </c>
      <c r="CH387" s="38" t="str">
        <f t="shared" si="60"/>
        <v/>
      </c>
      <c r="CI387" s="38" t="str">
        <f t="shared" si="61"/>
        <v/>
      </c>
      <c r="CJ387" s="38" t="str">
        <f t="shared" si="62"/>
        <v/>
      </c>
      <c r="CK387" s="38" t="str">
        <f t="shared" si="63"/>
        <v/>
      </c>
      <c r="CL387" s="38" t="str">
        <f>IF(C387="","",IF(COUNT(G387:AZ387)&lt;46,"",SUMPRODUCT(CC387:CK387,'تنظیمات وزن‌دهی'!$C$5:$C$13)/100))</f>
        <v/>
      </c>
      <c r="CM387" s="38" t="str">
        <f t="shared" si="64"/>
        <v/>
      </c>
      <c r="CN387" s="38">
        <v>11</v>
      </c>
      <c r="CO387" s="28">
        <f t="shared" si="65"/>
        <v>0</v>
      </c>
      <c r="CP387" s="58"/>
    </row>
    <row r="388" spans="1:94" ht="17.25" hidden="1">
      <c r="A388" s="33">
        <v>384</v>
      </c>
      <c r="B388" s="55" t="s">
        <v>194</v>
      </c>
      <c r="C388" s="55">
        <f>IF(دانش‌آموزان!E36="","",دانش‌آموزان!B36)</f>
        <v>32</v>
      </c>
      <c r="D388" s="55" t="str">
        <f>IF(دانش‌آموزان!C36="","",دانش‌آموزان!C36)</f>
        <v>0970624794</v>
      </c>
      <c r="E388" s="55" t="str">
        <f>IF(دانش‌آموزان!E36="","",دانش‌آموزان!E36&amp;" "&amp;دانش‌آموزان!F36)</f>
        <v>سجاد يعقوبي</v>
      </c>
      <c r="F388" s="34">
        <f>IF(دانش‌آموزان!I36="","",دانش‌آموزان!I36)</f>
        <v>901</v>
      </c>
      <c r="G388" s="19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1"/>
      <c r="CC388" s="27" t="str">
        <f t="shared" si="55"/>
        <v/>
      </c>
      <c r="CD388" s="38" t="str">
        <f t="shared" si="56"/>
        <v/>
      </c>
      <c r="CE388" s="38" t="str">
        <f t="shared" si="57"/>
        <v/>
      </c>
      <c r="CF388" s="38" t="str">
        <f t="shared" si="58"/>
        <v/>
      </c>
      <c r="CG388" s="38" t="str">
        <f t="shared" si="59"/>
        <v/>
      </c>
      <c r="CH388" s="38" t="str">
        <f t="shared" si="60"/>
        <v/>
      </c>
      <c r="CI388" s="38" t="str">
        <f t="shared" si="61"/>
        <v/>
      </c>
      <c r="CJ388" s="38" t="str">
        <f t="shared" si="62"/>
        <v/>
      </c>
      <c r="CK388" s="38" t="str">
        <f t="shared" si="63"/>
        <v/>
      </c>
      <c r="CL388" s="38" t="str">
        <f>IF(C388="","",IF(COUNT(G388:AZ388)&lt;46,"",SUMPRODUCT(CC388:CK388,'تنظیمات وزن‌دهی'!$C$5:$C$13)/100))</f>
        <v/>
      </c>
      <c r="CM388" s="38" t="str">
        <f t="shared" si="64"/>
        <v/>
      </c>
      <c r="CN388" s="38">
        <v>12</v>
      </c>
      <c r="CO388" s="28">
        <f t="shared" si="65"/>
        <v>0</v>
      </c>
      <c r="CP388" s="58"/>
    </row>
    <row r="389" spans="1:94" ht="17.25" hidden="1">
      <c r="A389" s="33">
        <v>385</v>
      </c>
      <c r="B389" s="55" t="s">
        <v>183</v>
      </c>
      <c r="C389" s="55" t="str">
        <f>IF(دانش‌آموزان!E37="","",دانش‌آموزان!B37)</f>
        <v/>
      </c>
      <c r="D389" s="55" t="str">
        <f>IF(دانش‌آموزان!C37="","",دانش‌آموزان!C37)</f>
        <v/>
      </c>
      <c r="E389" s="55" t="str">
        <f>IF(دانش‌آموزان!E37="","",دانش‌آموزان!E37&amp;" "&amp;دانش‌آموزان!F37)</f>
        <v/>
      </c>
      <c r="F389" s="34" t="str">
        <f>IF(دانش‌آموزان!I37="","",دانش‌آموزان!I37)</f>
        <v/>
      </c>
      <c r="G389" s="19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1"/>
      <c r="CC389" s="27" t="str">
        <f t="shared" ref="CC389:CC452" si="66">IF(COUNT(G389:N389)=0,"",AVERAGE(G389:N389)*4)</f>
        <v/>
      </c>
      <c r="CD389" s="38" t="str">
        <f t="shared" ref="CD389:CD452" si="67">IF(COUNT(O389:S389)=0,"",AVERAGE(O389:S389)*4)</f>
        <v/>
      </c>
      <c r="CE389" s="38" t="str">
        <f t="shared" ref="CE389:CE452" si="68">IF(COUNT(T389:U389)=0,"",AVERAGE(T389:U389)*4)</f>
        <v/>
      </c>
      <c r="CF389" s="38" t="str">
        <f t="shared" ref="CF389:CF452" si="69">IF(COUNT(V389:Z389)=0,"",AVERAGE(V389:Z389)*4)</f>
        <v/>
      </c>
      <c r="CG389" s="38" t="str">
        <f t="shared" ref="CG389:CG452" si="70">IF(COUNT(AA389:AC389)=0,"",AVERAGE(AA389:AC389)*4)</f>
        <v/>
      </c>
      <c r="CH389" s="38" t="str">
        <f t="shared" ref="CH389:CH452" si="71">IF(COUNT(AD389:AI389)=0,"",AVERAGE(AD389:AI389)*4)</f>
        <v/>
      </c>
      <c r="CI389" s="38" t="str">
        <f t="shared" ref="CI389:CI452" si="72">IF(COUNT(AJ389:AP389)=0,"",AVERAGE(AJ389:AP389)*4)</f>
        <v/>
      </c>
      <c r="CJ389" s="38" t="str">
        <f t="shared" ref="CJ389:CJ452" si="73">IF(COUNT(AQ389:AW389)=0,"",AVERAGE(AQ389:AW389)*4)</f>
        <v/>
      </c>
      <c r="CK389" s="38" t="str">
        <f t="shared" ref="CK389:CK452" si="74">IF(COUNT(AX389:AZ389)=0,"",AVERAGE(AX389:AZ389)*4)</f>
        <v/>
      </c>
      <c r="CL389" s="38" t="str">
        <f>IF(C389="","",IF(COUNT(G389:AZ389)&lt;46,"",SUMPRODUCT(CC389:CK389,'تنظیمات وزن‌دهی'!$C$5:$C$13)/100))</f>
        <v/>
      </c>
      <c r="CM389" s="38" t="str">
        <f t="shared" ref="CM389:CM452" si="75">IF(C389="","",IF(COUNT(G389:AZ389)=0,"",IF(COUNT(G389:AZ389)&lt;46,"موقت - اطلاعات ناقص",IF(CL389&gt;=17,"عالی",IF(CL389&gt;=14,"خوب",IF(CL389&gt;=10,"متوسط","ضعیف"))))))</f>
        <v/>
      </c>
      <c r="CN389" s="38">
        <v>1</v>
      </c>
      <c r="CO389" s="28" t="str">
        <f t="shared" ref="CO389:CO452" si="76">IF(C389="","",COUNT(G389:AZ389)/46)</f>
        <v/>
      </c>
      <c r="CP389" s="58"/>
    </row>
    <row r="390" spans="1:94" ht="17.25" hidden="1">
      <c r="A390" s="33">
        <v>386</v>
      </c>
      <c r="B390" s="55" t="s">
        <v>184</v>
      </c>
      <c r="C390" s="55" t="str">
        <f>IF(دانش‌آموزان!E37="","",دانش‌آموزان!B37)</f>
        <v/>
      </c>
      <c r="D390" s="55" t="str">
        <f>IF(دانش‌آموزان!C37="","",دانش‌آموزان!C37)</f>
        <v/>
      </c>
      <c r="E390" s="55" t="str">
        <f>IF(دانش‌آموزان!E37="","",دانش‌آموزان!E37&amp;" "&amp;دانش‌آموزان!F37)</f>
        <v/>
      </c>
      <c r="F390" s="34" t="str">
        <f>IF(دانش‌آموزان!I37="","",دانش‌آموزان!I37)</f>
        <v/>
      </c>
      <c r="G390" s="19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1"/>
      <c r="CC390" s="27" t="str">
        <f t="shared" si="66"/>
        <v/>
      </c>
      <c r="CD390" s="38" t="str">
        <f t="shared" si="67"/>
        <v/>
      </c>
      <c r="CE390" s="38" t="str">
        <f t="shared" si="68"/>
        <v/>
      </c>
      <c r="CF390" s="38" t="str">
        <f t="shared" si="69"/>
        <v/>
      </c>
      <c r="CG390" s="38" t="str">
        <f t="shared" si="70"/>
        <v/>
      </c>
      <c r="CH390" s="38" t="str">
        <f t="shared" si="71"/>
        <v/>
      </c>
      <c r="CI390" s="38" t="str">
        <f t="shared" si="72"/>
        <v/>
      </c>
      <c r="CJ390" s="38" t="str">
        <f t="shared" si="73"/>
        <v/>
      </c>
      <c r="CK390" s="38" t="str">
        <f t="shared" si="74"/>
        <v/>
      </c>
      <c r="CL390" s="38" t="str">
        <f>IF(C390="","",IF(COUNT(G390:AZ390)&lt;46,"",SUMPRODUCT(CC390:CK390,'تنظیمات وزن‌دهی'!$C$5:$C$13)/100))</f>
        <v/>
      </c>
      <c r="CM390" s="38" t="str">
        <f t="shared" si="75"/>
        <v/>
      </c>
      <c r="CN390" s="38">
        <v>2</v>
      </c>
      <c r="CO390" s="28" t="str">
        <f t="shared" si="76"/>
        <v/>
      </c>
      <c r="CP390" s="58"/>
    </row>
    <row r="391" spans="1:94" ht="17.25">
      <c r="A391" s="33">
        <v>387</v>
      </c>
      <c r="B391" s="55" t="s">
        <v>185</v>
      </c>
      <c r="C391" s="55" t="str">
        <f>IF(دانش‌آموزان!E37="","",دانش‌آموزان!B37)</f>
        <v/>
      </c>
      <c r="D391" s="55" t="str">
        <f>IF(دانش‌آموزان!C37="","",دانش‌آموزان!C37)</f>
        <v/>
      </c>
      <c r="E391" s="55" t="str">
        <f>IF(دانش‌آموزان!E37="","",دانش‌آموزان!E37&amp;" "&amp;دانش‌آموزان!F37)</f>
        <v/>
      </c>
      <c r="F391" s="34" t="str">
        <f>IF(دانش‌آموزان!I37="","",دانش‌آموزان!I37)</f>
        <v/>
      </c>
      <c r="G391" s="19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1"/>
      <c r="CC391" s="27" t="str">
        <f t="shared" si="66"/>
        <v/>
      </c>
      <c r="CD391" s="38" t="str">
        <f t="shared" si="67"/>
        <v/>
      </c>
      <c r="CE391" s="38" t="str">
        <f t="shared" si="68"/>
        <v/>
      </c>
      <c r="CF391" s="38" t="str">
        <f t="shared" si="69"/>
        <v/>
      </c>
      <c r="CG391" s="38" t="str">
        <f t="shared" si="70"/>
        <v/>
      </c>
      <c r="CH391" s="38" t="str">
        <f t="shared" si="71"/>
        <v/>
      </c>
      <c r="CI391" s="38" t="str">
        <f t="shared" si="72"/>
        <v/>
      </c>
      <c r="CJ391" s="38" t="str">
        <f t="shared" si="73"/>
        <v/>
      </c>
      <c r="CK391" s="38" t="str">
        <f t="shared" si="74"/>
        <v/>
      </c>
      <c r="CL391" s="38" t="str">
        <f>IF(C391="","",IF(COUNT(G391:AZ391)&lt;46,"",SUMPRODUCT(CC391:CK391,'تنظیمات وزن‌دهی'!$C$5:$C$13)/100))</f>
        <v/>
      </c>
      <c r="CM391" s="38" t="str">
        <f t="shared" si="75"/>
        <v/>
      </c>
      <c r="CN391" s="38">
        <v>3</v>
      </c>
      <c r="CO391" s="28" t="str">
        <f t="shared" si="76"/>
        <v/>
      </c>
      <c r="CP391" s="58"/>
    </row>
    <row r="392" spans="1:94" ht="17.25" hidden="1">
      <c r="A392" s="33">
        <v>388</v>
      </c>
      <c r="B392" s="55" t="s">
        <v>186</v>
      </c>
      <c r="C392" s="55" t="str">
        <f>IF(دانش‌آموزان!E37="","",دانش‌آموزان!B37)</f>
        <v/>
      </c>
      <c r="D392" s="55" t="str">
        <f>IF(دانش‌آموزان!C37="","",دانش‌آموزان!C37)</f>
        <v/>
      </c>
      <c r="E392" s="55" t="str">
        <f>IF(دانش‌آموزان!E37="","",دانش‌آموزان!E37&amp;" "&amp;دانش‌آموزان!F37)</f>
        <v/>
      </c>
      <c r="F392" s="34" t="str">
        <f>IF(دانش‌آموزان!I37="","",دانش‌آموزان!I37)</f>
        <v/>
      </c>
      <c r="G392" s="19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1"/>
      <c r="CC392" s="27" t="str">
        <f t="shared" si="66"/>
        <v/>
      </c>
      <c r="CD392" s="38" t="str">
        <f t="shared" si="67"/>
        <v/>
      </c>
      <c r="CE392" s="38" t="str">
        <f t="shared" si="68"/>
        <v/>
      </c>
      <c r="CF392" s="38" t="str">
        <f t="shared" si="69"/>
        <v/>
      </c>
      <c r="CG392" s="38" t="str">
        <f t="shared" si="70"/>
        <v/>
      </c>
      <c r="CH392" s="38" t="str">
        <f t="shared" si="71"/>
        <v/>
      </c>
      <c r="CI392" s="38" t="str">
        <f t="shared" si="72"/>
        <v/>
      </c>
      <c r="CJ392" s="38" t="str">
        <f t="shared" si="73"/>
        <v/>
      </c>
      <c r="CK392" s="38" t="str">
        <f t="shared" si="74"/>
        <v/>
      </c>
      <c r="CL392" s="38" t="str">
        <f>IF(C392="","",IF(COUNT(G392:AZ392)&lt;46,"",SUMPRODUCT(CC392:CK392,'تنظیمات وزن‌دهی'!$C$5:$C$13)/100))</f>
        <v/>
      </c>
      <c r="CM392" s="38" t="str">
        <f t="shared" si="75"/>
        <v/>
      </c>
      <c r="CN392" s="38">
        <v>4</v>
      </c>
      <c r="CO392" s="28" t="str">
        <f t="shared" si="76"/>
        <v/>
      </c>
      <c r="CP392" s="58"/>
    </row>
    <row r="393" spans="1:94" ht="17.25" hidden="1">
      <c r="A393" s="33">
        <v>389</v>
      </c>
      <c r="B393" s="55" t="s">
        <v>187</v>
      </c>
      <c r="C393" s="55" t="str">
        <f>IF(دانش‌آموزان!E37="","",دانش‌آموزان!B37)</f>
        <v/>
      </c>
      <c r="D393" s="55" t="str">
        <f>IF(دانش‌آموزان!C37="","",دانش‌آموزان!C37)</f>
        <v/>
      </c>
      <c r="E393" s="55" t="str">
        <f>IF(دانش‌آموزان!E37="","",دانش‌آموزان!E37&amp;" "&amp;دانش‌آموزان!F37)</f>
        <v/>
      </c>
      <c r="F393" s="34" t="str">
        <f>IF(دانش‌آموزان!I37="","",دانش‌آموزان!I37)</f>
        <v/>
      </c>
      <c r="G393" s="19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1"/>
      <c r="CC393" s="27" t="str">
        <f t="shared" si="66"/>
        <v/>
      </c>
      <c r="CD393" s="38" t="str">
        <f t="shared" si="67"/>
        <v/>
      </c>
      <c r="CE393" s="38" t="str">
        <f t="shared" si="68"/>
        <v/>
      </c>
      <c r="CF393" s="38" t="str">
        <f t="shared" si="69"/>
        <v/>
      </c>
      <c r="CG393" s="38" t="str">
        <f t="shared" si="70"/>
        <v/>
      </c>
      <c r="CH393" s="38" t="str">
        <f t="shared" si="71"/>
        <v/>
      </c>
      <c r="CI393" s="38" t="str">
        <f t="shared" si="72"/>
        <v/>
      </c>
      <c r="CJ393" s="38" t="str">
        <f t="shared" si="73"/>
        <v/>
      </c>
      <c r="CK393" s="38" t="str">
        <f t="shared" si="74"/>
        <v/>
      </c>
      <c r="CL393" s="38" t="str">
        <f>IF(C393="","",IF(COUNT(G393:AZ393)&lt;46,"",SUMPRODUCT(CC393:CK393,'تنظیمات وزن‌دهی'!$C$5:$C$13)/100))</f>
        <v/>
      </c>
      <c r="CM393" s="38" t="str">
        <f t="shared" si="75"/>
        <v/>
      </c>
      <c r="CN393" s="38">
        <v>5</v>
      </c>
      <c r="CO393" s="28" t="str">
        <f t="shared" si="76"/>
        <v/>
      </c>
      <c r="CP393" s="58"/>
    </row>
    <row r="394" spans="1:94" ht="17.25" hidden="1">
      <c r="A394" s="33">
        <v>390</v>
      </c>
      <c r="B394" s="55" t="s">
        <v>188</v>
      </c>
      <c r="C394" s="55" t="str">
        <f>IF(دانش‌آموزان!E37="","",دانش‌آموزان!B37)</f>
        <v/>
      </c>
      <c r="D394" s="55" t="str">
        <f>IF(دانش‌آموزان!C37="","",دانش‌آموزان!C37)</f>
        <v/>
      </c>
      <c r="E394" s="55" t="str">
        <f>IF(دانش‌آموزان!E37="","",دانش‌آموزان!E37&amp;" "&amp;دانش‌آموزان!F37)</f>
        <v/>
      </c>
      <c r="F394" s="34" t="str">
        <f>IF(دانش‌آموزان!I37="","",دانش‌آموزان!I37)</f>
        <v/>
      </c>
      <c r="G394" s="19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1"/>
      <c r="CC394" s="27" t="str">
        <f t="shared" si="66"/>
        <v/>
      </c>
      <c r="CD394" s="38" t="str">
        <f t="shared" si="67"/>
        <v/>
      </c>
      <c r="CE394" s="38" t="str">
        <f t="shared" si="68"/>
        <v/>
      </c>
      <c r="CF394" s="38" t="str">
        <f t="shared" si="69"/>
        <v/>
      </c>
      <c r="CG394" s="38" t="str">
        <f t="shared" si="70"/>
        <v/>
      </c>
      <c r="CH394" s="38" t="str">
        <f t="shared" si="71"/>
        <v/>
      </c>
      <c r="CI394" s="38" t="str">
        <f t="shared" si="72"/>
        <v/>
      </c>
      <c r="CJ394" s="38" t="str">
        <f t="shared" si="73"/>
        <v/>
      </c>
      <c r="CK394" s="38" t="str">
        <f t="shared" si="74"/>
        <v/>
      </c>
      <c r="CL394" s="38" t="str">
        <f>IF(C394="","",IF(COUNT(G394:AZ394)&lt;46,"",SUMPRODUCT(CC394:CK394,'تنظیمات وزن‌دهی'!$C$5:$C$13)/100))</f>
        <v/>
      </c>
      <c r="CM394" s="38" t="str">
        <f t="shared" si="75"/>
        <v/>
      </c>
      <c r="CN394" s="38">
        <v>6</v>
      </c>
      <c r="CO394" s="28" t="str">
        <f t="shared" si="76"/>
        <v/>
      </c>
      <c r="CP394" s="58"/>
    </row>
    <row r="395" spans="1:94" ht="17.25" hidden="1">
      <c r="A395" s="33">
        <v>391</v>
      </c>
      <c r="B395" s="55" t="s">
        <v>189</v>
      </c>
      <c r="C395" s="55" t="str">
        <f>IF(دانش‌آموزان!E37="","",دانش‌آموزان!B37)</f>
        <v/>
      </c>
      <c r="D395" s="55" t="str">
        <f>IF(دانش‌آموزان!C37="","",دانش‌آموزان!C37)</f>
        <v/>
      </c>
      <c r="E395" s="55" t="str">
        <f>IF(دانش‌آموزان!E37="","",دانش‌آموزان!E37&amp;" "&amp;دانش‌آموزان!F37)</f>
        <v/>
      </c>
      <c r="F395" s="34" t="str">
        <f>IF(دانش‌آموزان!I37="","",دانش‌آموزان!I37)</f>
        <v/>
      </c>
      <c r="G395" s="19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1"/>
      <c r="CC395" s="27" t="str">
        <f t="shared" si="66"/>
        <v/>
      </c>
      <c r="CD395" s="38" t="str">
        <f t="shared" si="67"/>
        <v/>
      </c>
      <c r="CE395" s="38" t="str">
        <f t="shared" si="68"/>
        <v/>
      </c>
      <c r="CF395" s="38" t="str">
        <f t="shared" si="69"/>
        <v/>
      </c>
      <c r="CG395" s="38" t="str">
        <f t="shared" si="70"/>
        <v/>
      </c>
      <c r="CH395" s="38" t="str">
        <f t="shared" si="71"/>
        <v/>
      </c>
      <c r="CI395" s="38" t="str">
        <f t="shared" si="72"/>
        <v/>
      </c>
      <c r="CJ395" s="38" t="str">
        <f t="shared" si="73"/>
        <v/>
      </c>
      <c r="CK395" s="38" t="str">
        <f t="shared" si="74"/>
        <v/>
      </c>
      <c r="CL395" s="38" t="str">
        <f>IF(C395="","",IF(COUNT(G395:AZ395)&lt;46,"",SUMPRODUCT(CC395:CK395,'تنظیمات وزن‌دهی'!$C$5:$C$13)/100))</f>
        <v/>
      </c>
      <c r="CM395" s="38" t="str">
        <f t="shared" si="75"/>
        <v/>
      </c>
      <c r="CN395" s="38">
        <v>7</v>
      </c>
      <c r="CO395" s="28" t="str">
        <f t="shared" si="76"/>
        <v/>
      </c>
      <c r="CP395" s="58"/>
    </row>
    <row r="396" spans="1:94" ht="17.25" hidden="1">
      <c r="A396" s="33">
        <v>392</v>
      </c>
      <c r="B396" s="55" t="s">
        <v>190</v>
      </c>
      <c r="C396" s="55" t="str">
        <f>IF(دانش‌آموزان!E37="","",دانش‌آموزان!B37)</f>
        <v/>
      </c>
      <c r="D396" s="55" t="str">
        <f>IF(دانش‌آموزان!C37="","",دانش‌آموزان!C37)</f>
        <v/>
      </c>
      <c r="E396" s="55" t="str">
        <f>IF(دانش‌آموزان!E37="","",دانش‌آموزان!E37&amp;" "&amp;دانش‌آموزان!F37)</f>
        <v/>
      </c>
      <c r="F396" s="34" t="str">
        <f>IF(دانش‌آموزان!I37="","",دانش‌آموزان!I37)</f>
        <v/>
      </c>
      <c r="G396" s="19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1"/>
      <c r="CC396" s="27" t="str">
        <f t="shared" si="66"/>
        <v/>
      </c>
      <c r="CD396" s="38" t="str">
        <f t="shared" si="67"/>
        <v/>
      </c>
      <c r="CE396" s="38" t="str">
        <f t="shared" si="68"/>
        <v/>
      </c>
      <c r="CF396" s="38" t="str">
        <f t="shared" si="69"/>
        <v/>
      </c>
      <c r="CG396" s="38" t="str">
        <f t="shared" si="70"/>
        <v/>
      </c>
      <c r="CH396" s="38" t="str">
        <f t="shared" si="71"/>
        <v/>
      </c>
      <c r="CI396" s="38" t="str">
        <f t="shared" si="72"/>
        <v/>
      </c>
      <c r="CJ396" s="38" t="str">
        <f t="shared" si="73"/>
        <v/>
      </c>
      <c r="CK396" s="38" t="str">
        <f t="shared" si="74"/>
        <v/>
      </c>
      <c r="CL396" s="38" t="str">
        <f>IF(C396="","",IF(COUNT(G396:AZ396)&lt;46,"",SUMPRODUCT(CC396:CK396,'تنظیمات وزن‌دهی'!$C$5:$C$13)/100))</f>
        <v/>
      </c>
      <c r="CM396" s="38" t="str">
        <f t="shared" si="75"/>
        <v/>
      </c>
      <c r="CN396" s="38">
        <v>8</v>
      </c>
      <c r="CO396" s="28" t="str">
        <f t="shared" si="76"/>
        <v/>
      </c>
      <c r="CP396" s="58"/>
    </row>
    <row r="397" spans="1:94" ht="17.25" hidden="1">
      <c r="A397" s="33">
        <v>393</v>
      </c>
      <c r="B397" s="55" t="s">
        <v>191</v>
      </c>
      <c r="C397" s="55" t="str">
        <f>IF(دانش‌آموزان!E37="","",دانش‌آموزان!B37)</f>
        <v/>
      </c>
      <c r="D397" s="55" t="str">
        <f>IF(دانش‌آموزان!C37="","",دانش‌آموزان!C37)</f>
        <v/>
      </c>
      <c r="E397" s="55" t="str">
        <f>IF(دانش‌آموزان!E37="","",دانش‌آموزان!E37&amp;" "&amp;دانش‌آموزان!F37)</f>
        <v/>
      </c>
      <c r="F397" s="34" t="str">
        <f>IF(دانش‌آموزان!I37="","",دانش‌آموزان!I37)</f>
        <v/>
      </c>
      <c r="G397" s="19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1"/>
      <c r="CC397" s="27" t="str">
        <f t="shared" si="66"/>
        <v/>
      </c>
      <c r="CD397" s="38" t="str">
        <f t="shared" si="67"/>
        <v/>
      </c>
      <c r="CE397" s="38" t="str">
        <f t="shared" si="68"/>
        <v/>
      </c>
      <c r="CF397" s="38" t="str">
        <f t="shared" si="69"/>
        <v/>
      </c>
      <c r="CG397" s="38" t="str">
        <f t="shared" si="70"/>
        <v/>
      </c>
      <c r="CH397" s="38" t="str">
        <f t="shared" si="71"/>
        <v/>
      </c>
      <c r="CI397" s="38" t="str">
        <f t="shared" si="72"/>
        <v/>
      </c>
      <c r="CJ397" s="38" t="str">
        <f t="shared" si="73"/>
        <v/>
      </c>
      <c r="CK397" s="38" t="str">
        <f t="shared" si="74"/>
        <v/>
      </c>
      <c r="CL397" s="38" t="str">
        <f>IF(C397="","",IF(COUNT(G397:AZ397)&lt;46,"",SUMPRODUCT(CC397:CK397,'تنظیمات وزن‌دهی'!$C$5:$C$13)/100))</f>
        <v/>
      </c>
      <c r="CM397" s="38" t="str">
        <f t="shared" si="75"/>
        <v/>
      </c>
      <c r="CN397" s="38">
        <v>9</v>
      </c>
      <c r="CO397" s="28" t="str">
        <f t="shared" si="76"/>
        <v/>
      </c>
      <c r="CP397" s="58"/>
    </row>
    <row r="398" spans="1:94" ht="17.25" hidden="1">
      <c r="A398" s="33">
        <v>394</v>
      </c>
      <c r="B398" s="55" t="s">
        <v>192</v>
      </c>
      <c r="C398" s="55" t="str">
        <f>IF(دانش‌آموزان!E37="","",دانش‌آموزان!B37)</f>
        <v/>
      </c>
      <c r="D398" s="55" t="str">
        <f>IF(دانش‌آموزان!C37="","",دانش‌آموزان!C37)</f>
        <v/>
      </c>
      <c r="E398" s="55" t="str">
        <f>IF(دانش‌آموزان!E37="","",دانش‌آموزان!E37&amp;" "&amp;دانش‌آموزان!F37)</f>
        <v/>
      </c>
      <c r="F398" s="34" t="str">
        <f>IF(دانش‌آموزان!I37="","",دانش‌آموزان!I37)</f>
        <v/>
      </c>
      <c r="G398" s="19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1"/>
      <c r="CC398" s="27" t="str">
        <f t="shared" si="66"/>
        <v/>
      </c>
      <c r="CD398" s="38" t="str">
        <f t="shared" si="67"/>
        <v/>
      </c>
      <c r="CE398" s="38" t="str">
        <f t="shared" si="68"/>
        <v/>
      </c>
      <c r="CF398" s="38" t="str">
        <f t="shared" si="69"/>
        <v/>
      </c>
      <c r="CG398" s="38" t="str">
        <f t="shared" si="70"/>
        <v/>
      </c>
      <c r="CH398" s="38" t="str">
        <f t="shared" si="71"/>
        <v/>
      </c>
      <c r="CI398" s="38" t="str">
        <f t="shared" si="72"/>
        <v/>
      </c>
      <c r="CJ398" s="38" t="str">
        <f t="shared" si="73"/>
        <v/>
      </c>
      <c r="CK398" s="38" t="str">
        <f t="shared" si="74"/>
        <v/>
      </c>
      <c r="CL398" s="38" t="str">
        <f>IF(C398="","",IF(COUNT(G398:AZ398)&lt;46,"",SUMPRODUCT(CC398:CK398,'تنظیمات وزن‌دهی'!$C$5:$C$13)/100))</f>
        <v/>
      </c>
      <c r="CM398" s="38" t="str">
        <f t="shared" si="75"/>
        <v/>
      </c>
      <c r="CN398" s="38">
        <v>10</v>
      </c>
      <c r="CO398" s="28" t="str">
        <f t="shared" si="76"/>
        <v/>
      </c>
      <c r="CP398" s="58"/>
    </row>
    <row r="399" spans="1:94" ht="17.25" hidden="1">
      <c r="A399" s="33">
        <v>395</v>
      </c>
      <c r="B399" s="55" t="s">
        <v>193</v>
      </c>
      <c r="C399" s="55" t="str">
        <f>IF(دانش‌آموزان!E37="","",دانش‌آموزان!B37)</f>
        <v/>
      </c>
      <c r="D399" s="55" t="str">
        <f>IF(دانش‌آموزان!C37="","",دانش‌آموزان!C37)</f>
        <v/>
      </c>
      <c r="E399" s="55" t="str">
        <f>IF(دانش‌آموزان!E37="","",دانش‌آموزان!E37&amp;" "&amp;دانش‌آموزان!F37)</f>
        <v/>
      </c>
      <c r="F399" s="34" t="str">
        <f>IF(دانش‌آموزان!I37="","",دانش‌آموزان!I37)</f>
        <v/>
      </c>
      <c r="G399" s="19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1"/>
      <c r="CC399" s="27" t="str">
        <f t="shared" si="66"/>
        <v/>
      </c>
      <c r="CD399" s="38" t="str">
        <f t="shared" si="67"/>
        <v/>
      </c>
      <c r="CE399" s="38" t="str">
        <f t="shared" si="68"/>
        <v/>
      </c>
      <c r="CF399" s="38" t="str">
        <f t="shared" si="69"/>
        <v/>
      </c>
      <c r="CG399" s="38" t="str">
        <f t="shared" si="70"/>
        <v/>
      </c>
      <c r="CH399" s="38" t="str">
        <f t="shared" si="71"/>
        <v/>
      </c>
      <c r="CI399" s="38" t="str">
        <f t="shared" si="72"/>
        <v/>
      </c>
      <c r="CJ399" s="38" t="str">
        <f t="shared" si="73"/>
        <v/>
      </c>
      <c r="CK399" s="38" t="str">
        <f t="shared" si="74"/>
        <v/>
      </c>
      <c r="CL399" s="38" t="str">
        <f>IF(C399="","",IF(COUNT(G399:AZ399)&lt;46,"",SUMPRODUCT(CC399:CK399,'تنظیمات وزن‌دهی'!$C$5:$C$13)/100))</f>
        <v/>
      </c>
      <c r="CM399" s="38" t="str">
        <f t="shared" si="75"/>
        <v/>
      </c>
      <c r="CN399" s="38">
        <v>11</v>
      </c>
      <c r="CO399" s="28" t="str">
        <f t="shared" si="76"/>
        <v/>
      </c>
      <c r="CP399" s="58"/>
    </row>
    <row r="400" spans="1:94" ht="17.25" hidden="1">
      <c r="A400" s="33">
        <v>396</v>
      </c>
      <c r="B400" s="55" t="s">
        <v>194</v>
      </c>
      <c r="C400" s="55" t="str">
        <f>IF(دانش‌آموزان!E37="","",دانش‌آموزان!B37)</f>
        <v/>
      </c>
      <c r="D400" s="55" t="str">
        <f>IF(دانش‌آموزان!C37="","",دانش‌آموزان!C37)</f>
        <v/>
      </c>
      <c r="E400" s="55" t="str">
        <f>IF(دانش‌آموزان!E37="","",دانش‌آموزان!E37&amp;" "&amp;دانش‌آموزان!F37)</f>
        <v/>
      </c>
      <c r="F400" s="34" t="str">
        <f>IF(دانش‌آموزان!I37="","",دانش‌آموزان!I37)</f>
        <v/>
      </c>
      <c r="G400" s="19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1"/>
      <c r="CC400" s="27" t="str">
        <f t="shared" si="66"/>
        <v/>
      </c>
      <c r="CD400" s="38" t="str">
        <f t="shared" si="67"/>
        <v/>
      </c>
      <c r="CE400" s="38" t="str">
        <f t="shared" si="68"/>
        <v/>
      </c>
      <c r="CF400" s="38" t="str">
        <f t="shared" si="69"/>
        <v/>
      </c>
      <c r="CG400" s="38" t="str">
        <f t="shared" si="70"/>
        <v/>
      </c>
      <c r="CH400" s="38" t="str">
        <f t="shared" si="71"/>
        <v/>
      </c>
      <c r="CI400" s="38" t="str">
        <f t="shared" si="72"/>
        <v/>
      </c>
      <c r="CJ400" s="38" t="str">
        <f t="shared" si="73"/>
        <v/>
      </c>
      <c r="CK400" s="38" t="str">
        <f t="shared" si="74"/>
        <v/>
      </c>
      <c r="CL400" s="38" t="str">
        <f>IF(C400="","",IF(COUNT(G400:AZ400)&lt;46,"",SUMPRODUCT(CC400:CK400,'تنظیمات وزن‌دهی'!$C$5:$C$13)/100))</f>
        <v/>
      </c>
      <c r="CM400" s="38" t="str">
        <f t="shared" si="75"/>
        <v/>
      </c>
      <c r="CN400" s="38">
        <v>12</v>
      </c>
      <c r="CO400" s="28" t="str">
        <f t="shared" si="76"/>
        <v/>
      </c>
      <c r="CP400" s="58"/>
    </row>
    <row r="401" spans="1:94" ht="17.25" hidden="1">
      <c r="A401" s="33">
        <v>397</v>
      </c>
      <c r="B401" s="55" t="s">
        <v>183</v>
      </c>
      <c r="C401" s="55" t="str">
        <f>IF(دانش‌آموزان!E38="","",دانش‌آموزان!B38)</f>
        <v/>
      </c>
      <c r="D401" s="55" t="str">
        <f>IF(دانش‌آموزان!C38="","",دانش‌آموزان!C38)</f>
        <v/>
      </c>
      <c r="E401" s="55" t="str">
        <f>IF(دانش‌آموزان!E38="","",دانش‌آموزان!E38&amp;" "&amp;دانش‌آموزان!F38)</f>
        <v/>
      </c>
      <c r="F401" s="34" t="str">
        <f>IF(دانش‌آموزان!I38="","",دانش‌آموزان!I38)</f>
        <v/>
      </c>
      <c r="G401" s="19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1"/>
      <c r="CC401" s="27" t="str">
        <f t="shared" si="66"/>
        <v/>
      </c>
      <c r="CD401" s="38" t="str">
        <f t="shared" si="67"/>
        <v/>
      </c>
      <c r="CE401" s="38" t="str">
        <f t="shared" si="68"/>
        <v/>
      </c>
      <c r="CF401" s="38" t="str">
        <f t="shared" si="69"/>
        <v/>
      </c>
      <c r="CG401" s="38" t="str">
        <f t="shared" si="70"/>
        <v/>
      </c>
      <c r="CH401" s="38" t="str">
        <f t="shared" si="71"/>
        <v/>
      </c>
      <c r="CI401" s="38" t="str">
        <f t="shared" si="72"/>
        <v/>
      </c>
      <c r="CJ401" s="38" t="str">
        <f t="shared" si="73"/>
        <v/>
      </c>
      <c r="CK401" s="38" t="str">
        <f t="shared" si="74"/>
        <v/>
      </c>
      <c r="CL401" s="38" t="str">
        <f>IF(C401="","",IF(COUNT(G401:AZ401)&lt;46,"",SUMPRODUCT(CC401:CK401,'تنظیمات وزن‌دهی'!$C$5:$C$13)/100))</f>
        <v/>
      </c>
      <c r="CM401" s="38" t="str">
        <f t="shared" si="75"/>
        <v/>
      </c>
      <c r="CN401" s="38">
        <v>1</v>
      </c>
      <c r="CO401" s="28" t="str">
        <f t="shared" si="76"/>
        <v/>
      </c>
      <c r="CP401" s="58"/>
    </row>
    <row r="402" spans="1:94" ht="17.25" hidden="1">
      <c r="A402" s="33">
        <v>398</v>
      </c>
      <c r="B402" s="55" t="s">
        <v>184</v>
      </c>
      <c r="C402" s="55" t="str">
        <f>IF(دانش‌آموزان!E38="","",دانش‌آموزان!B38)</f>
        <v/>
      </c>
      <c r="D402" s="55" t="str">
        <f>IF(دانش‌آموزان!C38="","",دانش‌آموزان!C38)</f>
        <v/>
      </c>
      <c r="E402" s="55" t="str">
        <f>IF(دانش‌آموزان!E38="","",دانش‌آموزان!E38&amp;" "&amp;دانش‌آموزان!F38)</f>
        <v/>
      </c>
      <c r="F402" s="34" t="str">
        <f>IF(دانش‌آموزان!I38="","",دانش‌آموزان!I38)</f>
        <v/>
      </c>
      <c r="G402" s="19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1"/>
      <c r="CC402" s="27" t="str">
        <f t="shared" si="66"/>
        <v/>
      </c>
      <c r="CD402" s="38" t="str">
        <f t="shared" si="67"/>
        <v/>
      </c>
      <c r="CE402" s="38" t="str">
        <f t="shared" si="68"/>
        <v/>
      </c>
      <c r="CF402" s="38" t="str">
        <f t="shared" si="69"/>
        <v/>
      </c>
      <c r="CG402" s="38" t="str">
        <f t="shared" si="70"/>
        <v/>
      </c>
      <c r="CH402" s="38" t="str">
        <f t="shared" si="71"/>
        <v/>
      </c>
      <c r="CI402" s="38" t="str">
        <f t="shared" si="72"/>
        <v/>
      </c>
      <c r="CJ402" s="38" t="str">
        <f t="shared" si="73"/>
        <v/>
      </c>
      <c r="CK402" s="38" t="str">
        <f t="shared" si="74"/>
        <v/>
      </c>
      <c r="CL402" s="38" t="str">
        <f>IF(C402="","",IF(COUNT(G402:AZ402)&lt;46,"",SUMPRODUCT(CC402:CK402,'تنظیمات وزن‌دهی'!$C$5:$C$13)/100))</f>
        <v/>
      </c>
      <c r="CM402" s="38" t="str">
        <f t="shared" si="75"/>
        <v/>
      </c>
      <c r="CN402" s="38">
        <v>2</v>
      </c>
      <c r="CO402" s="28" t="str">
        <f t="shared" si="76"/>
        <v/>
      </c>
      <c r="CP402" s="58"/>
    </row>
    <row r="403" spans="1:94" ht="17.25">
      <c r="A403" s="33">
        <v>399</v>
      </c>
      <c r="B403" s="55" t="s">
        <v>185</v>
      </c>
      <c r="C403" s="55" t="str">
        <f>IF(دانش‌آموزان!E38="","",دانش‌آموزان!B38)</f>
        <v/>
      </c>
      <c r="D403" s="55" t="str">
        <f>IF(دانش‌آموزان!C38="","",دانش‌آموزان!C38)</f>
        <v/>
      </c>
      <c r="E403" s="55" t="str">
        <f>IF(دانش‌آموزان!E38="","",دانش‌آموزان!E38&amp;" "&amp;دانش‌آموزان!F38)</f>
        <v/>
      </c>
      <c r="F403" s="34" t="str">
        <f>IF(دانش‌آموزان!I38="","",دانش‌آموزان!I38)</f>
        <v/>
      </c>
      <c r="G403" s="19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1"/>
      <c r="CC403" s="27" t="str">
        <f t="shared" si="66"/>
        <v/>
      </c>
      <c r="CD403" s="38" t="str">
        <f t="shared" si="67"/>
        <v/>
      </c>
      <c r="CE403" s="38" t="str">
        <f t="shared" si="68"/>
        <v/>
      </c>
      <c r="CF403" s="38" t="str">
        <f t="shared" si="69"/>
        <v/>
      </c>
      <c r="CG403" s="38" t="str">
        <f t="shared" si="70"/>
        <v/>
      </c>
      <c r="CH403" s="38" t="str">
        <f t="shared" si="71"/>
        <v/>
      </c>
      <c r="CI403" s="38" t="str">
        <f t="shared" si="72"/>
        <v/>
      </c>
      <c r="CJ403" s="38" t="str">
        <f t="shared" si="73"/>
        <v/>
      </c>
      <c r="CK403" s="38" t="str">
        <f t="shared" si="74"/>
        <v/>
      </c>
      <c r="CL403" s="38" t="str">
        <f>IF(C403="","",IF(COUNT(G403:AZ403)&lt;46,"",SUMPRODUCT(CC403:CK403,'تنظیمات وزن‌دهی'!$C$5:$C$13)/100))</f>
        <v/>
      </c>
      <c r="CM403" s="38" t="str">
        <f t="shared" si="75"/>
        <v/>
      </c>
      <c r="CN403" s="38">
        <v>3</v>
      </c>
      <c r="CO403" s="28" t="str">
        <f t="shared" si="76"/>
        <v/>
      </c>
      <c r="CP403" s="58"/>
    </row>
    <row r="404" spans="1:94" ht="17.25" hidden="1">
      <c r="A404" s="33">
        <v>400</v>
      </c>
      <c r="B404" s="55" t="s">
        <v>186</v>
      </c>
      <c r="C404" s="55" t="str">
        <f>IF(دانش‌آموزان!E38="","",دانش‌آموزان!B38)</f>
        <v/>
      </c>
      <c r="D404" s="55" t="str">
        <f>IF(دانش‌آموزان!C38="","",دانش‌آموزان!C38)</f>
        <v/>
      </c>
      <c r="E404" s="55" t="str">
        <f>IF(دانش‌آموزان!E38="","",دانش‌آموزان!E38&amp;" "&amp;دانش‌آموزان!F38)</f>
        <v/>
      </c>
      <c r="F404" s="34" t="str">
        <f>IF(دانش‌آموزان!I38="","",دانش‌آموزان!I38)</f>
        <v/>
      </c>
      <c r="G404" s="19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1"/>
      <c r="CC404" s="27" t="str">
        <f t="shared" si="66"/>
        <v/>
      </c>
      <c r="CD404" s="38" t="str">
        <f t="shared" si="67"/>
        <v/>
      </c>
      <c r="CE404" s="38" t="str">
        <f t="shared" si="68"/>
        <v/>
      </c>
      <c r="CF404" s="38" t="str">
        <f t="shared" si="69"/>
        <v/>
      </c>
      <c r="CG404" s="38" t="str">
        <f t="shared" si="70"/>
        <v/>
      </c>
      <c r="CH404" s="38" t="str">
        <f t="shared" si="71"/>
        <v/>
      </c>
      <c r="CI404" s="38" t="str">
        <f t="shared" si="72"/>
        <v/>
      </c>
      <c r="CJ404" s="38" t="str">
        <f t="shared" si="73"/>
        <v/>
      </c>
      <c r="CK404" s="38" t="str">
        <f t="shared" si="74"/>
        <v/>
      </c>
      <c r="CL404" s="38" t="str">
        <f>IF(C404="","",IF(COUNT(G404:AZ404)&lt;46,"",SUMPRODUCT(CC404:CK404,'تنظیمات وزن‌دهی'!$C$5:$C$13)/100))</f>
        <v/>
      </c>
      <c r="CM404" s="38" t="str">
        <f t="shared" si="75"/>
        <v/>
      </c>
      <c r="CN404" s="38">
        <v>4</v>
      </c>
      <c r="CO404" s="28" t="str">
        <f t="shared" si="76"/>
        <v/>
      </c>
      <c r="CP404" s="58"/>
    </row>
    <row r="405" spans="1:94" ht="17.25" hidden="1">
      <c r="A405" s="33">
        <v>401</v>
      </c>
      <c r="B405" s="55" t="s">
        <v>187</v>
      </c>
      <c r="C405" s="55" t="str">
        <f>IF(دانش‌آموزان!E38="","",دانش‌آموزان!B38)</f>
        <v/>
      </c>
      <c r="D405" s="55" t="str">
        <f>IF(دانش‌آموزان!C38="","",دانش‌آموزان!C38)</f>
        <v/>
      </c>
      <c r="E405" s="55" t="str">
        <f>IF(دانش‌آموزان!E38="","",دانش‌آموزان!E38&amp;" "&amp;دانش‌آموزان!F38)</f>
        <v/>
      </c>
      <c r="F405" s="34" t="str">
        <f>IF(دانش‌آموزان!I38="","",دانش‌آموزان!I38)</f>
        <v/>
      </c>
      <c r="G405" s="19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1"/>
      <c r="CC405" s="27" t="str">
        <f t="shared" si="66"/>
        <v/>
      </c>
      <c r="CD405" s="38" t="str">
        <f t="shared" si="67"/>
        <v/>
      </c>
      <c r="CE405" s="38" t="str">
        <f t="shared" si="68"/>
        <v/>
      </c>
      <c r="CF405" s="38" t="str">
        <f t="shared" si="69"/>
        <v/>
      </c>
      <c r="CG405" s="38" t="str">
        <f t="shared" si="70"/>
        <v/>
      </c>
      <c r="CH405" s="38" t="str">
        <f t="shared" si="71"/>
        <v/>
      </c>
      <c r="CI405" s="38" t="str">
        <f t="shared" si="72"/>
        <v/>
      </c>
      <c r="CJ405" s="38" t="str">
        <f t="shared" si="73"/>
        <v/>
      </c>
      <c r="CK405" s="38" t="str">
        <f t="shared" si="74"/>
        <v/>
      </c>
      <c r="CL405" s="38" t="str">
        <f>IF(C405="","",IF(COUNT(G405:AZ405)&lt;46,"",SUMPRODUCT(CC405:CK405,'تنظیمات وزن‌دهی'!$C$5:$C$13)/100))</f>
        <v/>
      </c>
      <c r="CM405" s="38" t="str">
        <f t="shared" si="75"/>
        <v/>
      </c>
      <c r="CN405" s="38">
        <v>5</v>
      </c>
      <c r="CO405" s="28" t="str">
        <f t="shared" si="76"/>
        <v/>
      </c>
      <c r="CP405" s="58"/>
    </row>
    <row r="406" spans="1:94" ht="17.25" hidden="1">
      <c r="A406" s="33">
        <v>402</v>
      </c>
      <c r="B406" s="55" t="s">
        <v>188</v>
      </c>
      <c r="C406" s="55" t="str">
        <f>IF(دانش‌آموزان!E38="","",دانش‌آموزان!B38)</f>
        <v/>
      </c>
      <c r="D406" s="55" t="str">
        <f>IF(دانش‌آموزان!C38="","",دانش‌آموزان!C38)</f>
        <v/>
      </c>
      <c r="E406" s="55" t="str">
        <f>IF(دانش‌آموزان!E38="","",دانش‌آموزان!E38&amp;" "&amp;دانش‌آموزان!F38)</f>
        <v/>
      </c>
      <c r="F406" s="34" t="str">
        <f>IF(دانش‌آموزان!I38="","",دانش‌آموزان!I38)</f>
        <v/>
      </c>
      <c r="G406" s="19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1"/>
      <c r="CC406" s="27" t="str">
        <f t="shared" si="66"/>
        <v/>
      </c>
      <c r="CD406" s="38" t="str">
        <f t="shared" si="67"/>
        <v/>
      </c>
      <c r="CE406" s="38" t="str">
        <f t="shared" si="68"/>
        <v/>
      </c>
      <c r="CF406" s="38" t="str">
        <f t="shared" si="69"/>
        <v/>
      </c>
      <c r="CG406" s="38" t="str">
        <f t="shared" si="70"/>
        <v/>
      </c>
      <c r="CH406" s="38" t="str">
        <f t="shared" si="71"/>
        <v/>
      </c>
      <c r="CI406" s="38" t="str">
        <f t="shared" si="72"/>
        <v/>
      </c>
      <c r="CJ406" s="38" t="str">
        <f t="shared" si="73"/>
        <v/>
      </c>
      <c r="CK406" s="38" t="str">
        <f t="shared" si="74"/>
        <v/>
      </c>
      <c r="CL406" s="38" t="str">
        <f>IF(C406="","",IF(COUNT(G406:AZ406)&lt;46,"",SUMPRODUCT(CC406:CK406,'تنظیمات وزن‌دهی'!$C$5:$C$13)/100))</f>
        <v/>
      </c>
      <c r="CM406" s="38" t="str">
        <f t="shared" si="75"/>
        <v/>
      </c>
      <c r="CN406" s="38">
        <v>6</v>
      </c>
      <c r="CO406" s="28" t="str">
        <f t="shared" si="76"/>
        <v/>
      </c>
      <c r="CP406" s="58"/>
    </row>
    <row r="407" spans="1:94" ht="17.25" hidden="1">
      <c r="A407" s="33">
        <v>403</v>
      </c>
      <c r="B407" s="55" t="s">
        <v>189</v>
      </c>
      <c r="C407" s="55" t="str">
        <f>IF(دانش‌آموزان!E38="","",دانش‌آموزان!B38)</f>
        <v/>
      </c>
      <c r="D407" s="55" t="str">
        <f>IF(دانش‌آموزان!C38="","",دانش‌آموزان!C38)</f>
        <v/>
      </c>
      <c r="E407" s="55" t="str">
        <f>IF(دانش‌آموزان!E38="","",دانش‌آموزان!E38&amp;" "&amp;دانش‌آموزان!F38)</f>
        <v/>
      </c>
      <c r="F407" s="34" t="str">
        <f>IF(دانش‌آموزان!I38="","",دانش‌آموزان!I38)</f>
        <v/>
      </c>
      <c r="G407" s="19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1"/>
      <c r="CC407" s="27" t="str">
        <f t="shared" si="66"/>
        <v/>
      </c>
      <c r="CD407" s="38" t="str">
        <f t="shared" si="67"/>
        <v/>
      </c>
      <c r="CE407" s="38" t="str">
        <f t="shared" si="68"/>
        <v/>
      </c>
      <c r="CF407" s="38" t="str">
        <f t="shared" si="69"/>
        <v/>
      </c>
      <c r="CG407" s="38" t="str">
        <f t="shared" si="70"/>
        <v/>
      </c>
      <c r="CH407" s="38" t="str">
        <f t="shared" si="71"/>
        <v/>
      </c>
      <c r="CI407" s="38" t="str">
        <f t="shared" si="72"/>
        <v/>
      </c>
      <c r="CJ407" s="38" t="str">
        <f t="shared" si="73"/>
        <v/>
      </c>
      <c r="CK407" s="38" t="str">
        <f t="shared" si="74"/>
        <v/>
      </c>
      <c r="CL407" s="38" t="str">
        <f>IF(C407="","",IF(COUNT(G407:AZ407)&lt;46,"",SUMPRODUCT(CC407:CK407,'تنظیمات وزن‌دهی'!$C$5:$C$13)/100))</f>
        <v/>
      </c>
      <c r="CM407" s="38" t="str">
        <f t="shared" si="75"/>
        <v/>
      </c>
      <c r="CN407" s="38">
        <v>7</v>
      </c>
      <c r="CO407" s="28" t="str">
        <f t="shared" si="76"/>
        <v/>
      </c>
      <c r="CP407" s="58"/>
    </row>
    <row r="408" spans="1:94" ht="17.25" hidden="1">
      <c r="A408" s="33">
        <v>404</v>
      </c>
      <c r="B408" s="55" t="s">
        <v>190</v>
      </c>
      <c r="C408" s="55" t="str">
        <f>IF(دانش‌آموزان!E38="","",دانش‌آموزان!B38)</f>
        <v/>
      </c>
      <c r="D408" s="55" t="str">
        <f>IF(دانش‌آموزان!C38="","",دانش‌آموزان!C38)</f>
        <v/>
      </c>
      <c r="E408" s="55" t="str">
        <f>IF(دانش‌آموزان!E38="","",دانش‌آموزان!E38&amp;" "&amp;دانش‌آموزان!F38)</f>
        <v/>
      </c>
      <c r="F408" s="34" t="str">
        <f>IF(دانش‌آموزان!I38="","",دانش‌آموزان!I38)</f>
        <v/>
      </c>
      <c r="G408" s="19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1"/>
      <c r="CC408" s="27" t="str">
        <f t="shared" si="66"/>
        <v/>
      </c>
      <c r="CD408" s="38" t="str">
        <f t="shared" si="67"/>
        <v/>
      </c>
      <c r="CE408" s="38" t="str">
        <f t="shared" si="68"/>
        <v/>
      </c>
      <c r="CF408" s="38" t="str">
        <f t="shared" si="69"/>
        <v/>
      </c>
      <c r="CG408" s="38" t="str">
        <f t="shared" si="70"/>
        <v/>
      </c>
      <c r="CH408" s="38" t="str">
        <f t="shared" si="71"/>
        <v/>
      </c>
      <c r="CI408" s="38" t="str">
        <f t="shared" si="72"/>
        <v/>
      </c>
      <c r="CJ408" s="38" t="str">
        <f t="shared" si="73"/>
        <v/>
      </c>
      <c r="CK408" s="38" t="str">
        <f t="shared" si="74"/>
        <v/>
      </c>
      <c r="CL408" s="38" t="str">
        <f>IF(C408="","",IF(COUNT(G408:AZ408)&lt;46,"",SUMPRODUCT(CC408:CK408,'تنظیمات وزن‌دهی'!$C$5:$C$13)/100))</f>
        <v/>
      </c>
      <c r="CM408" s="38" t="str">
        <f t="shared" si="75"/>
        <v/>
      </c>
      <c r="CN408" s="38">
        <v>8</v>
      </c>
      <c r="CO408" s="28" t="str">
        <f t="shared" si="76"/>
        <v/>
      </c>
      <c r="CP408" s="58"/>
    </row>
    <row r="409" spans="1:94" ht="17.25" hidden="1">
      <c r="A409" s="33">
        <v>405</v>
      </c>
      <c r="B409" s="55" t="s">
        <v>191</v>
      </c>
      <c r="C409" s="55" t="str">
        <f>IF(دانش‌آموزان!E38="","",دانش‌آموزان!B38)</f>
        <v/>
      </c>
      <c r="D409" s="55" t="str">
        <f>IF(دانش‌آموزان!C38="","",دانش‌آموزان!C38)</f>
        <v/>
      </c>
      <c r="E409" s="55" t="str">
        <f>IF(دانش‌آموزان!E38="","",دانش‌آموزان!E38&amp;" "&amp;دانش‌آموزان!F38)</f>
        <v/>
      </c>
      <c r="F409" s="34" t="str">
        <f>IF(دانش‌آموزان!I38="","",دانش‌آموزان!I38)</f>
        <v/>
      </c>
      <c r="G409" s="19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1"/>
      <c r="CC409" s="27" t="str">
        <f t="shared" si="66"/>
        <v/>
      </c>
      <c r="CD409" s="38" t="str">
        <f t="shared" si="67"/>
        <v/>
      </c>
      <c r="CE409" s="38" t="str">
        <f t="shared" si="68"/>
        <v/>
      </c>
      <c r="CF409" s="38" t="str">
        <f t="shared" si="69"/>
        <v/>
      </c>
      <c r="CG409" s="38" t="str">
        <f t="shared" si="70"/>
        <v/>
      </c>
      <c r="CH409" s="38" t="str">
        <f t="shared" si="71"/>
        <v/>
      </c>
      <c r="CI409" s="38" t="str">
        <f t="shared" si="72"/>
        <v/>
      </c>
      <c r="CJ409" s="38" t="str">
        <f t="shared" si="73"/>
        <v/>
      </c>
      <c r="CK409" s="38" t="str">
        <f t="shared" si="74"/>
        <v/>
      </c>
      <c r="CL409" s="38" t="str">
        <f>IF(C409="","",IF(COUNT(G409:AZ409)&lt;46,"",SUMPRODUCT(CC409:CK409,'تنظیمات وزن‌دهی'!$C$5:$C$13)/100))</f>
        <v/>
      </c>
      <c r="CM409" s="38" t="str">
        <f t="shared" si="75"/>
        <v/>
      </c>
      <c r="CN409" s="38">
        <v>9</v>
      </c>
      <c r="CO409" s="28" t="str">
        <f t="shared" si="76"/>
        <v/>
      </c>
      <c r="CP409" s="58"/>
    </row>
    <row r="410" spans="1:94" ht="17.25" hidden="1">
      <c r="A410" s="33">
        <v>406</v>
      </c>
      <c r="B410" s="55" t="s">
        <v>192</v>
      </c>
      <c r="C410" s="55" t="str">
        <f>IF(دانش‌آموزان!E38="","",دانش‌آموزان!B38)</f>
        <v/>
      </c>
      <c r="D410" s="55" t="str">
        <f>IF(دانش‌آموزان!C38="","",دانش‌آموزان!C38)</f>
        <v/>
      </c>
      <c r="E410" s="55" t="str">
        <f>IF(دانش‌آموزان!E38="","",دانش‌آموزان!E38&amp;" "&amp;دانش‌آموزان!F38)</f>
        <v/>
      </c>
      <c r="F410" s="34" t="str">
        <f>IF(دانش‌آموزان!I38="","",دانش‌آموزان!I38)</f>
        <v/>
      </c>
      <c r="G410" s="19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1"/>
      <c r="CC410" s="27" t="str">
        <f t="shared" si="66"/>
        <v/>
      </c>
      <c r="CD410" s="38" t="str">
        <f t="shared" si="67"/>
        <v/>
      </c>
      <c r="CE410" s="38" t="str">
        <f t="shared" si="68"/>
        <v/>
      </c>
      <c r="CF410" s="38" t="str">
        <f t="shared" si="69"/>
        <v/>
      </c>
      <c r="CG410" s="38" t="str">
        <f t="shared" si="70"/>
        <v/>
      </c>
      <c r="CH410" s="38" t="str">
        <f t="shared" si="71"/>
        <v/>
      </c>
      <c r="CI410" s="38" t="str">
        <f t="shared" si="72"/>
        <v/>
      </c>
      <c r="CJ410" s="38" t="str">
        <f t="shared" si="73"/>
        <v/>
      </c>
      <c r="CK410" s="38" t="str">
        <f t="shared" si="74"/>
        <v/>
      </c>
      <c r="CL410" s="38" t="str">
        <f>IF(C410="","",IF(COUNT(G410:AZ410)&lt;46,"",SUMPRODUCT(CC410:CK410,'تنظیمات وزن‌دهی'!$C$5:$C$13)/100))</f>
        <v/>
      </c>
      <c r="CM410" s="38" t="str">
        <f t="shared" si="75"/>
        <v/>
      </c>
      <c r="CN410" s="38">
        <v>10</v>
      </c>
      <c r="CO410" s="28" t="str">
        <f t="shared" si="76"/>
        <v/>
      </c>
      <c r="CP410" s="58"/>
    </row>
    <row r="411" spans="1:94" ht="17.25" hidden="1">
      <c r="A411" s="33">
        <v>407</v>
      </c>
      <c r="B411" s="55" t="s">
        <v>193</v>
      </c>
      <c r="C411" s="55" t="str">
        <f>IF(دانش‌آموزان!E38="","",دانش‌آموزان!B38)</f>
        <v/>
      </c>
      <c r="D411" s="55" t="str">
        <f>IF(دانش‌آموزان!C38="","",دانش‌آموزان!C38)</f>
        <v/>
      </c>
      <c r="E411" s="55" t="str">
        <f>IF(دانش‌آموزان!E38="","",دانش‌آموزان!E38&amp;" "&amp;دانش‌آموزان!F38)</f>
        <v/>
      </c>
      <c r="F411" s="34" t="str">
        <f>IF(دانش‌آموزان!I38="","",دانش‌آموزان!I38)</f>
        <v/>
      </c>
      <c r="G411" s="19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1"/>
      <c r="CC411" s="27" t="str">
        <f t="shared" si="66"/>
        <v/>
      </c>
      <c r="CD411" s="38" t="str">
        <f t="shared" si="67"/>
        <v/>
      </c>
      <c r="CE411" s="38" t="str">
        <f t="shared" si="68"/>
        <v/>
      </c>
      <c r="CF411" s="38" t="str">
        <f t="shared" si="69"/>
        <v/>
      </c>
      <c r="CG411" s="38" t="str">
        <f t="shared" si="70"/>
        <v/>
      </c>
      <c r="CH411" s="38" t="str">
        <f t="shared" si="71"/>
        <v/>
      </c>
      <c r="CI411" s="38" t="str">
        <f t="shared" si="72"/>
        <v/>
      </c>
      <c r="CJ411" s="38" t="str">
        <f t="shared" si="73"/>
        <v/>
      </c>
      <c r="CK411" s="38" t="str">
        <f t="shared" si="74"/>
        <v/>
      </c>
      <c r="CL411" s="38" t="str">
        <f>IF(C411="","",IF(COUNT(G411:AZ411)&lt;46,"",SUMPRODUCT(CC411:CK411,'تنظیمات وزن‌دهی'!$C$5:$C$13)/100))</f>
        <v/>
      </c>
      <c r="CM411" s="38" t="str">
        <f t="shared" si="75"/>
        <v/>
      </c>
      <c r="CN411" s="38">
        <v>11</v>
      </c>
      <c r="CO411" s="28" t="str">
        <f t="shared" si="76"/>
        <v/>
      </c>
      <c r="CP411" s="58"/>
    </row>
    <row r="412" spans="1:94" ht="17.25" hidden="1">
      <c r="A412" s="33">
        <v>408</v>
      </c>
      <c r="B412" s="55" t="s">
        <v>194</v>
      </c>
      <c r="C412" s="55" t="str">
        <f>IF(دانش‌آموزان!E38="","",دانش‌آموزان!B38)</f>
        <v/>
      </c>
      <c r="D412" s="55" t="str">
        <f>IF(دانش‌آموزان!C38="","",دانش‌آموزان!C38)</f>
        <v/>
      </c>
      <c r="E412" s="55" t="str">
        <f>IF(دانش‌آموزان!E38="","",دانش‌آموزان!E38&amp;" "&amp;دانش‌آموزان!F38)</f>
        <v/>
      </c>
      <c r="F412" s="34" t="str">
        <f>IF(دانش‌آموزان!I38="","",دانش‌آموزان!I38)</f>
        <v/>
      </c>
      <c r="G412" s="19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1"/>
      <c r="CC412" s="27" t="str">
        <f t="shared" si="66"/>
        <v/>
      </c>
      <c r="CD412" s="38" t="str">
        <f t="shared" si="67"/>
        <v/>
      </c>
      <c r="CE412" s="38" t="str">
        <f t="shared" si="68"/>
        <v/>
      </c>
      <c r="CF412" s="38" t="str">
        <f t="shared" si="69"/>
        <v/>
      </c>
      <c r="CG412" s="38" t="str">
        <f t="shared" si="70"/>
        <v/>
      </c>
      <c r="CH412" s="38" t="str">
        <f t="shared" si="71"/>
        <v/>
      </c>
      <c r="CI412" s="38" t="str">
        <f t="shared" si="72"/>
        <v/>
      </c>
      <c r="CJ412" s="38" t="str">
        <f t="shared" si="73"/>
        <v/>
      </c>
      <c r="CK412" s="38" t="str">
        <f t="shared" si="74"/>
        <v/>
      </c>
      <c r="CL412" s="38" t="str">
        <f>IF(C412="","",IF(COUNT(G412:AZ412)&lt;46,"",SUMPRODUCT(CC412:CK412,'تنظیمات وزن‌دهی'!$C$5:$C$13)/100))</f>
        <v/>
      </c>
      <c r="CM412" s="38" t="str">
        <f t="shared" si="75"/>
        <v/>
      </c>
      <c r="CN412" s="38">
        <v>12</v>
      </c>
      <c r="CO412" s="28" t="str">
        <f t="shared" si="76"/>
        <v/>
      </c>
      <c r="CP412" s="58"/>
    </row>
    <row r="413" spans="1:94" ht="17.25" hidden="1">
      <c r="A413" s="33">
        <v>409</v>
      </c>
      <c r="B413" s="55" t="s">
        <v>183</v>
      </c>
      <c r="C413" s="55" t="str">
        <f>IF(دانش‌آموزان!E39="","",دانش‌آموزان!B39)</f>
        <v/>
      </c>
      <c r="D413" s="55" t="str">
        <f>IF(دانش‌آموزان!C39="","",دانش‌آموزان!C39)</f>
        <v/>
      </c>
      <c r="E413" s="55" t="str">
        <f>IF(دانش‌آموزان!E39="","",دانش‌آموزان!E39&amp;" "&amp;دانش‌آموزان!F39)</f>
        <v/>
      </c>
      <c r="F413" s="34" t="str">
        <f>IF(دانش‌آموزان!I39="","",دانش‌آموزان!I39)</f>
        <v/>
      </c>
      <c r="G413" s="19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1"/>
      <c r="CC413" s="27" t="str">
        <f t="shared" si="66"/>
        <v/>
      </c>
      <c r="CD413" s="38" t="str">
        <f t="shared" si="67"/>
        <v/>
      </c>
      <c r="CE413" s="38" t="str">
        <f t="shared" si="68"/>
        <v/>
      </c>
      <c r="CF413" s="38" t="str">
        <f t="shared" si="69"/>
        <v/>
      </c>
      <c r="CG413" s="38" t="str">
        <f t="shared" si="70"/>
        <v/>
      </c>
      <c r="CH413" s="38" t="str">
        <f t="shared" si="71"/>
        <v/>
      </c>
      <c r="CI413" s="38" t="str">
        <f t="shared" si="72"/>
        <v/>
      </c>
      <c r="CJ413" s="38" t="str">
        <f t="shared" si="73"/>
        <v/>
      </c>
      <c r="CK413" s="38" t="str">
        <f t="shared" si="74"/>
        <v/>
      </c>
      <c r="CL413" s="38" t="str">
        <f>IF(C413="","",IF(COUNT(G413:AZ413)&lt;46,"",SUMPRODUCT(CC413:CK413,'تنظیمات وزن‌دهی'!$C$5:$C$13)/100))</f>
        <v/>
      </c>
      <c r="CM413" s="38" t="str">
        <f t="shared" si="75"/>
        <v/>
      </c>
      <c r="CN413" s="38">
        <v>1</v>
      </c>
      <c r="CO413" s="28" t="str">
        <f t="shared" si="76"/>
        <v/>
      </c>
      <c r="CP413" s="58"/>
    </row>
    <row r="414" spans="1:94" ht="17.25" hidden="1">
      <c r="A414" s="33">
        <v>410</v>
      </c>
      <c r="B414" s="55" t="s">
        <v>184</v>
      </c>
      <c r="C414" s="55" t="str">
        <f>IF(دانش‌آموزان!E39="","",دانش‌آموزان!B39)</f>
        <v/>
      </c>
      <c r="D414" s="55" t="str">
        <f>IF(دانش‌آموزان!C39="","",دانش‌آموزان!C39)</f>
        <v/>
      </c>
      <c r="E414" s="55" t="str">
        <f>IF(دانش‌آموزان!E39="","",دانش‌آموزان!E39&amp;" "&amp;دانش‌آموزان!F39)</f>
        <v/>
      </c>
      <c r="F414" s="34" t="str">
        <f>IF(دانش‌آموزان!I39="","",دانش‌آموزان!I39)</f>
        <v/>
      </c>
      <c r="G414" s="19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1"/>
      <c r="CC414" s="27" t="str">
        <f t="shared" si="66"/>
        <v/>
      </c>
      <c r="CD414" s="38" t="str">
        <f t="shared" si="67"/>
        <v/>
      </c>
      <c r="CE414" s="38" t="str">
        <f t="shared" si="68"/>
        <v/>
      </c>
      <c r="CF414" s="38" t="str">
        <f t="shared" si="69"/>
        <v/>
      </c>
      <c r="CG414" s="38" t="str">
        <f t="shared" si="70"/>
        <v/>
      </c>
      <c r="CH414" s="38" t="str">
        <f t="shared" si="71"/>
        <v/>
      </c>
      <c r="CI414" s="38" t="str">
        <f t="shared" si="72"/>
        <v/>
      </c>
      <c r="CJ414" s="38" t="str">
        <f t="shared" si="73"/>
        <v/>
      </c>
      <c r="CK414" s="38" t="str">
        <f t="shared" si="74"/>
        <v/>
      </c>
      <c r="CL414" s="38" t="str">
        <f>IF(C414="","",IF(COUNT(G414:AZ414)&lt;46,"",SUMPRODUCT(CC414:CK414,'تنظیمات وزن‌دهی'!$C$5:$C$13)/100))</f>
        <v/>
      </c>
      <c r="CM414" s="38" t="str">
        <f t="shared" si="75"/>
        <v/>
      </c>
      <c r="CN414" s="38">
        <v>2</v>
      </c>
      <c r="CO414" s="28" t="str">
        <f t="shared" si="76"/>
        <v/>
      </c>
      <c r="CP414" s="58"/>
    </row>
    <row r="415" spans="1:94" ht="17.25">
      <c r="A415" s="33">
        <v>411</v>
      </c>
      <c r="B415" s="55" t="s">
        <v>185</v>
      </c>
      <c r="C415" s="55" t="str">
        <f>IF(دانش‌آموزان!E39="","",دانش‌آموزان!B39)</f>
        <v/>
      </c>
      <c r="D415" s="55" t="str">
        <f>IF(دانش‌آموزان!C39="","",دانش‌آموزان!C39)</f>
        <v/>
      </c>
      <c r="E415" s="55" t="str">
        <f>IF(دانش‌آموزان!E39="","",دانش‌آموزان!E39&amp;" "&amp;دانش‌آموزان!F39)</f>
        <v/>
      </c>
      <c r="F415" s="34" t="str">
        <f>IF(دانش‌آموزان!I39="","",دانش‌آموزان!I39)</f>
        <v/>
      </c>
      <c r="G415" s="19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1"/>
      <c r="CC415" s="27" t="str">
        <f t="shared" si="66"/>
        <v/>
      </c>
      <c r="CD415" s="38" t="str">
        <f t="shared" si="67"/>
        <v/>
      </c>
      <c r="CE415" s="38" t="str">
        <f t="shared" si="68"/>
        <v/>
      </c>
      <c r="CF415" s="38" t="str">
        <f t="shared" si="69"/>
        <v/>
      </c>
      <c r="CG415" s="38" t="str">
        <f t="shared" si="70"/>
        <v/>
      </c>
      <c r="CH415" s="38" t="str">
        <f t="shared" si="71"/>
        <v/>
      </c>
      <c r="CI415" s="38" t="str">
        <f t="shared" si="72"/>
        <v/>
      </c>
      <c r="CJ415" s="38" t="str">
        <f t="shared" si="73"/>
        <v/>
      </c>
      <c r="CK415" s="38" t="str">
        <f t="shared" si="74"/>
        <v/>
      </c>
      <c r="CL415" s="38" t="str">
        <f>IF(C415="","",IF(COUNT(G415:AZ415)&lt;46,"",SUMPRODUCT(CC415:CK415,'تنظیمات وزن‌دهی'!$C$5:$C$13)/100))</f>
        <v/>
      </c>
      <c r="CM415" s="38" t="str">
        <f t="shared" si="75"/>
        <v/>
      </c>
      <c r="CN415" s="38">
        <v>3</v>
      </c>
      <c r="CO415" s="28" t="str">
        <f t="shared" si="76"/>
        <v/>
      </c>
      <c r="CP415" s="58"/>
    </row>
    <row r="416" spans="1:94" ht="17.25" hidden="1">
      <c r="A416" s="33">
        <v>412</v>
      </c>
      <c r="B416" s="55" t="s">
        <v>186</v>
      </c>
      <c r="C416" s="55" t="str">
        <f>IF(دانش‌آموزان!E39="","",دانش‌آموزان!B39)</f>
        <v/>
      </c>
      <c r="D416" s="55" t="str">
        <f>IF(دانش‌آموزان!C39="","",دانش‌آموزان!C39)</f>
        <v/>
      </c>
      <c r="E416" s="55" t="str">
        <f>IF(دانش‌آموزان!E39="","",دانش‌آموزان!E39&amp;" "&amp;دانش‌آموزان!F39)</f>
        <v/>
      </c>
      <c r="F416" s="34" t="str">
        <f>IF(دانش‌آموزان!I39="","",دانش‌آموزان!I39)</f>
        <v/>
      </c>
      <c r="G416" s="19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1"/>
      <c r="CC416" s="27" t="str">
        <f t="shared" si="66"/>
        <v/>
      </c>
      <c r="CD416" s="38" t="str">
        <f t="shared" si="67"/>
        <v/>
      </c>
      <c r="CE416" s="38" t="str">
        <f t="shared" si="68"/>
        <v/>
      </c>
      <c r="CF416" s="38" t="str">
        <f t="shared" si="69"/>
        <v/>
      </c>
      <c r="CG416" s="38" t="str">
        <f t="shared" si="70"/>
        <v/>
      </c>
      <c r="CH416" s="38" t="str">
        <f t="shared" si="71"/>
        <v/>
      </c>
      <c r="CI416" s="38" t="str">
        <f t="shared" si="72"/>
        <v/>
      </c>
      <c r="CJ416" s="38" t="str">
        <f t="shared" si="73"/>
        <v/>
      </c>
      <c r="CK416" s="38" t="str">
        <f t="shared" si="74"/>
        <v/>
      </c>
      <c r="CL416" s="38" t="str">
        <f>IF(C416="","",IF(COUNT(G416:AZ416)&lt;46,"",SUMPRODUCT(CC416:CK416,'تنظیمات وزن‌دهی'!$C$5:$C$13)/100))</f>
        <v/>
      </c>
      <c r="CM416" s="38" t="str">
        <f t="shared" si="75"/>
        <v/>
      </c>
      <c r="CN416" s="38">
        <v>4</v>
      </c>
      <c r="CO416" s="28" t="str">
        <f t="shared" si="76"/>
        <v/>
      </c>
      <c r="CP416" s="58"/>
    </row>
    <row r="417" spans="1:94" ht="17.25" hidden="1">
      <c r="A417" s="33">
        <v>413</v>
      </c>
      <c r="B417" s="55" t="s">
        <v>187</v>
      </c>
      <c r="C417" s="55" t="str">
        <f>IF(دانش‌آموزان!E39="","",دانش‌آموزان!B39)</f>
        <v/>
      </c>
      <c r="D417" s="55" t="str">
        <f>IF(دانش‌آموزان!C39="","",دانش‌آموزان!C39)</f>
        <v/>
      </c>
      <c r="E417" s="55" t="str">
        <f>IF(دانش‌آموزان!E39="","",دانش‌آموزان!E39&amp;" "&amp;دانش‌آموزان!F39)</f>
        <v/>
      </c>
      <c r="F417" s="34" t="str">
        <f>IF(دانش‌آموزان!I39="","",دانش‌آموزان!I39)</f>
        <v/>
      </c>
      <c r="G417" s="19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1"/>
      <c r="CC417" s="27" t="str">
        <f t="shared" si="66"/>
        <v/>
      </c>
      <c r="CD417" s="38" t="str">
        <f t="shared" si="67"/>
        <v/>
      </c>
      <c r="CE417" s="38" t="str">
        <f t="shared" si="68"/>
        <v/>
      </c>
      <c r="CF417" s="38" t="str">
        <f t="shared" si="69"/>
        <v/>
      </c>
      <c r="CG417" s="38" t="str">
        <f t="shared" si="70"/>
        <v/>
      </c>
      <c r="CH417" s="38" t="str">
        <f t="shared" si="71"/>
        <v/>
      </c>
      <c r="CI417" s="38" t="str">
        <f t="shared" si="72"/>
        <v/>
      </c>
      <c r="CJ417" s="38" t="str">
        <f t="shared" si="73"/>
        <v/>
      </c>
      <c r="CK417" s="38" t="str">
        <f t="shared" si="74"/>
        <v/>
      </c>
      <c r="CL417" s="38" t="str">
        <f>IF(C417="","",IF(COUNT(G417:AZ417)&lt;46,"",SUMPRODUCT(CC417:CK417,'تنظیمات وزن‌دهی'!$C$5:$C$13)/100))</f>
        <v/>
      </c>
      <c r="CM417" s="38" t="str">
        <f t="shared" si="75"/>
        <v/>
      </c>
      <c r="CN417" s="38">
        <v>5</v>
      </c>
      <c r="CO417" s="28" t="str">
        <f t="shared" si="76"/>
        <v/>
      </c>
      <c r="CP417" s="58"/>
    </row>
    <row r="418" spans="1:94" ht="17.25" hidden="1">
      <c r="A418" s="33">
        <v>414</v>
      </c>
      <c r="B418" s="55" t="s">
        <v>188</v>
      </c>
      <c r="C418" s="55" t="str">
        <f>IF(دانش‌آموزان!E39="","",دانش‌آموزان!B39)</f>
        <v/>
      </c>
      <c r="D418" s="55" t="str">
        <f>IF(دانش‌آموزان!C39="","",دانش‌آموزان!C39)</f>
        <v/>
      </c>
      <c r="E418" s="55" t="str">
        <f>IF(دانش‌آموزان!E39="","",دانش‌آموزان!E39&amp;" "&amp;دانش‌آموزان!F39)</f>
        <v/>
      </c>
      <c r="F418" s="34" t="str">
        <f>IF(دانش‌آموزان!I39="","",دانش‌آموزان!I39)</f>
        <v/>
      </c>
      <c r="G418" s="19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1"/>
      <c r="CC418" s="27" t="str">
        <f t="shared" si="66"/>
        <v/>
      </c>
      <c r="CD418" s="38" t="str">
        <f t="shared" si="67"/>
        <v/>
      </c>
      <c r="CE418" s="38" t="str">
        <f t="shared" si="68"/>
        <v/>
      </c>
      <c r="CF418" s="38" t="str">
        <f t="shared" si="69"/>
        <v/>
      </c>
      <c r="CG418" s="38" t="str">
        <f t="shared" si="70"/>
        <v/>
      </c>
      <c r="CH418" s="38" t="str">
        <f t="shared" si="71"/>
        <v/>
      </c>
      <c r="CI418" s="38" t="str">
        <f t="shared" si="72"/>
        <v/>
      </c>
      <c r="CJ418" s="38" t="str">
        <f t="shared" si="73"/>
        <v/>
      </c>
      <c r="CK418" s="38" t="str">
        <f t="shared" si="74"/>
        <v/>
      </c>
      <c r="CL418" s="38" t="str">
        <f>IF(C418="","",IF(COUNT(G418:AZ418)&lt;46,"",SUMPRODUCT(CC418:CK418,'تنظیمات وزن‌دهی'!$C$5:$C$13)/100))</f>
        <v/>
      </c>
      <c r="CM418" s="38" t="str">
        <f t="shared" si="75"/>
        <v/>
      </c>
      <c r="CN418" s="38">
        <v>6</v>
      </c>
      <c r="CO418" s="28" t="str">
        <f t="shared" si="76"/>
        <v/>
      </c>
      <c r="CP418" s="58"/>
    </row>
    <row r="419" spans="1:94" ht="17.25" hidden="1">
      <c r="A419" s="33">
        <v>415</v>
      </c>
      <c r="B419" s="55" t="s">
        <v>189</v>
      </c>
      <c r="C419" s="55" t="str">
        <f>IF(دانش‌آموزان!E39="","",دانش‌آموزان!B39)</f>
        <v/>
      </c>
      <c r="D419" s="55" t="str">
        <f>IF(دانش‌آموزان!C39="","",دانش‌آموزان!C39)</f>
        <v/>
      </c>
      <c r="E419" s="55" t="str">
        <f>IF(دانش‌آموزان!E39="","",دانش‌آموزان!E39&amp;" "&amp;دانش‌آموزان!F39)</f>
        <v/>
      </c>
      <c r="F419" s="34" t="str">
        <f>IF(دانش‌آموزان!I39="","",دانش‌آموزان!I39)</f>
        <v/>
      </c>
      <c r="G419" s="19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1"/>
      <c r="CC419" s="27" t="str">
        <f t="shared" si="66"/>
        <v/>
      </c>
      <c r="CD419" s="38" t="str">
        <f t="shared" si="67"/>
        <v/>
      </c>
      <c r="CE419" s="38" t="str">
        <f t="shared" si="68"/>
        <v/>
      </c>
      <c r="CF419" s="38" t="str">
        <f t="shared" si="69"/>
        <v/>
      </c>
      <c r="CG419" s="38" t="str">
        <f t="shared" si="70"/>
        <v/>
      </c>
      <c r="CH419" s="38" t="str">
        <f t="shared" si="71"/>
        <v/>
      </c>
      <c r="CI419" s="38" t="str">
        <f t="shared" si="72"/>
        <v/>
      </c>
      <c r="CJ419" s="38" t="str">
        <f t="shared" si="73"/>
        <v/>
      </c>
      <c r="CK419" s="38" t="str">
        <f t="shared" si="74"/>
        <v/>
      </c>
      <c r="CL419" s="38" t="str">
        <f>IF(C419="","",IF(COUNT(G419:AZ419)&lt;46,"",SUMPRODUCT(CC419:CK419,'تنظیمات وزن‌دهی'!$C$5:$C$13)/100))</f>
        <v/>
      </c>
      <c r="CM419" s="38" t="str">
        <f t="shared" si="75"/>
        <v/>
      </c>
      <c r="CN419" s="38">
        <v>7</v>
      </c>
      <c r="CO419" s="28" t="str">
        <f t="shared" si="76"/>
        <v/>
      </c>
      <c r="CP419" s="58"/>
    </row>
    <row r="420" spans="1:94" ht="17.25" hidden="1">
      <c r="A420" s="33">
        <v>416</v>
      </c>
      <c r="B420" s="55" t="s">
        <v>190</v>
      </c>
      <c r="C420" s="55" t="str">
        <f>IF(دانش‌آموزان!E39="","",دانش‌آموزان!B39)</f>
        <v/>
      </c>
      <c r="D420" s="55" t="str">
        <f>IF(دانش‌آموزان!C39="","",دانش‌آموزان!C39)</f>
        <v/>
      </c>
      <c r="E420" s="55" t="str">
        <f>IF(دانش‌آموزان!E39="","",دانش‌آموزان!E39&amp;" "&amp;دانش‌آموزان!F39)</f>
        <v/>
      </c>
      <c r="F420" s="34" t="str">
        <f>IF(دانش‌آموزان!I39="","",دانش‌آموزان!I39)</f>
        <v/>
      </c>
      <c r="G420" s="19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1"/>
      <c r="CC420" s="27" t="str">
        <f t="shared" si="66"/>
        <v/>
      </c>
      <c r="CD420" s="38" t="str">
        <f t="shared" si="67"/>
        <v/>
      </c>
      <c r="CE420" s="38" t="str">
        <f t="shared" si="68"/>
        <v/>
      </c>
      <c r="CF420" s="38" t="str">
        <f t="shared" si="69"/>
        <v/>
      </c>
      <c r="CG420" s="38" t="str">
        <f t="shared" si="70"/>
        <v/>
      </c>
      <c r="CH420" s="38" t="str">
        <f t="shared" si="71"/>
        <v/>
      </c>
      <c r="CI420" s="38" t="str">
        <f t="shared" si="72"/>
        <v/>
      </c>
      <c r="CJ420" s="38" t="str">
        <f t="shared" si="73"/>
        <v/>
      </c>
      <c r="CK420" s="38" t="str">
        <f t="shared" si="74"/>
        <v/>
      </c>
      <c r="CL420" s="38" t="str">
        <f>IF(C420="","",IF(COUNT(G420:AZ420)&lt;46,"",SUMPRODUCT(CC420:CK420,'تنظیمات وزن‌دهی'!$C$5:$C$13)/100))</f>
        <v/>
      </c>
      <c r="CM420" s="38" t="str">
        <f t="shared" si="75"/>
        <v/>
      </c>
      <c r="CN420" s="38">
        <v>8</v>
      </c>
      <c r="CO420" s="28" t="str">
        <f t="shared" si="76"/>
        <v/>
      </c>
      <c r="CP420" s="58"/>
    </row>
    <row r="421" spans="1:94" ht="17.25" hidden="1">
      <c r="A421" s="33">
        <v>417</v>
      </c>
      <c r="B421" s="55" t="s">
        <v>191</v>
      </c>
      <c r="C421" s="55" t="str">
        <f>IF(دانش‌آموزان!E39="","",دانش‌آموزان!B39)</f>
        <v/>
      </c>
      <c r="D421" s="55" t="str">
        <f>IF(دانش‌آموزان!C39="","",دانش‌آموزان!C39)</f>
        <v/>
      </c>
      <c r="E421" s="55" t="str">
        <f>IF(دانش‌آموزان!E39="","",دانش‌آموزان!E39&amp;" "&amp;دانش‌آموزان!F39)</f>
        <v/>
      </c>
      <c r="F421" s="34" t="str">
        <f>IF(دانش‌آموزان!I39="","",دانش‌آموزان!I39)</f>
        <v/>
      </c>
      <c r="G421" s="19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1"/>
      <c r="CC421" s="27" t="str">
        <f t="shared" si="66"/>
        <v/>
      </c>
      <c r="CD421" s="38" t="str">
        <f t="shared" si="67"/>
        <v/>
      </c>
      <c r="CE421" s="38" t="str">
        <f t="shared" si="68"/>
        <v/>
      </c>
      <c r="CF421" s="38" t="str">
        <f t="shared" si="69"/>
        <v/>
      </c>
      <c r="CG421" s="38" t="str">
        <f t="shared" si="70"/>
        <v/>
      </c>
      <c r="CH421" s="38" t="str">
        <f t="shared" si="71"/>
        <v/>
      </c>
      <c r="CI421" s="38" t="str">
        <f t="shared" si="72"/>
        <v/>
      </c>
      <c r="CJ421" s="38" t="str">
        <f t="shared" si="73"/>
        <v/>
      </c>
      <c r="CK421" s="38" t="str">
        <f t="shared" si="74"/>
        <v/>
      </c>
      <c r="CL421" s="38" t="str">
        <f>IF(C421="","",IF(COUNT(G421:AZ421)&lt;46,"",SUMPRODUCT(CC421:CK421,'تنظیمات وزن‌دهی'!$C$5:$C$13)/100))</f>
        <v/>
      </c>
      <c r="CM421" s="38" t="str">
        <f t="shared" si="75"/>
        <v/>
      </c>
      <c r="CN421" s="38">
        <v>9</v>
      </c>
      <c r="CO421" s="28" t="str">
        <f t="shared" si="76"/>
        <v/>
      </c>
      <c r="CP421" s="58"/>
    </row>
    <row r="422" spans="1:94" ht="17.25" hidden="1">
      <c r="A422" s="33">
        <v>418</v>
      </c>
      <c r="B422" s="55" t="s">
        <v>192</v>
      </c>
      <c r="C422" s="55" t="str">
        <f>IF(دانش‌آموزان!E39="","",دانش‌آموزان!B39)</f>
        <v/>
      </c>
      <c r="D422" s="55" t="str">
        <f>IF(دانش‌آموزان!C39="","",دانش‌آموزان!C39)</f>
        <v/>
      </c>
      <c r="E422" s="55" t="str">
        <f>IF(دانش‌آموزان!E39="","",دانش‌آموزان!E39&amp;" "&amp;دانش‌آموزان!F39)</f>
        <v/>
      </c>
      <c r="F422" s="34" t="str">
        <f>IF(دانش‌آموزان!I39="","",دانش‌آموزان!I39)</f>
        <v/>
      </c>
      <c r="G422" s="19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1"/>
      <c r="CC422" s="27" t="str">
        <f t="shared" si="66"/>
        <v/>
      </c>
      <c r="CD422" s="38" t="str">
        <f t="shared" si="67"/>
        <v/>
      </c>
      <c r="CE422" s="38" t="str">
        <f t="shared" si="68"/>
        <v/>
      </c>
      <c r="CF422" s="38" t="str">
        <f t="shared" si="69"/>
        <v/>
      </c>
      <c r="CG422" s="38" t="str">
        <f t="shared" si="70"/>
        <v/>
      </c>
      <c r="CH422" s="38" t="str">
        <f t="shared" si="71"/>
        <v/>
      </c>
      <c r="CI422" s="38" t="str">
        <f t="shared" si="72"/>
        <v/>
      </c>
      <c r="CJ422" s="38" t="str">
        <f t="shared" si="73"/>
        <v/>
      </c>
      <c r="CK422" s="38" t="str">
        <f t="shared" si="74"/>
        <v/>
      </c>
      <c r="CL422" s="38" t="str">
        <f>IF(C422="","",IF(COUNT(G422:AZ422)&lt;46,"",SUMPRODUCT(CC422:CK422,'تنظیمات وزن‌دهی'!$C$5:$C$13)/100))</f>
        <v/>
      </c>
      <c r="CM422" s="38" t="str">
        <f t="shared" si="75"/>
        <v/>
      </c>
      <c r="CN422" s="38">
        <v>10</v>
      </c>
      <c r="CO422" s="28" t="str">
        <f t="shared" si="76"/>
        <v/>
      </c>
      <c r="CP422" s="58"/>
    </row>
    <row r="423" spans="1:94" ht="17.25" hidden="1">
      <c r="A423" s="33">
        <v>419</v>
      </c>
      <c r="B423" s="55" t="s">
        <v>193</v>
      </c>
      <c r="C423" s="55" t="str">
        <f>IF(دانش‌آموزان!E39="","",دانش‌آموزان!B39)</f>
        <v/>
      </c>
      <c r="D423" s="55" t="str">
        <f>IF(دانش‌آموزان!C39="","",دانش‌آموزان!C39)</f>
        <v/>
      </c>
      <c r="E423" s="55" t="str">
        <f>IF(دانش‌آموزان!E39="","",دانش‌آموزان!E39&amp;" "&amp;دانش‌آموزان!F39)</f>
        <v/>
      </c>
      <c r="F423" s="34" t="str">
        <f>IF(دانش‌آموزان!I39="","",دانش‌آموزان!I39)</f>
        <v/>
      </c>
      <c r="G423" s="19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1"/>
      <c r="CC423" s="27" t="str">
        <f t="shared" si="66"/>
        <v/>
      </c>
      <c r="CD423" s="38" t="str">
        <f t="shared" si="67"/>
        <v/>
      </c>
      <c r="CE423" s="38" t="str">
        <f t="shared" si="68"/>
        <v/>
      </c>
      <c r="CF423" s="38" t="str">
        <f t="shared" si="69"/>
        <v/>
      </c>
      <c r="CG423" s="38" t="str">
        <f t="shared" si="70"/>
        <v/>
      </c>
      <c r="CH423" s="38" t="str">
        <f t="shared" si="71"/>
        <v/>
      </c>
      <c r="CI423" s="38" t="str">
        <f t="shared" si="72"/>
        <v/>
      </c>
      <c r="CJ423" s="38" t="str">
        <f t="shared" si="73"/>
        <v/>
      </c>
      <c r="CK423" s="38" t="str">
        <f t="shared" si="74"/>
        <v/>
      </c>
      <c r="CL423" s="38" t="str">
        <f>IF(C423="","",IF(COUNT(G423:AZ423)&lt;46,"",SUMPRODUCT(CC423:CK423,'تنظیمات وزن‌دهی'!$C$5:$C$13)/100))</f>
        <v/>
      </c>
      <c r="CM423" s="38" t="str">
        <f t="shared" si="75"/>
        <v/>
      </c>
      <c r="CN423" s="38">
        <v>11</v>
      </c>
      <c r="CO423" s="28" t="str">
        <f t="shared" si="76"/>
        <v/>
      </c>
      <c r="CP423" s="58"/>
    </row>
    <row r="424" spans="1:94" ht="17.25" hidden="1">
      <c r="A424" s="33">
        <v>420</v>
      </c>
      <c r="B424" s="55" t="s">
        <v>194</v>
      </c>
      <c r="C424" s="55" t="str">
        <f>IF(دانش‌آموزان!E39="","",دانش‌آموزان!B39)</f>
        <v/>
      </c>
      <c r="D424" s="55" t="str">
        <f>IF(دانش‌آموزان!C39="","",دانش‌آموزان!C39)</f>
        <v/>
      </c>
      <c r="E424" s="55" t="str">
        <f>IF(دانش‌آموزان!E39="","",دانش‌آموزان!E39&amp;" "&amp;دانش‌آموزان!F39)</f>
        <v/>
      </c>
      <c r="F424" s="34" t="str">
        <f>IF(دانش‌آموزان!I39="","",دانش‌آموزان!I39)</f>
        <v/>
      </c>
      <c r="G424" s="19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1"/>
      <c r="CC424" s="27" t="str">
        <f t="shared" si="66"/>
        <v/>
      </c>
      <c r="CD424" s="38" t="str">
        <f t="shared" si="67"/>
        <v/>
      </c>
      <c r="CE424" s="38" t="str">
        <f t="shared" si="68"/>
        <v/>
      </c>
      <c r="CF424" s="38" t="str">
        <f t="shared" si="69"/>
        <v/>
      </c>
      <c r="CG424" s="38" t="str">
        <f t="shared" si="70"/>
        <v/>
      </c>
      <c r="CH424" s="38" t="str">
        <f t="shared" si="71"/>
        <v/>
      </c>
      <c r="CI424" s="38" t="str">
        <f t="shared" si="72"/>
        <v/>
      </c>
      <c r="CJ424" s="38" t="str">
        <f t="shared" si="73"/>
        <v/>
      </c>
      <c r="CK424" s="38" t="str">
        <f t="shared" si="74"/>
        <v/>
      </c>
      <c r="CL424" s="38" t="str">
        <f>IF(C424="","",IF(COUNT(G424:AZ424)&lt;46,"",SUMPRODUCT(CC424:CK424,'تنظیمات وزن‌دهی'!$C$5:$C$13)/100))</f>
        <v/>
      </c>
      <c r="CM424" s="38" t="str">
        <f t="shared" si="75"/>
        <v/>
      </c>
      <c r="CN424" s="38">
        <v>12</v>
      </c>
      <c r="CO424" s="28" t="str">
        <f t="shared" si="76"/>
        <v/>
      </c>
      <c r="CP424" s="58"/>
    </row>
    <row r="425" spans="1:94" ht="17.25" hidden="1">
      <c r="A425" s="33">
        <v>421</v>
      </c>
      <c r="B425" s="55" t="s">
        <v>183</v>
      </c>
      <c r="C425" s="55" t="str">
        <f>IF(دانش‌آموزان!E40="","",دانش‌آموزان!B40)</f>
        <v/>
      </c>
      <c r="D425" s="55" t="str">
        <f>IF(دانش‌آموزان!C40="","",دانش‌آموزان!C40)</f>
        <v/>
      </c>
      <c r="E425" s="55" t="str">
        <f>IF(دانش‌آموزان!E40="","",دانش‌آموزان!E40&amp;" "&amp;دانش‌آموزان!F40)</f>
        <v/>
      </c>
      <c r="F425" s="34" t="str">
        <f>IF(دانش‌آموزان!I40="","",دانش‌آموزان!I40)</f>
        <v/>
      </c>
      <c r="G425" s="19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1"/>
      <c r="CC425" s="27" t="str">
        <f t="shared" si="66"/>
        <v/>
      </c>
      <c r="CD425" s="38" t="str">
        <f t="shared" si="67"/>
        <v/>
      </c>
      <c r="CE425" s="38" t="str">
        <f t="shared" si="68"/>
        <v/>
      </c>
      <c r="CF425" s="38" t="str">
        <f t="shared" si="69"/>
        <v/>
      </c>
      <c r="CG425" s="38" t="str">
        <f t="shared" si="70"/>
        <v/>
      </c>
      <c r="CH425" s="38" t="str">
        <f t="shared" si="71"/>
        <v/>
      </c>
      <c r="CI425" s="38" t="str">
        <f t="shared" si="72"/>
        <v/>
      </c>
      <c r="CJ425" s="38" t="str">
        <f t="shared" si="73"/>
        <v/>
      </c>
      <c r="CK425" s="38" t="str">
        <f t="shared" si="74"/>
        <v/>
      </c>
      <c r="CL425" s="38" t="str">
        <f>IF(C425="","",IF(COUNT(G425:AZ425)&lt;46,"",SUMPRODUCT(CC425:CK425,'تنظیمات وزن‌دهی'!$C$5:$C$13)/100))</f>
        <v/>
      </c>
      <c r="CM425" s="38" t="str">
        <f t="shared" si="75"/>
        <v/>
      </c>
      <c r="CN425" s="38">
        <v>1</v>
      </c>
      <c r="CO425" s="28" t="str">
        <f t="shared" si="76"/>
        <v/>
      </c>
      <c r="CP425" s="58"/>
    </row>
    <row r="426" spans="1:94" ht="17.25" hidden="1">
      <c r="A426" s="33">
        <v>422</v>
      </c>
      <c r="B426" s="55" t="s">
        <v>184</v>
      </c>
      <c r="C426" s="55" t="str">
        <f>IF(دانش‌آموزان!E40="","",دانش‌آموزان!B40)</f>
        <v/>
      </c>
      <c r="D426" s="55" t="str">
        <f>IF(دانش‌آموزان!C40="","",دانش‌آموزان!C40)</f>
        <v/>
      </c>
      <c r="E426" s="55" t="str">
        <f>IF(دانش‌آموزان!E40="","",دانش‌آموزان!E40&amp;" "&amp;دانش‌آموزان!F40)</f>
        <v/>
      </c>
      <c r="F426" s="34" t="str">
        <f>IF(دانش‌آموزان!I40="","",دانش‌آموزان!I40)</f>
        <v/>
      </c>
      <c r="G426" s="19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1"/>
      <c r="CC426" s="27" t="str">
        <f t="shared" si="66"/>
        <v/>
      </c>
      <c r="CD426" s="38" t="str">
        <f t="shared" si="67"/>
        <v/>
      </c>
      <c r="CE426" s="38" t="str">
        <f t="shared" si="68"/>
        <v/>
      </c>
      <c r="CF426" s="38" t="str">
        <f t="shared" si="69"/>
        <v/>
      </c>
      <c r="CG426" s="38" t="str">
        <f t="shared" si="70"/>
        <v/>
      </c>
      <c r="CH426" s="38" t="str">
        <f t="shared" si="71"/>
        <v/>
      </c>
      <c r="CI426" s="38" t="str">
        <f t="shared" si="72"/>
        <v/>
      </c>
      <c r="CJ426" s="38" t="str">
        <f t="shared" si="73"/>
        <v/>
      </c>
      <c r="CK426" s="38" t="str">
        <f t="shared" si="74"/>
        <v/>
      </c>
      <c r="CL426" s="38" t="str">
        <f>IF(C426="","",IF(COUNT(G426:AZ426)&lt;46,"",SUMPRODUCT(CC426:CK426,'تنظیمات وزن‌دهی'!$C$5:$C$13)/100))</f>
        <v/>
      </c>
      <c r="CM426" s="38" t="str">
        <f t="shared" si="75"/>
        <v/>
      </c>
      <c r="CN426" s="38">
        <v>2</v>
      </c>
      <c r="CO426" s="28" t="str">
        <f t="shared" si="76"/>
        <v/>
      </c>
      <c r="CP426" s="58"/>
    </row>
    <row r="427" spans="1:94" ht="17.25">
      <c r="A427" s="33">
        <v>423</v>
      </c>
      <c r="B427" s="55" t="s">
        <v>185</v>
      </c>
      <c r="C427" s="55" t="str">
        <f>IF(دانش‌آموزان!E40="","",دانش‌آموزان!B40)</f>
        <v/>
      </c>
      <c r="D427" s="55" t="str">
        <f>IF(دانش‌آموزان!C40="","",دانش‌آموزان!C40)</f>
        <v/>
      </c>
      <c r="E427" s="55" t="str">
        <f>IF(دانش‌آموزان!E40="","",دانش‌آموزان!E40&amp;" "&amp;دانش‌آموزان!F40)</f>
        <v/>
      </c>
      <c r="F427" s="34" t="str">
        <f>IF(دانش‌آموزان!I40="","",دانش‌آموزان!I40)</f>
        <v/>
      </c>
      <c r="G427" s="19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1"/>
      <c r="CC427" s="27" t="str">
        <f t="shared" si="66"/>
        <v/>
      </c>
      <c r="CD427" s="38" t="str">
        <f t="shared" si="67"/>
        <v/>
      </c>
      <c r="CE427" s="38" t="str">
        <f t="shared" si="68"/>
        <v/>
      </c>
      <c r="CF427" s="38" t="str">
        <f t="shared" si="69"/>
        <v/>
      </c>
      <c r="CG427" s="38" t="str">
        <f t="shared" si="70"/>
        <v/>
      </c>
      <c r="CH427" s="38" t="str">
        <f t="shared" si="71"/>
        <v/>
      </c>
      <c r="CI427" s="38" t="str">
        <f t="shared" si="72"/>
        <v/>
      </c>
      <c r="CJ427" s="38" t="str">
        <f t="shared" si="73"/>
        <v/>
      </c>
      <c r="CK427" s="38" t="str">
        <f t="shared" si="74"/>
        <v/>
      </c>
      <c r="CL427" s="38" t="str">
        <f>IF(C427="","",IF(COUNT(G427:AZ427)&lt;46,"",SUMPRODUCT(CC427:CK427,'تنظیمات وزن‌دهی'!$C$5:$C$13)/100))</f>
        <v/>
      </c>
      <c r="CM427" s="38" t="str">
        <f t="shared" si="75"/>
        <v/>
      </c>
      <c r="CN427" s="38">
        <v>3</v>
      </c>
      <c r="CO427" s="28" t="str">
        <f t="shared" si="76"/>
        <v/>
      </c>
      <c r="CP427" s="58"/>
    </row>
    <row r="428" spans="1:94" ht="17.25" hidden="1">
      <c r="A428" s="33">
        <v>424</v>
      </c>
      <c r="B428" s="55" t="s">
        <v>186</v>
      </c>
      <c r="C428" s="55" t="str">
        <f>IF(دانش‌آموزان!E40="","",دانش‌آموزان!B40)</f>
        <v/>
      </c>
      <c r="D428" s="55" t="str">
        <f>IF(دانش‌آموزان!C40="","",دانش‌آموزان!C40)</f>
        <v/>
      </c>
      <c r="E428" s="55" t="str">
        <f>IF(دانش‌آموزان!E40="","",دانش‌آموزان!E40&amp;" "&amp;دانش‌آموزان!F40)</f>
        <v/>
      </c>
      <c r="F428" s="34" t="str">
        <f>IF(دانش‌آموزان!I40="","",دانش‌آموزان!I40)</f>
        <v/>
      </c>
      <c r="G428" s="19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1"/>
      <c r="CC428" s="27" t="str">
        <f t="shared" si="66"/>
        <v/>
      </c>
      <c r="CD428" s="38" t="str">
        <f t="shared" si="67"/>
        <v/>
      </c>
      <c r="CE428" s="38" t="str">
        <f t="shared" si="68"/>
        <v/>
      </c>
      <c r="CF428" s="38" t="str">
        <f t="shared" si="69"/>
        <v/>
      </c>
      <c r="CG428" s="38" t="str">
        <f t="shared" si="70"/>
        <v/>
      </c>
      <c r="CH428" s="38" t="str">
        <f t="shared" si="71"/>
        <v/>
      </c>
      <c r="CI428" s="38" t="str">
        <f t="shared" si="72"/>
        <v/>
      </c>
      <c r="CJ428" s="38" t="str">
        <f t="shared" si="73"/>
        <v/>
      </c>
      <c r="CK428" s="38" t="str">
        <f t="shared" si="74"/>
        <v/>
      </c>
      <c r="CL428" s="38" t="str">
        <f>IF(C428="","",IF(COUNT(G428:AZ428)&lt;46,"",SUMPRODUCT(CC428:CK428,'تنظیمات وزن‌دهی'!$C$5:$C$13)/100))</f>
        <v/>
      </c>
      <c r="CM428" s="38" t="str">
        <f t="shared" si="75"/>
        <v/>
      </c>
      <c r="CN428" s="38">
        <v>4</v>
      </c>
      <c r="CO428" s="28" t="str">
        <f t="shared" si="76"/>
        <v/>
      </c>
      <c r="CP428" s="58"/>
    </row>
    <row r="429" spans="1:94" ht="17.25" hidden="1">
      <c r="A429" s="33">
        <v>425</v>
      </c>
      <c r="B429" s="55" t="s">
        <v>187</v>
      </c>
      <c r="C429" s="55" t="str">
        <f>IF(دانش‌آموزان!E40="","",دانش‌آموزان!B40)</f>
        <v/>
      </c>
      <c r="D429" s="55" t="str">
        <f>IF(دانش‌آموزان!C40="","",دانش‌آموزان!C40)</f>
        <v/>
      </c>
      <c r="E429" s="55" t="str">
        <f>IF(دانش‌آموزان!E40="","",دانش‌آموزان!E40&amp;" "&amp;دانش‌آموزان!F40)</f>
        <v/>
      </c>
      <c r="F429" s="34" t="str">
        <f>IF(دانش‌آموزان!I40="","",دانش‌آموزان!I40)</f>
        <v/>
      </c>
      <c r="G429" s="19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1"/>
      <c r="CC429" s="27" t="str">
        <f t="shared" si="66"/>
        <v/>
      </c>
      <c r="CD429" s="38" t="str">
        <f t="shared" si="67"/>
        <v/>
      </c>
      <c r="CE429" s="38" t="str">
        <f t="shared" si="68"/>
        <v/>
      </c>
      <c r="CF429" s="38" t="str">
        <f t="shared" si="69"/>
        <v/>
      </c>
      <c r="CG429" s="38" t="str">
        <f t="shared" si="70"/>
        <v/>
      </c>
      <c r="CH429" s="38" t="str">
        <f t="shared" si="71"/>
        <v/>
      </c>
      <c r="CI429" s="38" t="str">
        <f t="shared" si="72"/>
        <v/>
      </c>
      <c r="CJ429" s="38" t="str">
        <f t="shared" si="73"/>
        <v/>
      </c>
      <c r="CK429" s="38" t="str">
        <f t="shared" si="74"/>
        <v/>
      </c>
      <c r="CL429" s="38" t="str">
        <f>IF(C429="","",IF(COUNT(G429:AZ429)&lt;46,"",SUMPRODUCT(CC429:CK429,'تنظیمات وزن‌دهی'!$C$5:$C$13)/100))</f>
        <v/>
      </c>
      <c r="CM429" s="38" t="str">
        <f t="shared" si="75"/>
        <v/>
      </c>
      <c r="CN429" s="38">
        <v>5</v>
      </c>
      <c r="CO429" s="28" t="str">
        <f t="shared" si="76"/>
        <v/>
      </c>
      <c r="CP429" s="58"/>
    </row>
    <row r="430" spans="1:94" ht="17.25" hidden="1">
      <c r="A430" s="33">
        <v>426</v>
      </c>
      <c r="B430" s="55" t="s">
        <v>188</v>
      </c>
      <c r="C430" s="55" t="str">
        <f>IF(دانش‌آموزان!E40="","",دانش‌آموزان!B40)</f>
        <v/>
      </c>
      <c r="D430" s="55" t="str">
        <f>IF(دانش‌آموزان!C40="","",دانش‌آموزان!C40)</f>
        <v/>
      </c>
      <c r="E430" s="55" t="str">
        <f>IF(دانش‌آموزان!E40="","",دانش‌آموزان!E40&amp;" "&amp;دانش‌آموزان!F40)</f>
        <v/>
      </c>
      <c r="F430" s="34" t="str">
        <f>IF(دانش‌آموزان!I40="","",دانش‌آموزان!I40)</f>
        <v/>
      </c>
      <c r="G430" s="19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1"/>
      <c r="CC430" s="27" t="str">
        <f t="shared" si="66"/>
        <v/>
      </c>
      <c r="CD430" s="38" t="str">
        <f t="shared" si="67"/>
        <v/>
      </c>
      <c r="CE430" s="38" t="str">
        <f t="shared" si="68"/>
        <v/>
      </c>
      <c r="CF430" s="38" t="str">
        <f t="shared" si="69"/>
        <v/>
      </c>
      <c r="CG430" s="38" t="str">
        <f t="shared" si="70"/>
        <v/>
      </c>
      <c r="CH430" s="38" t="str">
        <f t="shared" si="71"/>
        <v/>
      </c>
      <c r="CI430" s="38" t="str">
        <f t="shared" si="72"/>
        <v/>
      </c>
      <c r="CJ430" s="38" t="str">
        <f t="shared" si="73"/>
        <v/>
      </c>
      <c r="CK430" s="38" t="str">
        <f t="shared" si="74"/>
        <v/>
      </c>
      <c r="CL430" s="38" t="str">
        <f>IF(C430="","",IF(COUNT(G430:AZ430)&lt;46,"",SUMPRODUCT(CC430:CK430,'تنظیمات وزن‌دهی'!$C$5:$C$13)/100))</f>
        <v/>
      </c>
      <c r="CM430" s="38" t="str">
        <f t="shared" si="75"/>
        <v/>
      </c>
      <c r="CN430" s="38">
        <v>6</v>
      </c>
      <c r="CO430" s="28" t="str">
        <f t="shared" si="76"/>
        <v/>
      </c>
      <c r="CP430" s="58"/>
    </row>
    <row r="431" spans="1:94" ht="17.25" hidden="1">
      <c r="A431" s="33">
        <v>427</v>
      </c>
      <c r="B431" s="55" t="s">
        <v>189</v>
      </c>
      <c r="C431" s="55" t="str">
        <f>IF(دانش‌آموزان!E40="","",دانش‌آموزان!B40)</f>
        <v/>
      </c>
      <c r="D431" s="55" t="str">
        <f>IF(دانش‌آموزان!C40="","",دانش‌آموزان!C40)</f>
        <v/>
      </c>
      <c r="E431" s="55" t="str">
        <f>IF(دانش‌آموزان!E40="","",دانش‌آموزان!E40&amp;" "&amp;دانش‌آموزان!F40)</f>
        <v/>
      </c>
      <c r="F431" s="34" t="str">
        <f>IF(دانش‌آموزان!I40="","",دانش‌آموزان!I40)</f>
        <v/>
      </c>
      <c r="G431" s="19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1"/>
      <c r="CC431" s="27" t="str">
        <f t="shared" si="66"/>
        <v/>
      </c>
      <c r="CD431" s="38" t="str">
        <f t="shared" si="67"/>
        <v/>
      </c>
      <c r="CE431" s="38" t="str">
        <f t="shared" si="68"/>
        <v/>
      </c>
      <c r="CF431" s="38" t="str">
        <f t="shared" si="69"/>
        <v/>
      </c>
      <c r="CG431" s="38" t="str">
        <f t="shared" si="70"/>
        <v/>
      </c>
      <c r="CH431" s="38" t="str">
        <f t="shared" si="71"/>
        <v/>
      </c>
      <c r="CI431" s="38" t="str">
        <f t="shared" si="72"/>
        <v/>
      </c>
      <c r="CJ431" s="38" t="str">
        <f t="shared" si="73"/>
        <v/>
      </c>
      <c r="CK431" s="38" t="str">
        <f t="shared" si="74"/>
        <v/>
      </c>
      <c r="CL431" s="38" t="str">
        <f>IF(C431="","",IF(COUNT(G431:AZ431)&lt;46,"",SUMPRODUCT(CC431:CK431,'تنظیمات وزن‌دهی'!$C$5:$C$13)/100))</f>
        <v/>
      </c>
      <c r="CM431" s="38" t="str">
        <f t="shared" si="75"/>
        <v/>
      </c>
      <c r="CN431" s="38">
        <v>7</v>
      </c>
      <c r="CO431" s="28" t="str">
        <f t="shared" si="76"/>
        <v/>
      </c>
      <c r="CP431" s="58"/>
    </row>
    <row r="432" spans="1:94" ht="17.25" hidden="1">
      <c r="A432" s="33">
        <v>428</v>
      </c>
      <c r="B432" s="55" t="s">
        <v>190</v>
      </c>
      <c r="C432" s="55" t="str">
        <f>IF(دانش‌آموزان!E40="","",دانش‌آموزان!B40)</f>
        <v/>
      </c>
      <c r="D432" s="55" t="str">
        <f>IF(دانش‌آموزان!C40="","",دانش‌آموزان!C40)</f>
        <v/>
      </c>
      <c r="E432" s="55" t="str">
        <f>IF(دانش‌آموزان!E40="","",دانش‌آموزان!E40&amp;" "&amp;دانش‌آموزان!F40)</f>
        <v/>
      </c>
      <c r="F432" s="34" t="str">
        <f>IF(دانش‌آموزان!I40="","",دانش‌آموزان!I40)</f>
        <v/>
      </c>
      <c r="G432" s="19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1"/>
      <c r="CC432" s="27" t="str">
        <f t="shared" si="66"/>
        <v/>
      </c>
      <c r="CD432" s="38" t="str">
        <f t="shared" si="67"/>
        <v/>
      </c>
      <c r="CE432" s="38" t="str">
        <f t="shared" si="68"/>
        <v/>
      </c>
      <c r="CF432" s="38" t="str">
        <f t="shared" si="69"/>
        <v/>
      </c>
      <c r="CG432" s="38" t="str">
        <f t="shared" si="70"/>
        <v/>
      </c>
      <c r="CH432" s="38" t="str">
        <f t="shared" si="71"/>
        <v/>
      </c>
      <c r="CI432" s="38" t="str">
        <f t="shared" si="72"/>
        <v/>
      </c>
      <c r="CJ432" s="38" t="str">
        <f t="shared" si="73"/>
        <v/>
      </c>
      <c r="CK432" s="38" t="str">
        <f t="shared" si="74"/>
        <v/>
      </c>
      <c r="CL432" s="38" t="str">
        <f>IF(C432="","",IF(COUNT(G432:AZ432)&lt;46,"",SUMPRODUCT(CC432:CK432,'تنظیمات وزن‌دهی'!$C$5:$C$13)/100))</f>
        <v/>
      </c>
      <c r="CM432" s="38" t="str">
        <f t="shared" si="75"/>
        <v/>
      </c>
      <c r="CN432" s="38">
        <v>8</v>
      </c>
      <c r="CO432" s="28" t="str">
        <f t="shared" si="76"/>
        <v/>
      </c>
      <c r="CP432" s="58"/>
    </row>
    <row r="433" spans="1:94" ht="17.25" hidden="1">
      <c r="A433" s="33">
        <v>429</v>
      </c>
      <c r="B433" s="55" t="s">
        <v>191</v>
      </c>
      <c r="C433" s="55" t="str">
        <f>IF(دانش‌آموزان!E40="","",دانش‌آموزان!B40)</f>
        <v/>
      </c>
      <c r="D433" s="55" t="str">
        <f>IF(دانش‌آموزان!C40="","",دانش‌آموزان!C40)</f>
        <v/>
      </c>
      <c r="E433" s="55" t="str">
        <f>IF(دانش‌آموزان!E40="","",دانش‌آموزان!E40&amp;" "&amp;دانش‌آموزان!F40)</f>
        <v/>
      </c>
      <c r="F433" s="34" t="str">
        <f>IF(دانش‌آموزان!I40="","",دانش‌آموزان!I40)</f>
        <v/>
      </c>
      <c r="G433" s="19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1"/>
      <c r="CC433" s="27" t="str">
        <f t="shared" si="66"/>
        <v/>
      </c>
      <c r="CD433" s="38" t="str">
        <f t="shared" si="67"/>
        <v/>
      </c>
      <c r="CE433" s="38" t="str">
        <f t="shared" si="68"/>
        <v/>
      </c>
      <c r="CF433" s="38" t="str">
        <f t="shared" si="69"/>
        <v/>
      </c>
      <c r="CG433" s="38" t="str">
        <f t="shared" si="70"/>
        <v/>
      </c>
      <c r="CH433" s="38" t="str">
        <f t="shared" si="71"/>
        <v/>
      </c>
      <c r="CI433" s="38" t="str">
        <f t="shared" si="72"/>
        <v/>
      </c>
      <c r="CJ433" s="38" t="str">
        <f t="shared" si="73"/>
        <v/>
      </c>
      <c r="CK433" s="38" t="str">
        <f t="shared" si="74"/>
        <v/>
      </c>
      <c r="CL433" s="38" t="str">
        <f>IF(C433="","",IF(COUNT(G433:AZ433)&lt;46,"",SUMPRODUCT(CC433:CK433,'تنظیمات وزن‌دهی'!$C$5:$C$13)/100))</f>
        <v/>
      </c>
      <c r="CM433" s="38" t="str">
        <f t="shared" si="75"/>
        <v/>
      </c>
      <c r="CN433" s="38">
        <v>9</v>
      </c>
      <c r="CO433" s="28" t="str">
        <f t="shared" si="76"/>
        <v/>
      </c>
      <c r="CP433" s="58"/>
    </row>
    <row r="434" spans="1:94" ht="17.25" hidden="1">
      <c r="A434" s="33">
        <v>430</v>
      </c>
      <c r="B434" s="55" t="s">
        <v>192</v>
      </c>
      <c r="C434" s="55" t="str">
        <f>IF(دانش‌آموزان!E40="","",دانش‌آموزان!B40)</f>
        <v/>
      </c>
      <c r="D434" s="55" t="str">
        <f>IF(دانش‌آموزان!C40="","",دانش‌آموزان!C40)</f>
        <v/>
      </c>
      <c r="E434" s="55" t="str">
        <f>IF(دانش‌آموزان!E40="","",دانش‌آموزان!E40&amp;" "&amp;دانش‌آموزان!F40)</f>
        <v/>
      </c>
      <c r="F434" s="34" t="str">
        <f>IF(دانش‌آموزان!I40="","",دانش‌آموزان!I40)</f>
        <v/>
      </c>
      <c r="G434" s="19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1"/>
      <c r="CC434" s="27" t="str">
        <f t="shared" si="66"/>
        <v/>
      </c>
      <c r="CD434" s="38" t="str">
        <f t="shared" si="67"/>
        <v/>
      </c>
      <c r="CE434" s="38" t="str">
        <f t="shared" si="68"/>
        <v/>
      </c>
      <c r="CF434" s="38" t="str">
        <f t="shared" si="69"/>
        <v/>
      </c>
      <c r="CG434" s="38" t="str">
        <f t="shared" si="70"/>
        <v/>
      </c>
      <c r="CH434" s="38" t="str">
        <f t="shared" si="71"/>
        <v/>
      </c>
      <c r="CI434" s="38" t="str">
        <f t="shared" si="72"/>
        <v/>
      </c>
      <c r="CJ434" s="38" t="str">
        <f t="shared" si="73"/>
        <v/>
      </c>
      <c r="CK434" s="38" t="str">
        <f t="shared" si="74"/>
        <v/>
      </c>
      <c r="CL434" s="38" t="str">
        <f>IF(C434="","",IF(COUNT(G434:AZ434)&lt;46,"",SUMPRODUCT(CC434:CK434,'تنظیمات وزن‌دهی'!$C$5:$C$13)/100))</f>
        <v/>
      </c>
      <c r="CM434" s="38" t="str">
        <f t="shared" si="75"/>
        <v/>
      </c>
      <c r="CN434" s="38">
        <v>10</v>
      </c>
      <c r="CO434" s="28" t="str">
        <f t="shared" si="76"/>
        <v/>
      </c>
      <c r="CP434" s="58"/>
    </row>
    <row r="435" spans="1:94" ht="17.25" hidden="1">
      <c r="A435" s="33">
        <v>431</v>
      </c>
      <c r="B435" s="55" t="s">
        <v>193</v>
      </c>
      <c r="C435" s="55" t="str">
        <f>IF(دانش‌آموزان!E40="","",دانش‌آموزان!B40)</f>
        <v/>
      </c>
      <c r="D435" s="55" t="str">
        <f>IF(دانش‌آموزان!C40="","",دانش‌آموزان!C40)</f>
        <v/>
      </c>
      <c r="E435" s="55" t="str">
        <f>IF(دانش‌آموزان!E40="","",دانش‌آموزان!E40&amp;" "&amp;دانش‌آموزان!F40)</f>
        <v/>
      </c>
      <c r="F435" s="34" t="str">
        <f>IF(دانش‌آموزان!I40="","",دانش‌آموزان!I40)</f>
        <v/>
      </c>
      <c r="G435" s="19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1"/>
      <c r="CC435" s="27" t="str">
        <f t="shared" si="66"/>
        <v/>
      </c>
      <c r="CD435" s="38" t="str">
        <f t="shared" si="67"/>
        <v/>
      </c>
      <c r="CE435" s="38" t="str">
        <f t="shared" si="68"/>
        <v/>
      </c>
      <c r="CF435" s="38" t="str">
        <f t="shared" si="69"/>
        <v/>
      </c>
      <c r="CG435" s="38" t="str">
        <f t="shared" si="70"/>
        <v/>
      </c>
      <c r="CH435" s="38" t="str">
        <f t="shared" si="71"/>
        <v/>
      </c>
      <c r="CI435" s="38" t="str">
        <f t="shared" si="72"/>
        <v/>
      </c>
      <c r="CJ435" s="38" t="str">
        <f t="shared" si="73"/>
        <v/>
      </c>
      <c r="CK435" s="38" t="str">
        <f t="shared" si="74"/>
        <v/>
      </c>
      <c r="CL435" s="38" t="str">
        <f>IF(C435="","",IF(COUNT(G435:AZ435)&lt;46,"",SUMPRODUCT(CC435:CK435,'تنظیمات وزن‌دهی'!$C$5:$C$13)/100))</f>
        <v/>
      </c>
      <c r="CM435" s="38" t="str">
        <f t="shared" si="75"/>
        <v/>
      </c>
      <c r="CN435" s="38">
        <v>11</v>
      </c>
      <c r="CO435" s="28" t="str">
        <f t="shared" si="76"/>
        <v/>
      </c>
      <c r="CP435" s="58"/>
    </row>
    <row r="436" spans="1:94" ht="17.25" hidden="1">
      <c r="A436" s="33">
        <v>432</v>
      </c>
      <c r="B436" s="55" t="s">
        <v>194</v>
      </c>
      <c r="C436" s="55" t="str">
        <f>IF(دانش‌آموزان!E40="","",دانش‌آموزان!B40)</f>
        <v/>
      </c>
      <c r="D436" s="55" t="str">
        <f>IF(دانش‌آموزان!C40="","",دانش‌آموزان!C40)</f>
        <v/>
      </c>
      <c r="E436" s="55" t="str">
        <f>IF(دانش‌آموزان!E40="","",دانش‌آموزان!E40&amp;" "&amp;دانش‌آموزان!F40)</f>
        <v/>
      </c>
      <c r="F436" s="34" t="str">
        <f>IF(دانش‌آموزان!I40="","",دانش‌آموزان!I40)</f>
        <v/>
      </c>
      <c r="G436" s="19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1"/>
      <c r="CC436" s="27" t="str">
        <f t="shared" si="66"/>
        <v/>
      </c>
      <c r="CD436" s="38" t="str">
        <f t="shared" si="67"/>
        <v/>
      </c>
      <c r="CE436" s="38" t="str">
        <f t="shared" si="68"/>
        <v/>
      </c>
      <c r="CF436" s="38" t="str">
        <f t="shared" si="69"/>
        <v/>
      </c>
      <c r="CG436" s="38" t="str">
        <f t="shared" si="70"/>
        <v/>
      </c>
      <c r="CH436" s="38" t="str">
        <f t="shared" si="71"/>
        <v/>
      </c>
      <c r="CI436" s="38" t="str">
        <f t="shared" si="72"/>
        <v/>
      </c>
      <c r="CJ436" s="38" t="str">
        <f t="shared" si="73"/>
        <v/>
      </c>
      <c r="CK436" s="38" t="str">
        <f t="shared" si="74"/>
        <v/>
      </c>
      <c r="CL436" s="38" t="str">
        <f>IF(C436="","",IF(COUNT(G436:AZ436)&lt;46,"",SUMPRODUCT(CC436:CK436,'تنظیمات وزن‌دهی'!$C$5:$C$13)/100))</f>
        <v/>
      </c>
      <c r="CM436" s="38" t="str">
        <f t="shared" si="75"/>
        <v/>
      </c>
      <c r="CN436" s="38">
        <v>12</v>
      </c>
      <c r="CO436" s="28" t="str">
        <f t="shared" si="76"/>
        <v/>
      </c>
      <c r="CP436" s="58"/>
    </row>
    <row r="437" spans="1:94" ht="17.25" hidden="1">
      <c r="A437" s="33">
        <v>433</v>
      </c>
      <c r="B437" s="55" t="s">
        <v>183</v>
      </c>
      <c r="C437" s="55" t="str">
        <f>IF(دانش‌آموزان!E41="","",دانش‌آموزان!B41)</f>
        <v/>
      </c>
      <c r="D437" s="55" t="str">
        <f>IF(دانش‌آموزان!C41="","",دانش‌آموزان!C41)</f>
        <v/>
      </c>
      <c r="E437" s="55" t="str">
        <f>IF(دانش‌آموزان!E41="","",دانش‌آموزان!E41&amp;" "&amp;دانش‌آموزان!F41)</f>
        <v/>
      </c>
      <c r="F437" s="34" t="str">
        <f>IF(دانش‌آموزان!I41="","",دانش‌آموزان!I41)</f>
        <v/>
      </c>
      <c r="G437" s="19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1"/>
      <c r="CC437" s="27" t="str">
        <f t="shared" si="66"/>
        <v/>
      </c>
      <c r="CD437" s="38" t="str">
        <f t="shared" si="67"/>
        <v/>
      </c>
      <c r="CE437" s="38" t="str">
        <f t="shared" si="68"/>
        <v/>
      </c>
      <c r="CF437" s="38" t="str">
        <f t="shared" si="69"/>
        <v/>
      </c>
      <c r="CG437" s="38" t="str">
        <f t="shared" si="70"/>
        <v/>
      </c>
      <c r="CH437" s="38" t="str">
        <f t="shared" si="71"/>
        <v/>
      </c>
      <c r="CI437" s="38" t="str">
        <f t="shared" si="72"/>
        <v/>
      </c>
      <c r="CJ437" s="38" t="str">
        <f t="shared" si="73"/>
        <v/>
      </c>
      <c r="CK437" s="38" t="str">
        <f t="shared" si="74"/>
        <v/>
      </c>
      <c r="CL437" s="38" t="str">
        <f>IF(C437="","",IF(COUNT(G437:AZ437)&lt;46,"",SUMPRODUCT(CC437:CK437,'تنظیمات وزن‌دهی'!$C$5:$C$13)/100))</f>
        <v/>
      </c>
      <c r="CM437" s="38" t="str">
        <f t="shared" si="75"/>
        <v/>
      </c>
      <c r="CN437" s="38">
        <v>1</v>
      </c>
      <c r="CO437" s="28" t="str">
        <f t="shared" si="76"/>
        <v/>
      </c>
      <c r="CP437" s="58"/>
    </row>
    <row r="438" spans="1:94" ht="17.25" hidden="1">
      <c r="A438" s="33">
        <v>434</v>
      </c>
      <c r="B438" s="55" t="s">
        <v>184</v>
      </c>
      <c r="C438" s="55" t="str">
        <f>IF(دانش‌آموزان!E41="","",دانش‌آموزان!B41)</f>
        <v/>
      </c>
      <c r="D438" s="55" t="str">
        <f>IF(دانش‌آموزان!C41="","",دانش‌آموزان!C41)</f>
        <v/>
      </c>
      <c r="E438" s="55" t="str">
        <f>IF(دانش‌آموزان!E41="","",دانش‌آموزان!E41&amp;" "&amp;دانش‌آموزان!F41)</f>
        <v/>
      </c>
      <c r="F438" s="34" t="str">
        <f>IF(دانش‌آموزان!I41="","",دانش‌آموزان!I41)</f>
        <v/>
      </c>
      <c r="G438" s="19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1"/>
      <c r="CC438" s="27" t="str">
        <f t="shared" si="66"/>
        <v/>
      </c>
      <c r="CD438" s="38" t="str">
        <f t="shared" si="67"/>
        <v/>
      </c>
      <c r="CE438" s="38" t="str">
        <f t="shared" si="68"/>
        <v/>
      </c>
      <c r="CF438" s="38" t="str">
        <f t="shared" si="69"/>
        <v/>
      </c>
      <c r="CG438" s="38" t="str">
        <f t="shared" si="70"/>
        <v/>
      </c>
      <c r="CH438" s="38" t="str">
        <f t="shared" si="71"/>
        <v/>
      </c>
      <c r="CI438" s="38" t="str">
        <f t="shared" si="72"/>
        <v/>
      </c>
      <c r="CJ438" s="38" t="str">
        <f t="shared" si="73"/>
        <v/>
      </c>
      <c r="CK438" s="38" t="str">
        <f t="shared" si="74"/>
        <v/>
      </c>
      <c r="CL438" s="38" t="str">
        <f>IF(C438="","",IF(COUNT(G438:AZ438)&lt;46,"",SUMPRODUCT(CC438:CK438,'تنظیمات وزن‌دهی'!$C$5:$C$13)/100))</f>
        <v/>
      </c>
      <c r="CM438" s="38" t="str">
        <f t="shared" si="75"/>
        <v/>
      </c>
      <c r="CN438" s="38">
        <v>2</v>
      </c>
      <c r="CO438" s="28" t="str">
        <f t="shared" si="76"/>
        <v/>
      </c>
      <c r="CP438" s="58"/>
    </row>
    <row r="439" spans="1:94" ht="17.25">
      <c r="A439" s="33">
        <v>435</v>
      </c>
      <c r="B439" s="55" t="s">
        <v>185</v>
      </c>
      <c r="C439" s="55" t="str">
        <f>IF(دانش‌آموزان!E41="","",دانش‌آموزان!B41)</f>
        <v/>
      </c>
      <c r="D439" s="55" t="str">
        <f>IF(دانش‌آموزان!C41="","",دانش‌آموزان!C41)</f>
        <v/>
      </c>
      <c r="E439" s="55" t="str">
        <f>IF(دانش‌آموزان!E41="","",دانش‌آموزان!E41&amp;" "&amp;دانش‌آموزان!F41)</f>
        <v/>
      </c>
      <c r="F439" s="34" t="str">
        <f>IF(دانش‌آموزان!I41="","",دانش‌آموزان!I41)</f>
        <v/>
      </c>
      <c r="G439" s="19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1"/>
      <c r="CC439" s="27" t="str">
        <f t="shared" si="66"/>
        <v/>
      </c>
      <c r="CD439" s="38" t="str">
        <f t="shared" si="67"/>
        <v/>
      </c>
      <c r="CE439" s="38" t="str">
        <f t="shared" si="68"/>
        <v/>
      </c>
      <c r="CF439" s="38" t="str">
        <f t="shared" si="69"/>
        <v/>
      </c>
      <c r="CG439" s="38" t="str">
        <f t="shared" si="70"/>
        <v/>
      </c>
      <c r="CH439" s="38" t="str">
        <f t="shared" si="71"/>
        <v/>
      </c>
      <c r="CI439" s="38" t="str">
        <f t="shared" si="72"/>
        <v/>
      </c>
      <c r="CJ439" s="38" t="str">
        <f t="shared" si="73"/>
        <v/>
      </c>
      <c r="CK439" s="38" t="str">
        <f t="shared" si="74"/>
        <v/>
      </c>
      <c r="CL439" s="38" t="str">
        <f>IF(C439="","",IF(COUNT(G439:AZ439)&lt;46,"",SUMPRODUCT(CC439:CK439,'تنظیمات وزن‌دهی'!$C$5:$C$13)/100))</f>
        <v/>
      </c>
      <c r="CM439" s="38" t="str">
        <f t="shared" si="75"/>
        <v/>
      </c>
      <c r="CN439" s="38">
        <v>3</v>
      </c>
      <c r="CO439" s="28" t="str">
        <f t="shared" si="76"/>
        <v/>
      </c>
      <c r="CP439" s="58"/>
    </row>
    <row r="440" spans="1:94" ht="17.25" hidden="1">
      <c r="A440" s="33">
        <v>436</v>
      </c>
      <c r="B440" s="55" t="s">
        <v>186</v>
      </c>
      <c r="C440" s="55" t="str">
        <f>IF(دانش‌آموزان!E41="","",دانش‌آموزان!B41)</f>
        <v/>
      </c>
      <c r="D440" s="55" t="str">
        <f>IF(دانش‌آموزان!C41="","",دانش‌آموزان!C41)</f>
        <v/>
      </c>
      <c r="E440" s="55" t="str">
        <f>IF(دانش‌آموزان!E41="","",دانش‌آموزان!E41&amp;" "&amp;دانش‌آموزان!F41)</f>
        <v/>
      </c>
      <c r="F440" s="34" t="str">
        <f>IF(دانش‌آموزان!I41="","",دانش‌آموزان!I41)</f>
        <v/>
      </c>
      <c r="G440" s="19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1"/>
      <c r="CC440" s="27" t="str">
        <f t="shared" si="66"/>
        <v/>
      </c>
      <c r="CD440" s="38" t="str">
        <f t="shared" si="67"/>
        <v/>
      </c>
      <c r="CE440" s="38" t="str">
        <f t="shared" si="68"/>
        <v/>
      </c>
      <c r="CF440" s="38" t="str">
        <f t="shared" si="69"/>
        <v/>
      </c>
      <c r="CG440" s="38" t="str">
        <f t="shared" si="70"/>
        <v/>
      </c>
      <c r="CH440" s="38" t="str">
        <f t="shared" si="71"/>
        <v/>
      </c>
      <c r="CI440" s="38" t="str">
        <f t="shared" si="72"/>
        <v/>
      </c>
      <c r="CJ440" s="38" t="str">
        <f t="shared" si="73"/>
        <v/>
      </c>
      <c r="CK440" s="38" t="str">
        <f t="shared" si="74"/>
        <v/>
      </c>
      <c r="CL440" s="38" t="str">
        <f>IF(C440="","",IF(COUNT(G440:AZ440)&lt;46,"",SUMPRODUCT(CC440:CK440,'تنظیمات وزن‌دهی'!$C$5:$C$13)/100))</f>
        <v/>
      </c>
      <c r="CM440" s="38" t="str">
        <f t="shared" si="75"/>
        <v/>
      </c>
      <c r="CN440" s="38">
        <v>4</v>
      </c>
      <c r="CO440" s="28" t="str">
        <f t="shared" si="76"/>
        <v/>
      </c>
      <c r="CP440" s="58"/>
    </row>
    <row r="441" spans="1:94" ht="17.25" hidden="1">
      <c r="A441" s="33">
        <v>437</v>
      </c>
      <c r="B441" s="55" t="s">
        <v>187</v>
      </c>
      <c r="C441" s="55" t="str">
        <f>IF(دانش‌آموزان!E41="","",دانش‌آموزان!B41)</f>
        <v/>
      </c>
      <c r="D441" s="55" t="str">
        <f>IF(دانش‌آموزان!C41="","",دانش‌آموزان!C41)</f>
        <v/>
      </c>
      <c r="E441" s="55" t="str">
        <f>IF(دانش‌آموزان!E41="","",دانش‌آموزان!E41&amp;" "&amp;دانش‌آموزان!F41)</f>
        <v/>
      </c>
      <c r="F441" s="34" t="str">
        <f>IF(دانش‌آموزان!I41="","",دانش‌آموزان!I41)</f>
        <v/>
      </c>
      <c r="G441" s="19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1"/>
      <c r="CC441" s="27" t="str">
        <f t="shared" si="66"/>
        <v/>
      </c>
      <c r="CD441" s="38" t="str">
        <f t="shared" si="67"/>
        <v/>
      </c>
      <c r="CE441" s="38" t="str">
        <f t="shared" si="68"/>
        <v/>
      </c>
      <c r="CF441" s="38" t="str">
        <f t="shared" si="69"/>
        <v/>
      </c>
      <c r="CG441" s="38" t="str">
        <f t="shared" si="70"/>
        <v/>
      </c>
      <c r="CH441" s="38" t="str">
        <f t="shared" si="71"/>
        <v/>
      </c>
      <c r="CI441" s="38" t="str">
        <f t="shared" si="72"/>
        <v/>
      </c>
      <c r="CJ441" s="38" t="str">
        <f t="shared" si="73"/>
        <v/>
      </c>
      <c r="CK441" s="38" t="str">
        <f t="shared" si="74"/>
        <v/>
      </c>
      <c r="CL441" s="38" t="str">
        <f>IF(C441="","",IF(COUNT(G441:AZ441)&lt;46,"",SUMPRODUCT(CC441:CK441,'تنظیمات وزن‌دهی'!$C$5:$C$13)/100))</f>
        <v/>
      </c>
      <c r="CM441" s="38" t="str">
        <f t="shared" si="75"/>
        <v/>
      </c>
      <c r="CN441" s="38">
        <v>5</v>
      </c>
      <c r="CO441" s="28" t="str">
        <f t="shared" si="76"/>
        <v/>
      </c>
      <c r="CP441" s="58"/>
    </row>
    <row r="442" spans="1:94" ht="17.25" hidden="1">
      <c r="A442" s="33">
        <v>438</v>
      </c>
      <c r="B442" s="55" t="s">
        <v>188</v>
      </c>
      <c r="C442" s="55" t="str">
        <f>IF(دانش‌آموزان!E41="","",دانش‌آموزان!B41)</f>
        <v/>
      </c>
      <c r="D442" s="55" t="str">
        <f>IF(دانش‌آموزان!C41="","",دانش‌آموزان!C41)</f>
        <v/>
      </c>
      <c r="E442" s="55" t="str">
        <f>IF(دانش‌آموزان!E41="","",دانش‌آموزان!E41&amp;" "&amp;دانش‌آموزان!F41)</f>
        <v/>
      </c>
      <c r="F442" s="34" t="str">
        <f>IF(دانش‌آموزان!I41="","",دانش‌آموزان!I41)</f>
        <v/>
      </c>
      <c r="G442" s="19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1"/>
      <c r="CC442" s="27" t="str">
        <f t="shared" si="66"/>
        <v/>
      </c>
      <c r="CD442" s="38" t="str">
        <f t="shared" si="67"/>
        <v/>
      </c>
      <c r="CE442" s="38" t="str">
        <f t="shared" si="68"/>
        <v/>
      </c>
      <c r="CF442" s="38" t="str">
        <f t="shared" si="69"/>
        <v/>
      </c>
      <c r="CG442" s="38" t="str">
        <f t="shared" si="70"/>
        <v/>
      </c>
      <c r="CH442" s="38" t="str">
        <f t="shared" si="71"/>
        <v/>
      </c>
      <c r="CI442" s="38" t="str">
        <f t="shared" si="72"/>
        <v/>
      </c>
      <c r="CJ442" s="38" t="str">
        <f t="shared" si="73"/>
        <v/>
      </c>
      <c r="CK442" s="38" t="str">
        <f t="shared" si="74"/>
        <v/>
      </c>
      <c r="CL442" s="38" t="str">
        <f>IF(C442="","",IF(COUNT(G442:AZ442)&lt;46,"",SUMPRODUCT(CC442:CK442,'تنظیمات وزن‌دهی'!$C$5:$C$13)/100))</f>
        <v/>
      </c>
      <c r="CM442" s="38" t="str">
        <f t="shared" si="75"/>
        <v/>
      </c>
      <c r="CN442" s="38">
        <v>6</v>
      </c>
      <c r="CO442" s="28" t="str">
        <f t="shared" si="76"/>
        <v/>
      </c>
      <c r="CP442" s="58"/>
    </row>
    <row r="443" spans="1:94" ht="17.25" hidden="1">
      <c r="A443" s="33">
        <v>439</v>
      </c>
      <c r="B443" s="55" t="s">
        <v>189</v>
      </c>
      <c r="C443" s="55" t="str">
        <f>IF(دانش‌آموزان!E41="","",دانش‌آموزان!B41)</f>
        <v/>
      </c>
      <c r="D443" s="55" t="str">
        <f>IF(دانش‌آموزان!C41="","",دانش‌آموزان!C41)</f>
        <v/>
      </c>
      <c r="E443" s="55" t="str">
        <f>IF(دانش‌آموزان!E41="","",دانش‌آموزان!E41&amp;" "&amp;دانش‌آموزان!F41)</f>
        <v/>
      </c>
      <c r="F443" s="34" t="str">
        <f>IF(دانش‌آموزان!I41="","",دانش‌آموزان!I41)</f>
        <v/>
      </c>
      <c r="G443" s="19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1"/>
      <c r="CC443" s="27" t="str">
        <f t="shared" si="66"/>
        <v/>
      </c>
      <c r="CD443" s="38" t="str">
        <f t="shared" si="67"/>
        <v/>
      </c>
      <c r="CE443" s="38" t="str">
        <f t="shared" si="68"/>
        <v/>
      </c>
      <c r="CF443" s="38" t="str">
        <f t="shared" si="69"/>
        <v/>
      </c>
      <c r="CG443" s="38" t="str">
        <f t="shared" si="70"/>
        <v/>
      </c>
      <c r="CH443" s="38" t="str">
        <f t="shared" si="71"/>
        <v/>
      </c>
      <c r="CI443" s="38" t="str">
        <f t="shared" si="72"/>
        <v/>
      </c>
      <c r="CJ443" s="38" t="str">
        <f t="shared" si="73"/>
        <v/>
      </c>
      <c r="CK443" s="38" t="str">
        <f t="shared" si="74"/>
        <v/>
      </c>
      <c r="CL443" s="38" t="str">
        <f>IF(C443="","",IF(COUNT(G443:AZ443)&lt;46,"",SUMPRODUCT(CC443:CK443,'تنظیمات وزن‌دهی'!$C$5:$C$13)/100))</f>
        <v/>
      </c>
      <c r="CM443" s="38" t="str">
        <f t="shared" si="75"/>
        <v/>
      </c>
      <c r="CN443" s="38">
        <v>7</v>
      </c>
      <c r="CO443" s="28" t="str">
        <f t="shared" si="76"/>
        <v/>
      </c>
      <c r="CP443" s="58"/>
    </row>
    <row r="444" spans="1:94" ht="17.25" hidden="1">
      <c r="A444" s="33">
        <v>440</v>
      </c>
      <c r="B444" s="55" t="s">
        <v>190</v>
      </c>
      <c r="C444" s="55" t="str">
        <f>IF(دانش‌آموزان!E41="","",دانش‌آموزان!B41)</f>
        <v/>
      </c>
      <c r="D444" s="55" t="str">
        <f>IF(دانش‌آموزان!C41="","",دانش‌آموزان!C41)</f>
        <v/>
      </c>
      <c r="E444" s="55" t="str">
        <f>IF(دانش‌آموزان!E41="","",دانش‌آموزان!E41&amp;" "&amp;دانش‌آموزان!F41)</f>
        <v/>
      </c>
      <c r="F444" s="34" t="str">
        <f>IF(دانش‌آموزان!I41="","",دانش‌آموزان!I41)</f>
        <v/>
      </c>
      <c r="G444" s="19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1"/>
      <c r="CC444" s="27" t="str">
        <f t="shared" si="66"/>
        <v/>
      </c>
      <c r="CD444" s="38" t="str">
        <f t="shared" si="67"/>
        <v/>
      </c>
      <c r="CE444" s="38" t="str">
        <f t="shared" si="68"/>
        <v/>
      </c>
      <c r="CF444" s="38" t="str">
        <f t="shared" si="69"/>
        <v/>
      </c>
      <c r="CG444" s="38" t="str">
        <f t="shared" si="70"/>
        <v/>
      </c>
      <c r="CH444" s="38" t="str">
        <f t="shared" si="71"/>
        <v/>
      </c>
      <c r="CI444" s="38" t="str">
        <f t="shared" si="72"/>
        <v/>
      </c>
      <c r="CJ444" s="38" t="str">
        <f t="shared" si="73"/>
        <v/>
      </c>
      <c r="CK444" s="38" t="str">
        <f t="shared" si="74"/>
        <v/>
      </c>
      <c r="CL444" s="38" t="str">
        <f>IF(C444="","",IF(COUNT(G444:AZ444)&lt;46,"",SUMPRODUCT(CC444:CK444,'تنظیمات وزن‌دهی'!$C$5:$C$13)/100))</f>
        <v/>
      </c>
      <c r="CM444" s="38" t="str">
        <f t="shared" si="75"/>
        <v/>
      </c>
      <c r="CN444" s="38">
        <v>8</v>
      </c>
      <c r="CO444" s="28" t="str">
        <f t="shared" si="76"/>
        <v/>
      </c>
      <c r="CP444" s="58"/>
    </row>
    <row r="445" spans="1:94" ht="17.25" hidden="1">
      <c r="A445" s="33">
        <v>441</v>
      </c>
      <c r="B445" s="55" t="s">
        <v>191</v>
      </c>
      <c r="C445" s="55" t="str">
        <f>IF(دانش‌آموزان!E41="","",دانش‌آموزان!B41)</f>
        <v/>
      </c>
      <c r="D445" s="55" t="str">
        <f>IF(دانش‌آموزان!C41="","",دانش‌آموزان!C41)</f>
        <v/>
      </c>
      <c r="E445" s="55" t="str">
        <f>IF(دانش‌آموزان!E41="","",دانش‌آموزان!E41&amp;" "&amp;دانش‌آموزان!F41)</f>
        <v/>
      </c>
      <c r="F445" s="34" t="str">
        <f>IF(دانش‌آموزان!I41="","",دانش‌آموزان!I41)</f>
        <v/>
      </c>
      <c r="G445" s="19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1"/>
      <c r="CC445" s="27" t="str">
        <f t="shared" si="66"/>
        <v/>
      </c>
      <c r="CD445" s="38" t="str">
        <f t="shared" si="67"/>
        <v/>
      </c>
      <c r="CE445" s="38" t="str">
        <f t="shared" si="68"/>
        <v/>
      </c>
      <c r="CF445" s="38" t="str">
        <f t="shared" si="69"/>
        <v/>
      </c>
      <c r="CG445" s="38" t="str">
        <f t="shared" si="70"/>
        <v/>
      </c>
      <c r="CH445" s="38" t="str">
        <f t="shared" si="71"/>
        <v/>
      </c>
      <c r="CI445" s="38" t="str">
        <f t="shared" si="72"/>
        <v/>
      </c>
      <c r="CJ445" s="38" t="str">
        <f t="shared" si="73"/>
        <v/>
      </c>
      <c r="CK445" s="38" t="str">
        <f t="shared" si="74"/>
        <v/>
      </c>
      <c r="CL445" s="38" t="str">
        <f>IF(C445="","",IF(COUNT(G445:AZ445)&lt;46,"",SUMPRODUCT(CC445:CK445,'تنظیمات وزن‌دهی'!$C$5:$C$13)/100))</f>
        <v/>
      </c>
      <c r="CM445" s="38" t="str">
        <f t="shared" si="75"/>
        <v/>
      </c>
      <c r="CN445" s="38">
        <v>9</v>
      </c>
      <c r="CO445" s="28" t="str">
        <f t="shared" si="76"/>
        <v/>
      </c>
      <c r="CP445" s="58"/>
    </row>
    <row r="446" spans="1:94" ht="17.25" hidden="1">
      <c r="A446" s="33">
        <v>442</v>
      </c>
      <c r="B446" s="55" t="s">
        <v>192</v>
      </c>
      <c r="C446" s="55" t="str">
        <f>IF(دانش‌آموزان!E41="","",دانش‌آموزان!B41)</f>
        <v/>
      </c>
      <c r="D446" s="55" t="str">
        <f>IF(دانش‌آموزان!C41="","",دانش‌آموزان!C41)</f>
        <v/>
      </c>
      <c r="E446" s="55" t="str">
        <f>IF(دانش‌آموزان!E41="","",دانش‌آموزان!E41&amp;" "&amp;دانش‌آموزان!F41)</f>
        <v/>
      </c>
      <c r="F446" s="34" t="str">
        <f>IF(دانش‌آموزان!I41="","",دانش‌آموزان!I41)</f>
        <v/>
      </c>
      <c r="G446" s="19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1"/>
      <c r="CC446" s="27" t="str">
        <f t="shared" si="66"/>
        <v/>
      </c>
      <c r="CD446" s="38" t="str">
        <f t="shared" si="67"/>
        <v/>
      </c>
      <c r="CE446" s="38" t="str">
        <f t="shared" si="68"/>
        <v/>
      </c>
      <c r="CF446" s="38" t="str">
        <f t="shared" si="69"/>
        <v/>
      </c>
      <c r="CG446" s="38" t="str">
        <f t="shared" si="70"/>
        <v/>
      </c>
      <c r="CH446" s="38" t="str">
        <f t="shared" si="71"/>
        <v/>
      </c>
      <c r="CI446" s="38" t="str">
        <f t="shared" si="72"/>
        <v/>
      </c>
      <c r="CJ446" s="38" t="str">
        <f t="shared" si="73"/>
        <v/>
      </c>
      <c r="CK446" s="38" t="str">
        <f t="shared" si="74"/>
        <v/>
      </c>
      <c r="CL446" s="38" t="str">
        <f>IF(C446="","",IF(COUNT(G446:AZ446)&lt;46,"",SUMPRODUCT(CC446:CK446,'تنظیمات وزن‌دهی'!$C$5:$C$13)/100))</f>
        <v/>
      </c>
      <c r="CM446" s="38" t="str">
        <f t="shared" si="75"/>
        <v/>
      </c>
      <c r="CN446" s="38">
        <v>10</v>
      </c>
      <c r="CO446" s="28" t="str">
        <f t="shared" si="76"/>
        <v/>
      </c>
      <c r="CP446" s="58"/>
    </row>
    <row r="447" spans="1:94" ht="17.25" hidden="1">
      <c r="A447" s="33">
        <v>443</v>
      </c>
      <c r="B447" s="55" t="s">
        <v>193</v>
      </c>
      <c r="C447" s="55" t="str">
        <f>IF(دانش‌آموزان!E41="","",دانش‌آموزان!B41)</f>
        <v/>
      </c>
      <c r="D447" s="55" t="str">
        <f>IF(دانش‌آموزان!C41="","",دانش‌آموزان!C41)</f>
        <v/>
      </c>
      <c r="E447" s="55" t="str">
        <f>IF(دانش‌آموزان!E41="","",دانش‌آموزان!E41&amp;" "&amp;دانش‌آموزان!F41)</f>
        <v/>
      </c>
      <c r="F447" s="34" t="str">
        <f>IF(دانش‌آموزان!I41="","",دانش‌آموزان!I41)</f>
        <v/>
      </c>
      <c r="G447" s="19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1"/>
      <c r="CC447" s="27" t="str">
        <f t="shared" si="66"/>
        <v/>
      </c>
      <c r="CD447" s="38" t="str">
        <f t="shared" si="67"/>
        <v/>
      </c>
      <c r="CE447" s="38" t="str">
        <f t="shared" si="68"/>
        <v/>
      </c>
      <c r="CF447" s="38" t="str">
        <f t="shared" si="69"/>
        <v/>
      </c>
      <c r="CG447" s="38" t="str">
        <f t="shared" si="70"/>
        <v/>
      </c>
      <c r="CH447" s="38" t="str">
        <f t="shared" si="71"/>
        <v/>
      </c>
      <c r="CI447" s="38" t="str">
        <f t="shared" si="72"/>
        <v/>
      </c>
      <c r="CJ447" s="38" t="str">
        <f t="shared" si="73"/>
        <v/>
      </c>
      <c r="CK447" s="38" t="str">
        <f t="shared" si="74"/>
        <v/>
      </c>
      <c r="CL447" s="38" t="str">
        <f>IF(C447="","",IF(COUNT(G447:AZ447)&lt;46,"",SUMPRODUCT(CC447:CK447,'تنظیمات وزن‌دهی'!$C$5:$C$13)/100))</f>
        <v/>
      </c>
      <c r="CM447" s="38" t="str">
        <f t="shared" si="75"/>
        <v/>
      </c>
      <c r="CN447" s="38">
        <v>11</v>
      </c>
      <c r="CO447" s="28" t="str">
        <f t="shared" si="76"/>
        <v/>
      </c>
      <c r="CP447" s="58"/>
    </row>
    <row r="448" spans="1:94" ht="17.25" hidden="1">
      <c r="A448" s="33">
        <v>444</v>
      </c>
      <c r="B448" s="55" t="s">
        <v>194</v>
      </c>
      <c r="C448" s="55" t="str">
        <f>IF(دانش‌آموزان!E41="","",دانش‌آموزان!B41)</f>
        <v/>
      </c>
      <c r="D448" s="55" t="str">
        <f>IF(دانش‌آموزان!C41="","",دانش‌آموزان!C41)</f>
        <v/>
      </c>
      <c r="E448" s="55" t="str">
        <f>IF(دانش‌آموزان!E41="","",دانش‌آموزان!E41&amp;" "&amp;دانش‌آموزان!F41)</f>
        <v/>
      </c>
      <c r="F448" s="34" t="str">
        <f>IF(دانش‌آموزان!I41="","",دانش‌آموزان!I41)</f>
        <v/>
      </c>
      <c r="G448" s="19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1"/>
      <c r="CC448" s="27" t="str">
        <f t="shared" si="66"/>
        <v/>
      </c>
      <c r="CD448" s="38" t="str">
        <f t="shared" si="67"/>
        <v/>
      </c>
      <c r="CE448" s="38" t="str">
        <f t="shared" si="68"/>
        <v/>
      </c>
      <c r="CF448" s="38" t="str">
        <f t="shared" si="69"/>
        <v/>
      </c>
      <c r="CG448" s="38" t="str">
        <f t="shared" si="70"/>
        <v/>
      </c>
      <c r="CH448" s="38" t="str">
        <f t="shared" si="71"/>
        <v/>
      </c>
      <c r="CI448" s="38" t="str">
        <f t="shared" si="72"/>
        <v/>
      </c>
      <c r="CJ448" s="38" t="str">
        <f t="shared" si="73"/>
        <v/>
      </c>
      <c r="CK448" s="38" t="str">
        <f t="shared" si="74"/>
        <v/>
      </c>
      <c r="CL448" s="38" t="str">
        <f>IF(C448="","",IF(COUNT(G448:AZ448)&lt;46,"",SUMPRODUCT(CC448:CK448,'تنظیمات وزن‌دهی'!$C$5:$C$13)/100))</f>
        <v/>
      </c>
      <c r="CM448" s="38" t="str">
        <f t="shared" si="75"/>
        <v/>
      </c>
      <c r="CN448" s="38">
        <v>12</v>
      </c>
      <c r="CO448" s="28" t="str">
        <f t="shared" si="76"/>
        <v/>
      </c>
      <c r="CP448" s="58"/>
    </row>
    <row r="449" spans="1:94" ht="17.25" hidden="1">
      <c r="A449" s="33">
        <v>445</v>
      </c>
      <c r="B449" s="55" t="s">
        <v>183</v>
      </c>
      <c r="C449" s="55" t="str">
        <f>IF(دانش‌آموزان!E42="","",دانش‌آموزان!B42)</f>
        <v/>
      </c>
      <c r="D449" s="55" t="str">
        <f>IF(دانش‌آموزان!C42="","",دانش‌آموزان!C42)</f>
        <v/>
      </c>
      <c r="E449" s="55" t="str">
        <f>IF(دانش‌آموزان!E42="","",دانش‌آموزان!E42&amp;" "&amp;دانش‌آموزان!F42)</f>
        <v/>
      </c>
      <c r="F449" s="34" t="str">
        <f>IF(دانش‌آموزان!I42="","",دانش‌آموزان!I42)</f>
        <v/>
      </c>
      <c r="G449" s="19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1"/>
      <c r="CC449" s="27" t="str">
        <f t="shared" si="66"/>
        <v/>
      </c>
      <c r="CD449" s="38" t="str">
        <f t="shared" si="67"/>
        <v/>
      </c>
      <c r="CE449" s="38" t="str">
        <f t="shared" si="68"/>
        <v/>
      </c>
      <c r="CF449" s="38" t="str">
        <f t="shared" si="69"/>
        <v/>
      </c>
      <c r="CG449" s="38" t="str">
        <f t="shared" si="70"/>
        <v/>
      </c>
      <c r="CH449" s="38" t="str">
        <f t="shared" si="71"/>
        <v/>
      </c>
      <c r="CI449" s="38" t="str">
        <f t="shared" si="72"/>
        <v/>
      </c>
      <c r="CJ449" s="38" t="str">
        <f t="shared" si="73"/>
        <v/>
      </c>
      <c r="CK449" s="38" t="str">
        <f t="shared" si="74"/>
        <v/>
      </c>
      <c r="CL449" s="38" t="str">
        <f>IF(C449="","",IF(COUNT(G449:AZ449)&lt;46,"",SUMPRODUCT(CC449:CK449,'تنظیمات وزن‌دهی'!$C$5:$C$13)/100))</f>
        <v/>
      </c>
      <c r="CM449" s="38" t="str">
        <f t="shared" si="75"/>
        <v/>
      </c>
      <c r="CN449" s="38">
        <v>1</v>
      </c>
      <c r="CO449" s="28" t="str">
        <f t="shared" si="76"/>
        <v/>
      </c>
      <c r="CP449" s="58"/>
    </row>
    <row r="450" spans="1:94" ht="17.25" hidden="1">
      <c r="A450" s="33">
        <v>446</v>
      </c>
      <c r="B450" s="55" t="s">
        <v>184</v>
      </c>
      <c r="C450" s="55" t="str">
        <f>IF(دانش‌آموزان!E42="","",دانش‌آموزان!B42)</f>
        <v/>
      </c>
      <c r="D450" s="55" t="str">
        <f>IF(دانش‌آموزان!C42="","",دانش‌آموزان!C42)</f>
        <v/>
      </c>
      <c r="E450" s="55" t="str">
        <f>IF(دانش‌آموزان!E42="","",دانش‌آموزان!E42&amp;" "&amp;دانش‌آموزان!F42)</f>
        <v/>
      </c>
      <c r="F450" s="34" t="str">
        <f>IF(دانش‌آموزان!I42="","",دانش‌آموزان!I42)</f>
        <v/>
      </c>
      <c r="G450" s="19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1"/>
      <c r="CC450" s="27" t="str">
        <f t="shared" si="66"/>
        <v/>
      </c>
      <c r="CD450" s="38" t="str">
        <f t="shared" si="67"/>
        <v/>
      </c>
      <c r="CE450" s="38" t="str">
        <f t="shared" si="68"/>
        <v/>
      </c>
      <c r="CF450" s="38" t="str">
        <f t="shared" si="69"/>
        <v/>
      </c>
      <c r="CG450" s="38" t="str">
        <f t="shared" si="70"/>
        <v/>
      </c>
      <c r="CH450" s="38" t="str">
        <f t="shared" si="71"/>
        <v/>
      </c>
      <c r="CI450" s="38" t="str">
        <f t="shared" si="72"/>
        <v/>
      </c>
      <c r="CJ450" s="38" t="str">
        <f t="shared" si="73"/>
        <v/>
      </c>
      <c r="CK450" s="38" t="str">
        <f t="shared" si="74"/>
        <v/>
      </c>
      <c r="CL450" s="38" t="str">
        <f>IF(C450="","",IF(COUNT(G450:AZ450)&lt;46,"",SUMPRODUCT(CC450:CK450,'تنظیمات وزن‌دهی'!$C$5:$C$13)/100))</f>
        <v/>
      </c>
      <c r="CM450" s="38" t="str">
        <f t="shared" si="75"/>
        <v/>
      </c>
      <c r="CN450" s="38">
        <v>2</v>
      </c>
      <c r="CO450" s="28" t="str">
        <f t="shared" si="76"/>
        <v/>
      </c>
      <c r="CP450" s="58"/>
    </row>
    <row r="451" spans="1:94" ht="17.25">
      <c r="A451" s="33">
        <v>447</v>
      </c>
      <c r="B451" s="55" t="s">
        <v>185</v>
      </c>
      <c r="C451" s="55" t="str">
        <f>IF(دانش‌آموزان!E42="","",دانش‌آموزان!B42)</f>
        <v/>
      </c>
      <c r="D451" s="55" t="str">
        <f>IF(دانش‌آموزان!C42="","",دانش‌آموزان!C42)</f>
        <v/>
      </c>
      <c r="E451" s="55" t="str">
        <f>IF(دانش‌آموزان!E42="","",دانش‌آموزان!E42&amp;" "&amp;دانش‌آموزان!F42)</f>
        <v/>
      </c>
      <c r="F451" s="34" t="str">
        <f>IF(دانش‌آموزان!I42="","",دانش‌آموزان!I42)</f>
        <v/>
      </c>
      <c r="G451" s="19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1"/>
      <c r="CC451" s="27" t="str">
        <f t="shared" si="66"/>
        <v/>
      </c>
      <c r="CD451" s="38" t="str">
        <f t="shared" si="67"/>
        <v/>
      </c>
      <c r="CE451" s="38" t="str">
        <f t="shared" si="68"/>
        <v/>
      </c>
      <c r="CF451" s="38" t="str">
        <f t="shared" si="69"/>
        <v/>
      </c>
      <c r="CG451" s="38" t="str">
        <f t="shared" si="70"/>
        <v/>
      </c>
      <c r="CH451" s="38" t="str">
        <f t="shared" si="71"/>
        <v/>
      </c>
      <c r="CI451" s="38" t="str">
        <f t="shared" si="72"/>
        <v/>
      </c>
      <c r="CJ451" s="38" t="str">
        <f t="shared" si="73"/>
        <v/>
      </c>
      <c r="CK451" s="38" t="str">
        <f t="shared" si="74"/>
        <v/>
      </c>
      <c r="CL451" s="38" t="str">
        <f>IF(C451="","",IF(COUNT(G451:AZ451)&lt;46,"",SUMPRODUCT(CC451:CK451,'تنظیمات وزن‌دهی'!$C$5:$C$13)/100))</f>
        <v/>
      </c>
      <c r="CM451" s="38" t="str">
        <f t="shared" si="75"/>
        <v/>
      </c>
      <c r="CN451" s="38">
        <v>3</v>
      </c>
      <c r="CO451" s="28" t="str">
        <f t="shared" si="76"/>
        <v/>
      </c>
      <c r="CP451" s="58"/>
    </row>
    <row r="452" spans="1:94" ht="17.25" hidden="1">
      <c r="A452" s="33">
        <v>448</v>
      </c>
      <c r="B452" s="55" t="s">
        <v>186</v>
      </c>
      <c r="C452" s="55" t="str">
        <f>IF(دانش‌آموزان!E42="","",دانش‌آموزان!B42)</f>
        <v/>
      </c>
      <c r="D452" s="55" t="str">
        <f>IF(دانش‌آموزان!C42="","",دانش‌آموزان!C42)</f>
        <v/>
      </c>
      <c r="E452" s="55" t="str">
        <f>IF(دانش‌آموزان!E42="","",دانش‌آموزان!E42&amp;" "&amp;دانش‌آموزان!F42)</f>
        <v/>
      </c>
      <c r="F452" s="34" t="str">
        <f>IF(دانش‌آموزان!I42="","",دانش‌آموزان!I42)</f>
        <v/>
      </c>
      <c r="G452" s="19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1"/>
      <c r="CC452" s="27" t="str">
        <f t="shared" si="66"/>
        <v/>
      </c>
      <c r="CD452" s="38" t="str">
        <f t="shared" si="67"/>
        <v/>
      </c>
      <c r="CE452" s="38" t="str">
        <f t="shared" si="68"/>
        <v/>
      </c>
      <c r="CF452" s="38" t="str">
        <f t="shared" si="69"/>
        <v/>
      </c>
      <c r="CG452" s="38" t="str">
        <f t="shared" si="70"/>
        <v/>
      </c>
      <c r="CH452" s="38" t="str">
        <f t="shared" si="71"/>
        <v/>
      </c>
      <c r="CI452" s="38" t="str">
        <f t="shared" si="72"/>
        <v/>
      </c>
      <c r="CJ452" s="38" t="str">
        <f t="shared" si="73"/>
        <v/>
      </c>
      <c r="CK452" s="38" t="str">
        <f t="shared" si="74"/>
        <v/>
      </c>
      <c r="CL452" s="38" t="str">
        <f>IF(C452="","",IF(COUNT(G452:AZ452)&lt;46,"",SUMPRODUCT(CC452:CK452,'تنظیمات وزن‌دهی'!$C$5:$C$13)/100))</f>
        <v/>
      </c>
      <c r="CM452" s="38" t="str">
        <f t="shared" si="75"/>
        <v/>
      </c>
      <c r="CN452" s="38">
        <v>4</v>
      </c>
      <c r="CO452" s="28" t="str">
        <f t="shared" si="76"/>
        <v/>
      </c>
      <c r="CP452" s="58"/>
    </row>
    <row r="453" spans="1:94" ht="17.25" hidden="1">
      <c r="A453" s="33">
        <v>449</v>
      </c>
      <c r="B453" s="55" t="s">
        <v>187</v>
      </c>
      <c r="C453" s="55" t="str">
        <f>IF(دانش‌آموزان!E42="","",دانش‌آموزان!B42)</f>
        <v/>
      </c>
      <c r="D453" s="55" t="str">
        <f>IF(دانش‌آموزان!C42="","",دانش‌آموزان!C42)</f>
        <v/>
      </c>
      <c r="E453" s="55" t="str">
        <f>IF(دانش‌آموزان!E42="","",دانش‌آموزان!E42&amp;" "&amp;دانش‌آموزان!F42)</f>
        <v/>
      </c>
      <c r="F453" s="34" t="str">
        <f>IF(دانش‌آموزان!I42="","",دانش‌آموزان!I42)</f>
        <v/>
      </c>
      <c r="G453" s="19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1"/>
      <c r="CC453" s="27" t="str">
        <f t="shared" ref="CC453:CC516" si="77">IF(COUNT(G453:N453)=0,"",AVERAGE(G453:N453)*4)</f>
        <v/>
      </c>
      <c r="CD453" s="38" t="str">
        <f t="shared" ref="CD453:CD516" si="78">IF(COUNT(O453:S453)=0,"",AVERAGE(O453:S453)*4)</f>
        <v/>
      </c>
      <c r="CE453" s="38" t="str">
        <f t="shared" ref="CE453:CE516" si="79">IF(COUNT(T453:U453)=0,"",AVERAGE(T453:U453)*4)</f>
        <v/>
      </c>
      <c r="CF453" s="38" t="str">
        <f t="shared" ref="CF453:CF516" si="80">IF(COUNT(V453:Z453)=0,"",AVERAGE(V453:Z453)*4)</f>
        <v/>
      </c>
      <c r="CG453" s="38" t="str">
        <f t="shared" ref="CG453:CG516" si="81">IF(COUNT(AA453:AC453)=0,"",AVERAGE(AA453:AC453)*4)</f>
        <v/>
      </c>
      <c r="CH453" s="38" t="str">
        <f t="shared" ref="CH453:CH516" si="82">IF(COUNT(AD453:AI453)=0,"",AVERAGE(AD453:AI453)*4)</f>
        <v/>
      </c>
      <c r="CI453" s="38" t="str">
        <f t="shared" ref="CI453:CI516" si="83">IF(COUNT(AJ453:AP453)=0,"",AVERAGE(AJ453:AP453)*4)</f>
        <v/>
      </c>
      <c r="CJ453" s="38" t="str">
        <f t="shared" ref="CJ453:CJ516" si="84">IF(COUNT(AQ453:AW453)=0,"",AVERAGE(AQ453:AW453)*4)</f>
        <v/>
      </c>
      <c r="CK453" s="38" t="str">
        <f t="shared" ref="CK453:CK516" si="85">IF(COUNT(AX453:AZ453)=0,"",AVERAGE(AX453:AZ453)*4)</f>
        <v/>
      </c>
      <c r="CL453" s="38" t="str">
        <f>IF(C453="","",IF(COUNT(G453:AZ453)&lt;46,"",SUMPRODUCT(CC453:CK453,'تنظیمات وزن‌دهی'!$C$5:$C$13)/100))</f>
        <v/>
      </c>
      <c r="CM453" s="38" t="str">
        <f t="shared" ref="CM453:CM516" si="86">IF(C453="","",IF(COUNT(G453:AZ453)=0,"",IF(COUNT(G453:AZ453)&lt;46,"موقت - اطلاعات ناقص",IF(CL453&gt;=17,"عالی",IF(CL453&gt;=14,"خوب",IF(CL453&gt;=10,"متوسط","ضعیف"))))))</f>
        <v/>
      </c>
      <c r="CN453" s="38">
        <v>5</v>
      </c>
      <c r="CO453" s="28" t="str">
        <f t="shared" ref="CO453:CO516" si="87">IF(C453="","",COUNT(G453:AZ453)/46)</f>
        <v/>
      </c>
      <c r="CP453" s="58"/>
    </row>
    <row r="454" spans="1:94" ht="17.25" hidden="1">
      <c r="A454" s="33">
        <v>450</v>
      </c>
      <c r="B454" s="55" t="s">
        <v>188</v>
      </c>
      <c r="C454" s="55" t="str">
        <f>IF(دانش‌آموزان!E42="","",دانش‌آموزان!B42)</f>
        <v/>
      </c>
      <c r="D454" s="55" t="str">
        <f>IF(دانش‌آموزان!C42="","",دانش‌آموزان!C42)</f>
        <v/>
      </c>
      <c r="E454" s="55" t="str">
        <f>IF(دانش‌آموزان!E42="","",دانش‌آموزان!E42&amp;" "&amp;دانش‌آموزان!F42)</f>
        <v/>
      </c>
      <c r="F454" s="34" t="str">
        <f>IF(دانش‌آموزان!I42="","",دانش‌آموزان!I42)</f>
        <v/>
      </c>
      <c r="G454" s="19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1"/>
      <c r="CC454" s="27" t="str">
        <f t="shared" si="77"/>
        <v/>
      </c>
      <c r="CD454" s="38" t="str">
        <f t="shared" si="78"/>
        <v/>
      </c>
      <c r="CE454" s="38" t="str">
        <f t="shared" si="79"/>
        <v/>
      </c>
      <c r="CF454" s="38" t="str">
        <f t="shared" si="80"/>
        <v/>
      </c>
      <c r="CG454" s="38" t="str">
        <f t="shared" si="81"/>
        <v/>
      </c>
      <c r="CH454" s="38" t="str">
        <f t="shared" si="82"/>
        <v/>
      </c>
      <c r="CI454" s="38" t="str">
        <f t="shared" si="83"/>
        <v/>
      </c>
      <c r="CJ454" s="38" t="str">
        <f t="shared" si="84"/>
        <v/>
      </c>
      <c r="CK454" s="38" t="str">
        <f t="shared" si="85"/>
        <v/>
      </c>
      <c r="CL454" s="38" t="str">
        <f>IF(C454="","",IF(COUNT(G454:AZ454)&lt;46,"",SUMPRODUCT(CC454:CK454,'تنظیمات وزن‌دهی'!$C$5:$C$13)/100))</f>
        <v/>
      </c>
      <c r="CM454" s="38" t="str">
        <f t="shared" si="86"/>
        <v/>
      </c>
      <c r="CN454" s="38">
        <v>6</v>
      </c>
      <c r="CO454" s="28" t="str">
        <f t="shared" si="87"/>
        <v/>
      </c>
      <c r="CP454" s="58"/>
    </row>
    <row r="455" spans="1:94" ht="17.25" hidden="1">
      <c r="A455" s="33">
        <v>451</v>
      </c>
      <c r="B455" s="55" t="s">
        <v>189</v>
      </c>
      <c r="C455" s="55" t="str">
        <f>IF(دانش‌آموزان!E42="","",دانش‌آموزان!B42)</f>
        <v/>
      </c>
      <c r="D455" s="55" t="str">
        <f>IF(دانش‌آموزان!C42="","",دانش‌آموزان!C42)</f>
        <v/>
      </c>
      <c r="E455" s="55" t="str">
        <f>IF(دانش‌آموزان!E42="","",دانش‌آموزان!E42&amp;" "&amp;دانش‌آموزان!F42)</f>
        <v/>
      </c>
      <c r="F455" s="34" t="str">
        <f>IF(دانش‌آموزان!I42="","",دانش‌آموزان!I42)</f>
        <v/>
      </c>
      <c r="G455" s="19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1"/>
      <c r="CC455" s="27" t="str">
        <f t="shared" si="77"/>
        <v/>
      </c>
      <c r="CD455" s="38" t="str">
        <f t="shared" si="78"/>
        <v/>
      </c>
      <c r="CE455" s="38" t="str">
        <f t="shared" si="79"/>
        <v/>
      </c>
      <c r="CF455" s="38" t="str">
        <f t="shared" si="80"/>
        <v/>
      </c>
      <c r="CG455" s="38" t="str">
        <f t="shared" si="81"/>
        <v/>
      </c>
      <c r="CH455" s="38" t="str">
        <f t="shared" si="82"/>
        <v/>
      </c>
      <c r="CI455" s="38" t="str">
        <f t="shared" si="83"/>
        <v/>
      </c>
      <c r="CJ455" s="38" t="str">
        <f t="shared" si="84"/>
        <v/>
      </c>
      <c r="CK455" s="38" t="str">
        <f t="shared" si="85"/>
        <v/>
      </c>
      <c r="CL455" s="38" t="str">
        <f>IF(C455="","",IF(COUNT(G455:AZ455)&lt;46,"",SUMPRODUCT(CC455:CK455,'تنظیمات وزن‌دهی'!$C$5:$C$13)/100))</f>
        <v/>
      </c>
      <c r="CM455" s="38" t="str">
        <f t="shared" si="86"/>
        <v/>
      </c>
      <c r="CN455" s="38">
        <v>7</v>
      </c>
      <c r="CO455" s="28" t="str">
        <f t="shared" si="87"/>
        <v/>
      </c>
      <c r="CP455" s="58"/>
    </row>
    <row r="456" spans="1:94" ht="17.25" hidden="1">
      <c r="A456" s="33">
        <v>452</v>
      </c>
      <c r="B456" s="55" t="s">
        <v>190</v>
      </c>
      <c r="C456" s="55" t="str">
        <f>IF(دانش‌آموزان!E42="","",دانش‌آموزان!B42)</f>
        <v/>
      </c>
      <c r="D456" s="55" t="str">
        <f>IF(دانش‌آموزان!C42="","",دانش‌آموزان!C42)</f>
        <v/>
      </c>
      <c r="E456" s="55" t="str">
        <f>IF(دانش‌آموزان!E42="","",دانش‌آموزان!E42&amp;" "&amp;دانش‌آموزان!F42)</f>
        <v/>
      </c>
      <c r="F456" s="34" t="str">
        <f>IF(دانش‌آموزان!I42="","",دانش‌آموزان!I42)</f>
        <v/>
      </c>
      <c r="G456" s="19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1"/>
      <c r="CC456" s="27" t="str">
        <f t="shared" si="77"/>
        <v/>
      </c>
      <c r="CD456" s="38" t="str">
        <f t="shared" si="78"/>
        <v/>
      </c>
      <c r="CE456" s="38" t="str">
        <f t="shared" si="79"/>
        <v/>
      </c>
      <c r="CF456" s="38" t="str">
        <f t="shared" si="80"/>
        <v/>
      </c>
      <c r="CG456" s="38" t="str">
        <f t="shared" si="81"/>
        <v/>
      </c>
      <c r="CH456" s="38" t="str">
        <f t="shared" si="82"/>
        <v/>
      </c>
      <c r="CI456" s="38" t="str">
        <f t="shared" si="83"/>
        <v/>
      </c>
      <c r="CJ456" s="38" t="str">
        <f t="shared" si="84"/>
        <v/>
      </c>
      <c r="CK456" s="38" t="str">
        <f t="shared" si="85"/>
        <v/>
      </c>
      <c r="CL456" s="38" t="str">
        <f>IF(C456="","",IF(COUNT(G456:AZ456)&lt;46,"",SUMPRODUCT(CC456:CK456,'تنظیمات وزن‌دهی'!$C$5:$C$13)/100))</f>
        <v/>
      </c>
      <c r="CM456" s="38" t="str">
        <f t="shared" si="86"/>
        <v/>
      </c>
      <c r="CN456" s="38">
        <v>8</v>
      </c>
      <c r="CO456" s="28" t="str">
        <f t="shared" si="87"/>
        <v/>
      </c>
      <c r="CP456" s="58"/>
    </row>
    <row r="457" spans="1:94" ht="17.25" hidden="1">
      <c r="A457" s="33">
        <v>453</v>
      </c>
      <c r="B457" s="55" t="s">
        <v>191</v>
      </c>
      <c r="C457" s="55" t="str">
        <f>IF(دانش‌آموزان!E42="","",دانش‌آموزان!B42)</f>
        <v/>
      </c>
      <c r="D457" s="55" t="str">
        <f>IF(دانش‌آموزان!C42="","",دانش‌آموزان!C42)</f>
        <v/>
      </c>
      <c r="E457" s="55" t="str">
        <f>IF(دانش‌آموزان!E42="","",دانش‌آموزان!E42&amp;" "&amp;دانش‌آموزان!F42)</f>
        <v/>
      </c>
      <c r="F457" s="34" t="str">
        <f>IF(دانش‌آموزان!I42="","",دانش‌آموزان!I42)</f>
        <v/>
      </c>
      <c r="G457" s="19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1"/>
      <c r="CC457" s="27" t="str">
        <f t="shared" si="77"/>
        <v/>
      </c>
      <c r="CD457" s="38" t="str">
        <f t="shared" si="78"/>
        <v/>
      </c>
      <c r="CE457" s="38" t="str">
        <f t="shared" si="79"/>
        <v/>
      </c>
      <c r="CF457" s="38" t="str">
        <f t="shared" si="80"/>
        <v/>
      </c>
      <c r="CG457" s="38" t="str">
        <f t="shared" si="81"/>
        <v/>
      </c>
      <c r="CH457" s="38" t="str">
        <f t="shared" si="82"/>
        <v/>
      </c>
      <c r="CI457" s="38" t="str">
        <f t="shared" si="83"/>
        <v/>
      </c>
      <c r="CJ457" s="38" t="str">
        <f t="shared" si="84"/>
        <v/>
      </c>
      <c r="CK457" s="38" t="str">
        <f t="shared" si="85"/>
        <v/>
      </c>
      <c r="CL457" s="38" t="str">
        <f>IF(C457="","",IF(COUNT(G457:AZ457)&lt;46,"",SUMPRODUCT(CC457:CK457,'تنظیمات وزن‌دهی'!$C$5:$C$13)/100))</f>
        <v/>
      </c>
      <c r="CM457" s="38" t="str">
        <f t="shared" si="86"/>
        <v/>
      </c>
      <c r="CN457" s="38">
        <v>9</v>
      </c>
      <c r="CO457" s="28" t="str">
        <f t="shared" si="87"/>
        <v/>
      </c>
      <c r="CP457" s="58"/>
    </row>
    <row r="458" spans="1:94" ht="17.25" hidden="1">
      <c r="A458" s="33">
        <v>454</v>
      </c>
      <c r="B458" s="55" t="s">
        <v>192</v>
      </c>
      <c r="C458" s="55" t="str">
        <f>IF(دانش‌آموزان!E42="","",دانش‌آموزان!B42)</f>
        <v/>
      </c>
      <c r="D458" s="55" t="str">
        <f>IF(دانش‌آموزان!C42="","",دانش‌آموزان!C42)</f>
        <v/>
      </c>
      <c r="E458" s="55" t="str">
        <f>IF(دانش‌آموزان!E42="","",دانش‌آموزان!E42&amp;" "&amp;دانش‌آموزان!F42)</f>
        <v/>
      </c>
      <c r="F458" s="34" t="str">
        <f>IF(دانش‌آموزان!I42="","",دانش‌آموزان!I42)</f>
        <v/>
      </c>
      <c r="G458" s="19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1"/>
      <c r="CC458" s="27" t="str">
        <f t="shared" si="77"/>
        <v/>
      </c>
      <c r="CD458" s="38" t="str">
        <f t="shared" si="78"/>
        <v/>
      </c>
      <c r="CE458" s="38" t="str">
        <f t="shared" si="79"/>
        <v/>
      </c>
      <c r="CF458" s="38" t="str">
        <f t="shared" si="80"/>
        <v/>
      </c>
      <c r="CG458" s="38" t="str">
        <f t="shared" si="81"/>
        <v/>
      </c>
      <c r="CH458" s="38" t="str">
        <f t="shared" si="82"/>
        <v/>
      </c>
      <c r="CI458" s="38" t="str">
        <f t="shared" si="83"/>
        <v/>
      </c>
      <c r="CJ458" s="38" t="str">
        <f t="shared" si="84"/>
        <v/>
      </c>
      <c r="CK458" s="38" t="str">
        <f t="shared" si="85"/>
        <v/>
      </c>
      <c r="CL458" s="38" t="str">
        <f>IF(C458="","",IF(COUNT(G458:AZ458)&lt;46,"",SUMPRODUCT(CC458:CK458,'تنظیمات وزن‌دهی'!$C$5:$C$13)/100))</f>
        <v/>
      </c>
      <c r="CM458" s="38" t="str">
        <f t="shared" si="86"/>
        <v/>
      </c>
      <c r="CN458" s="38">
        <v>10</v>
      </c>
      <c r="CO458" s="28" t="str">
        <f t="shared" si="87"/>
        <v/>
      </c>
      <c r="CP458" s="58"/>
    </row>
    <row r="459" spans="1:94" ht="17.25" hidden="1">
      <c r="A459" s="33">
        <v>455</v>
      </c>
      <c r="B459" s="55" t="s">
        <v>193</v>
      </c>
      <c r="C459" s="55" t="str">
        <f>IF(دانش‌آموزان!E42="","",دانش‌آموزان!B42)</f>
        <v/>
      </c>
      <c r="D459" s="55" t="str">
        <f>IF(دانش‌آموزان!C42="","",دانش‌آموزان!C42)</f>
        <v/>
      </c>
      <c r="E459" s="55" t="str">
        <f>IF(دانش‌آموزان!E42="","",دانش‌آموزان!E42&amp;" "&amp;دانش‌آموزان!F42)</f>
        <v/>
      </c>
      <c r="F459" s="34" t="str">
        <f>IF(دانش‌آموزان!I42="","",دانش‌آموزان!I42)</f>
        <v/>
      </c>
      <c r="G459" s="19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1"/>
      <c r="CC459" s="27" t="str">
        <f t="shared" si="77"/>
        <v/>
      </c>
      <c r="CD459" s="38" t="str">
        <f t="shared" si="78"/>
        <v/>
      </c>
      <c r="CE459" s="38" t="str">
        <f t="shared" si="79"/>
        <v/>
      </c>
      <c r="CF459" s="38" t="str">
        <f t="shared" si="80"/>
        <v/>
      </c>
      <c r="CG459" s="38" t="str">
        <f t="shared" si="81"/>
        <v/>
      </c>
      <c r="CH459" s="38" t="str">
        <f t="shared" si="82"/>
        <v/>
      </c>
      <c r="CI459" s="38" t="str">
        <f t="shared" si="83"/>
        <v/>
      </c>
      <c r="CJ459" s="38" t="str">
        <f t="shared" si="84"/>
        <v/>
      </c>
      <c r="CK459" s="38" t="str">
        <f t="shared" si="85"/>
        <v/>
      </c>
      <c r="CL459" s="38" t="str">
        <f>IF(C459="","",IF(COUNT(G459:AZ459)&lt;46,"",SUMPRODUCT(CC459:CK459,'تنظیمات وزن‌دهی'!$C$5:$C$13)/100))</f>
        <v/>
      </c>
      <c r="CM459" s="38" t="str">
        <f t="shared" si="86"/>
        <v/>
      </c>
      <c r="CN459" s="38">
        <v>11</v>
      </c>
      <c r="CO459" s="28" t="str">
        <f t="shared" si="87"/>
        <v/>
      </c>
      <c r="CP459" s="58"/>
    </row>
    <row r="460" spans="1:94" ht="17.25" hidden="1">
      <c r="A460" s="33">
        <v>456</v>
      </c>
      <c r="B460" s="55" t="s">
        <v>194</v>
      </c>
      <c r="C460" s="55" t="str">
        <f>IF(دانش‌آموزان!E42="","",دانش‌آموزان!B42)</f>
        <v/>
      </c>
      <c r="D460" s="55" t="str">
        <f>IF(دانش‌آموزان!C42="","",دانش‌آموزان!C42)</f>
        <v/>
      </c>
      <c r="E460" s="55" t="str">
        <f>IF(دانش‌آموزان!E42="","",دانش‌آموزان!E42&amp;" "&amp;دانش‌آموزان!F42)</f>
        <v/>
      </c>
      <c r="F460" s="34" t="str">
        <f>IF(دانش‌آموزان!I42="","",دانش‌آموزان!I42)</f>
        <v/>
      </c>
      <c r="G460" s="19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1"/>
      <c r="CC460" s="27" t="str">
        <f t="shared" si="77"/>
        <v/>
      </c>
      <c r="CD460" s="38" t="str">
        <f t="shared" si="78"/>
        <v/>
      </c>
      <c r="CE460" s="38" t="str">
        <f t="shared" si="79"/>
        <v/>
      </c>
      <c r="CF460" s="38" t="str">
        <f t="shared" si="80"/>
        <v/>
      </c>
      <c r="CG460" s="38" t="str">
        <f t="shared" si="81"/>
        <v/>
      </c>
      <c r="CH460" s="38" t="str">
        <f t="shared" si="82"/>
        <v/>
      </c>
      <c r="CI460" s="38" t="str">
        <f t="shared" si="83"/>
        <v/>
      </c>
      <c r="CJ460" s="38" t="str">
        <f t="shared" si="84"/>
        <v/>
      </c>
      <c r="CK460" s="38" t="str">
        <f t="shared" si="85"/>
        <v/>
      </c>
      <c r="CL460" s="38" t="str">
        <f>IF(C460="","",IF(COUNT(G460:AZ460)&lt;46,"",SUMPRODUCT(CC460:CK460,'تنظیمات وزن‌دهی'!$C$5:$C$13)/100))</f>
        <v/>
      </c>
      <c r="CM460" s="38" t="str">
        <f t="shared" si="86"/>
        <v/>
      </c>
      <c r="CN460" s="38">
        <v>12</v>
      </c>
      <c r="CO460" s="28" t="str">
        <f t="shared" si="87"/>
        <v/>
      </c>
      <c r="CP460" s="58"/>
    </row>
    <row r="461" spans="1:94" ht="17.25" hidden="1">
      <c r="A461" s="33">
        <v>457</v>
      </c>
      <c r="B461" s="55" t="s">
        <v>183</v>
      </c>
      <c r="C461" s="55" t="str">
        <f>IF(دانش‌آموزان!E43="","",دانش‌آموزان!B43)</f>
        <v/>
      </c>
      <c r="D461" s="55" t="str">
        <f>IF(دانش‌آموزان!C43="","",دانش‌آموزان!C43)</f>
        <v/>
      </c>
      <c r="E461" s="55" t="str">
        <f>IF(دانش‌آموزان!E43="","",دانش‌آموزان!E43&amp;" "&amp;دانش‌آموزان!F43)</f>
        <v/>
      </c>
      <c r="F461" s="34" t="str">
        <f>IF(دانش‌آموزان!I43="","",دانش‌آموزان!I43)</f>
        <v/>
      </c>
      <c r="G461" s="19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1"/>
      <c r="CC461" s="27" t="str">
        <f t="shared" si="77"/>
        <v/>
      </c>
      <c r="CD461" s="38" t="str">
        <f t="shared" si="78"/>
        <v/>
      </c>
      <c r="CE461" s="38" t="str">
        <f t="shared" si="79"/>
        <v/>
      </c>
      <c r="CF461" s="38" t="str">
        <f t="shared" si="80"/>
        <v/>
      </c>
      <c r="CG461" s="38" t="str">
        <f t="shared" si="81"/>
        <v/>
      </c>
      <c r="CH461" s="38" t="str">
        <f t="shared" si="82"/>
        <v/>
      </c>
      <c r="CI461" s="38" t="str">
        <f t="shared" si="83"/>
        <v/>
      </c>
      <c r="CJ461" s="38" t="str">
        <f t="shared" si="84"/>
        <v/>
      </c>
      <c r="CK461" s="38" t="str">
        <f t="shared" si="85"/>
        <v/>
      </c>
      <c r="CL461" s="38" t="str">
        <f>IF(C461="","",IF(COUNT(G461:AZ461)&lt;46,"",SUMPRODUCT(CC461:CK461,'تنظیمات وزن‌دهی'!$C$5:$C$13)/100))</f>
        <v/>
      </c>
      <c r="CM461" s="38" t="str">
        <f t="shared" si="86"/>
        <v/>
      </c>
      <c r="CN461" s="38">
        <v>1</v>
      </c>
      <c r="CO461" s="28" t="str">
        <f t="shared" si="87"/>
        <v/>
      </c>
      <c r="CP461" s="58"/>
    </row>
    <row r="462" spans="1:94" ht="17.25" hidden="1">
      <c r="A462" s="33">
        <v>458</v>
      </c>
      <c r="B462" s="55" t="s">
        <v>184</v>
      </c>
      <c r="C462" s="55" t="str">
        <f>IF(دانش‌آموزان!E43="","",دانش‌آموزان!B43)</f>
        <v/>
      </c>
      <c r="D462" s="55" t="str">
        <f>IF(دانش‌آموزان!C43="","",دانش‌آموزان!C43)</f>
        <v/>
      </c>
      <c r="E462" s="55" t="str">
        <f>IF(دانش‌آموزان!E43="","",دانش‌آموزان!E43&amp;" "&amp;دانش‌آموزان!F43)</f>
        <v/>
      </c>
      <c r="F462" s="34" t="str">
        <f>IF(دانش‌آموزان!I43="","",دانش‌آموزان!I43)</f>
        <v/>
      </c>
      <c r="G462" s="19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1"/>
      <c r="CC462" s="27" t="str">
        <f t="shared" si="77"/>
        <v/>
      </c>
      <c r="CD462" s="38" t="str">
        <f t="shared" si="78"/>
        <v/>
      </c>
      <c r="CE462" s="38" t="str">
        <f t="shared" si="79"/>
        <v/>
      </c>
      <c r="CF462" s="38" t="str">
        <f t="shared" si="80"/>
        <v/>
      </c>
      <c r="CG462" s="38" t="str">
        <f t="shared" si="81"/>
        <v/>
      </c>
      <c r="CH462" s="38" t="str">
        <f t="shared" si="82"/>
        <v/>
      </c>
      <c r="CI462" s="38" t="str">
        <f t="shared" si="83"/>
        <v/>
      </c>
      <c r="CJ462" s="38" t="str">
        <f t="shared" si="84"/>
        <v/>
      </c>
      <c r="CK462" s="38" t="str">
        <f t="shared" si="85"/>
        <v/>
      </c>
      <c r="CL462" s="38" t="str">
        <f>IF(C462="","",IF(COUNT(G462:AZ462)&lt;46,"",SUMPRODUCT(CC462:CK462,'تنظیمات وزن‌دهی'!$C$5:$C$13)/100))</f>
        <v/>
      </c>
      <c r="CM462" s="38" t="str">
        <f t="shared" si="86"/>
        <v/>
      </c>
      <c r="CN462" s="38">
        <v>2</v>
      </c>
      <c r="CO462" s="28" t="str">
        <f t="shared" si="87"/>
        <v/>
      </c>
      <c r="CP462" s="58"/>
    </row>
    <row r="463" spans="1:94" ht="17.25">
      <c r="A463" s="33">
        <v>459</v>
      </c>
      <c r="B463" s="55" t="s">
        <v>185</v>
      </c>
      <c r="C463" s="55" t="str">
        <f>IF(دانش‌آموزان!E43="","",دانش‌آموزان!B43)</f>
        <v/>
      </c>
      <c r="D463" s="55" t="str">
        <f>IF(دانش‌آموزان!C43="","",دانش‌آموزان!C43)</f>
        <v/>
      </c>
      <c r="E463" s="55" t="str">
        <f>IF(دانش‌آموزان!E43="","",دانش‌آموزان!E43&amp;" "&amp;دانش‌آموزان!F43)</f>
        <v/>
      </c>
      <c r="F463" s="34" t="str">
        <f>IF(دانش‌آموزان!I43="","",دانش‌آموزان!I43)</f>
        <v/>
      </c>
      <c r="G463" s="19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1"/>
      <c r="CC463" s="27" t="str">
        <f t="shared" si="77"/>
        <v/>
      </c>
      <c r="CD463" s="38" t="str">
        <f t="shared" si="78"/>
        <v/>
      </c>
      <c r="CE463" s="38" t="str">
        <f t="shared" si="79"/>
        <v/>
      </c>
      <c r="CF463" s="38" t="str">
        <f t="shared" si="80"/>
        <v/>
      </c>
      <c r="CG463" s="38" t="str">
        <f t="shared" si="81"/>
        <v/>
      </c>
      <c r="CH463" s="38" t="str">
        <f t="shared" si="82"/>
        <v/>
      </c>
      <c r="CI463" s="38" t="str">
        <f t="shared" si="83"/>
        <v/>
      </c>
      <c r="CJ463" s="38" t="str">
        <f t="shared" si="84"/>
        <v/>
      </c>
      <c r="CK463" s="38" t="str">
        <f t="shared" si="85"/>
        <v/>
      </c>
      <c r="CL463" s="38" t="str">
        <f>IF(C463="","",IF(COUNT(G463:AZ463)&lt;46,"",SUMPRODUCT(CC463:CK463,'تنظیمات وزن‌دهی'!$C$5:$C$13)/100))</f>
        <v/>
      </c>
      <c r="CM463" s="38" t="str">
        <f t="shared" si="86"/>
        <v/>
      </c>
      <c r="CN463" s="38">
        <v>3</v>
      </c>
      <c r="CO463" s="28" t="str">
        <f t="shared" si="87"/>
        <v/>
      </c>
      <c r="CP463" s="58"/>
    </row>
    <row r="464" spans="1:94" ht="17.25" hidden="1">
      <c r="A464" s="33">
        <v>460</v>
      </c>
      <c r="B464" s="55" t="s">
        <v>186</v>
      </c>
      <c r="C464" s="55" t="str">
        <f>IF(دانش‌آموزان!E43="","",دانش‌آموزان!B43)</f>
        <v/>
      </c>
      <c r="D464" s="55" t="str">
        <f>IF(دانش‌آموزان!C43="","",دانش‌آموزان!C43)</f>
        <v/>
      </c>
      <c r="E464" s="55" t="str">
        <f>IF(دانش‌آموزان!E43="","",دانش‌آموزان!E43&amp;" "&amp;دانش‌آموزان!F43)</f>
        <v/>
      </c>
      <c r="F464" s="34" t="str">
        <f>IF(دانش‌آموزان!I43="","",دانش‌آموزان!I43)</f>
        <v/>
      </c>
      <c r="G464" s="19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1"/>
      <c r="CC464" s="27" t="str">
        <f t="shared" si="77"/>
        <v/>
      </c>
      <c r="CD464" s="38" t="str">
        <f t="shared" si="78"/>
        <v/>
      </c>
      <c r="CE464" s="38" t="str">
        <f t="shared" si="79"/>
        <v/>
      </c>
      <c r="CF464" s="38" t="str">
        <f t="shared" si="80"/>
        <v/>
      </c>
      <c r="CG464" s="38" t="str">
        <f t="shared" si="81"/>
        <v/>
      </c>
      <c r="CH464" s="38" t="str">
        <f t="shared" si="82"/>
        <v/>
      </c>
      <c r="CI464" s="38" t="str">
        <f t="shared" si="83"/>
        <v/>
      </c>
      <c r="CJ464" s="38" t="str">
        <f t="shared" si="84"/>
        <v/>
      </c>
      <c r="CK464" s="38" t="str">
        <f t="shared" si="85"/>
        <v/>
      </c>
      <c r="CL464" s="38" t="str">
        <f>IF(C464="","",IF(COUNT(G464:AZ464)&lt;46,"",SUMPRODUCT(CC464:CK464,'تنظیمات وزن‌دهی'!$C$5:$C$13)/100))</f>
        <v/>
      </c>
      <c r="CM464" s="38" t="str">
        <f t="shared" si="86"/>
        <v/>
      </c>
      <c r="CN464" s="38">
        <v>4</v>
      </c>
      <c r="CO464" s="28" t="str">
        <f t="shared" si="87"/>
        <v/>
      </c>
      <c r="CP464" s="58"/>
    </row>
    <row r="465" spans="1:94" ht="17.25" hidden="1">
      <c r="A465" s="33">
        <v>461</v>
      </c>
      <c r="B465" s="55" t="s">
        <v>187</v>
      </c>
      <c r="C465" s="55" t="str">
        <f>IF(دانش‌آموزان!E43="","",دانش‌آموزان!B43)</f>
        <v/>
      </c>
      <c r="D465" s="55" t="str">
        <f>IF(دانش‌آموزان!C43="","",دانش‌آموزان!C43)</f>
        <v/>
      </c>
      <c r="E465" s="55" t="str">
        <f>IF(دانش‌آموزان!E43="","",دانش‌آموزان!E43&amp;" "&amp;دانش‌آموزان!F43)</f>
        <v/>
      </c>
      <c r="F465" s="34" t="str">
        <f>IF(دانش‌آموزان!I43="","",دانش‌آموزان!I43)</f>
        <v/>
      </c>
      <c r="G465" s="19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1"/>
      <c r="CC465" s="27" t="str">
        <f t="shared" si="77"/>
        <v/>
      </c>
      <c r="CD465" s="38" t="str">
        <f t="shared" si="78"/>
        <v/>
      </c>
      <c r="CE465" s="38" t="str">
        <f t="shared" si="79"/>
        <v/>
      </c>
      <c r="CF465" s="38" t="str">
        <f t="shared" si="80"/>
        <v/>
      </c>
      <c r="CG465" s="38" t="str">
        <f t="shared" si="81"/>
        <v/>
      </c>
      <c r="CH465" s="38" t="str">
        <f t="shared" si="82"/>
        <v/>
      </c>
      <c r="CI465" s="38" t="str">
        <f t="shared" si="83"/>
        <v/>
      </c>
      <c r="CJ465" s="38" t="str">
        <f t="shared" si="84"/>
        <v/>
      </c>
      <c r="CK465" s="38" t="str">
        <f t="shared" si="85"/>
        <v/>
      </c>
      <c r="CL465" s="38" t="str">
        <f>IF(C465="","",IF(COUNT(G465:AZ465)&lt;46,"",SUMPRODUCT(CC465:CK465,'تنظیمات وزن‌دهی'!$C$5:$C$13)/100))</f>
        <v/>
      </c>
      <c r="CM465" s="38" t="str">
        <f t="shared" si="86"/>
        <v/>
      </c>
      <c r="CN465" s="38">
        <v>5</v>
      </c>
      <c r="CO465" s="28" t="str">
        <f t="shared" si="87"/>
        <v/>
      </c>
      <c r="CP465" s="58"/>
    </row>
    <row r="466" spans="1:94" ht="17.25" hidden="1">
      <c r="A466" s="33">
        <v>462</v>
      </c>
      <c r="B466" s="55" t="s">
        <v>188</v>
      </c>
      <c r="C466" s="55" t="str">
        <f>IF(دانش‌آموزان!E43="","",دانش‌آموزان!B43)</f>
        <v/>
      </c>
      <c r="D466" s="55" t="str">
        <f>IF(دانش‌آموزان!C43="","",دانش‌آموزان!C43)</f>
        <v/>
      </c>
      <c r="E466" s="55" t="str">
        <f>IF(دانش‌آموزان!E43="","",دانش‌آموزان!E43&amp;" "&amp;دانش‌آموزان!F43)</f>
        <v/>
      </c>
      <c r="F466" s="34" t="str">
        <f>IF(دانش‌آموزان!I43="","",دانش‌آموزان!I43)</f>
        <v/>
      </c>
      <c r="G466" s="19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1"/>
      <c r="CC466" s="27" t="str">
        <f t="shared" si="77"/>
        <v/>
      </c>
      <c r="CD466" s="38" t="str">
        <f t="shared" si="78"/>
        <v/>
      </c>
      <c r="CE466" s="38" t="str">
        <f t="shared" si="79"/>
        <v/>
      </c>
      <c r="CF466" s="38" t="str">
        <f t="shared" si="80"/>
        <v/>
      </c>
      <c r="CG466" s="38" t="str">
        <f t="shared" si="81"/>
        <v/>
      </c>
      <c r="CH466" s="38" t="str">
        <f t="shared" si="82"/>
        <v/>
      </c>
      <c r="CI466" s="38" t="str">
        <f t="shared" si="83"/>
        <v/>
      </c>
      <c r="CJ466" s="38" t="str">
        <f t="shared" si="84"/>
        <v/>
      </c>
      <c r="CK466" s="38" t="str">
        <f t="shared" si="85"/>
        <v/>
      </c>
      <c r="CL466" s="38" t="str">
        <f>IF(C466="","",IF(COUNT(G466:AZ466)&lt;46,"",SUMPRODUCT(CC466:CK466,'تنظیمات وزن‌دهی'!$C$5:$C$13)/100))</f>
        <v/>
      </c>
      <c r="CM466" s="38" t="str">
        <f t="shared" si="86"/>
        <v/>
      </c>
      <c r="CN466" s="38">
        <v>6</v>
      </c>
      <c r="CO466" s="28" t="str">
        <f t="shared" si="87"/>
        <v/>
      </c>
      <c r="CP466" s="58"/>
    </row>
    <row r="467" spans="1:94" ht="17.25" hidden="1">
      <c r="A467" s="33">
        <v>463</v>
      </c>
      <c r="B467" s="55" t="s">
        <v>189</v>
      </c>
      <c r="C467" s="55" t="str">
        <f>IF(دانش‌آموزان!E43="","",دانش‌آموزان!B43)</f>
        <v/>
      </c>
      <c r="D467" s="55" t="str">
        <f>IF(دانش‌آموزان!C43="","",دانش‌آموزان!C43)</f>
        <v/>
      </c>
      <c r="E467" s="55" t="str">
        <f>IF(دانش‌آموزان!E43="","",دانش‌آموزان!E43&amp;" "&amp;دانش‌آموزان!F43)</f>
        <v/>
      </c>
      <c r="F467" s="34" t="str">
        <f>IF(دانش‌آموزان!I43="","",دانش‌آموزان!I43)</f>
        <v/>
      </c>
      <c r="G467" s="19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1"/>
      <c r="CC467" s="27" t="str">
        <f t="shared" si="77"/>
        <v/>
      </c>
      <c r="CD467" s="38" t="str">
        <f t="shared" si="78"/>
        <v/>
      </c>
      <c r="CE467" s="38" t="str">
        <f t="shared" si="79"/>
        <v/>
      </c>
      <c r="CF467" s="38" t="str">
        <f t="shared" si="80"/>
        <v/>
      </c>
      <c r="CG467" s="38" t="str">
        <f t="shared" si="81"/>
        <v/>
      </c>
      <c r="CH467" s="38" t="str">
        <f t="shared" si="82"/>
        <v/>
      </c>
      <c r="CI467" s="38" t="str">
        <f t="shared" si="83"/>
        <v/>
      </c>
      <c r="CJ467" s="38" t="str">
        <f t="shared" si="84"/>
        <v/>
      </c>
      <c r="CK467" s="38" t="str">
        <f t="shared" si="85"/>
        <v/>
      </c>
      <c r="CL467" s="38" t="str">
        <f>IF(C467="","",IF(COUNT(G467:AZ467)&lt;46,"",SUMPRODUCT(CC467:CK467,'تنظیمات وزن‌دهی'!$C$5:$C$13)/100))</f>
        <v/>
      </c>
      <c r="CM467" s="38" t="str">
        <f t="shared" si="86"/>
        <v/>
      </c>
      <c r="CN467" s="38">
        <v>7</v>
      </c>
      <c r="CO467" s="28" t="str">
        <f t="shared" si="87"/>
        <v/>
      </c>
      <c r="CP467" s="58"/>
    </row>
    <row r="468" spans="1:94" ht="17.25" hidden="1">
      <c r="A468" s="33">
        <v>464</v>
      </c>
      <c r="B468" s="55" t="s">
        <v>190</v>
      </c>
      <c r="C468" s="55" t="str">
        <f>IF(دانش‌آموزان!E43="","",دانش‌آموزان!B43)</f>
        <v/>
      </c>
      <c r="D468" s="55" t="str">
        <f>IF(دانش‌آموزان!C43="","",دانش‌آموزان!C43)</f>
        <v/>
      </c>
      <c r="E468" s="55" t="str">
        <f>IF(دانش‌آموزان!E43="","",دانش‌آموزان!E43&amp;" "&amp;دانش‌آموزان!F43)</f>
        <v/>
      </c>
      <c r="F468" s="34" t="str">
        <f>IF(دانش‌آموزان!I43="","",دانش‌آموزان!I43)</f>
        <v/>
      </c>
      <c r="G468" s="19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1"/>
      <c r="CC468" s="27" t="str">
        <f t="shared" si="77"/>
        <v/>
      </c>
      <c r="CD468" s="38" t="str">
        <f t="shared" si="78"/>
        <v/>
      </c>
      <c r="CE468" s="38" t="str">
        <f t="shared" si="79"/>
        <v/>
      </c>
      <c r="CF468" s="38" t="str">
        <f t="shared" si="80"/>
        <v/>
      </c>
      <c r="CG468" s="38" t="str">
        <f t="shared" si="81"/>
        <v/>
      </c>
      <c r="CH468" s="38" t="str">
        <f t="shared" si="82"/>
        <v/>
      </c>
      <c r="CI468" s="38" t="str">
        <f t="shared" si="83"/>
        <v/>
      </c>
      <c r="CJ468" s="38" t="str">
        <f t="shared" si="84"/>
        <v/>
      </c>
      <c r="CK468" s="38" t="str">
        <f t="shared" si="85"/>
        <v/>
      </c>
      <c r="CL468" s="38" t="str">
        <f>IF(C468="","",IF(COUNT(G468:AZ468)&lt;46,"",SUMPRODUCT(CC468:CK468,'تنظیمات وزن‌دهی'!$C$5:$C$13)/100))</f>
        <v/>
      </c>
      <c r="CM468" s="38" t="str">
        <f t="shared" si="86"/>
        <v/>
      </c>
      <c r="CN468" s="38">
        <v>8</v>
      </c>
      <c r="CO468" s="28" t="str">
        <f t="shared" si="87"/>
        <v/>
      </c>
      <c r="CP468" s="58"/>
    </row>
    <row r="469" spans="1:94" ht="17.25" hidden="1">
      <c r="A469" s="33">
        <v>465</v>
      </c>
      <c r="B469" s="55" t="s">
        <v>191</v>
      </c>
      <c r="C469" s="55" t="str">
        <f>IF(دانش‌آموزان!E43="","",دانش‌آموزان!B43)</f>
        <v/>
      </c>
      <c r="D469" s="55" t="str">
        <f>IF(دانش‌آموزان!C43="","",دانش‌آموزان!C43)</f>
        <v/>
      </c>
      <c r="E469" s="55" t="str">
        <f>IF(دانش‌آموزان!E43="","",دانش‌آموزان!E43&amp;" "&amp;دانش‌آموزان!F43)</f>
        <v/>
      </c>
      <c r="F469" s="34" t="str">
        <f>IF(دانش‌آموزان!I43="","",دانش‌آموزان!I43)</f>
        <v/>
      </c>
      <c r="G469" s="19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1"/>
      <c r="CC469" s="27" t="str">
        <f t="shared" si="77"/>
        <v/>
      </c>
      <c r="CD469" s="38" t="str">
        <f t="shared" si="78"/>
        <v/>
      </c>
      <c r="CE469" s="38" t="str">
        <f t="shared" si="79"/>
        <v/>
      </c>
      <c r="CF469" s="38" t="str">
        <f t="shared" si="80"/>
        <v/>
      </c>
      <c r="CG469" s="38" t="str">
        <f t="shared" si="81"/>
        <v/>
      </c>
      <c r="CH469" s="38" t="str">
        <f t="shared" si="82"/>
        <v/>
      </c>
      <c r="CI469" s="38" t="str">
        <f t="shared" si="83"/>
        <v/>
      </c>
      <c r="CJ469" s="38" t="str">
        <f t="shared" si="84"/>
        <v/>
      </c>
      <c r="CK469" s="38" t="str">
        <f t="shared" si="85"/>
        <v/>
      </c>
      <c r="CL469" s="38" t="str">
        <f>IF(C469="","",IF(COUNT(G469:AZ469)&lt;46,"",SUMPRODUCT(CC469:CK469,'تنظیمات وزن‌دهی'!$C$5:$C$13)/100))</f>
        <v/>
      </c>
      <c r="CM469" s="38" t="str">
        <f t="shared" si="86"/>
        <v/>
      </c>
      <c r="CN469" s="38">
        <v>9</v>
      </c>
      <c r="CO469" s="28" t="str">
        <f t="shared" si="87"/>
        <v/>
      </c>
      <c r="CP469" s="58"/>
    </row>
    <row r="470" spans="1:94" ht="17.25" hidden="1">
      <c r="A470" s="33">
        <v>466</v>
      </c>
      <c r="B470" s="55" t="s">
        <v>192</v>
      </c>
      <c r="C470" s="55" t="str">
        <f>IF(دانش‌آموزان!E43="","",دانش‌آموزان!B43)</f>
        <v/>
      </c>
      <c r="D470" s="55" t="str">
        <f>IF(دانش‌آموزان!C43="","",دانش‌آموزان!C43)</f>
        <v/>
      </c>
      <c r="E470" s="55" t="str">
        <f>IF(دانش‌آموزان!E43="","",دانش‌آموزان!E43&amp;" "&amp;دانش‌آموزان!F43)</f>
        <v/>
      </c>
      <c r="F470" s="34" t="str">
        <f>IF(دانش‌آموزان!I43="","",دانش‌آموزان!I43)</f>
        <v/>
      </c>
      <c r="G470" s="19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1"/>
      <c r="CC470" s="27" t="str">
        <f t="shared" si="77"/>
        <v/>
      </c>
      <c r="CD470" s="38" t="str">
        <f t="shared" si="78"/>
        <v/>
      </c>
      <c r="CE470" s="38" t="str">
        <f t="shared" si="79"/>
        <v/>
      </c>
      <c r="CF470" s="38" t="str">
        <f t="shared" si="80"/>
        <v/>
      </c>
      <c r="CG470" s="38" t="str">
        <f t="shared" si="81"/>
        <v/>
      </c>
      <c r="CH470" s="38" t="str">
        <f t="shared" si="82"/>
        <v/>
      </c>
      <c r="CI470" s="38" t="str">
        <f t="shared" si="83"/>
        <v/>
      </c>
      <c r="CJ470" s="38" t="str">
        <f t="shared" si="84"/>
        <v/>
      </c>
      <c r="CK470" s="38" t="str">
        <f t="shared" si="85"/>
        <v/>
      </c>
      <c r="CL470" s="38" t="str">
        <f>IF(C470="","",IF(COUNT(G470:AZ470)&lt;46,"",SUMPRODUCT(CC470:CK470,'تنظیمات وزن‌دهی'!$C$5:$C$13)/100))</f>
        <v/>
      </c>
      <c r="CM470" s="38" t="str">
        <f t="shared" si="86"/>
        <v/>
      </c>
      <c r="CN470" s="38">
        <v>10</v>
      </c>
      <c r="CO470" s="28" t="str">
        <f t="shared" si="87"/>
        <v/>
      </c>
      <c r="CP470" s="58"/>
    </row>
    <row r="471" spans="1:94" ht="17.25" hidden="1">
      <c r="A471" s="33">
        <v>467</v>
      </c>
      <c r="B471" s="55" t="s">
        <v>193</v>
      </c>
      <c r="C471" s="55" t="str">
        <f>IF(دانش‌آموزان!E43="","",دانش‌آموزان!B43)</f>
        <v/>
      </c>
      <c r="D471" s="55" t="str">
        <f>IF(دانش‌آموزان!C43="","",دانش‌آموزان!C43)</f>
        <v/>
      </c>
      <c r="E471" s="55" t="str">
        <f>IF(دانش‌آموزان!E43="","",دانش‌آموزان!E43&amp;" "&amp;دانش‌آموزان!F43)</f>
        <v/>
      </c>
      <c r="F471" s="34" t="str">
        <f>IF(دانش‌آموزان!I43="","",دانش‌آموزان!I43)</f>
        <v/>
      </c>
      <c r="G471" s="19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1"/>
      <c r="CC471" s="27" t="str">
        <f t="shared" si="77"/>
        <v/>
      </c>
      <c r="CD471" s="38" t="str">
        <f t="shared" si="78"/>
        <v/>
      </c>
      <c r="CE471" s="38" t="str">
        <f t="shared" si="79"/>
        <v/>
      </c>
      <c r="CF471" s="38" t="str">
        <f t="shared" si="80"/>
        <v/>
      </c>
      <c r="CG471" s="38" t="str">
        <f t="shared" si="81"/>
        <v/>
      </c>
      <c r="CH471" s="38" t="str">
        <f t="shared" si="82"/>
        <v/>
      </c>
      <c r="CI471" s="38" t="str">
        <f t="shared" si="83"/>
        <v/>
      </c>
      <c r="CJ471" s="38" t="str">
        <f t="shared" si="84"/>
        <v/>
      </c>
      <c r="CK471" s="38" t="str">
        <f t="shared" si="85"/>
        <v/>
      </c>
      <c r="CL471" s="38" t="str">
        <f>IF(C471="","",IF(COUNT(G471:AZ471)&lt;46,"",SUMPRODUCT(CC471:CK471,'تنظیمات وزن‌دهی'!$C$5:$C$13)/100))</f>
        <v/>
      </c>
      <c r="CM471" s="38" t="str">
        <f t="shared" si="86"/>
        <v/>
      </c>
      <c r="CN471" s="38">
        <v>11</v>
      </c>
      <c r="CO471" s="28" t="str">
        <f t="shared" si="87"/>
        <v/>
      </c>
      <c r="CP471" s="58"/>
    </row>
    <row r="472" spans="1:94" ht="17.25" hidden="1">
      <c r="A472" s="33">
        <v>468</v>
      </c>
      <c r="B472" s="55" t="s">
        <v>194</v>
      </c>
      <c r="C472" s="55" t="str">
        <f>IF(دانش‌آموزان!E43="","",دانش‌آموزان!B43)</f>
        <v/>
      </c>
      <c r="D472" s="55" t="str">
        <f>IF(دانش‌آموزان!C43="","",دانش‌آموزان!C43)</f>
        <v/>
      </c>
      <c r="E472" s="55" t="str">
        <f>IF(دانش‌آموزان!E43="","",دانش‌آموزان!E43&amp;" "&amp;دانش‌آموزان!F43)</f>
        <v/>
      </c>
      <c r="F472" s="34" t="str">
        <f>IF(دانش‌آموزان!I43="","",دانش‌آموزان!I43)</f>
        <v/>
      </c>
      <c r="G472" s="19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1"/>
      <c r="CC472" s="27" t="str">
        <f t="shared" si="77"/>
        <v/>
      </c>
      <c r="CD472" s="38" t="str">
        <f t="shared" si="78"/>
        <v/>
      </c>
      <c r="CE472" s="38" t="str">
        <f t="shared" si="79"/>
        <v/>
      </c>
      <c r="CF472" s="38" t="str">
        <f t="shared" si="80"/>
        <v/>
      </c>
      <c r="CG472" s="38" t="str">
        <f t="shared" si="81"/>
        <v/>
      </c>
      <c r="CH472" s="38" t="str">
        <f t="shared" si="82"/>
        <v/>
      </c>
      <c r="CI472" s="38" t="str">
        <f t="shared" si="83"/>
        <v/>
      </c>
      <c r="CJ472" s="38" t="str">
        <f t="shared" si="84"/>
        <v/>
      </c>
      <c r="CK472" s="38" t="str">
        <f t="shared" si="85"/>
        <v/>
      </c>
      <c r="CL472" s="38" t="str">
        <f>IF(C472="","",IF(COUNT(G472:AZ472)&lt;46,"",SUMPRODUCT(CC472:CK472,'تنظیمات وزن‌دهی'!$C$5:$C$13)/100))</f>
        <v/>
      </c>
      <c r="CM472" s="38" t="str">
        <f t="shared" si="86"/>
        <v/>
      </c>
      <c r="CN472" s="38">
        <v>12</v>
      </c>
      <c r="CO472" s="28" t="str">
        <f t="shared" si="87"/>
        <v/>
      </c>
      <c r="CP472" s="58"/>
    </row>
    <row r="473" spans="1:94" ht="17.25" hidden="1">
      <c r="A473" s="33">
        <v>469</v>
      </c>
      <c r="B473" s="55" t="s">
        <v>183</v>
      </c>
      <c r="C473" s="55" t="str">
        <f>IF(دانش‌آموزان!E44="","",دانش‌آموزان!B44)</f>
        <v/>
      </c>
      <c r="D473" s="55" t="str">
        <f>IF(دانش‌آموزان!C44="","",دانش‌آموزان!C44)</f>
        <v/>
      </c>
      <c r="E473" s="55" t="str">
        <f>IF(دانش‌آموزان!E44="","",دانش‌آموزان!E44&amp;" "&amp;دانش‌آموزان!F44)</f>
        <v/>
      </c>
      <c r="F473" s="34" t="str">
        <f>IF(دانش‌آموزان!I44="","",دانش‌آموزان!I44)</f>
        <v/>
      </c>
      <c r="G473" s="19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1"/>
      <c r="CC473" s="27" t="str">
        <f t="shared" si="77"/>
        <v/>
      </c>
      <c r="CD473" s="38" t="str">
        <f t="shared" si="78"/>
        <v/>
      </c>
      <c r="CE473" s="38" t="str">
        <f t="shared" si="79"/>
        <v/>
      </c>
      <c r="CF473" s="38" t="str">
        <f t="shared" si="80"/>
        <v/>
      </c>
      <c r="CG473" s="38" t="str">
        <f t="shared" si="81"/>
        <v/>
      </c>
      <c r="CH473" s="38" t="str">
        <f t="shared" si="82"/>
        <v/>
      </c>
      <c r="CI473" s="38" t="str">
        <f t="shared" si="83"/>
        <v/>
      </c>
      <c r="CJ473" s="38" t="str">
        <f t="shared" si="84"/>
        <v/>
      </c>
      <c r="CK473" s="38" t="str">
        <f t="shared" si="85"/>
        <v/>
      </c>
      <c r="CL473" s="38" t="str">
        <f>IF(C473="","",IF(COUNT(G473:AZ473)&lt;46,"",SUMPRODUCT(CC473:CK473,'تنظیمات وزن‌دهی'!$C$5:$C$13)/100))</f>
        <v/>
      </c>
      <c r="CM473" s="38" t="str">
        <f t="shared" si="86"/>
        <v/>
      </c>
      <c r="CN473" s="38">
        <v>1</v>
      </c>
      <c r="CO473" s="28" t="str">
        <f t="shared" si="87"/>
        <v/>
      </c>
      <c r="CP473" s="58"/>
    </row>
    <row r="474" spans="1:94" ht="17.25" hidden="1">
      <c r="A474" s="33">
        <v>470</v>
      </c>
      <c r="B474" s="55" t="s">
        <v>184</v>
      </c>
      <c r="C474" s="55" t="str">
        <f>IF(دانش‌آموزان!E44="","",دانش‌آموزان!B44)</f>
        <v/>
      </c>
      <c r="D474" s="55" t="str">
        <f>IF(دانش‌آموزان!C44="","",دانش‌آموزان!C44)</f>
        <v/>
      </c>
      <c r="E474" s="55" t="str">
        <f>IF(دانش‌آموزان!E44="","",دانش‌آموزان!E44&amp;" "&amp;دانش‌آموزان!F44)</f>
        <v/>
      </c>
      <c r="F474" s="34" t="str">
        <f>IF(دانش‌آموزان!I44="","",دانش‌آموزان!I44)</f>
        <v/>
      </c>
      <c r="G474" s="19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1"/>
      <c r="CC474" s="27" t="str">
        <f t="shared" si="77"/>
        <v/>
      </c>
      <c r="CD474" s="38" t="str">
        <f t="shared" si="78"/>
        <v/>
      </c>
      <c r="CE474" s="38" t="str">
        <f t="shared" si="79"/>
        <v/>
      </c>
      <c r="CF474" s="38" t="str">
        <f t="shared" si="80"/>
        <v/>
      </c>
      <c r="CG474" s="38" t="str">
        <f t="shared" si="81"/>
        <v/>
      </c>
      <c r="CH474" s="38" t="str">
        <f t="shared" si="82"/>
        <v/>
      </c>
      <c r="CI474" s="38" t="str">
        <f t="shared" si="83"/>
        <v/>
      </c>
      <c r="CJ474" s="38" t="str">
        <f t="shared" si="84"/>
        <v/>
      </c>
      <c r="CK474" s="38" t="str">
        <f t="shared" si="85"/>
        <v/>
      </c>
      <c r="CL474" s="38" t="str">
        <f>IF(C474="","",IF(COUNT(G474:AZ474)&lt;46,"",SUMPRODUCT(CC474:CK474,'تنظیمات وزن‌دهی'!$C$5:$C$13)/100))</f>
        <v/>
      </c>
      <c r="CM474" s="38" t="str">
        <f t="shared" si="86"/>
        <v/>
      </c>
      <c r="CN474" s="38">
        <v>2</v>
      </c>
      <c r="CO474" s="28" t="str">
        <f t="shared" si="87"/>
        <v/>
      </c>
      <c r="CP474" s="58"/>
    </row>
    <row r="475" spans="1:94" ht="17.25">
      <c r="A475" s="33">
        <v>471</v>
      </c>
      <c r="B475" s="55" t="s">
        <v>185</v>
      </c>
      <c r="C475" s="55" t="str">
        <f>IF(دانش‌آموزان!E44="","",دانش‌آموزان!B44)</f>
        <v/>
      </c>
      <c r="D475" s="55" t="str">
        <f>IF(دانش‌آموزان!C44="","",دانش‌آموزان!C44)</f>
        <v/>
      </c>
      <c r="E475" s="55" t="str">
        <f>IF(دانش‌آموزان!E44="","",دانش‌آموزان!E44&amp;" "&amp;دانش‌آموزان!F44)</f>
        <v/>
      </c>
      <c r="F475" s="34" t="str">
        <f>IF(دانش‌آموزان!I44="","",دانش‌آموزان!I44)</f>
        <v/>
      </c>
      <c r="G475" s="19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1"/>
      <c r="CC475" s="27" t="str">
        <f t="shared" si="77"/>
        <v/>
      </c>
      <c r="CD475" s="38" t="str">
        <f t="shared" si="78"/>
        <v/>
      </c>
      <c r="CE475" s="38" t="str">
        <f t="shared" si="79"/>
        <v/>
      </c>
      <c r="CF475" s="38" t="str">
        <f t="shared" si="80"/>
        <v/>
      </c>
      <c r="CG475" s="38" t="str">
        <f t="shared" si="81"/>
        <v/>
      </c>
      <c r="CH475" s="38" t="str">
        <f t="shared" si="82"/>
        <v/>
      </c>
      <c r="CI475" s="38" t="str">
        <f t="shared" si="83"/>
        <v/>
      </c>
      <c r="CJ475" s="38" t="str">
        <f t="shared" si="84"/>
        <v/>
      </c>
      <c r="CK475" s="38" t="str">
        <f t="shared" si="85"/>
        <v/>
      </c>
      <c r="CL475" s="38" t="str">
        <f>IF(C475="","",IF(COUNT(G475:AZ475)&lt;46,"",SUMPRODUCT(CC475:CK475,'تنظیمات وزن‌دهی'!$C$5:$C$13)/100))</f>
        <v/>
      </c>
      <c r="CM475" s="38" t="str">
        <f t="shared" si="86"/>
        <v/>
      </c>
      <c r="CN475" s="38">
        <v>3</v>
      </c>
      <c r="CO475" s="28" t="str">
        <f t="shared" si="87"/>
        <v/>
      </c>
      <c r="CP475" s="58"/>
    </row>
    <row r="476" spans="1:94" ht="17.25" hidden="1">
      <c r="A476" s="33">
        <v>472</v>
      </c>
      <c r="B476" s="55" t="s">
        <v>186</v>
      </c>
      <c r="C476" s="55" t="str">
        <f>IF(دانش‌آموزان!E44="","",دانش‌آموزان!B44)</f>
        <v/>
      </c>
      <c r="D476" s="55" t="str">
        <f>IF(دانش‌آموزان!C44="","",دانش‌آموزان!C44)</f>
        <v/>
      </c>
      <c r="E476" s="55" t="str">
        <f>IF(دانش‌آموزان!E44="","",دانش‌آموزان!E44&amp;" "&amp;دانش‌آموزان!F44)</f>
        <v/>
      </c>
      <c r="F476" s="34" t="str">
        <f>IF(دانش‌آموزان!I44="","",دانش‌آموزان!I44)</f>
        <v/>
      </c>
      <c r="G476" s="19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1"/>
      <c r="CC476" s="27" t="str">
        <f t="shared" si="77"/>
        <v/>
      </c>
      <c r="CD476" s="38" t="str">
        <f t="shared" si="78"/>
        <v/>
      </c>
      <c r="CE476" s="38" t="str">
        <f t="shared" si="79"/>
        <v/>
      </c>
      <c r="CF476" s="38" t="str">
        <f t="shared" si="80"/>
        <v/>
      </c>
      <c r="CG476" s="38" t="str">
        <f t="shared" si="81"/>
        <v/>
      </c>
      <c r="CH476" s="38" t="str">
        <f t="shared" si="82"/>
        <v/>
      </c>
      <c r="CI476" s="38" t="str">
        <f t="shared" si="83"/>
        <v/>
      </c>
      <c r="CJ476" s="38" t="str">
        <f t="shared" si="84"/>
        <v/>
      </c>
      <c r="CK476" s="38" t="str">
        <f t="shared" si="85"/>
        <v/>
      </c>
      <c r="CL476" s="38" t="str">
        <f>IF(C476="","",IF(COUNT(G476:AZ476)&lt;46,"",SUMPRODUCT(CC476:CK476,'تنظیمات وزن‌دهی'!$C$5:$C$13)/100))</f>
        <v/>
      </c>
      <c r="CM476" s="38" t="str">
        <f t="shared" si="86"/>
        <v/>
      </c>
      <c r="CN476" s="38">
        <v>4</v>
      </c>
      <c r="CO476" s="28" t="str">
        <f t="shared" si="87"/>
        <v/>
      </c>
      <c r="CP476" s="58"/>
    </row>
    <row r="477" spans="1:94" ht="17.25" hidden="1">
      <c r="A477" s="33">
        <v>473</v>
      </c>
      <c r="B477" s="55" t="s">
        <v>187</v>
      </c>
      <c r="C477" s="55" t="str">
        <f>IF(دانش‌آموزان!E44="","",دانش‌آموزان!B44)</f>
        <v/>
      </c>
      <c r="D477" s="55" t="str">
        <f>IF(دانش‌آموزان!C44="","",دانش‌آموزان!C44)</f>
        <v/>
      </c>
      <c r="E477" s="55" t="str">
        <f>IF(دانش‌آموزان!E44="","",دانش‌آموزان!E44&amp;" "&amp;دانش‌آموزان!F44)</f>
        <v/>
      </c>
      <c r="F477" s="34" t="str">
        <f>IF(دانش‌آموزان!I44="","",دانش‌آموزان!I44)</f>
        <v/>
      </c>
      <c r="G477" s="19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1"/>
      <c r="CC477" s="27" t="str">
        <f t="shared" si="77"/>
        <v/>
      </c>
      <c r="CD477" s="38" t="str">
        <f t="shared" si="78"/>
        <v/>
      </c>
      <c r="CE477" s="38" t="str">
        <f t="shared" si="79"/>
        <v/>
      </c>
      <c r="CF477" s="38" t="str">
        <f t="shared" si="80"/>
        <v/>
      </c>
      <c r="CG477" s="38" t="str">
        <f t="shared" si="81"/>
        <v/>
      </c>
      <c r="CH477" s="38" t="str">
        <f t="shared" si="82"/>
        <v/>
      </c>
      <c r="CI477" s="38" t="str">
        <f t="shared" si="83"/>
        <v/>
      </c>
      <c r="CJ477" s="38" t="str">
        <f t="shared" si="84"/>
        <v/>
      </c>
      <c r="CK477" s="38" t="str">
        <f t="shared" si="85"/>
        <v/>
      </c>
      <c r="CL477" s="38" t="str">
        <f>IF(C477="","",IF(COUNT(G477:AZ477)&lt;46,"",SUMPRODUCT(CC477:CK477,'تنظیمات وزن‌دهی'!$C$5:$C$13)/100))</f>
        <v/>
      </c>
      <c r="CM477" s="38" t="str">
        <f t="shared" si="86"/>
        <v/>
      </c>
      <c r="CN477" s="38">
        <v>5</v>
      </c>
      <c r="CO477" s="28" t="str">
        <f t="shared" si="87"/>
        <v/>
      </c>
      <c r="CP477" s="58"/>
    </row>
    <row r="478" spans="1:94" ht="17.25" hidden="1">
      <c r="A478" s="33">
        <v>474</v>
      </c>
      <c r="B478" s="55" t="s">
        <v>188</v>
      </c>
      <c r="C478" s="55" t="str">
        <f>IF(دانش‌آموزان!E44="","",دانش‌آموزان!B44)</f>
        <v/>
      </c>
      <c r="D478" s="55" t="str">
        <f>IF(دانش‌آموزان!C44="","",دانش‌آموزان!C44)</f>
        <v/>
      </c>
      <c r="E478" s="55" t="str">
        <f>IF(دانش‌آموزان!E44="","",دانش‌آموزان!E44&amp;" "&amp;دانش‌آموزان!F44)</f>
        <v/>
      </c>
      <c r="F478" s="34" t="str">
        <f>IF(دانش‌آموزان!I44="","",دانش‌آموزان!I44)</f>
        <v/>
      </c>
      <c r="G478" s="19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1"/>
      <c r="CC478" s="27" t="str">
        <f t="shared" si="77"/>
        <v/>
      </c>
      <c r="CD478" s="38" t="str">
        <f t="shared" si="78"/>
        <v/>
      </c>
      <c r="CE478" s="38" t="str">
        <f t="shared" si="79"/>
        <v/>
      </c>
      <c r="CF478" s="38" t="str">
        <f t="shared" si="80"/>
        <v/>
      </c>
      <c r="CG478" s="38" t="str">
        <f t="shared" si="81"/>
        <v/>
      </c>
      <c r="CH478" s="38" t="str">
        <f t="shared" si="82"/>
        <v/>
      </c>
      <c r="CI478" s="38" t="str">
        <f t="shared" si="83"/>
        <v/>
      </c>
      <c r="CJ478" s="38" t="str">
        <f t="shared" si="84"/>
        <v/>
      </c>
      <c r="CK478" s="38" t="str">
        <f t="shared" si="85"/>
        <v/>
      </c>
      <c r="CL478" s="38" t="str">
        <f>IF(C478="","",IF(COUNT(G478:AZ478)&lt;46,"",SUMPRODUCT(CC478:CK478,'تنظیمات وزن‌دهی'!$C$5:$C$13)/100))</f>
        <v/>
      </c>
      <c r="CM478" s="38" t="str">
        <f t="shared" si="86"/>
        <v/>
      </c>
      <c r="CN478" s="38">
        <v>6</v>
      </c>
      <c r="CO478" s="28" t="str">
        <f t="shared" si="87"/>
        <v/>
      </c>
      <c r="CP478" s="58"/>
    </row>
    <row r="479" spans="1:94" ht="17.25" hidden="1">
      <c r="A479" s="33">
        <v>475</v>
      </c>
      <c r="B479" s="55" t="s">
        <v>189</v>
      </c>
      <c r="C479" s="55" t="str">
        <f>IF(دانش‌آموزان!E44="","",دانش‌آموزان!B44)</f>
        <v/>
      </c>
      <c r="D479" s="55" t="str">
        <f>IF(دانش‌آموزان!C44="","",دانش‌آموزان!C44)</f>
        <v/>
      </c>
      <c r="E479" s="55" t="str">
        <f>IF(دانش‌آموزان!E44="","",دانش‌آموزان!E44&amp;" "&amp;دانش‌آموزان!F44)</f>
        <v/>
      </c>
      <c r="F479" s="34" t="str">
        <f>IF(دانش‌آموزان!I44="","",دانش‌آموزان!I44)</f>
        <v/>
      </c>
      <c r="G479" s="19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1"/>
      <c r="CC479" s="27" t="str">
        <f t="shared" si="77"/>
        <v/>
      </c>
      <c r="CD479" s="38" t="str">
        <f t="shared" si="78"/>
        <v/>
      </c>
      <c r="CE479" s="38" t="str">
        <f t="shared" si="79"/>
        <v/>
      </c>
      <c r="CF479" s="38" t="str">
        <f t="shared" si="80"/>
        <v/>
      </c>
      <c r="CG479" s="38" t="str">
        <f t="shared" si="81"/>
        <v/>
      </c>
      <c r="CH479" s="38" t="str">
        <f t="shared" si="82"/>
        <v/>
      </c>
      <c r="CI479" s="38" t="str">
        <f t="shared" si="83"/>
        <v/>
      </c>
      <c r="CJ479" s="38" t="str">
        <f t="shared" si="84"/>
        <v/>
      </c>
      <c r="CK479" s="38" t="str">
        <f t="shared" si="85"/>
        <v/>
      </c>
      <c r="CL479" s="38" t="str">
        <f>IF(C479="","",IF(COUNT(G479:AZ479)&lt;46,"",SUMPRODUCT(CC479:CK479,'تنظیمات وزن‌دهی'!$C$5:$C$13)/100))</f>
        <v/>
      </c>
      <c r="CM479" s="38" t="str">
        <f t="shared" si="86"/>
        <v/>
      </c>
      <c r="CN479" s="38">
        <v>7</v>
      </c>
      <c r="CO479" s="28" t="str">
        <f t="shared" si="87"/>
        <v/>
      </c>
      <c r="CP479" s="58"/>
    </row>
    <row r="480" spans="1:94" ht="17.25" hidden="1">
      <c r="A480" s="33">
        <v>476</v>
      </c>
      <c r="B480" s="55" t="s">
        <v>190</v>
      </c>
      <c r="C480" s="55" t="str">
        <f>IF(دانش‌آموزان!E44="","",دانش‌آموزان!B44)</f>
        <v/>
      </c>
      <c r="D480" s="55" t="str">
        <f>IF(دانش‌آموزان!C44="","",دانش‌آموزان!C44)</f>
        <v/>
      </c>
      <c r="E480" s="55" t="str">
        <f>IF(دانش‌آموزان!E44="","",دانش‌آموزان!E44&amp;" "&amp;دانش‌آموزان!F44)</f>
        <v/>
      </c>
      <c r="F480" s="34" t="str">
        <f>IF(دانش‌آموزان!I44="","",دانش‌آموزان!I44)</f>
        <v/>
      </c>
      <c r="G480" s="19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1"/>
      <c r="CC480" s="27" t="str">
        <f t="shared" si="77"/>
        <v/>
      </c>
      <c r="CD480" s="38" t="str">
        <f t="shared" si="78"/>
        <v/>
      </c>
      <c r="CE480" s="38" t="str">
        <f t="shared" si="79"/>
        <v/>
      </c>
      <c r="CF480" s="38" t="str">
        <f t="shared" si="80"/>
        <v/>
      </c>
      <c r="CG480" s="38" t="str">
        <f t="shared" si="81"/>
        <v/>
      </c>
      <c r="CH480" s="38" t="str">
        <f t="shared" si="82"/>
        <v/>
      </c>
      <c r="CI480" s="38" t="str">
        <f t="shared" si="83"/>
        <v/>
      </c>
      <c r="CJ480" s="38" t="str">
        <f t="shared" si="84"/>
        <v/>
      </c>
      <c r="CK480" s="38" t="str">
        <f t="shared" si="85"/>
        <v/>
      </c>
      <c r="CL480" s="38" t="str">
        <f>IF(C480="","",IF(COUNT(G480:AZ480)&lt;46,"",SUMPRODUCT(CC480:CK480,'تنظیمات وزن‌دهی'!$C$5:$C$13)/100))</f>
        <v/>
      </c>
      <c r="CM480" s="38" t="str">
        <f t="shared" si="86"/>
        <v/>
      </c>
      <c r="CN480" s="38">
        <v>8</v>
      </c>
      <c r="CO480" s="28" t="str">
        <f t="shared" si="87"/>
        <v/>
      </c>
      <c r="CP480" s="58"/>
    </row>
    <row r="481" spans="1:94" ht="17.25" hidden="1">
      <c r="A481" s="33">
        <v>477</v>
      </c>
      <c r="B481" s="55" t="s">
        <v>191</v>
      </c>
      <c r="C481" s="55" t="str">
        <f>IF(دانش‌آموزان!E44="","",دانش‌آموزان!B44)</f>
        <v/>
      </c>
      <c r="D481" s="55" t="str">
        <f>IF(دانش‌آموزان!C44="","",دانش‌آموزان!C44)</f>
        <v/>
      </c>
      <c r="E481" s="55" t="str">
        <f>IF(دانش‌آموزان!E44="","",دانش‌آموزان!E44&amp;" "&amp;دانش‌آموزان!F44)</f>
        <v/>
      </c>
      <c r="F481" s="34" t="str">
        <f>IF(دانش‌آموزان!I44="","",دانش‌آموزان!I44)</f>
        <v/>
      </c>
      <c r="G481" s="19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1"/>
      <c r="CC481" s="27" t="str">
        <f t="shared" si="77"/>
        <v/>
      </c>
      <c r="CD481" s="38" t="str">
        <f t="shared" si="78"/>
        <v/>
      </c>
      <c r="CE481" s="38" t="str">
        <f t="shared" si="79"/>
        <v/>
      </c>
      <c r="CF481" s="38" t="str">
        <f t="shared" si="80"/>
        <v/>
      </c>
      <c r="CG481" s="38" t="str">
        <f t="shared" si="81"/>
        <v/>
      </c>
      <c r="CH481" s="38" t="str">
        <f t="shared" si="82"/>
        <v/>
      </c>
      <c r="CI481" s="38" t="str">
        <f t="shared" si="83"/>
        <v/>
      </c>
      <c r="CJ481" s="38" t="str">
        <f t="shared" si="84"/>
        <v/>
      </c>
      <c r="CK481" s="38" t="str">
        <f t="shared" si="85"/>
        <v/>
      </c>
      <c r="CL481" s="38" t="str">
        <f>IF(C481="","",IF(COUNT(G481:AZ481)&lt;46,"",SUMPRODUCT(CC481:CK481,'تنظیمات وزن‌دهی'!$C$5:$C$13)/100))</f>
        <v/>
      </c>
      <c r="CM481" s="38" t="str">
        <f t="shared" si="86"/>
        <v/>
      </c>
      <c r="CN481" s="38">
        <v>9</v>
      </c>
      <c r="CO481" s="28" t="str">
        <f t="shared" si="87"/>
        <v/>
      </c>
      <c r="CP481" s="58"/>
    </row>
    <row r="482" spans="1:94" ht="17.25" hidden="1">
      <c r="A482" s="33">
        <v>478</v>
      </c>
      <c r="B482" s="55" t="s">
        <v>192</v>
      </c>
      <c r="C482" s="55" t="str">
        <f>IF(دانش‌آموزان!E44="","",دانش‌آموزان!B44)</f>
        <v/>
      </c>
      <c r="D482" s="55" t="str">
        <f>IF(دانش‌آموزان!C44="","",دانش‌آموزان!C44)</f>
        <v/>
      </c>
      <c r="E482" s="55" t="str">
        <f>IF(دانش‌آموزان!E44="","",دانش‌آموزان!E44&amp;" "&amp;دانش‌آموزان!F44)</f>
        <v/>
      </c>
      <c r="F482" s="34" t="str">
        <f>IF(دانش‌آموزان!I44="","",دانش‌آموزان!I44)</f>
        <v/>
      </c>
      <c r="G482" s="19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1"/>
      <c r="CC482" s="27" t="str">
        <f t="shared" si="77"/>
        <v/>
      </c>
      <c r="CD482" s="38" t="str">
        <f t="shared" si="78"/>
        <v/>
      </c>
      <c r="CE482" s="38" t="str">
        <f t="shared" si="79"/>
        <v/>
      </c>
      <c r="CF482" s="38" t="str">
        <f t="shared" si="80"/>
        <v/>
      </c>
      <c r="CG482" s="38" t="str">
        <f t="shared" si="81"/>
        <v/>
      </c>
      <c r="CH482" s="38" t="str">
        <f t="shared" si="82"/>
        <v/>
      </c>
      <c r="CI482" s="38" t="str">
        <f t="shared" si="83"/>
        <v/>
      </c>
      <c r="CJ482" s="38" t="str">
        <f t="shared" si="84"/>
        <v/>
      </c>
      <c r="CK482" s="38" t="str">
        <f t="shared" si="85"/>
        <v/>
      </c>
      <c r="CL482" s="38" t="str">
        <f>IF(C482="","",IF(COUNT(G482:AZ482)&lt;46,"",SUMPRODUCT(CC482:CK482,'تنظیمات وزن‌دهی'!$C$5:$C$13)/100))</f>
        <v/>
      </c>
      <c r="CM482" s="38" t="str">
        <f t="shared" si="86"/>
        <v/>
      </c>
      <c r="CN482" s="38">
        <v>10</v>
      </c>
      <c r="CO482" s="28" t="str">
        <f t="shared" si="87"/>
        <v/>
      </c>
      <c r="CP482" s="58"/>
    </row>
    <row r="483" spans="1:94" ht="17.25" hidden="1">
      <c r="A483" s="33">
        <v>479</v>
      </c>
      <c r="B483" s="55" t="s">
        <v>193</v>
      </c>
      <c r="C483" s="55" t="str">
        <f>IF(دانش‌آموزان!E44="","",دانش‌آموزان!B44)</f>
        <v/>
      </c>
      <c r="D483" s="55" t="str">
        <f>IF(دانش‌آموزان!C44="","",دانش‌آموزان!C44)</f>
        <v/>
      </c>
      <c r="E483" s="55" t="str">
        <f>IF(دانش‌آموزان!E44="","",دانش‌آموزان!E44&amp;" "&amp;دانش‌آموزان!F44)</f>
        <v/>
      </c>
      <c r="F483" s="34" t="str">
        <f>IF(دانش‌آموزان!I44="","",دانش‌آموزان!I44)</f>
        <v/>
      </c>
      <c r="G483" s="19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1"/>
      <c r="CC483" s="27" t="str">
        <f t="shared" si="77"/>
        <v/>
      </c>
      <c r="CD483" s="38" t="str">
        <f t="shared" si="78"/>
        <v/>
      </c>
      <c r="CE483" s="38" t="str">
        <f t="shared" si="79"/>
        <v/>
      </c>
      <c r="CF483" s="38" t="str">
        <f t="shared" si="80"/>
        <v/>
      </c>
      <c r="CG483" s="38" t="str">
        <f t="shared" si="81"/>
        <v/>
      </c>
      <c r="CH483" s="38" t="str">
        <f t="shared" si="82"/>
        <v/>
      </c>
      <c r="CI483" s="38" t="str">
        <f t="shared" si="83"/>
        <v/>
      </c>
      <c r="CJ483" s="38" t="str">
        <f t="shared" si="84"/>
        <v/>
      </c>
      <c r="CK483" s="38" t="str">
        <f t="shared" si="85"/>
        <v/>
      </c>
      <c r="CL483" s="38" t="str">
        <f>IF(C483="","",IF(COUNT(G483:AZ483)&lt;46,"",SUMPRODUCT(CC483:CK483,'تنظیمات وزن‌دهی'!$C$5:$C$13)/100))</f>
        <v/>
      </c>
      <c r="CM483" s="38" t="str">
        <f t="shared" si="86"/>
        <v/>
      </c>
      <c r="CN483" s="38">
        <v>11</v>
      </c>
      <c r="CO483" s="28" t="str">
        <f t="shared" si="87"/>
        <v/>
      </c>
      <c r="CP483" s="58"/>
    </row>
    <row r="484" spans="1:94" ht="17.25" hidden="1">
      <c r="A484" s="33">
        <v>480</v>
      </c>
      <c r="B484" s="55" t="s">
        <v>194</v>
      </c>
      <c r="C484" s="55" t="str">
        <f>IF(دانش‌آموزان!E44="","",دانش‌آموزان!B44)</f>
        <v/>
      </c>
      <c r="D484" s="55" t="str">
        <f>IF(دانش‌آموزان!C44="","",دانش‌آموزان!C44)</f>
        <v/>
      </c>
      <c r="E484" s="55" t="str">
        <f>IF(دانش‌آموزان!E44="","",دانش‌آموزان!E44&amp;" "&amp;دانش‌آموزان!F44)</f>
        <v/>
      </c>
      <c r="F484" s="34" t="str">
        <f>IF(دانش‌آموزان!I44="","",دانش‌آموزان!I44)</f>
        <v/>
      </c>
      <c r="G484" s="19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1"/>
      <c r="CC484" s="27" t="str">
        <f t="shared" si="77"/>
        <v/>
      </c>
      <c r="CD484" s="38" t="str">
        <f t="shared" si="78"/>
        <v/>
      </c>
      <c r="CE484" s="38" t="str">
        <f t="shared" si="79"/>
        <v/>
      </c>
      <c r="CF484" s="38" t="str">
        <f t="shared" si="80"/>
        <v/>
      </c>
      <c r="CG484" s="38" t="str">
        <f t="shared" si="81"/>
        <v/>
      </c>
      <c r="CH484" s="38" t="str">
        <f t="shared" si="82"/>
        <v/>
      </c>
      <c r="CI484" s="38" t="str">
        <f t="shared" si="83"/>
        <v/>
      </c>
      <c r="CJ484" s="38" t="str">
        <f t="shared" si="84"/>
        <v/>
      </c>
      <c r="CK484" s="38" t="str">
        <f t="shared" si="85"/>
        <v/>
      </c>
      <c r="CL484" s="38" t="str">
        <f>IF(C484="","",IF(COUNT(G484:AZ484)&lt;46,"",SUMPRODUCT(CC484:CK484,'تنظیمات وزن‌دهی'!$C$5:$C$13)/100))</f>
        <v/>
      </c>
      <c r="CM484" s="38" t="str">
        <f t="shared" si="86"/>
        <v/>
      </c>
      <c r="CN484" s="38">
        <v>12</v>
      </c>
      <c r="CO484" s="28" t="str">
        <f t="shared" si="87"/>
        <v/>
      </c>
      <c r="CP484" s="58"/>
    </row>
    <row r="485" spans="1:94" ht="17.25" hidden="1">
      <c r="A485" s="33">
        <v>481</v>
      </c>
      <c r="B485" s="55" t="s">
        <v>183</v>
      </c>
      <c r="C485" s="55" t="str">
        <f>IF(دانش‌آموزان!E45="","",دانش‌آموزان!B45)</f>
        <v/>
      </c>
      <c r="D485" s="55" t="str">
        <f>IF(دانش‌آموزان!C45="","",دانش‌آموزان!C45)</f>
        <v/>
      </c>
      <c r="E485" s="55" t="str">
        <f>IF(دانش‌آموزان!E45="","",دانش‌آموزان!E45&amp;" "&amp;دانش‌آموزان!F45)</f>
        <v/>
      </c>
      <c r="F485" s="34" t="str">
        <f>IF(دانش‌آموزان!I45="","",دانش‌آموزان!I45)</f>
        <v/>
      </c>
      <c r="G485" s="19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1"/>
      <c r="CC485" s="27" t="str">
        <f t="shared" si="77"/>
        <v/>
      </c>
      <c r="CD485" s="38" t="str">
        <f t="shared" si="78"/>
        <v/>
      </c>
      <c r="CE485" s="38" t="str">
        <f t="shared" si="79"/>
        <v/>
      </c>
      <c r="CF485" s="38" t="str">
        <f t="shared" si="80"/>
        <v/>
      </c>
      <c r="CG485" s="38" t="str">
        <f t="shared" si="81"/>
        <v/>
      </c>
      <c r="CH485" s="38" t="str">
        <f t="shared" si="82"/>
        <v/>
      </c>
      <c r="CI485" s="38" t="str">
        <f t="shared" si="83"/>
        <v/>
      </c>
      <c r="CJ485" s="38" t="str">
        <f t="shared" si="84"/>
        <v/>
      </c>
      <c r="CK485" s="38" t="str">
        <f t="shared" si="85"/>
        <v/>
      </c>
      <c r="CL485" s="38" t="str">
        <f>IF(C485="","",IF(COUNT(G485:AZ485)&lt;46,"",SUMPRODUCT(CC485:CK485,'تنظیمات وزن‌دهی'!$C$5:$C$13)/100))</f>
        <v/>
      </c>
      <c r="CM485" s="38" t="str">
        <f t="shared" si="86"/>
        <v/>
      </c>
      <c r="CN485" s="38">
        <v>1</v>
      </c>
      <c r="CO485" s="28" t="str">
        <f t="shared" si="87"/>
        <v/>
      </c>
      <c r="CP485" s="58"/>
    </row>
    <row r="486" spans="1:94" ht="17.25" hidden="1">
      <c r="A486" s="33">
        <v>482</v>
      </c>
      <c r="B486" s="55" t="s">
        <v>184</v>
      </c>
      <c r="C486" s="55" t="str">
        <f>IF(دانش‌آموزان!E45="","",دانش‌آموزان!B45)</f>
        <v/>
      </c>
      <c r="D486" s="55" t="str">
        <f>IF(دانش‌آموزان!C45="","",دانش‌آموزان!C45)</f>
        <v/>
      </c>
      <c r="E486" s="55" t="str">
        <f>IF(دانش‌آموزان!E45="","",دانش‌آموزان!E45&amp;" "&amp;دانش‌آموزان!F45)</f>
        <v/>
      </c>
      <c r="F486" s="34" t="str">
        <f>IF(دانش‌آموزان!I45="","",دانش‌آموزان!I45)</f>
        <v/>
      </c>
      <c r="G486" s="19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1"/>
      <c r="CC486" s="27" t="str">
        <f t="shared" si="77"/>
        <v/>
      </c>
      <c r="CD486" s="38" t="str">
        <f t="shared" si="78"/>
        <v/>
      </c>
      <c r="CE486" s="38" t="str">
        <f t="shared" si="79"/>
        <v/>
      </c>
      <c r="CF486" s="38" t="str">
        <f t="shared" si="80"/>
        <v/>
      </c>
      <c r="CG486" s="38" t="str">
        <f t="shared" si="81"/>
        <v/>
      </c>
      <c r="CH486" s="38" t="str">
        <f t="shared" si="82"/>
        <v/>
      </c>
      <c r="CI486" s="38" t="str">
        <f t="shared" si="83"/>
        <v/>
      </c>
      <c r="CJ486" s="38" t="str">
        <f t="shared" si="84"/>
        <v/>
      </c>
      <c r="CK486" s="38" t="str">
        <f t="shared" si="85"/>
        <v/>
      </c>
      <c r="CL486" s="38" t="str">
        <f>IF(C486="","",IF(COUNT(G486:AZ486)&lt;46,"",SUMPRODUCT(CC486:CK486,'تنظیمات وزن‌دهی'!$C$5:$C$13)/100))</f>
        <v/>
      </c>
      <c r="CM486" s="38" t="str">
        <f t="shared" si="86"/>
        <v/>
      </c>
      <c r="CN486" s="38">
        <v>2</v>
      </c>
      <c r="CO486" s="28" t="str">
        <f t="shared" si="87"/>
        <v/>
      </c>
      <c r="CP486" s="58"/>
    </row>
    <row r="487" spans="1:94" ht="17.25">
      <c r="A487" s="33">
        <v>483</v>
      </c>
      <c r="B487" s="55" t="s">
        <v>185</v>
      </c>
      <c r="C487" s="55" t="str">
        <f>IF(دانش‌آموزان!E45="","",دانش‌آموزان!B45)</f>
        <v/>
      </c>
      <c r="D487" s="55" t="str">
        <f>IF(دانش‌آموزان!C45="","",دانش‌آموزان!C45)</f>
        <v/>
      </c>
      <c r="E487" s="55" t="str">
        <f>IF(دانش‌آموزان!E45="","",دانش‌آموزان!E45&amp;" "&amp;دانش‌آموزان!F45)</f>
        <v/>
      </c>
      <c r="F487" s="34" t="str">
        <f>IF(دانش‌آموزان!I45="","",دانش‌آموزان!I45)</f>
        <v/>
      </c>
      <c r="G487" s="19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  <c r="CA487" s="20"/>
      <c r="CB487" s="21"/>
      <c r="CC487" s="27" t="str">
        <f t="shared" si="77"/>
        <v/>
      </c>
      <c r="CD487" s="38" t="str">
        <f t="shared" si="78"/>
        <v/>
      </c>
      <c r="CE487" s="38" t="str">
        <f t="shared" si="79"/>
        <v/>
      </c>
      <c r="CF487" s="38" t="str">
        <f t="shared" si="80"/>
        <v/>
      </c>
      <c r="CG487" s="38" t="str">
        <f t="shared" si="81"/>
        <v/>
      </c>
      <c r="CH487" s="38" t="str">
        <f t="shared" si="82"/>
        <v/>
      </c>
      <c r="CI487" s="38" t="str">
        <f t="shared" si="83"/>
        <v/>
      </c>
      <c r="CJ487" s="38" t="str">
        <f t="shared" si="84"/>
        <v/>
      </c>
      <c r="CK487" s="38" t="str">
        <f t="shared" si="85"/>
        <v/>
      </c>
      <c r="CL487" s="38" t="str">
        <f>IF(C487="","",IF(COUNT(G487:AZ487)&lt;46,"",SUMPRODUCT(CC487:CK487,'تنظیمات وزن‌دهی'!$C$5:$C$13)/100))</f>
        <v/>
      </c>
      <c r="CM487" s="38" t="str">
        <f t="shared" si="86"/>
        <v/>
      </c>
      <c r="CN487" s="38">
        <v>3</v>
      </c>
      <c r="CO487" s="28" t="str">
        <f t="shared" si="87"/>
        <v/>
      </c>
      <c r="CP487" s="58"/>
    </row>
    <row r="488" spans="1:94" ht="17.25" hidden="1">
      <c r="A488" s="33">
        <v>484</v>
      </c>
      <c r="B488" s="55" t="s">
        <v>186</v>
      </c>
      <c r="C488" s="55" t="str">
        <f>IF(دانش‌آموزان!E45="","",دانش‌آموزان!B45)</f>
        <v/>
      </c>
      <c r="D488" s="55" t="str">
        <f>IF(دانش‌آموزان!C45="","",دانش‌آموزان!C45)</f>
        <v/>
      </c>
      <c r="E488" s="55" t="str">
        <f>IF(دانش‌آموزان!E45="","",دانش‌آموزان!E45&amp;" "&amp;دانش‌آموزان!F45)</f>
        <v/>
      </c>
      <c r="F488" s="34" t="str">
        <f>IF(دانش‌آموزان!I45="","",دانش‌آموزان!I45)</f>
        <v/>
      </c>
      <c r="G488" s="19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1"/>
      <c r="CC488" s="27" t="str">
        <f t="shared" si="77"/>
        <v/>
      </c>
      <c r="CD488" s="38" t="str">
        <f t="shared" si="78"/>
        <v/>
      </c>
      <c r="CE488" s="38" t="str">
        <f t="shared" si="79"/>
        <v/>
      </c>
      <c r="CF488" s="38" t="str">
        <f t="shared" si="80"/>
        <v/>
      </c>
      <c r="CG488" s="38" t="str">
        <f t="shared" si="81"/>
        <v/>
      </c>
      <c r="CH488" s="38" t="str">
        <f t="shared" si="82"/>
        <v/>
      </c>
      <c r="CI488" s="38" t="str">
        <f t="shared" si="83"/>
        <v/>
      </c>
      <c r="CJ488" s="38" t="str">
        <f t="shared" si="84"/>
        <v/>
      </c>
      <c r="CK488" s="38" t="str">
        <f t="shared" si="85"/>
        <v/>
      </c>
      <c r="CL488" s="38" t="str">
        <f>IF(C488="","",IF(COUNT(G488:AZ488)&lt;46,"",SUMPRODUCT(CC488:CK488,'تنظیمات وزن‌دهی'!$C$5:$C$13)/100))</f>
        <v/>
      </c>
      <c r="CM488" s="38" t="str">
        <f t="shared" si="86"/>
        <v/>
      </c>
      <c r="CN488" s="38">
        <v>4</v>
      </c>
      <c r="CO488" s="28" t="str">
        <f t="shared" si="87"/>
        <v/>
      </c>
      <c r="CP488" s="58"/>
    </row>
    <row r="489" spans="1:94" ht="17.25" hidden="1">
      <c r="A489" s="33">
        <v>485</v>
      </c>
      <c r="B489" s="55" t="s">
        <v>187</v>
      </c>
      <c r="C489" s="55" t="str">
        <f>IF(دانش‌آموزان!E45="","",دانش‌آموزان!B45)</f>
        <v/>
      </c>
      <c r="D489" s="55" t="str">
        <f>IF(دانش‌آموزان!C45="","",دانش‌آموزان!C45)</f>
        <v/>
      </c>
      <c r="E489" s="55" t="str">
        <f>IF(دانش‌آموزان!E45="","",دانش‌آموزان!E45&amp;" "&amp;دانش‌آموزان!F45)</f>
        <v/>
      </c>
      <c r="F489" s="34" t="str">
        <f>IF(دانش‌آموزان!I45="","",دانش‌آموزان!I45)</f>
        <v/>
      </c>
      <c r="G489" s="19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1"/>
      <c r="CC489" s="27" t="str">
        <f t="shared" si="77"/>
        <v/>
      </c>
      <c r="CD489" s="38" t="str">
        <f t="shared" si="78"/>
        <v/>
      </c>
      <c r="CE489" s="38" t="str">
        <f t="shared" si="79"/>
        <v/>
      </c>
      <c r="CF489" s="38" t="str">
        <f t="shared" si="80"/>
        <v/>
      </c>
      <c r="CG489" s="38" t="str">
        <f t="shared" si="81"/>
        <v/>
      </c>
      <c r="CH489" s="38" t="str">
        <f t="shared" si="82"/>
        <v/>
      </c>
      <c r="CI489" s="38" t="str">
        <f t="shared" si="83"/>
        <v/>
      </c>
      <c r="CJ489" s="38" t="str">
        <f t="shared" si="84"/>
        <v/>
      </c>
      <c r="CK489" s="38" t="str">
        <f t="shared" si="85"/>
        <v/>
      </c>
      <c r="CL489" s="38" t="str">
        <f>IF(C489="","",IF(COUNT(G489:AZ489)&lt;46,"",SUMPRODUCT(CC489:CK489,'تنظیمات وزن‌دهی'!$C$5:$C$13)/100))</f>
        <v/>
      </c>
      <c r="CM489" s="38" t="str">
        <f t="shared" si="86"/>
        <v/>
      </c>
      <c r="CN489" s="38">
        <v>5</v>
      </c>
      <c r="CO489" s="28" t="str">
        <f t="shared" si="87"/>
        <v/>
      </c>
      <c r="CP489" s="58"/>
    </row>
    <row r="490" spans="1:94" ht="17.25" hidden="1">
      <c r="A490" s="33">
        <v>486</v>
      </c>
      <c r="B490" s="55" t="s">
        <v>188</v>
      </c>
      <c r="C490" s="55" t="str">
        <f>IF(دانش‌آموزان!E45="","",دانش‌آموزان!B45)</f>
        <v/>
      </c>
      <c r="D490" s="55" t="str">
        <f>IF(دانش‌آموزان!C45="","",دانش‌آموزان!C45)</f>
        <v/>
      </c>
      <c r="E490" s="55" t="str">
        <f>IF(دانش‌آموزان!E45="","",دانش‌آموزان!E45&amp;" "&amp;دانش‌آموزان!F45)</f>
        <v/>
      </c>
      <c r="F490" s="34" t="str">
        <f>IF(دانش‌آموزان!I45="","",دانش‌آموزان!I45)</f>
        <v/>
      </c>
      <c r="G490" s="19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1"/>
      <c r="CC490" s="27" t="str">
        <f t="shared" si="77"/>
        <v/>
      </c>
      <c r="CD490" s="38" t="str">
        <f t="shared" si="78"/>
        <v/>
      </c>
      <c r="CE490" s="38" t="str">
        <f t="shared" si="79"/>
        <v/>
      </c>
      <c r="CF490" s="38" t="str">
        <f t="shared" si="80"/>
        <v/>
      </c>
      <c r="CG490" s="38" t="str">
        <f t="shared" si="81"/>
        <v/>
      </c>
      <c r="CH490" s="38" t="str">
        <f t="shared" si="82"/>
        <v/>
      </c>
      <c r="CI490" s="38" t="str">
        <f t="shared" si="83"/>
        <v/>
      </c>
      <c r="CJ490" s="38" t="str">
        <f t="shared" si="84"/>
        <v/>
      </c>
      <c r="CK490" s="38" t="str">
        <f t="shared" si="85"/>
        <v/>
      </c>
      <c r="CL490" s="38" t="str">
        <f>IF(C490="","",IF(COUNT(G490:AZ490)&lt;46,"",SUMPRODUCT(CC490:CK490,'تنظیمات وزن‌دهی'!$C$5:$C$13)/100))</f>
        <v/>
      </c>
      <c r="CM490" s="38" t="str">
        <f t="shared" si="86"/>
        <v/>
      </c>
      <c r="CN490" s="38">
        <v>6</v>
      </c>
      <c r="CO490" s="28" t="str">
        <f t="shared" si="87"/>
        <v/>
      </c>
      <c r="CP490" s="58"/>
    </row>
    <row r="491" spans="1:94" ht="17.25" hidden="1">
      <c r="A491" s="33">
        <v>487</v>
      </c>
      <c r="B491" s="55" t="s">
        <v>189</v>
      </c>
      <c r="C491" s="55" t="str">
        <f>IF(دانش‌آموزان!E45="","",دانش‌آموزان!B45)</f>
        <v/>
      </c>
      <c r="D491" s="55" t="str">
        <f>IF(دانش‌آموزان!C45="","",دانش‌آموزان!C45)</f>
        <v/>
      </c>
      <c r="E491" s="55" t="str">
        <f>IF(دانش‌آموزان!E45="","",دانش‌آموزان!E45&amp;" "&amp;دانش‌آموزان!F45)</f>
        <v/>
      </c>
      <c r="F491" s="34" t="str">
        <f>IF(دانش‌آموزان!I45="","",دانش‌آموزان!I45)</f>
        <v/>
      </c>
      <c r="G491" s="19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  <c r="CA491" s="20"/>
      <c r="CB491" s="21"/>
      <c r="CC491" s="27" t="str">
        <f t="shared" si="77"/>
        <v/>
      </c>
      <c r="CD491" s="38" t="str">
        <f t="shared" si="78"/>
        <v/>
      </c>
      <c r="CE491" s="38" t="str">
        <f t="shared" si="79"/>
        <v/>
      </c>
      <c r="CF491" s="38" t="str">
        <f t="shared" si="80"/>
        <v/>
      </c>
      <c r="CG491" s="38" t="str">
        <f t="shared" si="81"/>
        <v/>
      </c>
      <c r="CH491" s="38" t="str">
        <f t="shared" si="82"/>
        <v/>
      </c>
      <c r="CI491" s="38" t="str">
        <f t="shared" si="83"/>
        <v/>
      </c>
      <c r="CJ491" s="38" t="str">
        <f t="shared" si="84"/>
        <v/>
      </c>
      <c r="CK491" s="38" t="str">
        <f t="shared" si="85"/>
        <v/>
      </c>
      <c r="CL491" s="38" t="str">
        <f>IF(C491="","",IF(COUNT(G491:AZ491)&lt;46,"",SUMPRODUCT(CC491:CK491,'تنظیمات وزن‌دهی'!$C$5:$C$13)/100))</f>
        <v/>
      </c>
      <c r="CM491" s="38" t="str">
        <f t="shared" si="86"/>
        <v/>
      </c>
      <c r="CN491" s="38">
        <v>7</v>
      </c>
      <c r="CO491" s="28" t="str">
        <f t="shared" si="87"/>
        <v/>
      </c>
      <c r="CP491" s="58"/>
    </row>
    <row r="492" spans="1:94" ht="17.25" hidden="1">
      <c r="A492" s="33">
        <v>488</v>
      </c>
      <c r="B492" s="55" t="s">
        <v>190</v>
      </c>
      <c r="C492" s="55" t="str">
        <f>IF(دانش‌آموزان!E45="","",دانش‌آموزان!B45)</f>
        <v/>
      </c>
      <c r="D492" s="55" t="str">
        <f>IF(دانش‌آموزان!C45="","",دانش‌آموزان!C45)</f>
        <v/>
      </c>
      <c r="E492" s="55" t="str">
        <f>IF(دانش‌آموزان!E45="","",دانش‌آموزان!E45&amp;" "&amp;دانش‌آموزان!F45)</f>
        <v/>
      </c>
      <c r="F492" s="34" t="str">
        <f>IF(دانش‌آموزان!I45="","",دانش‌آموزان!I45)</f>
        <v/>
      </c>
      <c r="G492" s="19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1"/>
      <c r="CC492" s="27" t="str">
        <f t="shared" si="77"/>
        <v/>
      </c>
      <c r="CD492" s="38" t="str">
        <f t="shared" si="78"/>
        <v/>
      </c>
      <c r="CE492" s="38" t="str">
        <f t="shared" si="79"/>
        <v/>
      </c>
      <c r="CF492" s="38" t="str">
        <f t="shared" si="80"/>
        <v/>
      </c>
      <c r="CG492" s="38" t="str">
        <f t="shared" si="81"/>
        <v/>
      </c>
      <c r="CH492" s="38" t="str">
        <f t="shared" si="82"/>
        <v/>
      </c>
      <c r="CI492" s="38" t="str">
        <f t="shared" si="83"/>
        <v/>
      </c>
      <c r="CJ492" s="38" t="str">
        <f t="shared" si="84"/>
        <v/>
      </c>
      <c r="CK492" s="38" t="str">
        <f t="shared" si="85"/>
        <v/>
      </c>
      <c r="CL492" s="38" t="str">
        <f>IF(C492="","",IF(COUNT(G492:AZ492)&lt;46,"",SUMPRODUCT(CC492:CK492,'تنظیمات وزن‌دهی'!$C$5:$C$13)/100))</f>
        <v/>
      </c>
      <c r="CM492" s="38" t="str">
        <f t="shared" si="86"/>
        <v/>
      </c>
      <c r="CN492" s="38">
        <v>8</v>
      </c>
      <c r="CO492" s="28" t="str">
        <f t="shared" si="87"/>
        <v/>
      </c>
      <c r="CP492" s="58"/>
    </row>
    <row r="493" spans="1:94" ht="17.25" hidden="1">
      <c r="A493" s="33">
        <v>489</v>
      </c>
      <c r="B493" s="55" t="s">
        <v>191</v>
      </c>
      <c r="C493" s="55" t="str">
        <f>IF(دانش‌آموزان!E45="","",دانش‌آموزان!B45)</f>
        <v/>
      </c>
      <c r="D493" s="55" t="str">
        <f>IF(دانش‌آموزان!C45="","",دانش‌آموزان!C45)</f>
        <v/>
      </c>
      <c r="E493" s="55" t="str">
        <f>IF(دانش‌آموزان!E45="","",دانش‌آموزان!E45&amp;" "&amp;دانش‌آموزان!F45)</f>
        <v/>
      </c>
      <c r="F493" s="34" t="str">
        <f>IF(دانش‌آموزان!I45="","",دانش‌آموزان!I45)</f>
        <v/>
      </c>
      <c r="G493" s="19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  <c r="CA493" s="20"/>
      <c r="CB493" s="21"/>
      <c r="CC493" s="27" t="str">
        <f t="shared" si="77"/>
        <v/>
      </c>
      <c r="CD493" s="38" t="str">
        <f t="shared" si="78"/>
        <v/>
      </c>
      <c r="CE493" s="38" t="str">
        <f t="shared" si="79"/>
        <v/>
      </c>
      <c r="CF493" s="38" t="str">
        <f t="shared" si="80"/>
        <v/>
      </c>
      <c r="CG493" s="38" t="str">
        <f t="shared" si="81"/>
        <v/>
      </c>
      <c r="CH493" s="38" t="str">
        <f t="shared" si="82"/>
        <v/>
      </c>
      <c r="CI493" s="38" t="str">
        <f t="shared" si="83"/>
        <v/>
      </c>
      <c r="CJ493" s="38" t="str">
        <f t="shared" si="84"/>
        <v/>
      </c>
      <c r="CK493" s="38" t="str">
        <f t="shared" si="85"/>
        <v/>
      </c>
      <c r="CL493" s="38" t="str">
        <f>IF(C493="","",IF(COUNT(G493:AZ493)&lt;46,"",SUMPRODUCT(CC493:CK493,'تنظیمات وزن‌دهی'!$C$5:$C$13)/100))</f>
        <v/>
      </c>
      <c r="CM493" s="38" t="str">
        <f t="shared" si="86"/>
        <v/>
      </c>
      <c r="CN493" s="38">
        <v>9</v>
      </c>
      <c r="CO493" s="28" t="str">
        <f t="shared" si="87"/>
        <v/>
      </c>
      <c r="CP493" s="58"/>
    </row>
    <row r="494" spans="1:94" ht="17.25" hidden="1">
      <c r="A494" s="33">
        <v>490</v>
      </c>
      <c r="B494" s="55" t="s">
        <v>192</v>
      </c>
      <c r="C494" s="55" t="str">
        <f>IF(دانش‌آموزان!E45="","",دانش‌آموزان!B45)</f>
        <v/>
      </c>
      <c r="D494" s="55" t="str">
        <f>IF(دانش‌آموزان!C45="","",دانش‌آموزان!C45)</f>
        <v/>
      </c>
      <c r="E494" s="55" t="str">
        <f>IF(دانش‌آموزان!E45="","",دانش‌آموزان!E45&amp;" "&amp;دانش‌آموزان!F45)</f>
        <v/>
      </c>
      <c r="F494" s="34" t="str">
        <f>IF(دانش‌آموزان!I45="","",دانش‌آموزان!I45)</f>
        <v/>
      </c>
      <c r="G494" s="19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  <c r="CA494" s="20"/>
      <c r="CB494" s="21"/>
      <c r="CC494" s="27" t="str">
        <f t="shared" si="77"/>
        <v/>
      </c>
      <c r="CD494" s="38" t="str">
        <f t="shared" si="78"/>
        <v/>
      </c>
      <c r="CE494" s="38" t="str">
        <f t="shared" si="79"/>
        <v/>
      </c>
      <c r="CF494" s="38" t="str">
        <f t="shared" si="80"/>
        <v/>
      </c>
      <c r="CG494" s="38" t="str">
        <f t="shared" si="81"/>
        <v/>
      </c>
      <c r="CH494" s="38" t="str">
        <f t="shared" si="82"/>
        <v/>
      </c>
      <c r="CI494" s="38" t="str">
        <f t="shared" si="83"/>
        <v/>
      </c>
      <c r="CJ494" s="38" t="str">
        <f t="shared" si="84"/>
        <v/>
      </c>
      <c r="CK494" s="38" t="str">
        <f t="shared" si="85"/>
        <v/>
      </c>
      <c r="CL494" s="38" t="str">
        <f>IF(C494="","",IF(COUNT(G494:AZ494)&lt;46,"",SUMPRODUCT(CC494:CK494,'تنظیمات وزن‌دهی'!$C$5:$C$13)/100))</f>
        <v/>
      </c>
      <c r="CM494" s="38" t="str">
        <f t="shared" si="86"/>
        <v/>
      </c>
      <c r="CN494" s="38">
        <v>10</v>
      </c>
      <c r="CO494" s="28" t="str">
        <f t="shared" si="87"/>
        <v/>
      </c>
      <c r="CP494" s="58"/>
    </row>
    <row r="495" spans="1:94" ht="17.25" hidden="1">
      <c r="A495" s="33">
        <v>491</v>
      </c>
      <c r="B495" s="55" t="s">
        <v>193</v>
      </c>
      <c r="C495" s="55" t="str">
        <f>IF(دانش‌آموزان!E45="","",دانش‌آموزان!B45)</f>
        <v/>
      </c>
      <c r="D495" s="55" t="str">
        <f>IF(دانش‌آموزان!C45="","",دانش‌آموزان!C45)</f>
        <v/>
      </c>
      <c r="E495" s="55" t="str">
        <f>IF(دانش‌آموزان!E45="","",دانش‌آموزان!E45&amp;" "&amp;دانش‌آموزان!F45)</f>
        <v/>
      </c>
      <c r="F495" s="34" t="str">
        <f>IF(دانش‌آموزان!I45="","",دانش‌آموزان!I45)</f>
        <v/>
      </c>
      <c r="G495" s="19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1"/>
      <c r="CC495" s="27" t="str">
        <f t="shared" si="77"/>
        <v/>
      </c>
      <c r="CD495" s="38" t="str">
        <f t="shared" si="78"/>
        <v/>
      </c>
      <c r="CE495" s="38" t="str">
        <f t="shared" si="79"/>
        <v/>
      </c>
      <c r="CF495" s="38" t="str">
        <f t="shared" si="80"/>
        <v/>
      </c>
      <c r="CG495" s="38" t="str">
        <f t="shared" si="81"/>
        <v/>
      </c>
      <c r="CH495" s="38" t="str">
        <f t="shared" si="82"/>
        <v/>
      </c>
      <c r="CI495" s="38" t="str">
        <f t="shared" si="83"/>
        <v/>
      </c>
      <c r="CJ495" s="38" t="str">
        <f t="shared" si="84"/>
        <v/>
      </c>
      <c r="CK495" s="38" t="str">
        <f t="shared" si="85"/>
        <v/>
      </c>
      <c r="CL495" s="38" t="str">
        <f>IF(C495="","",IF(COUNT(G495:AZ495)&lt;46,"",SUMPRODUCT(CC495:CK495,'تنظیمات وزن‌دهی'!$C$5:$C$13)/100))</f>
        <v/>
      </c>
      <c r="CM495" s="38" t="str">
        <f t="shared" si="86"/>
        <v/>
      </c>
      <c r="CN495" s="38">
        <v>11</v>
      </c>
      <c r="CO495" s="28" t="str">
        <f t="shared" si="87"/>
        <v/>
      </c>
      <c r="CP495" s="58"/>
    </row>
    <row r="496" spans="1:94" ht="17.25" hidden="1">
      <c r="A496" s="33">
        <v>492</v>
      </c>
      <c r="B496" s="55" t="s">
        <v>194</v>
      </c>
      <c r="C496" s="55" t="str">
        <f>IF(دانش‌آموزان!E45="","",دانش‌آموزان!B45)</f>
        <v/>
      </c>
      <c r="D496" s="55" t="str">
        <f>IF(دانش‌آموزان!C45="","",دانش‌آموزان!C45)</f>
        <v/>
      </c>
      <c r="E496" s="55" t="str">
        <f>IF(دانش‌آموزان!E45="","",دانش‌آموزان!E45&amp;" "&amp;دانش‌آموزان!F45)</f>
        <v/>
      </c>
      <c r="F496" s="34" t="str">
        <f>IF(دانش‌آموزان!I45="","",دانش‌آموزان!I45)</f>
        <v/>
      </c>
      <c r="G496" s="19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  <c r="CA496" s="20"/>
      <c r="CB496" s="21"/>
      <c r="CC496" s="27" t="str">
        <f t="shared" si="77"/>
        <v/>
      </c>
      <c r="CD496" s="38" t="str">
        <f t="shared" si="78"/>
        <v/>
      </c>
      <c r="CE496" s="38" t="str">
        <f t="shared" si="79"/>
        <v/>
      </c>
      <c r="CF496" s="38" t="str">
        <f t="shared" si="80"/>
        <v/>
      </c>
      <c r="CG496" s="38" t="str">
        <f t="shared" si="81"/>
        <v/>
      </c>
      <c r="CH496" s="38" t="str">
        <f t="shared" si="82"/>
        <v/>
      </c>
      <c r="CI496" s="38" t="str">
        <f t="shared" si="83"/>
        <v/>
      </c>
      <c r="CJ496" s="38" t="str">
        <f t="shared" si="84"/>
        <v/>
      </c>
      <c r="CK496" s="38" t="str">
        <f t="shared" si="85"/>
        <v/>
      </c>
      <c r="CL496" s="38" t="str">
        <f>IF(C496="","",IF(COUNT(G496:AZ496)&lt;46,"",SUMPRODUCT(CC496:CK496,'تنظیمات وزن‌دهی'!$C$5:$C$13)/100))</f>
        <v/>
      </c>
      <c r="CM496" s="38" t="str">
        <f t="shared" si="86"/>
        <v/>
      </c>
      <c r="CN496" s="38">
        <v>12</v>
      </c>
      <c r="CO496" s="28" t="str">
        <f t="shared" si="87"/>
        <v/>
      </c>
      <c r="CP496" s="58"/>
    </row>
    <row r="497" spans="1:94" ht="17.25" hidden="1">
      <c r="A497" s="33">
        <v>493</v>
      </c>
      <c r="B497" s="55" t="s">
        <v>183</v>
      </c>
      <c r="C497" s="55" t="str">
        <f>IF(دانش‌آموزان!E46="","",دانش‌آموزان!B46)</f>
        <v/>
      </c>
      <c r="D497" s="55" t="str">
        <f>IF(دانش‌آموزان!C46="","",دانش‌آموزان!C46)</f>
        <v/>
      </c>
      <c r="E497" s="55" t="str">
        <f>IF(دانش‌آموزان!E46="","",دانش‌آموزان!E46&amp;" "&amp;دانش‌آموزان!F46)</f>
        <v/>
      </c>
      <c r="F497" s="34" t="str">
        <f>IF(دانش‌آموزان!I46="","",دانش‌آموزان!I46)</f>
        <v/>
      </c>
      <c r="G497" s="19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1"/>
      <c r="CC497" s="27" t="str">
        <f t="shared" si="77"/>
        <v/>
      </c>
      <c r="CD497" s="38" t="str">
        <f t="shared" si="78"/>
        <v/>
      </c>
      <c r="CE497" s="38" t="str">
        <f t="shared" si="79"/>
        <v/>
      </c>
      <c r="CF497" s="38" t="str">
        <f t="shared" si="80"/>
        <v/>
      </c>
      <c r="CG497" s="38" t="str">
        <f t="shared" si="81"/>
        <v/>
      </c>
      <c r="CH497" s="38" t="str">
        <f t="shared" si="82"/>
        <v/>
      </c>
      <c r="CI497" s="38" t="str">
        <f t="shared" si="83"/>
        <v/>
      </c>
      <c r="CJ497" s="38" t="str">
        <f t="shared" si="84"/>
        <v/>
      </c>
      <c r="CK497" s="38" t="str">
        <f t="shared" si="85"/>
        <v/>
      </c>
      <c r="CL497" s="38" t="str">
        <f>IF(C497="","",IF(COUNT(G497:AZ497)&lt;46,"",SUMPRODUCT(CC497:CK497,'تنظیمات وزن‌دهی'!$C$5:$C$13)/100))</f>
        <v/>
      </c>
      <c r="CM497" s="38" t="str">
        <f t="shared" si="86"/>
        <v/>
      </c>
      <c r="CN497" s="38">
        <v>1</v>
      </c>
      <c r="CO497" s="28" t="str">
        <f t="shared" si="87"/>
        <v/>
      </c>
      <c r="CP497" s="58"/>
    </row>
    <row r="498" spans="1:94" ht="17.25" hidden="1">
      <c r="A498" s="33">
        <v>494</v>
      </c>
      <c r="B498" s="55" t="s">
        <v>184</v>
      </c>
      <c r="C498" s="55" t="str">
        <f>IF(دانش‌آموزان!E46="","",دانش‌آموزان!B46)</f>
        <v/>
      </c>
      <c r="D498" s="55" t="str">
        <f>IF(دانش‌آموزان!C46="","",دانش‌آموزان!C46)</f>
        <v/>
      </c>
      <c r="E498" s="55" t="str">
        <f>IF(دانش‌آموزان!E46="","",دانش‌آموزان!E46&amp;" "&amp;دانش‌آموزان!F46)</f>
        <v/>
      </c>
      <c r="F498" s="34" t="str">
        <f>IF(دانش‌آموزان!I46="","",دانش‌آموزان!I46)</f>
        <v/>
      </c>
      <c r="G498" s="19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1"/>
      <c r="CC498" s="27" t="str">
        <f t="shared" si="77"/>
        <v/>
      </c>
      <c r="CD498" s="38" t="str">
        <f t="shared" si="78"/>
        <v/>
      </c>
      <c r="CE498" s="38" t="str">
        <f t="shared" si="79"/>
        <v/>
      </c>
      <c r="CF498" s="38" t="str">
        <f t="shared" si="80"/>
        <v/>
      </c>
      <c r="CG498" s="38" t="str">
        <f t="shared" si="81"/>
        <v/>
      </c>
      <c r="CH498" s="38" t="str">
        <f t="shared" si="82"/>
        <v/>
      </c>
      <c r="CI498" s="38" t="str">
        <f t="shared" si="83"/>
        <v/>
      </c>
      <c r="CJ498" s="38" t="str">
        <f t="shared" si="84"/>
        <v/>
      </c>
      <c r="CK498" s="38" t="str">
        <f t="shared" si="85"/>
        <v/>
      </c>
      <c r="CL498" s="38" t="str">
        <f>IF(C498="","",IF(COUNT(G498:AZ498)&lt;46,"",SUMPRODUCT(CC498:CK498,'تنظیمات وزن‌دهی'!$C$5:$C$13)/100))</f>
        <v/>
      </c>
      <c r="CM498" s="38" t="str">
        <f t="shared" si="86"/>
        <v/>
      </c>
      <c r="CN498" s="38">
        <v>2</v>
      </c>
      <c r="CO498" s="28" t="str">
        <f t="shared" si="87"/>
        <v/>
      </c>
      <c r="CP498" s="58"/>
    </row>
    <row r="499" spans="1:94" ht="17.25">
      <c r="A499" s="33">
        <v>495</v>
      </c>
      <c r="B499" s="55" t="s">
        <v>185</v>
      </c>
      <c r="C499" s="55" t="str">
        <f>IF(دانش‌آموزان!E46="","",دانش‌آموزان!B46)</f>
        <v/>
      </c>
      <c r="D499" s="55" t="str">
        <f>IF(دانش‌آموزان!C46="","",دانش‌آموزان!C46)</f>
        <v/>
      </c>
      <c r="E499" s="55" t="str">
        <f>IF(دانش‌آموزان!E46="","",دانش‌آموزان!E46&amp;" "&amp;دانش‌آموزان!F46)</f>
        <v/>
      </c>
      <c r="F499" s="34" t="str">
        <f>IF(دانش‌آموزان!I46="","",دانش‌آموزان!I46)</f>
        <v/>
      </c>
      <c r="G499" s="19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  <c r="BW499" s="20"/>
      <c r="BX499" s="20"/>
      <c r="BY499" s="20"/>
      <c r="BZ499" s="20"/>
      <c r="CA499" s="20"/>
      <c r="CB499" s="21"/>
      <c r="CC499" s="27" t="str">
        <f t="shared" si="77"/>
        <v/>
      </c>
      <c r="CD499" s="38" t="str">
        <f t="shared" si="78"/>
        <v/>
      </c>
      <c r="CE499" s="38" t="str">
        <f t="shared" si="79"/>
        <v/>
      </c>
      <c r="CF499" s="38" t="str">
        <f t="shared" si="80"/>
        <v/>
      </c>
      <c r="CG499" s="38" t="str">
        <f t="shared" si="81"/>
        <v/>
      </c>
      <c r="CH499" s="38" t="str">
        <f t="shared" si="82"/>
        <v/>
      </c>
      <c r="CI499" s="38" t="str">
        <f t="shared" si="83"/>
        <v/>
      </c>
      <c r="CJ499" s="38" t="str">
        <f t="shared" si="84"/>
        <v/>
      </c>
      <c r="CK499" s="38" t="str">
        <f t="shared" si="85"/>
        <v/>
      </c>
      <c r="CL499" s="38" t="str">
        <f>IF(C499="","",IF(COUNT(G499:AZ499)&lt;46,"",SUMPRODUCT(CC499:CK499,'تنظیمات وزن‌دهی'!$C$5:$C$13)/100))</f>
        <v/>
      </c>
      <c r="CM499" s="38" t="str">
        <f t="shared" si="86"/>
        <v/>
      </c>
      <c r="CN499" s="38">
        <v>3</v>
      </c>
      <c r="CO499" s="28" t="str">
        <f t="shared" si="87"/>
        <v/>
      </c>
      <c r="CP499" s="58"/>
    </row>
    <row r="500" spans="1:94" ht="17.25" hidden="1">
      <c r="A500" s="33">
        <v>496</v>
      </c>
      <c r="B500" s="55" t="s">
        <v>186</v>
      </c>
      <c r="C500" s="55" t="str">
        <f>IF(دانش‌آموزان!E46="","",دانش‌آموزان!B46)</f>
        <v/>
      </c>
      <c r="D500" s="55" t="str">
        <f>IF(دانش‌آموزان!C46="","",دانش‌آموزان!C46)</f>
        <v/>
      </c>
      <c r="E500" s="55" t="str">
        <f>IF(دانش‌آموزان!E46="","",دانش‌آموزان!E46&amp;" "&amp;دانش‌آموزان!F46)</f>
        <v/>
      </c>
      <c r="F500" s="34" t="str">
        <f>IF(دانش‌آموزان!I46="","",دانش‌آموزان!I46)</f>
        <v/>
      </c>
      <c r="G500" s="19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1"/>
      <c r="CC500" s="27" t="str">
        <f t="shared" si="77"/>
        <v/>
      </c>
      <c r="CD500" s="38" t="str">
        <f t="shared" si="78"/>
        <v/>
      </c>
      <c r="CE500" s="38" t="str">
        <f t="shared" si="79"/>
        <v/>
      </c>
      <c r="CF500" s="38" t="str">
        <f t="shared" si="80"/>
        <v/>
      </c>
      <c r="CG500" s="38" t="str">
        <f t="shared" si="81"/>
        <v/>
      </c>
      <c r="CH500" s="38" t="str">
        <f t="shared" si="82"/>
        <v/>
      </c>
      <c r="CI500" s="38" t="str">
        <f t="shared" si="83"/>
        <v/>
      </c>
      <c r="CJ500" s="38" t="str">
        <f t="shared" si="84"/>
        <v/>
      </c>
      <c r="CK500" s="38" t="str">
        <f t="shared" si="85"/>
        <v/>
      </c>
      <c r="CL500" s="38" t="str">
        <f>IF(C500="","",IF(COUNT(G500:AZ500)&lt;46,"",SUMPRODUCT(CC500:CK500,'تنظیمات وزن‌دهی'!$C$5:$C$13)/100))</f>
        <v/>
      </c>
      <c r="CM500" s="38" t="str">
        <f t="shared" si="86"/>
        <v/>
      </c>
      <c r="CN500" s="38">
        <v>4</v>
      </c>
      <c r="CO500" s="28" t="str">
        <f t="shared" si="87"/>
        <v/>
      </c>
      <c r="CP500" s="58"/>
    </row>
    <row r="501" spans="1:94" ht="17.25" hidden="1">
      <c r="A501" s="33">
        <v>497</v>
      </c>
      <c r="B501" s="55" t="s">
        <v>187</v>
      </c>
      <c r="C501" s="55" t="str">
        <f>IF(دانش‌آموزان!E46="","",دانش‌آموزان!B46)</f>
        <v/>
      </c>
      <c r="D501" s="55" t="str">
        <f>IF(دانش‌آموزان!C46="","",دانش‌آموزان!C46)</f>
        <v/>
      </c>
      <c r="E501" s="55" t="str">
        <f>IF(دانش‌آموزان!E46="","",دانش‌آموزان!E46&amp;" "&amp;دانش‌آموزان!F46)</f>
        <v/>
      </c>
      <c r="F501" s="34" t="str">
        <f>IF(دانش‌آموزان!I46="","",دانش‌آموزان!I46)</f>
        <v/>
      </c>
      <c r="G501" s="19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1"/>
      <c r="CC501" s="27" t="str">
        <f t="shared" si="77"/>
        <v/>
      </c>
      <c r="CD501" s="38" t="str">
        <f t="shared" si="78"/>
        <v/>
      </c>
      <c r="CE501" s="38" t="str">
        <f t="shared" si="79"/>
        <v/>
      </c>
      <c r="CF501" s="38" t="str">
        <f t="shared" si="80"/>
        <v/>
      </c>
      <c r="CG501" s="38" t="str">
        <f t="shared" si="81"/>
        <v/>
      </c>
      <c r="CH501" s="38" t="str">
        <f t="shared" si="82"/>
        <v/>
      </c>
      <c r="CI501" s="38" t="str">
        <f t="shared" si="83"/>
        <v/>
      </c>
      <c r="CJ501" s="38" t="str">
        <f t="shared" si="84"/>
        <v/>
      </c>
      <c r="CK501" s="38" t="str">
        <f t="shared" si="85"/>
        <v/>
      </c>
      <c r="CL501" s="38" t="str">
        <f>IF(C501="","",IF(COUNT(G501:AZ501)&lt;46,"",SUMPRODUCT(CC501:CK501,'تنظیمات وزن‌دهی'!$C$5:$C$13)/100))</f>
        <v/>
      </c>
      <c r="CM501" s="38" t="str">
        <f t="shared" si="86"/>
        <v/>
      </c>
      <c r="CN501" s="38">
        <v>5</v>
      </c>
      <c r="CO501" s="28" t="str">
        <f t="shared" si="87"/>
        <v/>
      </c>
      <c r="CP501" s="58"/>
    </row>
    <row r="502" spans="1:94" ht="17.25" hidden="1">
      <c r="A502" s="33">
        <v>498</v>
      </c>
      <c r="B502" s="55" t="s">
        <v>188</v>
      </c>
      <c r="C502" s="55" t="str">
        <f>IF(دانش‌آموزان!E46="","",دانش‌آموزان!B46)</f>
        <v/>
      </c>
      <c r="D502" s="55" t="str">
        <f>IF(دانش‌آموزان!C46="","",دانش‌آموزان!C46)</f>
        <v/>
      </c>
      <c r="E502" s="55" t="str">
        <f>IF(دانش‌آموزان!E46="","",دانش‌آموزان!E46&amp;" "&amp;دانش‌آموزان!F46)</f>
        <v/>
      </c>
      <c r="F502" s="34" t="str">
        <f>IF(دانش‌آموزان!I46="","",دانش‌آموزان!I46)</f>
        <v/>
      </c>
      <c r="G502" s="19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1"/>
      <c r="CC502" s="27" t="str">
        <f t="shared" si="77"/>
        <v/>
      </c>
      <c r="CD502" s="38" t="str">
        <f t="shared" si="78"/>
        <v/>
      </c>
      <c r="CE502" s="38" t="str">
        <f t="shared" si="79"/>
        <v/>
      </c>
      <c r="CF502" s="38" t="str">
        <f t="shared" si="80"/>
        <v/>
      </c>
      <c r="CG502" s="38" t="str">
        <f t="shared" si="81"/>
        <v/>
      </c>
      <c r="CH502" s="38" t="str">
        <f t="shared" si="82"/>
        <v/>
      </c>
      <c r="CI502" s="38" t="str">
        <f t="shared" si="83"/>
        <v/>
      </c>
      <c r="CJ502" s="38" t="str">
        <f t="shared" si="84"/>
        <v/>
      </c>
      <c r="CK502" s="38" t="str">
        <f t="shared" si="85"/>
        <v/>
      </c>
      <c r="CL502" s="38" t="str">
        <f>IF(C502="","",IF(COUNT(G502:AZ502)&lt;46,"",SUMPRODUCT(CC502:CK502,'تنظیمات وزن‌دهی'!$C$5:$C$13)/100))</f>
        <v/>
      </c>
      <c r="CM502" s="38" t="str">
        <f t="shared" si="86"/>
        <v/>
      </c>
      <c r="CN502" s="38">
        <v>6</v>
      </c>
      <c r="CO502" s="28" t="str">
        <f t="shared" si="87"/>
        <v/>
      </c>
      <c r="CP502" s="58"/>
    </row>
    <row r="503" spans="1:94" ht="17.25" hidden="1">
      <c r="A503" s="33">
        <v>499</v>
      </c>
      <c r="B503" s="55" t="s">
        <v>189</v>
      </c>
      <c r="C503" s="55" t="str">
        <f>IF(دانش‌آموزان!E46="","",دانش‌آموزان!B46)</f>
        <v/>
      </c>
      <c r="D503" s="55" t="str">
        <f>IF(دانش‌آموزان!C46="","",دانش‌آموزان!C46)</f>
        <v/>
      </c>
      <c r="E503" s="55" t="str">
        <f>IF(دانش‌آموزان!E46="","",دانش‌آموزان!E46&amp;" "&amp;دانش‌آموزان!F46)</f>
        <v/>
      </c>
      <c r="F503" s="34" t="str">
        <f>IF(دانش‌آموزان!I46="","",دانش‌آموزان!I46)</f>
        <v/>
      </c>
      <c r="G503" s="19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1"/>
      <c r="CC503" s="27" t="str">
        <f t="shared" si="77"/>
        <v/>
      </c>
      <c r="CD503" s="38" t="str">
        <f t="shared" si="78"/>
        <v/>
      </c>
      <c r="CE503" s="38" t="str">
        <f t="shared" si="79"/>
        <v/>
      </c>
      <c r="CF503" s="38" t="str">
        <f t="shared" si="80"/>
        <v/>
      </c>
      <c r="CG503" s="38" t="str">
        <f t="shared" si="81"/>
        <v/>
      </c>
      <c r="CH503" s="38" t="str">
        <f t="shared" si="82"/>
        <v/>
      </c>
      <c r="CI503" s="38" t="str">
        <f t="shared" si="83"/>
        <v/>
      </c>
      <c r="CJ503" s="38" t="str">
        <f t="shared" si="84"/>
        <v/>
      </c>
      <c r="CK503" s="38" t="str">
        <f t="shared" si="85"/>
        <v/>
      </c>
      <c r="CL503" s="38" t="str">
        <f>IF(C503="","",IF(COUNT(G503:AZ503)&lt;46,"",SUMPRODUCT(CC503:CK503,'تنظیمات وزن‌دهی'!$C$5:$C$13)/100))</f>
        <v/>
      </c>
      <c r="CM503" s="38" t="str">
        <f t="shared" si="86"/>
        <v/>
      </c>
      <c r="CN503" s="38">
        <v>7</v>
      </c>
      <c r="CO503" s="28" t="str">
        <f t="shared" si="87"/>
        <v/>
      </c>
      <c r="CP503" s="58"/>
    </row>
    <row r="504" spans="1:94" ht="17.25" hidden="1">
      <c r="A504" s="33">
        <v>500</v>
      </c>
      <c r="B504" s="55" t="s">
        <v>190</v>
      </c>
      <c r="C504" s="55" t="str">
        <f>IF(دانش‌آموزان!E46="","",دانش‌آموزان!B46)</f>
        <v/>
      </c>
      <c r="D504" s="55" t="str">
        <f>IF(دانش‌آموزان!C46="","",دانش‌آموزان!C46)</f>
        <v/>
      </c>
      <c r="E504" s="55" t="str">
        <f>IF(دانش‌آموزان!E46="","",دانش‌آموزان!E46&amp;" "&amp;دانش‌آموزان!F46)</f>
        <v/>
      </c>
      <c r="F504" s="34" t="str">
        <f>IF(دانش‌آموزان!I46="","",دانش‌آموزان!I46)</f>
        <v/>
      </c>
      <c r="G504" s="19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1"/>
      <c r="CC504" s="27" t="str">
        <f t="shared" si="77"/>
        <v/>
      </c>
      <c r="CD504" s="38" t="str">
        <f t="shared" si="78"/>
        <v/>
      </c>
      <c r="CE504" s="38" t="str">
        <f t="shared" si="79"/>
        <v/>
      </c>
      <c r="CF504" s="38" t="str">
        <f t="shared" si="80"/>
        <v/>
      </c>
      <c r="CG504" s="38" t="str">
        <f t="shared" si="81"/>
        <v/>
      </c>
      <c r="CH504" s="38" t="str">
        <f t="shared" si="82"/>
        <v/>
      </c>
      <c r="CI504" s="38" t="str">
        <f t="shared" si="83"/>
        <v/>
      </c>
      <c r="CJ504" s="38" t="str">
        <f t="shared" si="84"/>
        <v/>
      </c>
      <c r="CK504" s="38" t="str">
        <f t="shared" si="85"/>
        <v/>
      </c>
      <c r="CL504" s="38" t="str">
        <f>IF(C504="","",IF(COUNT(G504:AZ504)&lt;46,"",SUMPRODUCT(CC504:CK504,'تنظیمات وزن‌دهی'!$C$5:$C$13)/100))</f>
        <v/>
      </c>
      <c r="CM504" s="38" t="str">
        <f t="shared" si="86"/>
        <v/>
      </c>
      <c r="CN504" s="38">
        <v>8</v>
      </c>
      <c r="CO504" s="28" t="str">
        <f t="shared" si="87"/>
        <v/>
      </c>
      <c r="CP504" s="58"/>
    </row>
    <row r="505" spans="1:94" ht="17.25" hidden="1">
      <c r="A505" s="33">
        <v>501</v>
      </c>
      <c r="B505" s="55" t="s">
        <v>191</v>
      </c>
      <c r="C505" s="55" t="str">
        <f>IF(دانش‌آموزان!E46="","",دانش‌آموزان!B46)</f>
        <v/>
      </c>
      <c r="D505" s="55" t="str">
        <f>IF(دانش‌آموزان!C46="","",دانش‌آموزان!C46)</f>
        <v/>
      </c>
      <c r="E505" s="55" t="str">
        <f>IF(دانش‌آموزان!E46="","",دانش‌آموزان!E46&amp;" "&amp;دانش‌آموزان!F46)</f>
        <v/>
      </c>
      <c r="F505" s="34" t="str">
        <f>IF(دانش‌آموزان!I46="","",دانش‌آموزان!I46)</f>
        <v/>
      </c>
      <c r="G505" s="19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1"/>
      <c r="CC505" s="27" t="str">
        <f t="shared" si="77"/>
        <v/>
      </c>
      <c r="CD505" s="38" t="str">
        <f t="shared" si="78"/>
        <v/>
      </c>
      <c r="CE505" s="38" t="str">
        <f t="shared" si="79"/>
        <v/>
      </c>
      <c r="CF505" s="38" t="str">
        <f t="shared" si="80"/>
        <v/>
      </c>
      <c r="CG505" s="38" t="str">
        <f t="shared" si="81"/>
        <v/>
      </c>
      <c r="CH505" s="38" t="str">
        <f t="shared" si="82"/>
        <v/>
      </c>
      <c r="CI505" s="38" t="str">
        <f t="shared" si="83"/>
        <v/>
      </c>
      <c r="CJ505" s="38" t="str">
        <f t="shared" si="84"/>
        <v/>
      </c>
      <c r="CK505" s="38" t="str">
        <f t="shared" si="85"/>
        <v/>
      </c>
      <c r="CL505" s="38" t="str">
        <f>IF(C505="","",IF(COUNT(G505:AZ505)&lt;46,"",SUMPRODUCT(CC505:CK505,'تنظیمات وزن‌دهی'!$C$5:$C$13)/100))</f>
        <v/>
      </c>
      <c r="CM505" s="38" t="str">
        <f t="shared" si="86"/>
        <v/>
      </c>
      <c r="CN505" s="38">
        <v>9</v>
      </c>
      <c r="CO505" s="28" t="str">
        <f t="shared" si="87"/>
        <v/>
      </c>
      <c r="CP505" s="58"/>
    </row>
    <row r="506" spans="1:94" ht="17.25" hidden="1">
      <c r="A506" s="33">
        <v>502</v>
      </c>
      <c r="B506" s="55" t="s">
        <v>192</v>
      </c>
      <c r="C506" s="55" t="str">
        <f>IF(دانش‌آموزان!E46="","",دانش‌آموزان!B46)</f>
        <v/>
      </c>
      <c r="D506" s="55" t="str">
        <f>IF(دانش‌آموزان!C46="","",دانش‌آموزان!C46)</f>
        <v/>
      </c>
      <c r="E506" s="55" t="str">
        <f>IF(دانش‌آموزان!E46="","",دانش‌آموزان!E46&amp;" "&amp;دانش‌آموزان!F46)</f>
        <v/>
      </c>
      <c r="F506" s="34" t="str">
        <f>IF(دانش‌آموزان!I46="","",دانش‌آموزان!I46)</f>
        <v/>
      </c>
      <c r="G506" s="19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1"/>
      <c r="CC506" s="27" t="str">
        <f t="shared" si="77"/>
        <v/>
      </c>
      <c r="CD506" s="38" t="str">
        <f t="shared" si="78"/>
        <v/>
      </c>
      <c r="CE506" s="38" t="str">
        <f t="shared" si="79"/>
        <v/>
      </c>
      <c r="CF506" s="38" t="str">
        <f t="shared" si="80"/>
        <v/>
      </c>
      <c r="CG506" s="38" t="str">
        <f t="shared" si="81"/>
        <v/>
      </c>
      <c r="CH506" s="38" t="str">
        <f t="shared" si="82"/>
        <v/>
      </c>
      <c r="CI506" s="38" t="str">
        <f t="shared" si="83"/>
        <v/>
      </c>
      <c r="CJ506" s="38" t="str">
        <f t="shared" si="84"/>
        <v/>
      </c>
      <c r="CK506" s="38" t="str">
        <f t="shared" si="85"/>
        <v/>
      </c>
      <c r="CL506" s="38" t="str">
        <f>IF(C506="","",IF(COUNT(G506:AZ506)&lt;46,"",SUMPRODUCT(CC506:CK506,'تنظیمات وزن‌دهی'!$C$5:$C$13)/100))</f>
        <v/>
      </c>
      <c r="CM506" s="38" t="str">
        <f t="shared" si="86"/>
        <v/>
      </c>
      <c r="CN506" s="38">
        <v>10</v>
      </c>
      <c r="CO506" s="28" t="str">
        <f t="shared" si="87"/>
        <v/>
      </c>
      <c r="CP506" s="58"/>
    </row>
    <row r="507" spans="1:94" ht="17.25" hidden="1">
      <c r="A507" s="33">
        <v>503</v>
      </c>
      <c r="B507" s="55" t="s">
        <v>193</v>
      </c>
      <c r="C507" s="55" t="str">
        <f>IF(دانش‌آموزان!E46="","",دانش‌آموزان!B46)</f>
        <v/>
      </c>
      <c r="D507" s="55" t="str">
        <f>IF(دانش‌آموزان!C46="","",دانش‌آموزان!C46)</f>
        <v/>
      </c>
      <c r="E507" s="55" t="str">
        <f>IF(دانش‌آموزان!E46="","",دانش‌آموزان!E46&amp;" "&amp;دانش‌آموزان!F46)</f>
        <v/>
      </c>
      <c r="F507" s="34" t="str">
        <f>IF(دانش‌آموزان!I46="","",دانش‌آموزان!I46)</f>
        <v/>
      </c>
      <c r="G507" s="19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1"/>
      <c r="CC507" s="27" t="str">
        <f t="shared" si="77"/>
        <v/>
      </c>
      <c r="CD507" s="38" t="str">
        <f t="shared" si="78"/>
        <v/>
      </c>
      <c r="CE507" s="38" t="str">
        <f t="shared" si="79"/>
        <v/>
      </c>
      <c r="CF507" s="38" t="str">
        <f t="shared" si="80"/>
        <v/>
      </c>
      <c r="CG507" s="38" t="str">
        <f t="shared" si="81"/>
        <v/>
      </c>
      <c r="CH507" s="38" t="str">
        <f t="shared" si="82"/>
        <v/>
      </c>
      <c r="CI507" s="38" t="str">
        <f t="shared" si="83"/>
        <v/>
      </c>
      <c r="CJ507" s="38" t="str">
        <f t="shared" si="84"/>
        <v/>
      </c>
      <c r="CK507" s="38" t="str">
        <f t="shared" si="85"/>
        <v/>
      </c>
      <c r="CL507" s="38" t="str">
        <f>IF(C507="","",IF(COUNT(G507:AZ507)&lt;46,"",SUMPRODUCT(CC507:CK507,'تنظیمات وزن‌دهی'!$C$5:$C$13)/100))</f>
        <v/>
      </c>
      <c r="CM507" s="38" t="str">
        <f t="shared" si="86"/>
        <v/>
      </c>
      <c r="CN507" s="38">
        <v>11</v>
      </c>
      <c r="CO507" s="28" t="str">
        <f t="shared" si="87"/>
        <v/>
      </c>
      <c r="CP507" s="58"/>
    </row>
    <row r="508" spans="1:94" ht="17.25" hidden="1">
      <c r="A508" s="33">
        <v>504</v>
      </c>
      <c r="B508" s="55" t="s">
        <v>194</v>
      </c>
      <c r="C508" s="55" t="str">
        <f>IF(دانش‌آموزان!E46="","",دانش‌آموزان!B46)</f>
        <v/>
      </c>
      <c r="D508" s="55" t="str">
        <f>IF(دانش‌آموزان!C46="","",دانش‌آموزان!C46)</f>
        <v/>
      </c>
      <c r="E508" s="55" t="str">
        <f>IF(دانش‌آموزان!E46="","",دانش‌آموزان!E46&amp;" "&amp;دانش‌آموزان!F46)</f>
        <v/>
      </c>
      <c r="F508" s="34" t="str">
        <f>IF(دانش‌آموزان!I46="","",دانش‌آموزان!I46)</f>
        <v/>
      </c>
      <c r="G508" s="19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1"/>
      <c r="CC508" s="27" t="str">
        <f t="shared" si="77"/>
        <v/>
      </c>
      <c r="CD508" s="38" t="str">
        <f t="shared" si="78"/>
        <v/>
      </c>
      <c r="CE508" s="38" t="str">
        <f t="shared" si="79"/>
        <v/>
      </c>
      <c r="CF508" s="38" t="str">
        <f t="shared" si="80"/>
        <v/>
      </c>
      <c r="CG508" s="38" t="str">
        <f t="shared" si="81"/>
        <v/>
      </c>
      <c r="CH508" s="38" t="str">
        <f t="shared" si="82"/>
        <v/>
      </c>
      <c r="CI508" s="38" t="str">
        <f t="shared" si="83"/>
        <v/>
      </c>
      <c r="CJ508" s="38" t="str">
        <f t="shared" si="84"/>
        <v/>
      </c>
      <c r="CK508" s="38" t="str">
        <f t="shared" si="85"/>
        <v/>
      </c>
      <c r="CL508" s="38" t="str">
        <f>IF(C508="","",IF(COUNT(G508:AZ508)&lt;46,"",SUMPRODUCT(CC508:CK508,'تنظیمات وزن‌دهی'!$C$5:$C$13)/100))</f>
        <v/>
      </c>
      <c r="CM508" s="38" t="str">
        <f t="shared" si="86"/>
        <v/>
      </c>
      <c r="CN508" s="38">
        <v>12</v>
      </c>
      <c r="CO508" s="28" t="str">
        <f t="shared" si="87"/>
        <v/>
      </c>
      <c r="CP508" s="58"/>
    </row>
    <row r="509" spans="1:94" ht="17.25" hidden="1">
      <c r="A509" s="33">
        <v>505</v>
      </c>
      <c r="B509" s="55" t="s">
        <v>183</v>
      </c>
      <c r="C509" s="55" t="str">
        <f>IF(دانش‌آموزان!E47="","",دانش‌آموزان!B47)</f>
        <v/>
      </c>
      <c r="D509" s="55" t="str">
        <f>IF(دانش‌آموزان!C47="","",دانش‌آموزان!C47)</f>
        <v/>
      </c>
      <c r="E509" s="55" t="str">
        <f>IF(دانش‌آموزان!E47="","",دانش‌آموزان!E47&amp;" "&amp;دانش‌آموزان!F47)</f>
        <v/>
      </c>
      <c r="F509" s="34" t="str">
        <f>IF(دانش‌آموزان!I47="","",دانش‌آموزان!I47)</f>
        <v/>
      </c>
      <c r="G509" s="19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1"/>
      <c r="CC509" s="27" t="str">
        <f t="shared" si="77"/>
        <v/>
      </c>
      <c r="CD509" s="38" t="str">
        <f t="shared" si="78"/>
        <v/>
      </c>
      <c r="CE509" s="38" t="str">
        <f t="shared" si="79"/>
        <v/>
      </c>
      <c r="CF509" s="38" t="str">
        <f t="shared" si="80"/>
        <v/>
      </c>
      <c r="CG509" s="38" t="str">
        <f t="shared" si="81"/>
        <v/>
      </c>
      <c r="CH509" s="38" t="str">
        <f t="shared" si="82"/>
        <v/>
      </c>
      <c r="CI509" s="38" t="str">
        <f t="shared" si="83"/>
        <v/>
      </c>
      <c r="CJ509" s="38" t="str">
        <f t="shared" si="84"/>
        <v/>
      </c>
      <c r="CK509" s="38" t="str">
        <f t="shared" si="85"/>
        <v/>
      </c>
      <c r="CL509" s="38" t="str">
        <f>IF(C509="","",IF(COUNT(G509:AZ509)&lt;46,"",SUMPRODUCT(CC509:CK509,'تنظیمات وزن‌دهی'!$C$5:$C$13)/100))</f>
        <v/>
      </c>
      <c r="CM509" s="38" t="str">
        <f t="shared" si="86"/>
        <v/>
      </c>
      <c r="CN509" s="38">
        <v>1</v>
      </c>
      <c r="CO509" s="28" t="str">
        <f t="shared" si="87"/>
        <v/>
      </c>
      <c r="CP509" s="58"/>
    </row>
    <row r="510" spans="1:94" ht="17.25" hidden="1">
      <c r="A510" s="33">
        <v>506</v>
      </c>
      <c r="B510" s="55" t="s">
        <v>184</v>
      </c>
      <c r="C510" s="55" t="str">
        <f>IF(دانش‌آموزان!E47="","",دانش‌آموزان!B47)</f>
        <v/>
      </c>
      <c r="D510" s="55" t="str">
        <f>IF(دانش‌آموزان!C47="","",دانش‌آموزان!C47)</f>
        <v/>
      </c>
      <c r="E510" s="55" t="str">
        <f>IF(دانش‌آموزان!E47="","",دانش‌آموزان!E47&amp;" "&amp;دانش‌آموزان!F47)</f>
        <v/>
      </c>
      <c r="F510" s="34" t="str">
        <f>IF(دانش‌آموزان!I47="","",دانش‌آموزان!I47)</f>
        <v/>
      </c>
      <c r="G510" s="19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1"/>
      <c r="CC510" s="27" t="str">
        <f t="shared" si="77"/>
        <v/>
      </c>
      <c r="CD510" s="38" t="str">
        <f t="shared" si="78"/>
        <v/>
      </c>
      <c r="CE510" s="38" t="str">
        <f t="shared" si="79"/>
        <v/>
      </c>
      <c r="CF510" s="38" t="str">
        <f t="shared" si="80"/>
        <v/>
      </c>
      <c r="CG510" s="38" t="str">
        <f t="shared" si="81"/>
        <v/>
      </c>
      <c r="CH510" s="38" t="str">
        <f t="shared" si="82"/>
        <v/>
      </c>
      <c r="CI510" s="38" t="str">
        <f t="shared" si="83"/>
        <v/>
      </c>
      <c r="CJ510" s="38" t="str">
        <f t="shared" si="84"/>
        <v/>
      </c>
      <c r="CK510" s="38" t="str">
        <f t="shared" si="85"/>
        <v/>
      </c>
      <c r="CL510" s="38" t="str">
        <f>IF(C510="","",IF(COUNT(G510:AZ510)&lt;46,"",SUMPRODUCT(CC510:CK510,'تنظیمات وزن‌دهی'!$C$5:$C$13)/100))</f>
        <v/>
      </c>
      <c r="CM510" s="38" t="str">
        <f t="shared" si="86"/>
        <v/>
      </c>
      <c r="CN510" s="38">
        <v>2</v>
      </c>
      <c r="CO510" s="28" t="str">
        <f t="shared" si="87"/>
        <v/>
      </c>
      <c r="CP510" s="58"/>
    </row>
    <row r="511" spans="1:94" ht="17.25">
      <c r="A511" s="33">
        <v>507</v>
      </c>
      <c r="B511" s="55" t="s">
        <v>185</v>
      </c>
      <c r="C511" s="55" t="str">
        <f>IF(دانش‌آموزان!E47="","",دانش‌آموزان!B47)</f>
        <v/>
      </c>
      <c r="D511" s="55" t="str">
        <f>IF(دانش‌آموزان!C47="","",دانش‌آموزان!C47)</f>
        <v/>
      </c>
      <c r="E511" s="55" t="str">
        <f>IF(دانش‌آموزان!E47="","",دانش‌آموزان!E47&amp;" "&amp;دانش‌آموزان!F47)</f>
        <v/>
      </c>
      <c r="F511" s="34" t="str">
        <f>IF(دانش‌آموزان!I47="","",دانش‌آموزان!I47)</f>
        <v/>
      </c>
      <c r="G511" s="19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1"/>
      <c r="CC511" s="27" t="str">
        <f t="shared" si="77"/>
        <v/>
      </c>
      <c r="CD511" s="38" t="str">
        <f t="shared" si="78"/>
        <v/>
      </c>
      <c r="CE511" s="38" t="str">
        <f t="shared" si="79"/>
        <v/>
      </c>
      <c r="CF511" s="38" t="str">
        <f t="shared" si="80"/>
        <v/>
      </c>
      <c r="CG511" s="38" t="str">
        <f t="shared" si="81"/>
        <v/>
      </c>
      <c r="CH511" s="38" t="str">
        <f t="shared" si="82"/>
        <v/>
      </c>
      <c r="CI511" s="38" t="str">
        <f t="shared" si="83"/>
        <v/>
      </c>
      <c r="CJ511" s="38" t="str">
        <f t="shared" si="84"/>
        <v/>
      </c>
      <c r="CK511" s="38" t="str">
        <f t="shared" si="85"/>
        <v/>
      </c>
      <c r="CL511" s="38" t="str">
        <f>IF(C511="","",IF(COUNT(G511:AZ511)&lt;46,"",SUMPRODUCT(CC511:CK511,'تنظیمات وزن‌دهی'!$C$5:$C$13)/100))</f>
        <v/>
      </c>
      <c r="CM511" s="38" t="str">
        <f t="shared" si="86"/>
        <v/>
      </c>
      <c r="CN511" s="38">
        <v>3</v>
      </c>
      <c r="CO511" s="28" t="str">
        <f t="shared" si="87"/>
        <v/>
      </c>
      <c r="CP511" s="58"/>
    </row>
    <row r="512" spans="1:94" ht="17.25" hidden="1">
      <c r="A512" s="33">
        <v>508</v>
      </c>
      <c r="B512" s="55" t="s">
        <v>186</v>
      </c>
      <c r="C512" s="55" t="str">
        <f>IF(دانش‌آموزان!E47="","",دانش‌آموزان!B47)</f>
        <v/>
      </c>
      <c r="D512" s="55" t="str">
        <f>IF(دانش‌آموزان!C47="","",دانش‌آموزان!C47)</f>
        <v/>
      </c>
      <c r="E512" s="55" t="str">
        <f>IF(دانش‌آموزان!E47="","",دانش‌آموزان!E47&amp;" "&amp;دانش‌آموزان!F47)</f>
        <v/>
      </c>
      <c r="F512" s="34" t="str">
        <f>IF(دانش‌آموزان!I47="","",دانش‌آموزان!I47)</f>
        <v/>
      </c>
      <c r="G512" s="19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1"/>
      <c r="CC512" s="27" t="str">
        <f t="shared" si="77"/>
        <v/>
      </c>
      <c r="CD512" s="38" t="str">
        <f t="shared" si="78"/>
        <v/>
      </c>
      <c r="CE512" s="38" t="str">
        <f t="shared" si="79"/>
        <v/>
      </c>
      <c r="CF512" s="38" t="str">
        <f t="shared" si="80"/>
        <v/>
      </c>
      <c r="CG512" s="38" t="str">
        <f t="shared" si="81"/>
        <v/>
      </c>
      <c r="CH512" s="38" t="str">
        <f t="shared" si="82"/>
        <v/>
      </c>
      <c r="CI512" s="38" t="str">
        <f t="shared" si="83"/>
        <v/>
      </c>
      <c r="CJ512" s="38" t="str">
        <f t="shared" si="84"/>
        <v/>
      </c>
      <c r="CK512" s="38" t="str">
        <f t="shared" si="85"/>
        <v/>
      </c>
      <c r="CL512" s="38" t="str">
        <f>IF(C512="","",IF(COUNT(G512:AZ512)&lt;46,"",SUMPRODUCT(CC512:CK512,'تنظیمات وزن‌دهی'!$C$5:$C$13)/100))</f>
        <v/>
      </c>
      <c r="CM512" s="38" t="str">
        <f t="shared" si="86"/>
        <v/>
      </c>
      <c r="CN512" s="38">
        <v>4</v>
      </c>
      <c r="CO512" s="28" t="str">
        <f t="shared" si="87"/>
        <v/>
      </c>
      <c r="CP512" s="58"/>
    </row>
    <row r="513" spans="1:94" ht="17.25" hidden="1">
      <c r="A513" s="33">
        <v>509</v>
      </c>
      <c r="B513" s="55" t="s">
        <v>187</v>
      </c>
      <c r="C513" s="55" t="str">
        <f>IF(دانش‌آموزان!E47="","",دانش‌آموزان!B47)</f>
        <v/>
      </c>
      <c r="D513" s="55" t="str">
        <f>IF(دانش‌آموزان!C47="","",دانش‌آموزان!C47)</f>
        <v/>
      </c>
      <c r="E513" s="55" t="str">
        <f>IF(دانش‌آموزان!E47="","",دانش‌آموزان!E47&amp;" "&amp;دانش‌آموزان!F47)</f>
        <v/>
      </c>
      <c r="F513" s="34" t="str">
        <f>IF(دانش‌آموزان!I47="","",دانش‌آموزان!I47)</f>
        <v/>
      </c>
      <c r="G513" s="19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1"/>
      <c r="CC513" s="27" t="str">
        <f t="shared" si="77"/>
        <v/>
      </c>
      <c r="CD513" s="38" t="str">
        <f t="shared" si="78"/>
        <v/>
      </c>
      <c r="CE513" s="38" t="str">
        <f t="shared" si="79"/>
        <v/>
      </c>
      <c r="CF513" s="38" t="str">
        <f t="shared" si="80"/>
        <v/>
      </c>
      <c r="CG513" s="38" t="str">
        <f t="shared" si="81"/>
        <v/>
      </c>
      <c r="CH513" s="38" t="str">
        <f t="shared" si="82"/>
        <v/>
      </c>
      <c r="CI513" s="38" t="str">
        <f t="shared" si="83"/>
        <v/>
      </c>
      <c r="CJ513" s="38" t="str">
        <f t="shared" si="84"/>
        <v/>
      </c>
      <c r="CK513" s="38" t="str">
        <f t="shared" si="85"/>
        <v/>
      </c>
      <c r="CL513" s="38" t="str">
        <f>IF(C513="","",IF(COUNT(G513:AZ513)&lt;46,"",SUMPRODUCT(CC513:CK513,'تنظیمات وزن‌دهی'!$C$5:$C$13)/100))</f>
        <v/>
      </c>
      <c r="CM513" s="38" t="str">
        <f t="shared" si="86"/>
        <v/>
      </c>
      <c r="CN513" s="38">
        <v>5</v>
      </c>
      <c r="CO513" s="28" t="str">
        <f t="shared" si="87"/>
        <v/>
      </c>
      <c r="CP513" s="58"/>
    </row>
    <row r="514" spans="1:94" ht="17.25" hidden="1">
      <c r="A514" s="33">
        <v>510</v>
      </c>
      <c r="B514" s="55" t="s">
        <v>188</v>
      </c>
      <c r="C514" s="55" t="str">
        <f>IF(دانش‌آموزان!E47="","",دانش‌آموزان!B47)</f>
        <v/>
      </c>
      <c r="D514" s="55" t="str">
        <f>IF(دانش‌آموزان!C47="","",دانش‌آموزان!C47)</f>
        <v/>
      </c>
      <c r="E514" s="55" t="str">
        <f>IF(دانش‌آموزان!E47="","",دانش‌آموزان!E47&amp;" "&amp;دانش‌آموزان!F47)</f>
        <v/>
      </c>
      <c r="F514" s="34" t="str">
        <f>IF(دانش‌آموزان!I47="","",دانش‌آموزان!I47)</f>
        <v/>
      </c>
      <c r="G514" s="19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1"/>
      <c r="CC514" s="27" t="str">
        <f t="shared" si="77"/>
        <v/>
      </c>
      <c r="CD514" s="38" t="str">
        <f t="shared" si="78"/>
        <v/>
      </c>
      <c r="CE514" s="38" t="str">
        <f t="shared" si="79"/>
        <v/>
      </c>
      <c r="CF514" s="38" t="str">
        <f t="shared" si="80"/>
        <v/>
      </c>
      <c r="CG514" s="38" t="str">
        <f t="shared" si="81"/>
        <v/>
      </c>
      <c r="CH514" s="38" t="str">
        <f t="shared" si="82"/>
        <v/>
      </c>
      <c r="CI514" s="38" t="str">
        <f t="shared" si="83"/>
        <v/>
      </c>
      <c r="CJ514" s="38" t="str">
        <f t="shared" si="84"/>
        <v/>
      </c>
      <c r="CK514" s="38" t="str">
        <f t="shared" si="85"/>
        <v/>
      </c>
      <c r="CL514" s="38" t="str">
        <f>IF(C514="","",IF(COUNT(G514:AZ514)&lt;46,"",SUMPRODUCT(CC514:CK514,'تنظیمات وزن‌دهی'!$C$5:$C$13)/100))</f>
        <v/>
      </c>
      <c r="CM514" s="38" t="str">
        <f t="shared" si="86"/>
        <v/>
      </c>
      <c r="CN514" s="38">
        <v>6</v>
      </c>
      <c r="CO514" s="28" t="str">
        <f t="shared" si="87"/>
        <v/>
      </c>
      <c r="CP514" s="58"/>
    </row>
    <row r="515" spans="1:94" ht="17.25" hidden="1">
      <c r="A515" s="33">
        <v>511</v>
      </c>
      <c r="B515" s="55" t="s">
        <v>189</v>
      </c>
      <c r="C515" s="55" t="str">
        <f>IF(دانش‌آموزان!E47="","",دانش‌آموزان!B47)</f>
        <v/>
      </c>
      <c r="D515" s="55" t="str">
        <f>IF(دانش‌آموزان!C47="","",دانش‌آموزان!C47)</f>
        <v/>
      </c>
      <c r="E515" s="55" t="str">
        <f>IF(دانش‌آموزان!E47="","",دانش‌آموزان!E47&amp;" "&amp;دانش‌آموزان!F47)</f>
        <v/>
      </c>
      <c r="F515" s="34" t="str">
        <f>IF(دانش‌آموزان!I47="","",دانش‌آموزان!I47)</f>
        <v/>
      </c>
      <c r="G515" s="19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1"/>
      <c r="CC515" s="27" t="str">
        <f t="shared" si="77"/>
        <v/>
      </c>
      <c r="CD515" s="38" t="str">
        <f t="shared" si="78"/>
        <v/>
      </c>
      <c r="CE515" s="38" t="str">
        <f t="shared" si="79"/>
        <v/>
      </c>
      <c r="CF515" s="38" t="str">
        <f t="shared" si="80"/>
        <v/>
      </c>
      <c r="CG515" s="38" t="str">
        <f t="shared" si="81"/>
        <v/>
      </c>
      <c r="CH515" s="38" t="str">
        <f t="shared" si="82"/>
        <v/>
      </c>
      <c r="CI515" s="38" t="str">
        <f t="shared" si="83"/>
        <v/>
      </c>
      <c r="CJ515" s="38" t="str">
        <f t="shared" si="84"/>
        <v/>
      </c>
      <c r="CK515" s="38" t="str">
        <f t="shared" si="85"/>
        <v/>
      </c>
      <c r="CL515" s="38" t="str">
        <f>IF(C515="","",IF(COUNT(G515:AZ515)&lt;46,"",SUMPRODUCT(CC515:CK515,'تنظیمات وزن‌دهی'!$C$5:$C$13)/100))</f>
        <v/>
      </c>
      <c r="CM515" s="38" t="str">
        <f t="shared" si="86"/>
        <v/>
      </c>
      <c r="CN515" s="38">
        <v>7</v>
      </c>
      <c r="CO515" s="28" t="str">
        <f t="shared" si="87"/>
        <v/>
      </c>
      <c r="CP515" s="58"/>
    </row>
    <row r="516" spans="1:94" ht="17.25" hidden="1">
      <c r="A516" s="33">
        <v>512</v>
      </c>
      <c r="B516" s="55" t="s">
        <v>190</v>
      </c>
      <c r="C516" s="55" t="str">
        <f>IF(دانش‌آموزان!E47="","",دانش‌آموزان!B47)</f>
        <v/>
      </c>
      <c r="D516" s="55" t="str">
        <f>IF(دانش‌آموزان!C47="","",دانش‌آموزان!C47)</f>
        <v/>
      </c>
      <c r="E516" s="55" t="str">
        <f>IF(دانش‌آموزان!E47="","",دانش‌آموزان!E47&amp;" "&amp;دانش‌آموزان!F47)</f>
        <v/>
      </c>
      <c r="F516" s="34" t="str">
        <f>IF(دانش‌آموزان!I47="","",دانش‌آموزان!I47)</f>
        <v/>
      </c>
      <c r="G516" s="19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1"/>
      <c r="CC516" s="27" t="str">
        <f t="shared" si="77"/>
        <v/>
      </c>
      <c r="CD516" s="38" t="str">
        <f t="shared" si="78"/>
        <v/>
      </c>
      <c r="CE516" s="38" t="str">
        <f t="shared" si="79"/>
        <v/>
      </c>
      <c r="CF516" s="38" t="str">
        <f t="shared" si="80"/>
        <v/>
      </c>
      <c r="CG516" s="38" t="str">
        <f t="shared" si="81"/>
        <v/>
      </c>
      <c r="CH516" s="38" t="str">
        <f t="shared" si="82"/>
        <v/>
      </c>
      <c r="CI516" s="38" t="str">
        <f t="shared" si="83"/>
        <v/>
      </c>
      <c r="CJ516" s="38" t="str">
        <f t="shared" si="84"/>
        <v/>
      </c>
      <c r="CK516" s="38" t="str">
        <f t="shared" si="85"/>
        <v/>
      </c>
      <c r="CL516" s="38" t="str">
        <f>IF(C516="","",IF(COUNT(G516:AZ516)&lt;46,"",SUMPRODUCT(CC516:CK516,'تنظیمات وزن‌دهی'!$C$5:$C$13)/100))</f>
        <v/>
      </c>
      <c r="CM516" s="38" t="str">
        <f t="shared" si="86"/>
        <v/>
      </c>
      <c r="CN516" s="38">
        <v>8</v>
      </c>
      <c r="CO516" s="28" t="str">
        <f t="shared" si="87"/>
        <v/>
      </c>
      <c r="CP516" s="58"/>
    </row>
    <row r="517" spans="1:94" ht="17.25" hidden="1">
      <c r="A517" s="33">
        <v>513</v>
      </c>
      <c r="B517" s="55" t="s">
        <v>191</v>
      </c>
      <c r="C517" s="55" t="str">
        <f>IF(دانش‌آموزان!E47="","",دانش‌آموزان!B47)</f>
        <v/>
      </c>
      <c r="D517" s="55" t="str">
        <f>IF(دانش‌آموزان!C47="","",دانش‌آموزان!C47)</f>
        <v/>
      </c>
      <c r="E517" s="55" t="str">
        <f>IF(دانش‌آموزان!E47="","",دانش‌آموزان!E47&amp;" "&amp;دانش‌آموزان!F47)</f>
        <v/>
      </c>
      <c r="F517" s="34" t="str">
        <f>IF(دانش‌آموزان!I47="","",دانش‌آموزان!I47)</f>
        <v/>
      </c>
      <c r="G517" s="19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1"/>
      <c r="CC517" s="27" t="str">
        <f t="shared" ref="CC517:CC580" si="88">IF(COUNT(G517:N517)=0,"",AVERAGE(G517:N517)*4)</f>
        <v/>
      </c>
      <c r="CD517" s="38" t="str">
        <f t="shared" ref="CD517:CD580" si="89">IF(COUNT(O517:S517)=0,"",AVERAGE(O517:S517)*4)</f>
        <v/>
      </c>
      <c r="CE517" s="38" t="str">
        <f t="shared" ref="CE517:CE580" si="90">IF(COUNT(T517:U517)=0,"",AVERAGE(T517:U517)*4)</f>
        <v/>
      </c>
      <c r="CF517" s="38" t="str">
        <f t="shared" ref="CF517:CF580" si="91">IF(COUNT(V517:Z517)=0,"",AVERAGE(V517:Z517)*4)</f>
        <v/>
      </c>
      <c r="CG517" s="38" t="str">
        <f t="shared" ref="CG517:CG580" si="92">IF(COUNT(AA517:AC517)=0,"",AVERAGE(AA517:AC517)*4)</f>
        <v/>
      </c>
      <c r="CH517" s="38" t="str">
        <f t="shared" ref="CH517:CH580" si="93">IF(COUNT(AD517:AI517)=0,"",AVERAGE(AD517:AI517)*4)</f>
        <v/>
      </c>
      <c r="CI517" s="38" t="str">
        <f t="shared" ref="CI517:CI580" si="94">IF(COUNT(AJ517:AP517)=0,"",AVERAGE(AJ517:AP517)*4)</f>
        <v/>
      </c>
      <c r="CJ517" s="38" t="str">
        <f t="shared" ref="CJ517:CJ580" si="95">IF(COUNT(AQ517:AW517)=0,"",AVERAGE(AQ517:AW517)*4)</f>
        <v/>
      </c>
      <c r="CK517" s="38" t="str">
        <f t="shared" ref="CK517:CK580" si="96">IF(COUNT(AX517:AZ517)=0,"",AVERAGE(AX517:AZ517)*4)</f>
        <v/>
      </c>
      <c r="CL517" s="38" t="str">
        <f>IF(C517="","",IF(COUNT(G517:AZ517)&lt;46,"",SUMPRODUCT(CC517:CK517,'تنظیمات وزن‌دهی'!$C$5:$C$13)/100))</f>
        <v/>
      </c>
      <c r="CM517" s="38" t="str">
        <f t="shared" ref="CM517:CM580" si="97">IF(C517="","",IF(COUNT(G517:AZ517)=0,"",IF(COUNT(G517:AZ517)&lt;46,"موقت - اطلاعات ناقص",IF(CL517&gt;=17,"عالی",IF(CL517&gt;=14,"خوب",IF(CL517&gt;=10,"متوسط","ضعیف"))))))</f>
        <v/>
      </c>
      <c r="CN517" s="38">
        <v>9</v>
      </c>
      <c r="CO517" s="28" t="str">
        <f t="shared" ref="CO517:CO580" si="98">IF(C517="","",COUNT(G517:AZ517)/46)</f>
        <v/>
      </c>
      <c r="CP517" s="58"/>
    </row>
    <row r="518" spans="1:94" ht="17.25" hidden="1">
      <c r="A518" s="33">
        <v>514</v>
      </c>
      <c r="B518" s="55" t="s">
        <v>192</v>
      </c>
      <c r="C518" s="55" t="str">
        <f>IF(دانش‌آموزان!E47="","",دانش‌آموزان!B47)</f>
        <v/>
      </c>
      <c r="D518" s="55" t="str">
        <f>IF(دانش‌آموزان!C47="","",دانش‌آموزان!C47)</f>
        <v/>
      </c>
      <c r="E518" s="55" t="str">
        <f>IF(دانش‌آموزان!E47="","",دانش‌آموزان!E47&amp;" "&amp;دانش‌آموزان!F47)</f>
        <v/>
      </c>
      <c r="F518" s="34" t="str">
        <f>IF(دانش‌آموزان!I47="","",دانش‌آموزان!I47)</f>
        <v/>
      </c>
      <c r="G518" s="19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1"/>
      <c r="CC518" s="27" t="str">
        <f t="shared" si="88"/>
        <v/>
      </c>
      <c r="CD518" s="38" t="str">
        <f t="shared" si="89"/>
        <v/>
      </c>
      <c r="CE518" s="38" t="str">
        <f t="shared" si="90"/>
        <v/>
      </c>
      <c r="CF518" s="38" t="str">
        <f t="shared" si="91"/>
        <v/>
      </c>
      <c r="CG518" s="38" t="str">
        <f t="shared" si="92"/>
        <v/>
      </c>
      <c r="CH518" s="38" t="str">
        <f t="shared" si="93"/>
        <v/>
      </c>
      <c r="CI518" s="38" t="str">
        <f t="shared" si="94"/>
        <v/>
      </c>
      <c r="CJ518" s="38" t="str">
        <f t="shared" si="95"/>
        <v/>
      </c>
      <c r="CK518" s="38" t="str">
        <f t="shared" si="96"/>
        <v/>
      </c>
      <c r="CL518" s="38" t="str">
        <f>IF(C518="","",IF(COUNT(G518:AZ518)&lt;46,"",SUMPRODUCT(CC518:CK518,'تنظیمات وزن‌دهی'!$C$5:$C$13)/100))</f>
        <v/>
      </c>
      <c r="CM518" s="38" t="str">
        <f t="shared" si="97"/>
        <v/>
      </c>
      <c r="CN518" s="38">
        <v>10</v>
      </c>
      <c r="CO518" s="28" t="str">
        <f t="shared" si="98"/>
        <v/>
      </c>
      <c r="CP518" s="58"/>
    </row>
    <row r="519" spans="1:94" ht="17.25" hidden="1">
      <c r="A519" s="33">
        <v>515</v>
      </c>
      <c r="B519" s="55" t="s">
        <v>193</v>
      </c>
      <c r="C519" s="55" t="str">
        <f>IF(دانش‌آموزان!E47="","",دانش‌آموزان!B47)</f>
        <v/>
      </c>
      <c r="D519" s="55" t="str">
        <f>IF(دانش‌آموزان!C47="","",دانش‌آموزان!C47)</f>
        <v/>
      </c>
      <c r="E519" s="55" t="str">
        <f>IF(دانش‌آموزان!E47="","",دانش‌آموزان!E47&amp;" "&amp;دانش‌آموزان!F47)</f>
        <v/>
      </c>
      <c r="F519" s="34" t="str">
        <f>IF(دانش‌آموزان!I47="","",دانش‌آموزان!I47)</f>
        <v/>
      </c>
      <c r="G519" s="19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1"/>
      <c r="CC519" s="27" t="str">
        <f t="shared" si="88"/>
        <v/>
      </c>
      <c r="CD519" s="38" t="str">
        <f t="shared" si="89"/>
        <v/>
      </c>
      <c r="CE519" s="38" t="str">
        <f t="shared" si="90"/>
        <v/>
      </c>
      <c r="CF519" s="38" t="str">
        <f t="shared" si="91"/>
        <v/>
      </c>
      <c r="CG519" s="38" t="str">
        <f t="shared" si="92"/>
        <v/>
      </c>
      <c r="CH519" s="38" t="str">
        <f t="shared" si="93"/>
        <v/>
      </c>
      <c r="CI519" s="38" t="str">
        <f t="shared" si="94"/>
        <v/>
      </c>
      <c r="CJ519" s="38" t="str">
        <f t="shared" si="95"/>
        <v/>
      </c>
      <c r="CK519" s="38" t="str">
        <f t="shared" si="96"/>
        <v/>
      </c>
      <c r="CL519" s="38" t="str">
        <f>IF(C519="","",IF(COUNT(G519:AZ519)&lt;46,"",SUMPRODUCT(CC519:CK519,'تنظیمات وزن‌دهی'!$C$5:$C$13)/100))</f>
        <v/>
      </c>
      <c r="CM519" s="38" t="str">
        <f t="shared" si="97"/>
        <v/>
      </c>
      <c r="CN519" s="38">
        <v>11</v>
      </c>
      <c r="CO519" s="28" t="str">
        <f t="shared" si="98"/>
        <v/>
      </c>
      <c r="CP519" s="58"/>
    </row>
    <row r="520" spans="1:94" ht="17.25" hidden="1">
      <c r="A520" s="33">
        <v>516</v>
      </c>
      <c r="B520" s="55" t="s">
        <v>194</v>
      </c>
      <c r="C520" s="55" t="str">
        <f>IF(دانش‌آموزان!E47="","",دانش‌آموزان!B47)</f>
        <v/>
      </c>
      <c r="D520" s="55" t="str">
        <f>IF(دانش‌آموزان!C47="","",دانش‌آموزان!C47)</f>
        <v/>
      </c>
      <c r="E520" s="55" t="str">
        <f>IF(دانش‌آموزان!E47="","",دانش‌آموزان!E47&amp;" "&amp;دانش‌آموزان!F47)</f>
        <v/>
      </c>
      <c r="F520" s="34" t="str">
        <f>IF(دانش‌آموزان!I47="","",دانش‌آموزان!I47)</f>
        <v/>
      </c>
      <c r="G520" s="19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1"/>
      <c r="CC520" s="27" t="str">
        <f t="shared" si="88"/>
        <v/>
      </c>
      <c r="CD520" s="38" t="str">
        <f t="shared" si="89"/>
        <v/>
      </c>
      <c r="CE520" s="38" t="str">
        <f t="shared" si="90"/>
        <v/>
      </c>
      <c r="CF520" s="38" t="str">
        <f t="shared" si="91"/>
        <v/>
      </c>
      <c r="CG520" s="38" t="str">
        <f t="shared" si="92"/>
        <v/>
      </c>
      <c r="CH520" s="38" t="str">
        <f t="shared" si="93"/>
        <v/>
      </c>
      <c r="CI520" s="38" t="str">
        <f t="shared" si="94"/>
        <v/>
      </c>
      <c r="CJ520" s="38" t="str">
        <f t="shared" si="95"/>
        <v/>
      </c>
      <c r="CK520" s="38" t="str">
        <f t="shared" si="96"/>
        <v/>
      </c>
      <c r="CL520" s="38" t="str">
        <f>IF(C520="","",IF(COUNT(G520:AZ520)&lt;46,"",SUMPRODUCT(CC520:CK520,'تنظیمات وزن‌دهی'!$C$5:$C$13)/100))</f>
        <v/>
      </c>
      <c r="CM520" s="38" t="str">
        <f t="shared" si="97"/>
        <v/>
      </c>
      <c r="CN520" s="38">
        <v>12</v>
      </c>
      <c r="CO520" s="28" t="str">
        <f t="shared" si="98"/>
        <v/>
      </c>
      <c r="CP520" s="58"/>
    </row>
    <row r="521" spans="1:94" ht="17.25" hidden="1">
      <c r="A521" s="33">
        <v>517</v>
      </c>
      <c r="B521" s="55" t="s">
        <v>183</v>
      </c>
      <c r="C521" s="55" t="str">
        <f>IF(دانش‌آموزان!E48="","",دانش‌آموزان!B48)</f>
        <v/>
      </c>
      <c r="D521" s="55" t="str">
        <f>IF(دانش‌آموزان!C48="","",دانش‌آموزان!C48)</f>
        <v/>
      </c>
      <c r="E521" s="55" t="str">
        <f>IF(دانش‌آموزان!E48="","",دانش‌آموزان!E48&amp;" "&amp;دانش‌آموزان!F48)</f>
        <v/>
      </c>
      <c r="F521" s="34" t="str">
        <f>IF(دانش‌آموزان!I48="","",دانش‌آموزان!I48)</f>
        <v/>
      </c>
      <c r="G521" s="19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1"/>
      <c r="CC521" s="27" t="str">
        <f t="shared" si="88"/>
        <v/>
      </c>
      <c r="CD521" s="38" t="str">
        <f t="shared" si="89"/>
        <v/>
      </c>
      <c r="CE521" s="38" t="str">
        <f t="shared" si="90"/>
        <v/>
      </c>
      <c r="CF521" s="38" t="str">
        <f t="shared" si="91"/>
        <v/>
      </c>
      <c r="CG521" s="38" t="str">
        <f t="shared" si="92"/>
        <v/>
      </c>
      <c r="CH521" s="38" t="str">
        <f t="shared" si="93"/>
        <v/>
      </c>
      <c r="CI521" s="38" t="str">
        <f t="shared" si="94"/>
        <v/>
      </c>
      <c r="CJ521" s="38" t="str">
        <f t="shared" si="95"/>
        <v/>
      </c>
      <c r="CK521" s="38" t="str">
        <f t="shared" si="96"/>
        <v/>
      </c>
      <c r="CL521" s="38" t="str">
        <f>IF(C521="","",IF(COUNT(G521:AZ521)&lt;46,"",SUMPRODUCT(CC521:CK521,'تنظیمات وزن‌دهی'!$C$5:$C$13)/100))</f>
        <v/>
      </c>
      <c r="CM521" s="38" t="str">
        <f t="shared" si="97"/>
        <v/>
      </c>
      <c r="CN521" s="38">
        <v>1</v>
      </c>
      <c r="CO521" s="28" t="str">
        <f t="shared" si="98"/>
        <v/>
      </c>
      <c r="CP521" s="58"/>
    </row>
    <row r="522" spans="1:94" ht="17.25" hidden="1">
      <c r="A522" s="33">
        <v>518</v>
      </c>
      <c r="B522" s="55" t="s">
        <v>184</v>
      </c>
      <c r="C522" s="55" t="str">
        <f>IF(دانش‌آموزان!E48="","",دانش‌آموزان!B48)</f>
        <v/>
      </c>
      <c r="D522" s="55" t="str">
        <f>IF(دانش‌آموزان!C48="","",دانش‌آموزان!C48)</f>
        <v/>
      </c>
      <c r="E522" s="55" t="str">
        <f>IF(دانش‌آموزان!E48="","",دانش‌آموزان!E48&amp;" "&amp;دانش‌آموزان!F48)</f>
        <v/>
      </c>
      <c r="F522" s="34" t="str">
        <f>IF(دانش‌آموزان!I48="","",دانش‌آموزان!I48)</f>
        <v/>
      </c>
      <c r="G522" s="19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1"/>
      <c r="CC522" s="27" t="str">
        <f t="shared" si="88"/>
        <v/>
      </c>
      <c r="CD522" s="38" t="str">
        <f t="shared" si="89"/>
        <v/>
      </c>
      <c r="CE522" s="38" t="str">
        <f t="shared" si="90"/>
        <v/>
      </c>
      <c r="CF522" s="38" t="str">
        <f t="shared" si="91"/>
        <v/>
      </c>
      <c r="CG522" s="38" t="str">
        <f t="shared" si="92"/>
        <v/>
      </c>
      <c r="CH522" s="38" t="str">
        <f t="shared" si="93"/>
        <v/>
      </c>
      <c r="CI522" s="38" t="str">
        <f t="shared" si="94"/>
        <v/>
      </c>
      <c r="CJ522" s="38" t="str">
        <f t="shared" si="95"/>
        <v/>
      </c>
      <c r="CK522" s="38" t="str">
        <f t="shared" si="96"/>
        <v/>
      </c>
      <c r="CL522" s="38" t="str">
        <f>IF(C522="","",IF(COUNT(G522:AZ522)&lt;46,"",SUMPRODUCT(CC522:CK522,'تنظیمات وزن‌دهی'!$C$5:$C$13)/100))</f>
        <v/>
      </c>
      <c r="CM522" s="38" t="str">
        <f t="shared" si="97"/>
        <v/>
      </c>
      <c r="CN522" s="38">
        <v>2</v>
      </c>
      <c r="CO522" s="28" t="str">
        <f t="shared" si="98"/>
        <v/>
      </c>
      <c r="CP522" s="58"/>
    </row>
    <row r="523" spans="1:94" ht="17.25">
      <c r="A523" s="33">
        <v>519</v>
      </c>
      <c r="B523" s="55" t="s">
        <v>185</v>
      </c>
      <c r="C523" s="55" t="str">
        <f>IF(دانش‌آموزان!E48="","",دانش‌آموزان!B48)</f>
        <v/>
      </c>
      <c r="D523" s="55" t="str">
        <f>IF(دانش‌آموزان!C48="","",دانش‌آموزان!C48)</f>
        <v/>
      </c>
      <c r="E523" s="55" t="str">
        <f>IF(دانش‌آموزان!E48="","",دانش‌آموزان!E48&amp;" "&amp;دانش‌آموزان!F48)</f>
        <v/>
      </c>
      <c r="F523" s="34" t="str">
        <f>IF(دانش‌آموزان!I48="","",دانش‌آموزان!I48)</f>
        <v/>
      </c>
      <c r="G523" s="19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1"/>
      <c r="CC523" s="27" t="str">
        <f t="shared" si="88"/>
        <v/>
      </c>
      <c r="CD523" s="38" t="str">
        <f t="shared" si="89"/>
        <v/>
      </c>
      <c r="CE523" s="38" t="str">
        <f t="shared" si="90"/>
        <v/>
      </c>
      <c r="CF523" s="38" t="str">
        <f t="shared" si="91"/>
        <v/>
      </c>
      <c r="CG523" s="38" t="str">
        <f t="shared" si="92"/>
        <v/>
      </c>
      <c r="CH523" s="38" t="str">
        <f t="shared" si="93"/>
        <v/>
      </c>
      <c r="CI523" s="38" t="str">
        <f t="shared" si="94"/>
        <v/>
      </c>
      <c r="CJ523" s="38" t="str">
        <f t="shared" si="95"/>
        <v/>
      </c>
      <c r="CK523" s="38" t="str">
        <f t="shared" si="96"/>
        <v/>
      </c>
      <c r="CL523" s="38" t="str">
        <f>IF(C523="","",IF(COUNT(G523:AZ523)&lt;46,"",SUMPRODUCT(CC523:CK523,'تنظیمات وزن‌دهی'!$C$5:$C$13)/100))</f>
        <v/>
      </c>
      <c r="CM523" s="38" t="str">
        <f t="shared" si="97"/>
        <v/>
      </c>
      <c r="CN523" s="38">
        <v>3</v>
      </c>
      <c r="CO523" s="28" t="str">
        <f t="shared" si="98"/>
        <v/>
      </c>
      <c r="CP523" s="58"/>
    </row>
    <row r="524" spans="1:94" ht="17.25" hidden="1">
      <c r="A524" s="33">
        <v>520</v>
      </c>
      <c r="B524" s="55" t="s">
        <v>186</v>
      </c>
      <c r="C524" s="55" t="str">
        <f>IF(دانش‌آموزان!E48="","",دانش‌آموزان!B48)</f>
        <v/>
      </c>
      <c r="D524" s="55" t="str">
        <f>IF(دانش‌آموزان!C48="","",دانش‌آموزان!C48)</f>
        <v/>
      </c>
      <c r="E524" s="55" t="str">
        <f>IF(دانش‌آموزان!E48="","",دانش‌آموزان!E48&amp;" "&amp;دانش‌آموزان!F48)</f>
        <v/>
      </c>
      <c r="F524" s="34" t="str">
        <f>IF(دانش‌آموزان!I48="","",دانش‌آموزان!I48)</f>
        <v/>
      </c>
      <c r="G524" s="19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1"/>
      <c r="CC524" s="27" t="str">
        <f t="shared" si="88"/>
        <v/>
      </c>
      <c r="CD524" s="38" t="str">
        <f t="shared" si="89"/>
        <v/>
      </c>
      <c r="CE524" s="38" t="str">
        <f t="shared" si="90"/>
        <v/>
      </c>
      <c r="CF524" s="38" t="str">
        <f t="shared" si="91"/>
        <v/>
      </c>
      <c r="CG524" s="38" t="str">
        <f t="shared" si="92"/>
        <v/>
      </c>
      <c r="CH524" s="38" t="str">
        <f t="shared" si="93"/>
        <v/>
      </c>
      <c r="CI524" s="38" t="str">
        <f t="shared" si="94"/>
        <v/>
      </c>
      <c r="CJ524" s="38" t="str">
        <f t="shared" si="95"/>
        <v/>
      </c>
      <c r="CK524" s="38" t="str">
        <f t="shared" si="96"/>
        <v/>
      </c>
      <c r="CL524" s="38" t="str">
        <f>IF(C524="","",IF(COUNT(G524:AZ524)&lt;46,"",SUMPRODUCT(CC524:CK524,'تنظیمات وزن‌دهی'!$C$5:$C$13)/100))</f>
        <v/>
      </c>
      <c r="CM524" s="38" t="str">
        <f t="shared" si="97"/>
        <v/>
      </c>
      <c r="CN524" s="38">
        <v>4</v>
      </c>
      <c r="CO524" s="28" t="str">
        <f t="shared" si="98"/>
        <v/>
      </c>
      <c r="CP524" s="58"/>
    </row>
    <row r="525" spans="1:94" ht="17.25" hidden="1">
      <c r="A525" s="33">
        <v>521</v>
      </c>
      <c r="B525" s="55" t="s">
        <v>187</v>
      </c>
      <c r="C525" s="55" t="str">
        <f>IF(دانش‌آموزان!E48="","",دانش‌آموزان!B48)</f>
        <v/>
      </c>
      <c r="D525" s="55" t="str">
        <f>IF(دانش‌آموزان!C48="","",دانش‌آموزان!C48)</f>
        <v/>
      </c>
      <c r="E525" s="55" t="str">
        <f>IF(دانش‌آموزان!E48="","",دانش‌آموزان!E48&amp;" "&amp;دانش‌آموزان!F48)</f>
        <v/>
      </c>
      <c r="F525" s="34" t="str">
        <f>IF(دانش‌آموزان!I48="","",دانش‌آموزان!I48)</f>
        <v/>
      </c>
      <c r="G525" s="19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1"/>
      <c r="CC525" s="27" t="str">
        <f t="shared" si="88"/>
        <v/>
      </c>
      <c r="CD525" s="38" t="str">
        <f t="shared" si="89"/>
        <v/>
      </c>
      <c r="CE525" s="38" t="str">
        <f t="shared" si="90"/>
        <v/>
      </c>
      <c r="CF525" s="38" t="str">
        <f t="shared" si="91"/>
        <v/>
      </c>
      <c r="CG525" s="38" t="str">
        <f t="shared" si="92"/>
        <v/>
      </c>
      <c r="CH525" s="38" t="str">
        <f t="shared" si="93"/>
        <v/>
      </c>
      <c r="CI525" s="38" t="str">
        <f t="shared" si="94"/>
        <v/>
      </c>
      <c r="CJ525" s="38" t="str">
        <f t="shared" si="95"/>
        <v/>
      </c>
      <c r="CK525" s="38" t="str">
        <f t="shared" si="96"/>
        <v/>
      </c>
      <c r="CL525" s="38" t="str">
        <f>IF(C525="","",IF(COUNT(G525:AZ525)&lt;46,"",SUMPRODUCT(CC525:CK525,'تنظیمات وزن‌دهی'!$C$5:$C$13)/100))</f>
        <v/>
      </c>
      <c r="CM525" s="38" t="str">
        <f t="shared" si="97"/>
        <v/>
      </c>
      <c r="CN525" s="38">
        <v>5</v>
      </c>
      <c r="CO525" s="28" t="str">
        <f t="shared" si="98"/>
        <v/>
      </c>
      <c r="CP525" s="58"/>
    </row>
    <row r="526" spans="1:94" ht="17.25" hidden="1">
      <c r="A526" s="33">
        <v>522</v>
      </c>
      <c r="B526" s="55" t="s">
        <v>188</v>
      </c>
      <c r="C526" s="55" t="str">
        <f>IF(دانش‌آموزان!E48="","",دانش‌آموزان!B48)</f>
        <v/>
      </c>
      <c r="D526" s="55" t="str">
        <f>IF(دانش‌آموزان!C48="","",دانش‌آموزان!C48)</f>
        <v/>
      </c>
      <c r="E526" s="55" t="str">
        <f>IF(دانش‌آموزان!E48="","",دانش‌آموزان!E48&amp;" "&amp;دانش‌آموزان!F48)</f>
        <v/>
      </c>
      <c r="F526" s="34" t="str">
        <f>IF(دانش‌آموزان!I48="","",دانش‌آموزان!I48)</f>
        <v/>
      </c>
      <c r="G526" s="19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1"/>
      <c r="CC526" s="27" t="str">
        <f t="shared" si="88"/>
        <v/>
      </c>
      <c r="CD526" s="38" t="str">
        <f t="shared" si="89"/>
        <v/>
      </c>
      <c r="CE526" s="38" t="str">
        <f t="shared" si="90"/>
        <v/>
      </c>
      <c r="CF526" s="38" t="str">
        <f t="shared" si="91"/>
        <v/>
      </c>
      <c r="CG526" s="38" t="str">
        <f t="shared" si="92"/>
        <v/>
      </c>
      <c r="CH526" s="38" t="str">
        <f t="shared" si="93"/>
        <v/>
      </c>
      <c r="CI526" s="38" t="str">
        <f t="shared" si="94"/>
        <v/>
      </c>
      <c r="CJ526" s="38" t="str">
        <f t="shared" si="95"/>
        <v/>
      </c>
      <c r="CK526" s="38" t="str">
        <f t="shared" si="96"/>
        <v/>
      </c>
      <c r="CL526" s="38" t="str">
        <f>IF(C526="","",IF(COUNT(G526:AZ526)&lt;46,"",SUMPRODUCT(CC526:CK526,'تنظیمات وزن‌دهی'!$C$5:$C$13)/100))</f>
        <v/>
      </c>
      <c r="CM526" s="38" t="str">
        <f t="shared" si="97"/>
        <v/>
      </c>
      <c r="CN526" s="38">
        <v>6</v>
      </c>
      <c r="CO526" s="28" t="str">
        <f t="shared" si="98"/>
        <v/>
      </c>
      <c r="CP526" s="58"/>
    </row>
    <row r="527" spans="1:94" ht="17.25" hidden="1">
      <c r="A527" s="33">
        <v>523</v>
      </c>
      <c r="B527" s="55" t="s">
        <v>189</v>
      </c>
      <c r="C527" s="55" t="str">
        <f>IF(دانش‌آموزان!E48="","",دانش‌آموزان!B48)</f>
        <v/>
      </c>
      <c r="D527" s="55" t="str">
        <f>IF(دانش‌آموزان!C48="","",دانش‌آموزان!C48)</f>
        <v/>
      </c>
      <c r="E527" s="55" t="str">
        <f>IF(دانش‌آموزان!E48="","",دانش‌آموزان!E48&amp;" "&amp;دانش‌آموزان!F48)</f>
        <v/>
      </c>
      <c r="F527" s="34" t="str">
        <f>IF(دانش‌آموزان!I48="","",دانش‌آموزان!I48)</f>
        <v/>
      </c>
      <c r="G527" s="19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1"/>
      <c r="CC527" s="27" t="str">
        <f t="shared" si="88"/>
        <v/>
      </c>
      <c r="CD527" s="38" t="str">
        <f t="shared" si="89"/>
        <v/>
      </c>
      <c r="CE527" s="38" t="str">
        <f t="shared" si="90"/>
        <v/>
      </c>
      <c r="CF527" s="38" t="str">
        <f t="shared" si="91"/>
        <v/>
      </c>
      <c r="CG527" s="38" t="str">
        <f t="shared" si="92"/>
        <v/>
      </c>
      <c r="CH527" s="38" t="str">
        <f t="shared" si="93"/>
        <v/>
      </c>
      <c r="CI527" s="38" t="str">
        <f t="shared" si="94"/>
        <v/>
      </c>
      <c r="CJ527" s="38" t="str">
        <f t="shared" si="95"/>
        <v/>
      </c>
      <c r="CK527" s="38" t="str">
        <f t="shared" si="96"/>
        <v/>
      </c>
      <c r="CL527" s="38" t="str">
        <f>IF(C527="","",IF(COUNT(G527:AZ527)&lt;46,"",SUMPRODUCT(CC527:CK527,'تنظیمات وزن‌دهی'!$C$5:$C$13)/100))</f>
        <v/>
      </c>
      <c r="CM527" s="38" t="str">
        <f t="shared" si="97"/>
        <v/>
      </c>
      <c r="CN527" s="38">
        <v>7</v>
      </c>
      <c r="CO527" s="28" t="str">
        <f t="shared" si="98"/>
        <v/>
      </c>
      <c r="CP527" s="58"/>
    </row>
    <row r="528" spans="1:94" ht="17.25" hidden="1">
      <c r="A528" s="33">
        <v>524</v>
      </c>
      <c r="B528" s="55" t="s">
        <v>190</v>
      </c>
      <c r="C528" s="55" t="str">
        <f>IF(دانش‌آموزان!E48="","",دانش‌آموزان!B48)</f>
        <v/>
      </c>
      <c r="D528" s="55" t="str">
        <f>IF(دانش‌آموزان!C48="","",دانش‌آموزان!C48)</f>
        <v/>
      </c>
      <c r="E528" s="55" t="str">
        <f>IF(دانش‌آموزان!E48="","",دانش‌آموزان!E48&amp;" "&amp;دانش‌آموزان!F48)</f>
        <v/>
      </c>
      <c r="F528" s="34" t="str">
        <f>IF(دانش‌آموزان!I48="","",دانش‌آموزان!I48)</f>
        <v/>
      </c>
      <c r="G528" s="19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1"/>
      <c r="CC528" s="27" t="str">
        <f t="shared" si="88"/>
        <v/>
      </c>
      <c r="CD528" s="38" t="str">
        <f t="shared" si="89"/>
        <v/>
      </c>
      <c r="CE528" s="38" t="str">
        <f t="shared" si="90"/>
        <v/>
      </c>
      <c r="CF528" s="38" t="str">
        <f t="shared" si="91"/>
        <v/>
      </c>
      <c r="CG528" s="38" t="str">
        <f t="shared" si="92"/>
        <v/>
      </c>
      <c r="CH528" s="38" t="str">
        <f t="shared" si="93"/>
        <v/>
      </c>
      <c r="CI528" s="38" t="str">
        <f t="shared" si="94"/>
        <v/>
      </c>
      <c r="CJ528" s="38" t="str">
        <f t="shared" si="95"/>
        <v/>
      </c>
      <c r="CK528" s="38" t="str">
        <f t="shared" si="96"/>
        <v/>
      </c>
      <c r="CL528" s="38" t="str">
        <f>IF(C528="","",IF(COUNT(G528:AZ528)&lt;46,"",SUMPRODUCT(CC528:CK528,'تنظیمات وزن‌دهی'!$C$5:$C$13)/100))</f>
        <v/>
      </c>
      <c r="CM528" s="38" t="str">
        <f t="shared" si="97"/>
        <v/>
      </c>
      <c r="CN528" s="38">
        <v>8</v>
      </c>
      <c r="CO528" s="28" t="str">
        <f t="shared" si="98"/>
        <v/>
      </c>
      <c r="CP528" s="58"/>
    </row>
    <row r="529" spans="1:94" ht="17.25" hidden="1">
      <c r="A529" s="33">
        <v>525</v>
      </c>
      <c r="B529" s="55" t="s">
        <v>191</v>
      </c>
      <c r="C529" s="55" t="str">
        <f>IF(دانش‌آموزان!E48="","",دانش‌آموزان!B48)</f>
        <v/>
      </c>
      <c r="D529" s="55" t="str">
        <f>IF(دانش‌آموزان!C48="","",دانش‌آموزان!C48)</f>
        <v/>
      </c>
      <c r="E529" s="55" t="str">
        <f>IF(دانش‌آموزان!E48="","",دانش‌آموزان!E48&amp;" "&amp;دانش‌آموزان!F48)</f>
        <v/>
      </c>
      <c r="F529" s="34" t="str">
        <f>IF(دانش‌آموزان!I48="","",دانش‌آموزان!I48)</f>
        <v/>
      </c>
      <c r="G529" s="19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1"/>
      <c r="CC529" s="27" t="str">
        <f t="shared" si="88"/>
        <v/>
      </c>
      <c r="CD529" s="38" t="str">
        <f t="shared" si="89"/>
        <v/>
      </c>
      <c r="CE529" s="38" t="str">
        <f t="shared" si="90"/>
        <v/>
      </c>
      <c r="CF529" s="38" t="str">
        <f t="shared" si="91"/>
        <v/>
      </c>
      <c r="CG529" s="38" t="str">
        <f t="shared" si="92"/>
        <v/>
      </c>
      <c r="CH529" s="38" t="str">
        <f t="shared" si="93"/>
        <v/>
      </c>
      <c r="CI529" s="38" t="str">
        <f t="shared" si="94"/>
        <v/>
      </c>
      <c r="CJ529" s="38" t="str">
        <f t="shared" si="95"/>
        <v/>
      </c>
      <c r="CK529" s="38" t="str">
        <f t="shared" si="96"/>
        <v/>
      </c>
      <c r="CL529" s="38" t="str">
        <f>IF(C529="","",IF(COUNT(G529:AZ529)&lt;46,"",SUMPRODUCT(CC529:CK529,'تنظیمات وزن‌دهی'!$C$5:$C$13)/100))</f>
        <v/>
      </c>
      <c r="CM529" s="38" t="str">
        <f t="shared" si="97"/>
        <v/>
      </c>
      <c r="CN529" s="38">
        <v>9</v>
      </c>
      <c r="CO529" s="28" t="str">
        <f t="shared" si="98"/>
        <v/>
      </c>
      <c r="CP529" s="58"/>
    </row>
    <row r="530" spans="1:94" ht="17.25" hidden="1">
      <c r="A530" s="33">
        <v>526</v>
      </c>
      <c r="B530" s="55" t="s">
        <v>192</v>
      </c>
      <c r="C530" s="55" t="str">
        <f>IF(دانش‌آموزان!E48="","",دانش‌آموزان!B48)</f>
        <v/>
      </c>
      <c r="D530" s="55" t="str">
        <f>IF(دانش‌آموزان!C48="","",دانش‌آموزان!C48)</f>
        <v/>
      </c>
      <c r="E530" s="55" t="str">
        <f>IF(دانش‌آموزان!E48="","",دانش‌آموزان!E48&amp;" "&amp;دانش‌آموزان!F48)</f>
        <v/>
      </c>
      <c r="F530" s="34" t="str">
        <f>IF(دانش‌آموزان!I48="","",دانش‌آموزان!I48)</f>
        <v/>
      </c>
      <c r="G530" s="19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1"/>
      <c r="CC530" s="27" t="str">
        <f t="shared" si="88"/>
        <v/>
      </c>
      <c r="CD530" s="38" t="str">
        <f t="shared" si="89"/>
        <v/>
      </c>
      <c r="CE530" s="38" t="str">
        <f t="shared" si="90"/>
        <v/>
      </c>
      <c r="CF530" s="38" t="str">
        <f t="shared" si="91"/>
        <v/>
      </c>
      <c r="CG530" s="38" t="str">
        <f t="shared" si="92"/>
        <v/>
      </c>
      <c r="CH530" s="38" t="str">
        <f t="shared" si="93"/>
        <v/>
      </c>
      <c r="CI530" s="38" t="str">
        <f t="shared" si="94"/>
        <v/>
      </c>
      <c r="CJ530" s="38" t="str">
        <f t="shared" si="95"/>
        <v/>
      </c>
      <c r="CK530" s="38" t="str">
        <f t="shared" si="96"/>
        <v/>
      </c>
      <c r="CL530" s="38" t="str">
        <f>IF(C530="","",IF(COUNT(G530:AZ530)&lt;46,"",SUMPRODUCT(CC530:CK530,'تنظیمات وزن‌دهی'!$C$5:$C$13)/100))</f>
        <v/>
      </c>
      <c r="CM530" s="38" t="str">
        <f t="shared" si="97"/>
        <v/>
      </c>
      <c r="CN530" s="38">
        <v>10</v>
      </c>
      <c r="CO530" s="28" t="str">
        <f t="shared" si="98"/>
        <v/>
      </c>
      <c r="CP530" s="58"/>
    </row>
    <row r="531" spans="1:94" ht="17.25" hidden="1">
      <c r="A531" s="33">
        <v>527</v>
      </c>
      <c r="B531" s="55" t="s">
        <v>193</v>
      </c>
      <c r="C531" s="55" t="str">
        <f>IF(دانش‌آموزان!E48="","",دانش‌آموزان!B48)</f>
        <v/>
      </c>
      <c r="D531" s="55" t="str">
        <f>IF(دانش‌آموزان!C48="","",دانش‌آموزان!C48)</f>
        <v/>
      </c>
      <c r="E531" s="55" t="str">
        <f>IF(دانش‌آموزان!E48="","",دانش‌آموزان!E48&amp;" "&amp;دانش‌آموزان!F48)</f>
        <v/>
      </c>
      <c r="F531" s="34" t="str">
        <f>IF(دانش‌آموزان!I48="","",دانش‌آموزان!I48)</f>
        <v/>
      </c>
      <c r="G531" s="19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1"/>
      <c r="CC531" s="27" t="str">
        <f t="shared" si="88"/>
        <v/>
      </c>
      <c r="CD531" s="38" t="str">
        <f t="shared" si="89"/>
        <v/>
      </c>
      <c r="CE531" s="38" t="str">
        <f t="shared" si="90"/>
        <v/>
      </c>
      <c r="CF531" s="38" t="str">
        <f t="shared" si="91"/>
        <v/>
      </c>
      <c r="CG531" s="38" t="str">
        <f t="shared" si="92"/>
        <v/>
      </c>
      <c r="CH531" s="38" t="str">
        <f t="shared" si="93"/>
        <v/>
      </c>
      <c r="CI531" s="38" t="str">
        <f t="shared" si="94"/>
        <v/>
      </c>
      <c r="CJ531" s="38" t="str">
        <f t="shared" si="95"/>
        <v/>
      </c>
      <c r="CK531" s="38" t="str">
        <f t="shared" si="96"/>
        <v/>
      </c>
      <c r="CL531" s="38" t="str">
        <f>IF(C531="","",IF(COUNT(G531:AZ531)&lt;46,"",SUMPRODUCT(CC531:CK531,'تنظیمات وزن‌دهی'!$C$5:$C$13)/100))</f>
        <v/>
      </c>
      <c r="CM531" s="38" t="str">
        <f t="shared" si="97"/>
        <v/>
      </c>
      <c r="CN531" s="38">
        <v>11</v>
      </c>
      <c r="CO531" s="28" t="str">
        <f t="shared" si="98"/>
        <v/>
      </c>
      <c r="CP531" s="58"/>
    </row>
    <row r="532" spans="1:94" ht="17.25" hidden="1">
      <c r="A532" s="33">
        <v>528</v>
      </c>
      <c r="B532" s="55" t="s">
        <v>194</v>
      </c>
      <c r="C532" s="55" t="str">
        <f>IF(دانش‌آموزان!E48="","",دانش‌آموزان!B48)</f>
        <v/>
      </c>
      <c r="D532" s="55" t="str">
        <f>IF(دانش‌آموزان!C48="","",دانش‌آموزان!C48)</f>
        <v/>
      </c>
      <c r="E532" s="55" t="str">
        <f>IF(دانش‌آموزان!E48="","",دانش‌آموزان!E48&amp;" "&amp;دانش‌آموزان!F48)</f>
        <v/>
      </c>
      <c r="F532" s="34" t="str">
        <f>IF(دانش‌آموزان!I48="","",دانش‌آموزان!I48)</f>
        <v/>
      </c>
      <c r="G532" s="19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20"/>
      <c r="CB532" s="21"/>
      <c r="CC532" s="27" t="str">
        <f t="shared" si="88"/>
        <v/>
      </c>
      <c r="CD532" s="38" t="str">
        <f t="shared" si="89"/>
        <v/>
      </c>
      <c r="CE532" s="38" t="str">
        <f t="shared" si="90"/>
        <v/>
      </c>
      <c r="CF532" s="38" t="str">
        <f t="shared" si="91"/>
        <v/>
      </c>
      <c r="CG532" s="38" t="str">
        <f t="shared" si="92"/>
        <v/>
      </c>
      <c r="CH532" s="38" t="str">
        <f t="shared" si="93"/>
        <v/>
      </c>
      <c r="CI532" s="38" t="str">
        <f t="shared" si="94"/>
        <v/>
      </c>
      <c r="CJ532" s="38" t="str">
        <f t="shared" si="95"/>
        <v/>
      </c>
      <c r="CK532" s="38" t="str">
        <f t="shared" si="96"/>
        <v/>
      </c>
      <c r="CL532" s="38" t="str">
        <f>IF(C532="","",IF(COUNT(G532:AZ532)&lt;46,"",SUMPRODUCT(CC532:CK532,'تنظیمات وزن‌دهی'!$C$5:$C$13)/100))</f>
        <v/>
      </c>
      <c r="CM532" s="38" t="str">
        <f t="shared" si="97"/>
        <v/>
      </c>
      <c r="CN532" s="38">
        <v>12</v>
      </c>
      <c r="CO532" s="28" t="str">
        <f t="shared" si="98"/>
        <v/>
      </c>
      <c r="CP532" s="58"/>
    </row>
    <row r="533" spans="1:94" ht="17.25" hidden="1">
      <c r="A533" s="33">
        <v>529</v>
      </c>
      <c r="B533" s="55" t="s">
        <v>183</v>
      </c>
      <c r="C533" s="55" t="str">
        <f>IF(دانش‌آموزان!E49="","",دانش‌آموزان!B49)</f>
        <v/>
      </c>
      <c r="D533" s="55" t="str">
        <f>IF(دانش‌آموزان!C49="","",دانش‌آموزان!C49)</f>
        <v/>
      </c>
      <c r="E533" s="55" t="str">
        <f>IF(دانش‌آموزان!E49="","",دانش‌آموزان!E49&amp;" "&amp;دانش‌آموزان!F49)</f>
        <v/>
      </c>
      <c r="F533" s="34" t="str">
        <f>IF(دانش‌آموزان!I49="","",دانش‌آموزان!I49)</f>
        <v/>
      </c>
      <c r="G533" s="19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1"/>
      <c r="CC533" s="27" t="str">
        <f t="shared" si="88"/>
        <v/>
      </c>
      <c r="CD533" s="38" t="str">
        <f t="shared" si="89"/>
        <v/>
      </c>
      <c r="CE533" s="38" t="str">
        <f t="shared" si="90"/>
        <v/>
      </c>
      <c r="CF533" s="38" t="str">
        <f t="shared" si="91"/>
        <v/>
      </c>
      <c r="CG533" s="38" t="str">
        <f t="shared" si="92"/>
        <v/>
      </c>
      <c r="CH533" s="38" t="str">
        <f t="shared" si="93"/>
        <v/>
      </c>
      <c r="CI533" s="38" t="str">
        <f t="shared" si="94"/>
        <v/>
      </c>
      <c r="CJ533" s="38" t="str">
        <f t="shared" si="95"/>
        <v/>
      </c>
      <c r="CK533" s="38" t="str">
        <f t="shared" si="96"/>
        <v/>
      </c>
      <c r="CL533" s="38" t="str">
        <f>IF(C533="","",IF(COUNT(G533:AZ533)&lt;46,"",SUMPRODUCT(CC533:CK533,'تنظیمات وزن‌دهی'!$C$5:$C$13)/100))</f>
        <v/>
      </c>
      <c r="CM533" s="38" t="str">
        <f t="shared" si="97"/>
        <v/>
      </c>
      <c r="CN533" s="38">
        <v>1</v>
      </c>
      <c r="CO533" s="28" t="str">
        <f t="shared" si="98"/>
        <v/>
      </c>
      <c r="CP533" s="58"/>
    </row>
    <row r="534" spans="1:94" ht="17.25" hidden="1">
      <c r="A534" s="33">
        <v>530</v>
      </c>
      <c r="B534" s="55" t="s">
        <v>184</v>
      </c>
      <c r="C534" s="55" t="str">
        <f>IF(دانش‌آموزان!E49="","",دانش‌آموزان!B49)</f>
        <v/>
      </c>
      <c r="D534" s="55" t="str">
        <f>IF(دانش‌آموزان!C49="","",دانش‌آموزان!C49)</f>
        <v/>
      </c>
      <c r="E534" s="55" t="str">
        <f>IF(دانش‌آموزان!E49="","",دانش‌آموزان!E49&amp;" "&amp;دانش‌آموزان!F49)</f>
        <v/>
      </c>
      <c r="F534" s="34" t="str">
        <f>IF(دانش‌آموزان!I49="","",دانش‌آموزان!I49)</f>
        <v/>
      </c>
      <c r="G534" s="19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  <c r="BS534" s="20"/>
      <c r="BT534" s="20"/>
      <c r="BU534" s="20"/>
      <c r="BV534" s="20"/>
      <c r="BW534" s="20"/>
      <c r="BX534" s="20"/>
      <c r="BY534" s="20"/>
      <c r="BZ534" s="20"/>
      <c r="CA534" s="20"/>
      <c r="CB534" s="21"/>
      <c r="CC534" s="27" t="str">
        <f t="shared" si="88"/>
        <v/>
      </c>
      <c r="CD534" s="38" t="str">
        <f t="shared" si="89"/>
        <v/>
      </c>
      <c r="CE534" s="38" t="str">
        <f t="shared" si="90"/>
        <v/>
      </c>
      <c r="CF534" s="38" t="str">
        <f t="shared" si="91"/>
        <v/>
      </c>
      <c r="CG534" s="38" t="str">
        <f t="shared" si="92"/>
        <v/>
      </c>
      <c r="CH534" s="38" t="str">
        <f t="shared" si="93"/>
        <v/>
      </c>
      <c r="CI534" s="38" t="str">
        <f t="shared" si="94"/>
        <v/>
      </c>
      <c r="CJ534" s="38" t="str">
        <f t="shared" si="95"/>
        <v/>
      </c>
      <c r="CK534" s="38" t="str">
        <f t="shared" si="96"/>
        <v/>
      </c>
      <c r="CL534" s="38" t="str">
        <f>IF(C534="","",IF(COUNT(G534:AZ534)&lt;46,"",SUMPRODUCT(CC534:CK534,'تنظیمات وزن‌دهی'!$C$5:$C$13)/100))</f>
        <v/>
      </c>
      <c r="CM534" s="38" t="str">
        <f t="shared" si="97"/>
        <v/>
      </c>
      <c r="CN534" s="38">
        <v>2</v>
      </c>
      <c r="CO534" s="28" t="str">
        <f t="shared" si="98"/>
        <v/>
      </c>
      <c r="CP534" s="58"/>
    </row>
    <row r="535" spans="1:94" ht="17.25">
      <c r="A535" s="33">
        <v>531</v>
      </c>
      <c r="B535" s="55" t="s">
        <v>185</v>
      </c>
      <c r="C535" s="55" t="str">
        <f>IF(دانش‌آموزان!E49="","",دانش‌آموزان!B49)</f>
        <v/>
      </c>
      <c r="D535" s="55" t="str">
        <f>IF(دانش‌آموزان!C49="","",دانش‌آموزان!C49)</f>
        <v/>
      </c>
      <c r="E535" s="55" t="str">
        <f>IF(دانش‌آموزان!E49="","",دانش‌آموزان!E49&amp;" "&amp;دانش‌آموزان!F49)</f>
        <v/>
      </c>
      <c r="F535" s="34" t="str">
        <f>IF(دانش‌آموزان!I49="","",دانش‌آموزان!I49)</f>
        <v/>
      </c>
      <c r="G535" s="19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20"/>
      <c r="BM535" s="20"/>
      <c r="BN535" s="20"/>
      <c r="BO535" s="20"/>
      <c r="BP535" s="20"/>
      <c r="BQ535" s="20"/>
      <c r="BR535" s="20"/>
      <c r="BS535" s="20"/>
      <c r="BT535" s="20"/>
      <c r="BU535" s="20"/>
      <c r="BV535" s="20"/>
      <c r="BW535" s="20"/>
      <c r="BX535" s="20"/>
      <c r="BY535" s="20"/>
      <c r="BZ535" s="20"/>
      <c r="CA535" s="20"/>
      <c r="CB535" s="21"/>
      <c r="CC535" s="27" t="str">
        <f t="shared" si="88"/>
        <v/>
      </c>
      <c r="CD535" s="38" t="str">
        <f t="shared" si="89"/>
        <v/>
      </c>
      <c r="CE535" s="38" t="str">
        <f t="shared" si="90"/>
        <v/>
      </c>
      <c r="CF535" s="38" t="str">
        <f t="shared" si="91"/>
        <v/>
      </c>
      <c r="CG535" s="38" t="str">
        <f t="shared" si="92"/>
        <v/>
      </c>
      <c r="CH535" s="38" t="str">
        <f t="shared" si="93"/>
        <v/>
      </c>
      <c r="CI535" s="38" t="str">
        <f t="shared" si="94"/>
        <v/>
      </c>
      <c r="CJ535" s="38" t="str">
        <f t="shared" si="95"/>
        <v/>
      </c>
      <c r="CK535" s="38" t="str">
        <f t="shared" si="96"/>
        <v/>
      </c>
      <c r="CL535" s="38" t="str">
        <f>IF(C535="","",IF(COUNT(G535:AZ535)&lt;46,"",SUMPRODUCT(CC535:CK535,'تنظیمات وزن‌دهی'!$C$5:$C$13)/100))</f>
        <v/>
      </c>
      <c r="CM535" s="38" t="str">
        <f t="shared" si="97"/>
        <v/>
      </c>
      <c r="CN535" s="38">
        <v>3</v>
      </c>
      <c r="CO535" s="28" t="str">
        <f t="shared" si="98"/>
        <v/>
      </c>
      <c r="CP535" s="58"/>
    </row>
    <row r="536" spans="1:94" ht="17.25" hidden="1">
      <c r="A536" s="33">
        <v>532</v>
      </c>
      <c r="B536" s="55" t="s">
        <v>186</v>
      </c>
      <c r="C536" s="55" t="str">
        <f>IF(دانش‌آموزان!E49="","",دانش‌آموزان!B49)</f>
        <v/>
      </c>
      <c r="D536" s="55" t="str">
        <f>IF(دانش‌آموزان!C49="","",دانش‌آموزان!C49)</f>
        <v/>
      </c>
      <c r="E536" s="55" t="str">
        <f>IF(دانش‌آموزان!E49="","",دانش‌آموزان!E49&amp;" "&amp;دانش‌آموزان!F49)</f>
        <v/>
      </c>
      <c r="F536" s="34" t="str">
        <f>IF(دانش‌آموزان!I49="","",دانش‌آموزان!I49)</f>
        <v/>
      </c>
      <c r="G536" s="19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  <c r="BS536" s="20"/>
      <c r="BT536" s="20"/>
      <c r="BU536" s="20"/>
      <c r="BV536" s="20"/>
      <c r="BW536" s="20"/>
      <c r="BX536" s="20"/>
      <c r="BY536" s="20"/>
      <c r="BZ536" s="20"/>
      <c r="CA536" s="20"/>
      <c r="CB536" s="21"/>
      <c r="CC536" s="27" t="str">
        <f t="shared" si="88"/>
        <v/>
      </c>
      <c r="CD536" s="38" t="str">
        <f t="shared" si="89"/>
        <v/>
      </c>
      <c r="CE536" s="38" t="str">
        <f t="shared" si="90"/>
        <v/>
      </c>
      <c r="CF536" s="38" t="str">
        <f t="shared" si="91"/>
        <v/>
      </c>
      <c r="CG536" s="38" t="str">
        <f t="shared" si="92"/>
        <v/>
      </c>
      <c r="CH536" s="38" t="str">
        <f t="shared" si="93"/>
        <v/>
      </c>
      <c r="CI536" s="38" t="str">
        <f t="shared" si="94"/>
        <v/>
      </c>
      <c r="CJ536" s="38" t="str">
        <f t="shared" si="95"/>
        <v/>
      </c>
      <c r="CK536" s="38" t="str">
        <f t="shared" si="96"/>
        <v/>
      </c>
      <c r="CL536" s="38" t="str">
        <f>IF(C536="","",IF(COUNT(G536:AZ536)&lt;46,"",SUMPRODUCT(CC536:CK536,'تنظیمات وزن‌دهی'!$C$5:$C$13)/100))</f>
        <v/>
      </c>
      <c r="CM536" s="38" t="str">
        <f t="shared" si="97"/>
        <v/>
      </c>
      <c r="CN536" s="38">
        <v>4</v>
      </c>
      <c r="CO536" s="28" t="str">
        <f t="shared" si="98"/>
        <v/>
      </c>
      <c r="CP536" s="58"/>
    </row>
    <row r="537" spans="1:94" ht="17.25" hidden="1">
      <c r="A537" s="33">
        <v>533</v>
      </c>
      <c r="B537" s="55" t="s">
        <v>187</v>
      </c>
      <c r="C537" s="55" t="str">
        <f>IF(دانش‌آموزان!E49="","",دانش‌آموزان!B49)</f>
        <v/>
      </c>
      <c r="D537" s="55" t="str">
        <f>IF(دانش‌آموزان!C49="","",دانش‌آموزان!C49)</f>
        <v/>
      </c>
      <c r="E537" s="55" t="str">
        <f>IF(دانش‌آموزان!E49="","",دانش‌آموزان!E49&amp;" "&amp;دانش‌آموزان!F49)</f>
        <v/>
      </c>
      <c r="F537" s="34" t="str">
        <f>IF(دانش‌آموزان!I49="","",دانش‌آموزان!I49)</f>
        <v/>
      </c>
      <c r="G537" s="19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  <c r="BS537" s="20"/>
      <c r="BT537" s="20"/>
      <c r="BU537" s="20"/>
      <c r="BV537" s="20"/>
      <c r="BW537" s="20"/>
      <c r="BX537" s="20"/>
      <c r="BY537" s="20"/>
      <c r="BZ537" s="20"/>
      <c r="CA537" s="20"/>
      <c r="CB537" s="21"/>
      <c r="CC537" s="27" t="str">
        <f t="shared" si="88"/>
        <v/>
      </c>
      <c r="CD537" s="38" t="str">
        <f t="shared" si="89"/>
        <v/>
      </c>
      <c r="CE537" s="38" t="str">
        <f t="shared" si="90"/>
        <v/>
      </c>
      <c r="CF537" s="38" t="str">
        <f t="shared" si="91"/>
        <v/>
      </c>
      <c r="CG537" s="38" t="str">
        <f t="shared" si="92"/>
        <v/>
      </c>
      <c r="CH537" s="38" t="str">
        <f t="shared" si="93"/>
        <v/>
      </c>
      <c r="CI537" s="38" t="str">
        <f t="shared" si="94"/>
        <v/>
      </c>
      <c r="CJ537" s="38" t="str">
        <f t="shared" si="95"/>
        <v/>
      </c>
      <c r="CK537" s="38" t="str">
        <f t="shared" si="96"/>
        <v/>
      </c>
      <c r="CL537" s="38" t="str">
        <f>IF(C537="","",IF(COUNT(G537:AZ537)&lt;46,"",SUMPRODUCT(CC537:CK537,'تنظیمات وزن‌دهی'!$C$5:$C$13)/100))</f>
        <v/>
      </c>
      <c r="CM537" s="38" t="str">
        <f t="shared" si="97"/>
        <v/>
      </c>
      <c r="CN537" s="38">
        <v>5</v>
      </c>
      <c r="CO537" s="28" t="str">
        <f t="shared" si="98"/>
        <v/>
      </c>
      <c r="CP537" s="58"/>
    </row>
    <row r="538" spans="1:94" ht="17.25" hidden="1">
      <c r="A538" s="33">
        <v>534</v>
      </c>
      <c r="B538" s="55" t="s">
        <v>188</v>
      </c>
      <c r="C538" s="55" t="str">
        <f>IF(دانش‌آموزان!E49="","",دانش‌آموزان!B49)</f>
        <v/>
      </c>
      <c r="D538" s="55" t="str">
        <f>IF(دانش‌آموزان!C49="","",دانش‌آموزان!C49)</f>
        <v/>
      </c>
      <c r="E538" s="55" t="str">
        <f>IF(دانش‌آموزان!E49="","",دانش‌آموزان!E49&amp;" "&amp;دانش‌آموزان!F49)</f>
        <v/>
      </c>
      <c r="F538" s="34" t="str">
        <f>IF(دانش‌آموزان!I49="","",دانش‌آموزان!I49)</f>
        <v/>
      </c>
      <c r="G538" s="19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  <c r="BO538" s="20"/>
      <c r="BP538" s="20"/>
      <c r="BQ538" s="20"/>
      <c r="BR538" s="20"/>
      <c r="BS538" s="20"/>
      <c r="BT538" s="20"/>
      <c r="BU538" s="20"/>
      <c r="BV538" s="20"/>
      <c r="BW538" s="20"/>
      <c r="BX538" s="20"/>
      <c r="BY538" s="20"/>
      <c r="BZ538" s="20"/>
      <c r="CA538" s="20"/>
      <c r="CB538" s="21"/>
      <c r="CC538" s="27" t="str">
        <f t="shared" si="88"/>
        <v/>
      </c>
      <c r="CD538" s="38" t="str">
        <f t="shared" si="89"/>
        <v/>
      </c>
      <c r="CE538" s="38" t="str">
        <f t="shared" si="90"/>
        <v/>
      </c>
      <c r="CF538" s="38" t="str">
        <f t="shared" si="91"/>
        <v/>
      </c>
      <c r="CG538" s="38" t="str">
        <f t="shared" si="92"/>
        <v/>
      </c>
      <c r="CH538" s="38" t="str">
        <f t="shared" si="93"/>
        <v/>
      </c>
      <c r="CI538" s="38" t="str">
        <f t="shared" si="94"/>
        <v/>
      </c>
      <c r="CJ538" s="38" t="str">
        <f t="shared" si="95"/>
        <v/>
      </c>
      <c r="CK538" s="38" t="str">
        <f t="shared" si="96"/>
        <v/>
      </c>
      <c r="CL538" s="38" t="str">
        <f>IF(C538="","",IF(COUNT(G538:AZ538)&lt;46,"",SUMPRODUCT(CC538:CK538,'تنظیمات وزن‌دهی'!$C$5:$C$13)/100))</f>
        <v/>
      </c>
      <c r="CM538" s="38" t="str">
        <f t="shared" si="97"/>
        <v/>
      </c>
      <c r="CN538" s="38">
        <v>6</v>
      </c>
      <c r="CO538" s="28" t="str">
        <f t="shared" si="98"/>
        <v/>
      </c>
      <c r="CP538" s="58"/>
    </row>
    <row r="539" spans="1:94" ht="17.25" hidden="1">
      <c r="A539" s="33">
        <v>535</v>
      </c>
      <c r="B539" s="55" t="s">
        <v>189</v>
      </c>
      <c r="C539" s="55" t="str">
        <f>IF(دانش‌آموزان!E49="","",دانش‌آموزان!B49)</f>
        <v/>
      </c>
      <c r="D539" s="55" t="str">
        <f>IF(دانش‌آموزان!C49="","",دانش‌آموزان!C49)</f>
        <v/>
      </c>
      <c r="E539" s="55" t="str">
        <f>IF(دانش‌آموزان!E49="","",دانش‌آموزان!E49&amp;" "&amp;دانش‌آموزان!F49)</f>
        <v/>
      </c>
      <c r="F539" s="34" t="str">
        <f>IF(دانش‌آموزان!I49="","",دانش‌آموزان!I49)</f>
        <v/>
      </c>
      <c r="G539" s="19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  <c r="BS539" s="20"/>
      <c r="BT539" s="20"/>
      <c r="BU539" s="20"/>
      <c r="BV539" s="20"/>
      <c r="BW539" s="20"/>
      <c r="BX539" s="20"/>
      <c r="BY539" s="20"/>
      <c r="BZ539" s="20"/>
      <c r="CA539" s="20"/>
      <c r="CB539" s="21"/>
      <c r="CC539" s="27" t="str">
        <f t="shared" si="88"/>
        <v/>
      </c>
      <c r="CD539" s="38" t="str">
        <f t="shared" si="89"/>
        <v/>
      </c>
      <c r="CE539" s="38" t="str">
        <f t="shared" si="90"/>
        <v/>
      </c>
      <c r="CF539" s="38" t="str">
        <f t="shared" si="91"/>
        <v/>
      </c>
      <c r="CG539" s="38" t="str">
        <f t="shared" si="92"/>
        <v/>
      </c>
      <c r="CH539" s="38" t="str">
        <f t="shared" si="93"/>
        <v/>
      </c>
      <c r="CI539" s="38" t="str">
        <f t="shared" si="94"/>
        <v/>
      </c>
      <c r="CJ539" s="38" t="str">
        <f t="shared" si="95"/>
        <v/>
      </c>
      <c r="CK539" s="38" t="str">
        <f t="shared" si="96"/>
        <v/>
      </c>
      <c r="CL539" s="38" t="str">
        <f>IF(C539="","",IF(COUNT(G539:AZ539)&lt;46,"",SUMPRODUCT(CC539:CK539,'تنظیمات وزن‌دهی'!$C$5:$C$13)/100))</f>
        <v/>
      </c>
      <c r="CM539" s="38" t="str">
        <f t="shared" si="97"/>
        <v/>
      </c>
      <c r="CN539" s="38">
        <v>7</v>
      </c>
      <c r="CO539" s="28" t="str">
        <f t="shared" si="98"/>
        <v/>
      </c>
      <c r="CP539" s="58"/>
    </row>
    <row r="540" spans="1:94" ht="17.25" hidden="1">
      <c r="A540" s="33">
        <v>536</v>
      </c>
      <c r="B540" s="55" t="s">
        <v>190</v>
      </c>
      <c r="C540" s="55" t="str">
        <f>IF(دانش‌آموزان!E49="","",دانش‌آموزان!B49)</f>
        <v/>
      </c>
      <c r="D540" s="55" t="str">
        <f>IF(دانش‌آموزان!C49="","",دانش‌آموزان!C49)</f>
        <v/>
      </c>
      <c r="E540" s="55" t="str">
        <f>IF(دانش‌آموزان!E49="","",دانش‌آموزان!E49&amp;" "&amp;دانش‌آموزان!F49)</f>
        <v/>
      </c>
      <c r="F540" s="34" t="str">
        <f>IF(دانش‌آموزان!I49="","",دانش‌آموزان!I49)</f>
        <v/>
      </c>
      <c r="G540" s="19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  <c r="BS540" s="20"/>
      <c r="BT540" s="20"/>
      <c r="BU540" s="20"/>
      <c r="BV540" s="20"/>
      <c r="BW540" s="20"/>
      <c r="BX540" s="20"/>
      <c r="BY540" s="20"/>
      <c r="BZ540" s="20"/>
      <c r="CA540" s="20"/>
      <c r="CB540" s="21"/>
      <c r="CC540" s="27" t="str">
        <f t="shared" si="88"/>
        <v/>
      </c>
      <c r="CD540" s="38" t="str">
        <f t="shared" si="89"/>
        <v/>
      </c>
      <c r="CE540" s="38" t="str">
        <f t="shared" si="90"/>
        <v/>
      </c>
      <c r="CF540" s="38" t="str">
        <f t="shared" si="91"/>
        <v/>
      </c>
      <c r="CG540" s="38" t="str">
        <f t="shared" si="92"/>
        <v/>
      </c>
      <c r="CH540" s="38" t="str">
        <f t="shared" si="93"/>
        <v/>
      </c>
      <c r="CI540" s="38" t="str">
        <f t="shared" si="94"/>
        <v/>
      </c>
      <c r="CJ540" s="38" t="str">
        <f t="shared" si="95"/>
        <v/>
      </c>
      <c r="CK540" s="38" t="str">
        <f t="shared" si="96"/>
        <v/>
      </c>
      <c r="CL540" s="38" t="str">
        <f>IF(C540="","",IF(COUNT(G540:AZ540)&lt;46,"",SUMPRODUCT(CC540:CK540,'تنظیمات وزن‌دهی'!$C$5:$C$13)/100))</f>
        <v/>
      </c>
      <c r="CM540" s="38" t="str">
        <f t="shared" si="97"/>
        <v/>
      </c>
      <c r="CN540" s="38">
        <v>8</v>
      </c>
      <c r="CO540" s="28" t="str">
        <f t="shared" si="98"/>
        <v/>
      </c>
      <c r="CP540" s="58"/>
    </row>
    <row r="541" spans="1:94" ht="17.25" hidden="1">
      <c r="A541" s="33">
        <v>537</v>
      </c>
      <c r="B541" s="55" t="s">
        <v>191</v>
      </c>
      <c r="C541" s="55" t="str">
        <f>IF(دانش‌آموزان!E49="","",دانش‌آموزان!B49)</f>
        <v/>
      </c>
      <c r="D541" s="55" t="str">
        <f>IF(دانش‌آموزان!C49="","",دانش‌آموزان!C49)</f>
        <v/>
      </c>
      <c r="E541" s="55" t="str">
        <f>IF(دانش‌آموزان!E49="","",دانش‌آموزان!E49&amp;" "&amp;دانش‌آموزان!F49)</f>
        <v/>
      </c>
      <c r="F541" s="34" t="str">
        <f>IF(دانش‌آموزان!I49="","",دانش‌آموزان!I49)</f>
        <v/>
      </c>
      <c r="G541" s="19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  <c r="BW541" s="20"/>
      <c r="BX541" s="20"/>
      <c r="BY541" s="20"/>
      <c r="BZ541" s="20"/>
      <c r="CA541" s="20"/>
      <c r="CB541" s="21"/>
      <c r="CC541" s="27" t="str">
        <f t="shared" si="88"/>
        <v/>
      </c>
      <c r="CD541" s="38" t="str">
        <f t="shared" si="89"/>
        <v/>
      </c>
      <c r="CE541" s="38" t="str">
        <f t="shared" si="90"/>
        <v/>
      </c>
      <c r="CF541" s="38" t="str">
        <f t="shared" si="91"/>
        <v/>
      </c>
      <c r="CG541" s="38" t="str">
        <f t="shared" si="92"/>
        <v/>
      </c>
      <c r="CH541" s="38" t="str">
        <f t="shared" si="93"/>
        <v/>
      </c>
      <c r="CI541" s="38" t="str">
        <f t="shared" si="94"/>
        <v/>
      </c>
      <c r="CJ541" s="38" t="str">
        <f t="shared" si="95"/>
        <v/>
      </c>
      <c r="CK541" s="38" t="str">
        <f t="shared" si="96"/>
        <v/>
      </c>
      <c r="CL541" s="38" t="str">
        <f>IF(C541="","",IF(COUNT(G541:AZ541)&lt;46,"",SUMPRODUCT(CC541:CK541,'تنظیمات وزن‌دهی'!$C$5:$C$13)/100))</f>
        <v/>
      </c>
      <c r="CM541" s="38" t="str">
        <f t="shared" si="97"/>
        <v/>
      </c>
      <c r="CN541" s="38">
        <v>9</v>
      </c>
      <c r="CO541" s="28" t="str">
        <f t="shared" si="98"/>
        <v/>
      </c>
      <c r="CP541" s="58"/>
    </row>
    <row r="542" spans="1:94" ht="17.25" hidden="1">
      <c r="A542" s="33">
        <v>538</v>
      </c>
      <c r="B542" s="55" t="s">
        <v>192</v>
      </c>
      <c r="C542" s="55" t="str">
        <f>IF(دانش‌آموزان!E49="","",دانش‌آموزان!B49)</f>
        <v/>
      </c>
      <c r="D542" s="55" t="str">
        <f>IF(دانش‌آموزان!C49="","",دانش‌آموزان!C49)</f>
        <v/>
      </c>
      <c r="E542" s="55" t="str">
        <f>IF(دانش‌آموزان!E49="","",دانش‌آموزان!E49&amp;" "&amp;دانش‌آموزان!F49)</f>
        <v/>
      </c>
      <c r="F542" s="34" t="str">
        <f>IF(دانش‌آموزان!I49="","",دانش‌آموزان!I49)</f>
        <v/>
      </c>
      <c r="G542" s="19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  <c r="BW542" s="20"/>
      <c r="BX542" s="20"/>
      <c r="BY542" s="20"/>
      <c r="BZ542" s="20"/>
      <c r="CA542" s="20"/>
      <c r="CB542" s="21"/>
      <c r="CC542" s="27" t="str">
        <f t="shared" si="88"/>
        <v/>
      </c>
      <c r="CD542" s="38" t="str">
        <f t="shared" si="89"/>
        <v/>
      </c>
      <c r="CE542" s="38" t="str">
        <f t="shared" si="90"/>
        <v/>
      </c>
      <c r="CF542" s="38" t="str">
        <f t="shared" si="91"/>
        <v/>
      </c>
      <c r="CG542" s="38" t="str">
        <f t="shared" si="92"/>
        <v/>
      </c>
      <c r="CH542" s="38" t="str">
        <f t="shared" si="93"/>
        <v/>
      </c>
      <c r="CI542" s="38" t="str">
        <f t="shared" si="94"/>
        <v/>
      </c>
      <c r="CJ542" s="38" t="str">
        <f t="shared" si="95"/>
        <v/>
      </c>
      <c r="CK542" s="38" t="str">
        <f t="shared" si="96"/>
        <v/>
      </c>
      <c r="CL542" s="38" t="str">
        <f>IF(C542="","",IF(COUNT(G542:AZ542)&lt;46,"",SUMPRODUCT(CC542:CK542,'تنظیمات وزن‌دهی'!$C$5:$C$13)/100))</f>
        <v/>
      </c>
      <c r="CM542" s="38" t="str">
        <f t="shared" si="97"/>
        <v/>
      </c>
      <c r="CN542" s="38">
        <v>10</v>
      </c>
      <c r="CO542" s="28" t="str">
        <f t="shared" si="98"/>
        <v/>
      </c>
      <c r="CP542" s="58"/>
    </row>
    <row r="543" spans="1:94" ht="17.25" hidden="1">
      <c r="A543" s="33">
        <v>539</v>
      </c>
      <c r="B543" s="55" t="s">
        <v>193</v>
      </c>
      <c r="C543" s="55" t="str">
        <f>IF(دانش‌آموزان!E49="","",دانش‌آموزان!B49)</f>
        <v/>
      </c>
      <c r="D543" s="55" t="str">
        <f>IF(دانش‌آموزان!C49="","",دانش‌آموزان!C49)</f>
        <v/>
      </c>
      <c r="E543" s="55" t="str">
        <f>IF(دانش‌آموزان!E49="","",دانش‌آموزان!E49&amp;" "&amp;دانش‌آموزان!F49)</f>
        <v/>
      </c>
      <c r="F543" s="34" t="str">
        <f>IF(دانش‌آموزان!I49="","",دانش‌آموزان!I49)</f>
        <v/>
      </c>
      <c r="G543" s="19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1"/>
      <c r="CC543" s="27" t="str">
        <f t="shared" si="88"/>
        <v/>
      </c>
      <c r="CD543" s="38" t="str">
        <f t="shared" si="89"/>
        <v/>
      </c>
      <c r="CE543" s="38" t="str">
        <f t="shared" si="90"/>
        <v/>
      </c>
      <c r="CF543" s="38" t="str">
        <f t="shared" si="91"/>
        <v/>
      </c>
      <c r="CG543" s="38" t="str">
        <f t="shared" si="92"/>
        <v/>
      </c>
      <c r="CH543" s="38" t="str">
        <f t="shared" si="93"/>
        <v/>
      </c>
      <c r="CI543" s="38" t="str">
        <f t="shared" si="94"/>
        <v/>
      </c>
      <c r="CJ543" s="38" t="str">
        <f t="shared" si="95"/>
        <v/>
      </c>
      <c r="CK543" s="38" t="str">
        <f t="shared" si="96"/>
        <v/>
      </c>
      <c r="CL543" s="38" t="str">
        <f>IF(C543="","",IF(COUNT(G543:AZ543)&lt;46,"",SUMPRODUCT(CC543:CK543,'تنظیمات وزن‌دهی'!$C$5:$C$13)/100))</f>
        <v/>
      </c>
      <c r="CM543" s="38" t="str">
        <f t="shared" si="97"/>
        <v/>
      </c>
      <c r="CN543" s="38">
        <v>11</v>
      </c>
      <c r="CO543" s="28" t="str">
        <f t="shared" si="98"/>
        <v/>
      </c>
      <c r="CP543" s="58"/>
    </row>
    <row r="544" spans="1:94" ht="17.25" hidden="1">
      <c r="A544" s="33">
        <v>540</v>
      </c>
      <c r="B544" s="55" t="s">
        <v>194</v>
      </c>
      <c r="C544" s="55" t="str">
        <f>IF(دانش‌آموزان!E49="","",دانش‌آموزان!B49)</f>
        <v/>
      </c>
      <c r="D544" s="55" t="str">
        <f>IF(دانش‌آموزان!C49="","",دانش‌آموزان!C49)</f>
        <v/>
      </c>
      <c r="E544" s="55" t="str">
        <f>IF(دانش‌آموزان!E49="","",دانش‌آموزان!E49&amp;" "&amp;دانش‌آموزان!F49)</f>
        <v/>
      </c>
      <c r="F544" s="34" t="str">
        <f>IF(دانش‌آموزان!I49="","",دانش‌آموزان!I49)</f>
        <v/>
      </c>
      <c r="G544" s="19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1"/>
      <c r="CC544" s="27" t="str">
        <f t="shared" si="88"/>
        <v/>
      </c>
      <c r="CD544" s="38" t="str">
        <f t="shared" si="89"/>
        <v/>
      </c>
      <c r="CE544" s="38" t="str">
        <f t="shared" si="90"/>
        <v/>
      </c>
      <c r="CF544" s="38" t="str">
        <f t="shared" si="91"/>
        <v/>
      </c>
      <c r="CG544" s="38" t="str">
        <f t="shared" si="92"/>
        <v/>
      </c>
      <c r="CH544" s="38" t="str">
        <f t="shared" si="93"/>
        <v/>
      </c>
      <c r="CI544" s="38" t="str">
        <f t="shared" si="94"/>
        <v/>
      </c>
      <c r="CJ544" s="38" t="str">
        <f t="shared" si="95"/>
        <v/>
      </c>
      <c r="CK544" s="38" t="str">
        <f t="shared" si="96"/>
        <v/>
      </c>
      <c r="CL544" s="38" t="str">
        <f>IF(C544="","",IF(COUNT(G544:AZ544)&lt;46,"",SUMPRODUCT(CC544:CK544,'تنظیمات وزن‌دهی'!$C$5:$C$13)/100))</f>
        <v/>
      </c>
      <c r="CM544" s="38" t="str">
        <f t="shared" si="97"/>
        <v/>
      </c>
      <c r="CN544" s="38">
        <v>12</v>
      </c>
      <c r="CO544" s="28" t="str">
        <f t="shared" si="98"/>
        <v/>
      </c>
      <c r="CP544" s="58"/>
    </row>
    <row r="545" spans="1:94" ht="17.25" hidden="1">
      <c r="A545" s="33">
        <v>541</v>
      </c>
      <c r="B545" s="55" t="s">
        <v>183</v>
      </c>
      <c r="C545" s="55" t="str">
        <f>IF(دانش‌آموزان!E50="","",دانش‌آموزان!B50)</f>
        <v/>
      </c>
      <c r="D545" s="55" t="str">
        <f>IF(دانش‌آموزان!C50="","",دانش‌آموزان!C50)</f>
        <v/>
      </c>
      <c r="E545" s="55" t="str">
        <f>IF(دانش‌آموزان!E50="","",دانش‌آموزان!E50&amp;" "&amp;دانش‌آموزان!F50)</f>
        <v/>
      </c>
      <c r="F545" s="34" t="str">
        <f>IF(دانش‌آموزان!I50="","",دانش‌آموزان!I50)</f>
        <v/>
      </c>
      <c r="G545" s="19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1"/>
      <c r="CC545" s="27" t="str">
        <f t="shared" si="88"/>
        <v/>
      </c>
      <c r="CD545" s="38" t="str">
        <f t="shared" si="89"/>
        <v/>
      </c>
      <c r="CE545" s="38" t="str">
        <f t="shared" si="90"/>
        <v/>
      </c>
      <c r="CF545" s="38" t="str">
        <f t="shared" si="91"/>
        <v/>
      </c>
      <c r="CG545" s="38" t="str">
        <f t="shared" si="92"/>
        <v/>
      </c>
      <c r="CH545" s="38" t="str">
        <f t="shared" si="93"/>
        <v/>
      </c>
      <c r="CI545" s="38" t="str">
        <f t="shared" si="94"/>
        <v/>
      </c>
      <c r="CJ545" s="38" t="str">
        <f t="shared" si="95"/>
        <v/>
      </c>
      <c r="CK545" s="38" t="str">
        <f t="shared" si="96"/>
        <v/>
      </c>
      <c r="CL545" s="38" t="str">
        <f>IF(C545="","",IF(COUNT(G545:AZ545)&lt;46,"",SUMPRODUCT(CC545:CK545,'تنظیمات وزن‌دهی'!$C$5:$C$13)/100))</f>
        <v/>
      </c>
      <c r="CM545" s="38" t="str">
        <f t="shared" si="97"/>
        <v/>
      </c>
      <c r="CN545" s="38">
        <v>1</v>
      </c>
      <c r="CO545" s="28" t="str">
        <f t="shared" si="98"/>
        <v/>
      </c>
      <c r="CP545" s="58"/>
    </row>
    <row r="546" spans="1:94" ht="17.25" hidden="1">
      <c r="A546" s="33">
        <v>542</v>
      </c>
      <c r="B546" s="55" t="s">
        <v>184</v>
      </c>
      <c r="C546" s="55" t="str">
        <f>IF(دانش‌آموزان!E50="","",دانش‌آموزان!B50)</f>
        <v/>
      </c>
      <c r="D546" s="55" t="str">
        <f>IF(دانش‌آموزان!C50="","",دانش‌آموزان!C50)</f>
        <v/>
      </c>
      <c r="E546" s="55" t="str">
        <f>IF(دانش‌آموزان!E50="","",دانش‌آموزان!E50&amp;" "&amp;دانش‌آموزان!F50)</f>
        <v/>
      </c>
      <c r="F546" s="34" t="str">
        <f>IF(دانش‌آموزان!I50="","",دانش‌آموزان!I50)</f>
        <v/>
      </c>
      <c r="G546" s="19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1"/>
      <c r="CC546" s="27" t="str">
        <f t="shared" si="88"/>
        <v/>
      </c>
      <c r="CD546" s="38" t="str">
        <f t="shared" si="89"/>
        <v/>
      </c>
      <c r="CE546" s="38" t="str">
        <f t="shared" si="90"/>
        <v/>
      </c>
      <c r="CF546" s="38" t="str">
        <f t="shared" si="91"/>
        <v/>
      </c>
      <c r="CG546" s="38" t="str">
        <f t="shared" si="92"/>
        <v/>
      </c>
      <c r="CH546" s="38" t="str">
        <f t="shared" si="93"/>
        <v/>
      </c>
      <c r="CI546" s="38" t="str">
        <f t="shared" si="94"/>
        <v/>
      </c>
      <c r="CJ546" s="38" t="str">
        <f t="shared" si="95"/>
        <v/>
      </c>
      <c r="CK546" s="38" t="str">
        <f t="shared" si="96"/>
        <v/>
      </c>
      <c r="CL546" s="38" t="str">
        <f>IF(C546="","",IF(COUNT(G546:AZ546)&lt;46,"",SUMPRODUCT(CC546:CK546,'تنظیمات وزن‌دهی'!$C$5:$C$13)/100))</f>
        <v/>
      </c>
      <c r="CM546" s="38" t="str">
        <f t="shared" si="97"/>
        <v/>
      </c>
      <c r="CN546" s="38">
        <v>2</v>
      </c>
      <c r="CO546" s="28" t="str">
        <f t="shared" si="98"/>
        <v/>
      </c>
      <c r="CP546" s="58"/>
    </row>
    <row r="547" spans="1:94" ht="17.25">
      <c r="A547" s="33">
        <v>543</v>
      </c>
      <c r="B547" s="55" t="s">
        <v>185</v>
      </c>
      <c r="C547" s="55" t="str">
        <f>IF(دانش‌آموزان!E50="","",دانش‌آموزان!B50)</f>
        <v/>
      </c>
      <c r="D547" s="55" t="str">
        <f>IF(دانش‌آموزان!C50="","",دانش‌آموزان!C50)</f>
        <v/>
      </c>
      <c r="E547" s="55" t="str">
        <f>IF(دانش‌آموزان!E50="","",دانش‌آموزان!E50&amp;" "&amp;دانش‌آموزان!F50)</f>
        <v/>
      </c>
      <c r="F547" s="34" t="str">
        <f>IF(دانش‌آموزان!I50="","",دانش‌آموزان!I50)</f>
        <v/>
      </c>
      <c r="G547" s="19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1"/>
      <c r="CC547" s="27" t="str">
        <f t="shared" si="88"/>
        <v/>
      </c>
      <c r="CD547" s="38" t="str">
        <f t="shared" si="89"/>
        <v/>
      </c>
      <c r="CE547" s="38" t="str">
        <f t="shared" si="90"/>
        <v/>
      </c>
      <c r="CF547" s="38" t="str">
        <f t="shared" si="91"/>
        <v/>
      </c>
      <c r="CG547" s="38" t="str">
        <f t="shared" si="92"/>
        <v/>
      </c>
      <c r="CH547" s="38" t="str">
        <f t="shared" si="93"/>
        <v/>
      </c>
      <c r="CI547" s="38" t="str">
        <f t="shared" si="94"/>
        <v/>
      </c>
      <c r="CJ547" s="38" t="str">
        <f t="shared" si="95"/>
        <v/>
      </c>
      <c r="CK547" s="38" t="str">
        <f t="shared" si="96"/>
        <v/>
      </c>
      <c r="CL547" s="38" t="str">
        <f>IF(C547="","",IF(COUNT(G547:AZ547)&lt;46,"",SUMPRODUCT(CC547:CK547,'تنظیمات وزن‌دهی'!$C$5:$C$13)/100))</f>
        <v/>
      </c>
      <c r="CM547" s="38" t="str">
        <f t="shared" si="97"/>
        <v/>
      </c>
      <c r="CN547" s="38">
        <v>3</v>
      </c>
      <c r="CO547" s="28" t="str">
        <f t="shared" si="98"/>
        <v/>
      </c>
      <c r="CP547" s="58"/>
    </row>
    <row r="548" spans="1:94" ht="17.25" hidden="1">
      <c r="A548" s="33">
        <v>544</v>
      </c>
      <c r="B548" s="55" t="s">
        <v>186</v>
      </c>
      <c r="C548" s="55" t="str">
        <f>IF(دانش‌آموزان!E50="","",دانش‌آموزان!B50)</f>
        <v/>
      </c>
      <c r="D548" s="55" t="str">
        <f>IF(دانش‌آموزان!C50="","",دانش‌آموزان!C50)</f>
        <v/>
      </c>
      <c r="E548" s="55" t="str">
        <f>IF(دانش‌آموزان!E50="","",دانش‌آموزان!E50&amp;" "&amp;دانش‌آموزان!F50)</f>
        <v/>
      </c>
      <c r="F548" s="34" t="str">
        <f>IF(دانش‌آموزان!I50="","",دانش‌آموزان!I50)</f>
        <v/>
      </c>
      <c r="G548" s="19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1"/>
      <c r="CC548" s="27" t="str">
        <f t="shared" si="88"/>
        <v/>
      </c>
      <c r="CD548" s="38" t="str">
        <f t="shared" si="89"/>
        <v/>
      </c>
      <c r="CE548" s="38" t="str">
        <f t="shared" si="90"/>
        <v/>
      </c>
      <c r="CF548" s="38" t="str">
        <f t="shared" si="91"/>
        <v/>
      </c>
      <c r="CG548" s="38" t="str">
        <f t="shared" si="92"/>
        <v/>
      </c>
      <c r="CH548" s="38" t="str">
        <f t="shared" si="93"/>
        <v/>
      </c>
      <c r="CI548" s="38" t="str">
        <f t="shared" si="94"/>
        <v/>
      </c>
      <c r="CJ548" s="38" t="str">
        <f t="shared" si="95"/>
        <v/>
      </c>
      <c r="CK548" s="38" t="str">
        <f t="shared" si="96"/>
        <v/>
      </c>
      <c r="CL548" s="38" t="str">
        <f>IF(C548="","",IF(COUNT(G548:AZ548)&lt;46,"",SUMPRODUCT(CC548:CK548,'تنظیمات وزن‌دهی'!$C$5:$C$13)/100))</f>
        <v/>
      </c>
      <c r="CM548" s="38" t="str">
        <f t="shared" si="97"/>
        <v/>
      </c>
      <c r="CN548" s="38">
        <v>4</v>
      </c>
      <c r="CO548" s="28" t="str">
        <f t="shared" si="98"/>
        <v/>
      </c>
      <c r="CP548" s="58"/>
    </row>
    <row r="549" spans="1:94" ht="17.25" hidden="1">
      <c r="A549" s="33">
        <v>545</v>
      </c>
      <c r="B549" s="55" t="s">
        <v>187</v>
      </c>
      <c r="C549" s="55" t="str">
        <f>IF(دانش‌آموزان!E50="","",دانش‌آموزان!B50)</f>
        <v/>
      </c>
      <c r="D549" s="55" t="str">
        <f>IF(دانش‌آموزان!C50="","",دانش‌آموزان!C50)</f>
        <v/>
      </c>
      <c r="E549" s="55" t="str">
        <f>IF(دانش‌آموزان!E50="","",دانش‌آموزان!E50&amp;" "&amp;دانش‌آموزان!F50)</f>
        <v/>
      </c>
      <c r="F549" s="34" t="str">
        <f>IF(دانش‌آموزان!I50="","",دانش‌آموزان!I50)</f>
        <v/>
      </c>
      <c r="G549" s="19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1"/>
      <c r="CC549" s="27" t="str">
        <f t="shared" si="88"/>
        <v/>
      </c>
      <c r="CD549" s="38" t="str">
        <f t="shared" si="89"/>
        <v/>
      </c>
      <c r="CE549" s="38" t="str">
        <f t="shared" si="90"/>
        <v/>
      </c>
      <c r="CF549" s="38" t="str">
        <f t="shared" si="91"/>
        <v/>
      </c>
      <c r="CG549" s="38" t="str">
        <f t="shared" si="92"/>
        <v/>
      </c>
      <c r="CH549" s="38" t="str">
        <f t="shared" si="93"/>
        <v/>
      </c>
      <c r="CI549" s="38" t="str">
        <f t="shared" si="94"/>
        <v/>
      </c>
      <c r="CJ549" s="38" t="str">
        <f t="shared" si="95"/>
        <v/>
      </c>
      <c r="CK549" s="38" t="str">
        <f t="shared" si="96"/>
        <v/>
      </c>
      <c r="CL549" s="38" t="str">
        <f>IF(C549="","",IF(COUNT(G549:AZ549)&lt;46,"",SUMPRODUCT(CC549:CK549,'تنظیمات وزن‌دهی'!$C$5:$C$13)/100))</f>
        <v/>
      </c>
      <c r="CM549" s="38" t="str">
        <f t="shared" si="97"/>
        <v/>
      </c>
      <c r="CN549" s="38">
        <v>5</v>
      </c>
      <c r="CO549" s="28" t="str">
        <f t="shared" si="98"/>
        <v/>
      </c>
      <c r="CP549" s="58"/>
    </row>
    <row r="550" spans="1:94" ht="17.25" hidden="1">
      <c r="A550" s="33">
        <v>546</v>
      </c>
      <c r="B550" s="55" t="s">
        <v>188</v>
      </c>
      <c r="C550" s="55" t="str">
        <f>IF(دانش‌آموزان!E50="","",دانش‌آموزان!B50)</f>
        <v/>
      </c>
      <c r="D550" s="55" t="str">
        <f>IF(دانش‌آموزان!C50="","",دانش‌آموزان!C50)</f>
        <v/>
      </c>
      <c r="E550" s="55" t="str">
        <f>IF(دانش‌آموزان!E50="","",دانش‌آموزان!E50&amp;" "&amp;دانش‌آموزان!F50)</f>
        <v/>
      </c>
      <c r="F550" s="34" t="str">
        <f>IF(دانش‌آموزان!I50="","",دانش‌آموزان!I50)</f>
        <v/>
      </c>
      <c r="G550" s="19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1"/>
      <c r="CC550" s="27" t="str">
        <f t="shared" si="88"/>
        <v/>
      </c>
      <c r="CD550" s="38" t="str">
        <f t="shared" si="89"/>
        <v/>
      </c>
      <c r="CE550" s="38" t="str">
        <f t="shared" si="90"/>
        <v/>
      </c>
      <c r="CF550" s="38" t="str">
        <f t="shared" si="91"/>
        <v/>
      </c>
      <c r="CG550" s="38" t="str">
        <f t="shared" si="92"/>
        <v/>
      </c>
      <c r="CH550" s="38" t="str">
        <f t="shared" si="93"/>
        <v/>
      </c>
      <c r="CI550" s="38" t="str">
        <f t="shared" si="94"/>
        <v/>
      </c>
      <c r="CJ550" s="38" t="str">
        <f t="shared" si="95"/>
        <v/>
      </c>
      <c r="CK550" s="38" t="str">
        <f t="shared" si="96"/>
        <v/>
      </c>
      <c r="CL550" s="38" t="str">
        <f>IF(C550="","",IF(COUNT(G550:AZ550)&lt;46,"",SUMPRODUCT(CC550:CK550,'تنظیمات وزن‌دهی'!$C$5:$C$13)/100))</f>
        <v/>
      </c>
      <c r="CM550" s="38" t="str">
        <f t="shared" si="97"/>
        <v/>
      </c>
      <c r="CN550" s="38">
        <v>6</v>
      </c>
      <c r="CO550" s="28" t="str">
        <f t="shared" si="98"/>
        <v/>
      </c>
      <c r="CP550" s="58"/>
    </row>
    <row r="551" spans="1:94" ht="17.25" hidden="1">
      <c r="A551" s="33">
        <v>547</v>
      </c>
      <c r="B551" s="55" t="s">
        <v>189</v>
      </c>
      <c r="C551" s="55" t="str">
        <f>IF(دانش‌آموزان!E50="","",دانش‌آموزان!B50)</f>
        <v/>
      </c>
      <c r="D551" s="55" t="str">
        <f>IF(دانش‌آموزان!C50="","",دانش‌آموزان!C50)</f>
        <v/>
      </c>
      <c r="E551" s="55" t="str">
        <f>IF(دانش‌آموزان!E50="","",دانش‌آموزان!E50&amp;" "&amp;دانش‌آموزان!F50)</f>
        <v/>
      </c>
      <c r="F551" s="34" t="str">
        <f>IF(دانش‌آموزان!I50="","",دانش‌آموزان!I50)</f>
        <v/>
      </c>
      <c r="G551" s="19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1"/>
      <c r="CC551" s="27" t="str">
        <f t="shared" si="88"/>
        <v/>
      </c>
      <c r="CD551" s="38" t="str">
        <f t="shared" si="89"/>
        <v/>
      </c>
      <c r="CE551" s="38" t="str">
        <f t="shared" si="90"/>
        <v/>
      </c>
      <c r="CF551" s="38" t="str">
        <f t="shared" si="91"/>
        <v/>
      </c>
      <c r="CG551" s="38" t="str">
        <f t="shared" si="92"/>
        <v/>
      </c>
      <c r="CH551" s="38" t="str">
        <f t="shared" si="93"/>
        <v/>
      </c>
      <c r="CI551" s="38" t="str">
        <f t="shared" si="94"/>
        <v/>
      </c>
      <c r="CJ551" s="38" t="str">
        <f t="shared" si="95"/>
        <v/>
      </c>
      <c r="CK551" s="38" t="str">
        <f t="shared" si="96"/>
        <v/>
      </c>
      <c r="CL551" s="38" t="str">
        <f>IF(C551="","",IF(COUNT(G551:AZ551)&lt;46,"",SUMPRODUCT(CC551:CK551,'تنظیمات وزن‌دهی'!$C$5:$C$13)/100))</f>
        <v/>
      </c>
      <c r="CM551" s="38" t="str">
        <f t="shared" si="97"/>
        <v/>
      </c>
      <c r="CN551" s="38">
        <v>7</v>
      </c>
      <c r="CO551" s="28" t="str">
        <f t="shared" si="98"/>
        <v/>
      </c>
      <c r="CP551" s="58"/>
    </row>
    <row r="552" spans="1:94" ht="17.25" hidden="1">
      <c r="A552" s="33">
        <v>548</v>
      </c>
      <c r="B552" s="55" t="s">
        <v>190</v>
      </c>
      <c r="C552" s="55" t="str">
        <f>IF(دانش‌آموزان!E50="","",دانش‌آموزان!B50)</f>
        <v/>
      </c>
      <c r="D552" s="55" t="str">
        <f>IF(دانش‌آموزان!C50="","",دانش‌آموزان!C50)</f>
        <v/>
      </c>
      <c r="E552" s="55" t="str">
        <f>IF(دانش‌آموزان!E50="","",دانش‌آموزان!E50&amp;" "&amp;دانش‌آموزان!F50)</f>
        <v/>
      </c>
      <c r="F552" s="34" t="str">
        <f>IF(دانش‌آموزان!I50="","",دانش‌آموزان!I50)</f>
        <v/>
      </c>
      <c r="G552" s="19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  <c r="BS552" s="20"/>
      <c r="BT552" s="20"/>
      <c r="BU552" s="20"/>
      <c r="BV552" s="20"/>
      <c r="BW552" s="20"/>
      <c r="BX552" s="20"/>
      <c r="BY552" s="20"/>
      <c r="BZ552" s="20"/>
      <c r="CA552" s="20"/>
      <c r="CB552" s="21"/>
      <c r="CC552" s="27" t="str">
        <f t="shared" si="88"/>
        <v/>
      </c>
      <c r="CD552" s="38" t="str">
        <f t="shared" si="89"/>
        <v/>
      </c>
      <c r="CE552" s="38" t="str">
        <f t="shared" si="90"/>
        <v/>
      </c>
      <c r="CF552" s="38" t="str">
        <f t="shared" si="91"/>
        <v/>
      </c>
      <c r="CG552" s="38" t="str">
        <f t="shared" si="92"/>
        <v/>
      </c>
      <c r="CH552" s="38" t="str">
        <f t="shared" si="93"/>
        <v/>
      </c>
      <c r="CI552" s="38" t="str">
        <f t="shared" si="94"/>
        <v/>
      </c>
      <c r="CJ552" s="38" t="str">
        <f t="shared" si="95"/>
        <v/>
      </c>
      <c r="CK552" s="38" t="str">
        <f t="shared" si="96"/>
        <v/>
      </c>
      <c r="CL552" s="38" t="str">
        <f>IF(C552="","",IF(COUNT(G552:AZ552)&lt;46,"",SUMPRODUCT(CC552:CK552,'تنظیمات وزن‌دهی'!$C$5:$C$13)/100))</f>
        <v/>
      </c>
      <c r="CM552" s="38" t="str">
        <f t="shared" si="97"/>
        <v/>
      </c>
      <c r="CN552" s="38">
        <v>8</v>
      </c>
      <c r="CO552" s="28" t="str">
        <f t="shared" si="98"/>
        <v/>
      </c>
      <c r="CP552" s="58"/>
    </row>
    <row r="553" spans="1:94" ht="17.25" hidden="1">
      <c r="A553" s="33">
        <v>549</v>
      </c>
      <c r="B553" s="55" t="s">
        <v>191</v>
      </c>
      <c r="C553" s="55" t="str">
        <f>IF(دانش‌آموزان!E50="","",دانش‌آموزان!B50)</f>
        <v/>
      </c>
      <c r="D553" s="55" t="str">
        <f>IF(دانش‌آموزان!C50="","",دانش‌آموزان!C50)</f>
        <v/>
      </c>
      <c r="E553" s="55" t="str">
        <f>IF(دانش‌آموزان!E50="","",دانش‌آموزان!E50&amp;" "&amp;دانش‌آموزان!F50)</f>
        <v/>
      </c>
      <c r="F553" s="34" t="str">
        <f>IF(دانش‌آموزان!I50="","",دانش‌آموزان!I50)</f>
        <v/>
      </c>
      <c r="G553" s="19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  <c r="BS553" s="20"/>
      <c r="BT553" s="20"/>
      <c r="BU553" s="20"/>
      <c r="BV553" s="20"/>
      <c r="BW553" s="20"/>
      <c r="BX553" s="20"/>
      <c r="BY553" s="20"/>
      <c r="BZ553" s="20"/>
      <c r="CA553" s="20"/>
      <c r="CB553" s="21"/>
      <c r="CC553" s="27" t="str">
        <f t="shared" si="88"/>
        <v/>
      </c>
      <c r="CD553" s="38" t="str">
        <f t="shared" si="89"/>
        <v/>
      </c>
      <c r="CE553" s="38" t="str">
        <f t="shared" si="90"/>
        <v/>
      </c>
      <c r="CF553" s="38" t="str">
        <f t="shared" si="91"/>
        <v/>
      </c>
      <c r="CG553" s="38" t="str">
        <f t="shared" si="92"/>
        <v/>
      </c>
      <c r="CH553" s="38" t="str">
        <f t="shared" si="93"/>
        <v/>
      </c>
      <c r="CI553" s="38" t="str">
        <f t="shared" si="94"/>
        <v/>
      </c>
      <c r="CJ553" s="38" t="str">
        <f t="shared" si="95"/>
        <v/>
      </c>
      <c r="CK553" s="38" t="str">
        <f t="shared" si="96"/>
        <v/>
      </c>
      <c r="CL553" s="38" t="str">
        <f>IF(C553="","",IF(COUNT(G553:AZ553)&lt;46,"",SUMPRODUCT(CC553:CK553,'تنظیمات وزن‌دهی'!$C$5:$C$13)/100))</f>
        <v/>
      </c>
      <c r="CM553" s="38" t="str">
        <f t="shared" si="97"/>
        <v/>
      </c>
      <c r="CN553" s="38">
        <v>9</v>
      </c>
      <c r="CO553" s="28" t="str">
        <f t="shared" si="98"/>
        <v/>
      </c>
      <c r="CP553" s="58"/>
    </row>
    <row r="554" spans="1:94" ht="17.25" hidden="1">
      <c r="A554" s="33">
        <v>550</v>
      </c>
      <c r="B554" s="55" t="s">
        <v>192</v>
      </c>
      <c r="C554" s="55" t="str">
        <f>IF(دانش‌آموزان!E50="","",دانش‌آموزان!B50)</f>
        <v/>
      </c>
      <c r="D554" s="55" t="str">
        <f>IF(دانش‌آموزان!C50="","",دانش‌آموزان!C50)</f>
        <v/>
      </c>
      <c r="E554" s="55" t="str">
        <f>IF(دانش‌آموزان!E50="","",دانش‌آموزان!E50&amp;" "&amp;دانش‌آموزان!F50)</f>
        <v/>
      </c>
      <c r="F554" s="34" t="str">
        <f>IF(دانش‌آموزان!I50="","",دانش‌آموزان!I50)</f>
        <v/>
      </c>
      <c r="G554" s="19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  <c r="BS554" s="20"/>
      <c r="BT554" s="20"/>
      <c r="BU554" s="20"/>
      <c r="BV554" s="20"/>
      <c r="BW554" s="20"/>
      <c r="BX554" s="20"/>
      <c r="BY554" s="20"/>
      <c r="BZ554" s="20"/>
      <c r="CA554" s="20"/>
      <c r="CB554" s="21"/>
      <c r="CC554" s="27" t="str">
        <f t="shared" si="88"/>
        <v/>
      </c>
      <c r="CD554" s="38" t="str">
        <f t="shared" si="89"/>
        <v/>
      </c>
      <c r="CE554" s="38" t="str">
        <f t="shared" si="90"/>
        <v/>
      </c>
      <c r="CF554" s="38" t="str">
        <f t="shared" si="91"/>
        <v/>
      </c>
      <c r="CG554" s="38" t="str">
        <f t="shared" si="92"/>
        <v/>
      </c>
      <c r="CH554" s="38" t="str">
        <f t="shared" si="93"/>
        <v/>
      </c>
      <c r="CI554" s="38" t="str">
        <f t="shared" si="94"/>
        <v/>
      </c>
      <c r="CJ554" s="38" t="str">
        <f t="shared" si="95"/>
        <v/>
      </c>
      <c r="CK554" s="38" t="str">
        <f t="shared" si="96"/>
        <v/>
      </c>
      <c r="CL554" s="38" t="str">
        <f>IF(C554="","",IF(COUNT(G554:AZ554)&lt;46,"",SUMPRODUCT(CC554:CK554,'تنظیمات وزن‌دهی'!$C$5:$C$13)/100))</f>
        <v/>
      </c>
      <c r="CM554" s="38" t="str">
        <f t="shared" si="97"/>
        <v/>
      </c>
      <c r="CN554" s="38">
        <v>10</v>
      </c>
      <c r="CO554" s="28" t="str">
        <f t="shared" si="98"/>
        <v/>
      </c>
      <c r="CP554" s="58"/>
    </row>
    <row r="555" spans="1:94" ht="17.25" hidden="1">
      <c r="A555" s="33">
        <v>551</v>
      </c>
      <c r="B555" s="55" t="s">
        <v>193</v>
      </c>
      <c r="C555" s="55" t="str">
        <f>IF(دانش‌آموزان!E50="","",دانش‌آموزان!B50)</f>
        <v/>
      </c>
      <c r="D555" s="55" t="str">
        <f>IF(دانش‌آموزان!C50="","",دانش‌آموزان!C50)</f>
        <v/>
      </c>
      <c r="E555" s="55" t="str">
        <f>IF(دانش‌آموزان!E50="","",دانش‌آموزان!E50&amp;" "&amp;دانش‌آموزان!F50)</f>
        <v/>
      </c>
      <c r="F555" s="34" t="str">
        <f>IF(دانش‌آموزان!I50="","",دانش‌آموزان!I50)</f>
        <v/>
      </c>
      <c r="G555" s="19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  <c r="BS555" s="20"/>
      <c r="BT555" s="20"/>
      <c r="BU555" s="20"/>
      <c r="BV555" s="20"/>
      <c r="BW555" s="20"/>
      <c r="BX555" s="20"/>
      <c r="BY555" s="20"/>
      <c r="BZ555" s="20"/>
      <c r="CA555" s="20"/>
      <c r="CB555" s="21"/>
      <c r="CC555" s="27" t="str">
        <f t="shared" si="88"/>
        <v/>
      </c>
      <c r="CD555" s="38" t="str">
        <f t="shared" si="89"/>
        <v/>
      </c>
      <c r="CE555" s="38" t="str">
        <f t="shared" si="90"/>
        <v/>
      </c>
      <c r="CF555" s="38" t="str">
        <f t="shared" si="91"/>
        <v/>
      </c>
      <c r="CG555" s="38" t="str">
        <f t="shared" si="92"/>
        <v/>
      </c>
      <c r="CH555" s="38" t="str">
        <f t="shared" si="93"/>
        <v/>
      </c>
      <c r="CI555" s="38" t="str">
        <f t="shared" si="94"/>
        <v/>
      </c>
      <c r="CJ555" s="38" t="str">
        <f t="shared" si="95"/>
        <v/>
      </c>
      <c r="CK555" s="38" t="str">
        <f t="shared" si="96"/>
        <v/>
      </c>
      <c r="CL555" s="38" t="str">
        <f>IF(C555="","",IF(COUNT(G555:AZ555)&lt;46,"",SUMPRODUCT(CC555:CK555,'تنظیمات وزن‌دهی'!$C$5:$C$13)/100))</f>
        <v/>
      </c>
      <c r="CM555" s="38" t="str">
        <f t="shared" si="97"/>
        <v/>
      </c>
      <c r="CN555" s="38">
        <v>11</v>
      </c>
      <c r="CO555" s="28" t="str">
        <f t="shared" si="98"/>
        <v/>
      </c>
      <c r="CP555" s="58"/>
    </row>
    <row r="556" spans="1:94" ht="17.25" hidden="1">
      <c r="A556" s="33">
        <v>552</v>
      </c>
      <c r="B556" s="55" t="s">
        <v>194</v>
      </c>
      <c r="C556" s="55" t="str">
        <f>IF(دانش‌آموزان!E50="","",دانش‌آموزان!B50)</f>
        <v/>
      </c>
      <c r="D556" s="55" t="str">
        <f>IF(دانش‌آموزان!C50="","",دانش‌آموزان!C50)</f>
        <v/>
      </c>
      <c r="E556" s="55" t="str">
        <f>IF(دانش‌آموزان!E50="","",دانش‌آموزان!E50&amp;" "&amp;دانش‌آموزان!F50)</f>
        <v/>
      </c>
      <c r="F556" s="34" t="str">
        <f>IF(دانش‌آموزان!I50="","",دانش‌آموزان!I50)</f>
        <v/>
      </c>
      <c r="G556" s="19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1"/>
      <c r="CC556" s="27" t="str">
        <f t="shared" si="88"/>
        <v/>
      </c>
      <c r="CD556" s="38" t="str">
        <f t="shared" si="89"/>
        <v/>
      </c>
      <c r="CE556" s="38" t="str">
        <f t="shared" si="90"/>
        <v/>
      </c>
      <c r="CF556" s="38" t="str">
        <f t="shared" si="91"/>
        <v/>
      </c>
      <c r="CG556" s="38" t="str">
        <f t="shared" si="92"/>
        <v/>
      </c>
      <c r="CH556" s="38" t="str">
        <f t="shared" si="93"/>
        <v/>
      </c>
      <c r="CI556" s="38" t="str">
        <f t="shared" si="94"/>
        <v/>
      </c>
      <c r="CJ556" s="38" t="str">
        <f t="shared" si="95"/>
        <v/>
      </c>
      <c r="CK556" s="38" t="str">
        <f t="shared" si="96"/>
        <v/>
      </c>
      <c r="CL556" s="38" t="str">
        <f>IF(C556="","",IF(COUNT(G556:AZ556)&lt;46,"",SUMPRODUCT(CC556:CK556,'تنظیمات وزن‌دهی'!$C$5:$C$13)/100))</f>
        <v/>
      </c>
      <c r="CM556" s="38" t="str">
        <f t="shared" si="97"/>
        <v/>
      </c>
      <c r="CN556" s="38">
        <v>12</v>
      </c>
      <c r="CO556" s="28" t="str">
        <f t="shared" si="98"/>
        <v/>
      </c>
      <c r="CP556" s="58"/>
    </row>
    <row r="557" spans="1:94" ht="17.25" hidden="1">
      <c r="A557" s="33">
        <v>553</v>
      </c>
      <c r="B557" s="55" t="s">
        <v>183</v>
      </c>
      <c r="C557" s="55" t="str">
        <f>IF(دانش‌آموزان!E51="","",دانش‌آموزان!B51)</f>
        <v/>
      </c>
      <c r="D557" s="55" t="str">
        <f>IF(دانش‌آموزان!C51="","",دانش‌آموزان!C51)</f>
        <v/>
      </c>
      <c r="E557" s="55" t="str">
        <f>IF(دانش‌آموزان!E51="","",دانش‌آموزان!E51&amp;" "&amp;دانش‌آموزان!F51)</f>
        <v/>
      </c>
      <c r="F557" s="34" t="str">
        <f>IF(دانش‌آموزان!I51="","",دانش‌آموزان!I51)</f>
        <v/>
      </c>
      <c r="G557" s="19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1"/>
      <c r="CC557" s="27" t="str">
        <f t="shared" si="88"/>
        <v/>
      </c>
      <c r="CD557" s="38" t="str">
        <f t="shared" si="89"/>
        <v/>
      </c>
      <c r="CE557" s="38" t="str">
        <f t="shared" si="90"/>
        <v/>
      </c>
      <c r="CF557" s="38" t="str">
        <f t="shared" si="91"/>
        <v/>
      </c>
      <c r="CG557" s="38" t="str">
        <f t="shared" si="92"/>
        <v/>
      </c>
      <c r="CH557" s="38" t="str">
        <f t="shared" si="93"/>
        <v/>
      </c>
      <c r="CI557" s="38" t="str">
        <f t="shared" si="94"/>
        <v/>
      </c>
      <c r="CJ557" s="38" t="str">
        <f t="shared" si="95"/>
        <v/>
      </c>
      <c r="CK557" s="38" t="str">
        <f t="shared" si="96"/>
        <v/>
      </c>
      <c r="CL557" s="38" t="str">
        <f>IF(C557="","",IF(COUNT(G557:AZ557)&lt;46,"",SUMPRODUCT(CC557:CK557,'تنظیمات وزن‌دهی'!$C$5:$C$13)/100))</f>
        <v/>
      </c>
      <c r="CM557" s="38" t="str">
        <f t="shared" si="97"/>
        <v/>
      </c>
      <c r="CN557" s="38">
        <v>1</v>
      </c>
      <c r="CO557" s="28" t="str">
        <f t="shared" si="98"/>
        <v/>
      </c>
      <c r="CP557" s="58"/>
    </row>
    <row r="558" spans="1:94" ht="17.25" hidden="1">
      <c r="A558" s="33">
        <v>554</v>
      </c>
      <c r="B558" s="55" t="s">
        <v>184</v>
      </c>
      <c r="C558" s="55" t="str">
        <f>IF(دانش‌آموزان!E51="","",دانش‌آموزان!B51)</f>
        <v/>
      </c>
      <c r="D558" s="55" t="str">
        <f>IF(دانش‌آموزان!C51="","",دانش‌آموزان!C51)</f>
        <v/>
      </c>
      <c r="E558" s="55" t="str">
        <f>IF(دانش‌آموزان!E51="","",دانش‌آموزان!E51&amp;" "&amp;دانش‌آموزان!F51)</f>
        <v/>
      </c>
      <c r="F558" s="34" t="str">
        <f>IF(دانش‌آموزان!I51="","",دانش‌آموزان!I51)</f>
        <v/>
      </c>
      <c r="G558" s="19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  <c r="BS558" s="20"/>
      <c r="BT558" s="20"/>
      <c r="BU558" s="20"/>
      <c r="BV558" s="20"/>
      <c r="BW558" s="20"/>
      <c r="BX558" s="20"/>
      <c r="BY558" s="20"/>
      <c r="BZ558" s="20"/>
      <c r="CA558" s="20"/>
      <c r="CB558" s="21"/>
      <c r="CC558" s="27" t="str">
        <f t="shared" si="88"/>
        <v/>
      </c>
      <c r="CD558" s="38" t="str">
        <f t="shared" si="89"/>
        <v/>
      </c>
      <c r="CE558" s="38" t="str">
        <f t="shared" si="90"/>
        <v/>
      </c>
      <c r="CF558" s="38" t="str">
        <f t="shared" si="91"/>
        <v/>
      </c>
      <c r="CG558" s="38" t="str">
        <f t="shared" si="92"/>
        <v/>
      </c>
      <c r="CH558" s="38" t="str">
        <f t="shared" si="93"/>
        <v/>
      </c>
      <c r="CI558" s="38" t="str">
        <f t="shared" si="94"/>
        <v/>
      </c>
      <c r="CJ558" s="38" t="str">
        <f t="shared" si="95"/>
        <v/>
      </c>
      <c r="CK558" s="38" t="str">
        <f t="shared" si="96"/>
        <v/>
      </c>
      <c r="CL558" s="38" t="str">
        <f>IF(C558="","",IF(COUNT(G558:AZ558)&lt;46,"",SUMPRODUCT(CC558:CK558,'تنظیمات وزن‌دهی'!$C$5:$C$13)/100))</f>
        <v/>
      </c>
      <c r="CM558" s="38" t="str">
        <f t="shared" si="97"/>
        <v/>
      </c>
      <c r="CN558" s="38">
        <v>2</v>
      </c>
      <c r="CO558" s="28" t="str">
        <f t="shared" si="98"/>
        <v/>
      </c>
      <c r="CP558" s="58"/>
    </row>
    <row r="559" spans="1:94" ht="17.25">
      <c r="A559" s="33">
        <v>555</v>
      </c>
      <c r="B559" s="55" t="s">
        <v>185</v>
      </c>
      <c r="C559" s="55" t="str">
        <f>IF(دانش‌آموزان!E51="","",دانش‌آموزان!B51)</f>
        <v/>
      </c>
      <c r="D559" s="55" t="str">
        <f>IF(دانش‌آموزان!C51="","",دانش‌آموزان!C51)</f>
        <v/>
      </c>
      <c r="E559" s="55" t="str">
        <f>IF(دانش‌آموزان!E51="","",دانش‌آموزان!E51&amp;" "&amp;دانش‌آموزان!F51)</f>
        <v/>
      </c>
      <c r="F559" s="34" t="str">
        <f>IF(دانش‌آموزان!I51="","",دانش‌آموزان!I51)</f>
        <v/>
      </c>
      <c r="G559" s="19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  <c r="BW559" s="20"/>
      <c r="BX559" s="20"/>
      <c r="BY559" s="20"/>
      <c r="BZ559" s="20"/>
      <c r="CA559" s="20"/>
      <c r="CB559" s="21"/>
      <c r="CC559" s="27" t="str">
        <f t="shared" si="88"/>
        <v/>
      </c>
      <c r="CD559" s="38" t="str">
        <f t="shared" si="89"/>
        <v/>
      </c>
      <c r="CE559" s="38" t="str">
        <f t="shared" si="90"/>
        <v/>
      </c>
      <c r="CF559" s="38" t="str">
        <f t="shared" si="91"/>
        <v/>
      </c>
      <c r="CG559" s="38" t="str">
        <f t="shared" si="92"/>
        <v/>
      </c>
      <c r="CH559" s="38" t="str">
        <f t="shared" si="93"/>
        <v/>
      </c>
      <c r="CI559" s="38" t="str">
        <f t="shared" si="94"/>
        <v/>
      </c>
      <c r="CJ559" s="38" t="str">
        <f t="shared" si="95"/>
        <v/>
      </c>
      <c r="CK559" s="38" t="str">
        <f t="shared" si="96"/>
        <v/>
      </c>
      <c r="CL559" s="38" t="str">
        <f>IF(C559="","",IF(COUNT(G559:AZ559)&lt;46,"",SUMPRODUCT(CC559:CK559,'تنظیمات وزن‌دهی'!$C$5:$C$13)/100))</f>
        <v/>
      </c>
      <c r="CM559" s="38" t="str">
        <f t="shared" si="97"/>
        <v/>
      </c>
      <c r="CN559" s="38">
        <v>3</v>
      </c>
      <c r="CO559" s="28" t="str">
        <f t="shared" si="98"/>
        <v/>
      </c>
      <c r="CP559" s="58"/>
    </row>
    <row r="560" spans="1:94" ht="17.25" hidden="1">
      <c r="A560" s="33">
        <v>556</v>
      </c>
      <c r="B560" s="55" t="s">
        <v>186</v>
      </c>
      <c r="C560" s="55" t="str">
        <f>IF(دانش‌آموزان!E51="","",دانش‌آموزان!B51)</f>
        <v/>
      </c>
      <c r="D560" s="55" t="str">
        <f>IF(دانش‌آموزان!C51="","",دانش‌آموزان!C51)</f>
        <v/>
      </c>
      <c r="E560" s="55" t="str">
        <f>IF(دانش‌آموزان!E51="","",دانش‌آموزان!E51&amp;" "&amp;دانش‌آموزان!F51)</f>
        <v/>
      </c>
      <c r="F560" s="34" t="str">
        <f>IF(دانش‌آموزان!I51="","",دانش‌آموزان!I51)</f>
        <v/>
      </c>
      <c r="G560" s="19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1"/>
      <c r="CC560" s="27" t="str">
        <f t="shared" si="88"/>
        <v/>
      </c>
      <c r="CD560" s="38" t="str">
        <f t="shared" si="89"/>
        <v/>
      </c>
      <c r="CE560" s="38" t="str">
        <f t="shared" si="90"/>
        <v/>
      </c>
      <c r="CF560" s="38" t="str">
        <f t="shared" si="91"/>
        <v/>
      </c>
      <c r="CG560" s="38" t="str">
        <f t="shared" si="92"/>
        <v/>
      </c>
      <c r="CH560" s="38" t="str">
        <f t="shared" si="93"/>
        <v/>
      </c>
      <c r="CI560" s="38" t="str">
        <f t="shared" si="94"/>
        <v/>
      </c>
      <c r="CJ560" s="38" t="str">
        <f t="shared" si="95"/>
        <v/>
      </c>
      <c r="CK560" s="38" t="str">
        <f t="shared" si="96"/>
        <v/>
      </c>
      <c r="CL560" s="38" t="str">
        <f>IF(C560="","",IF(COUNT(G560:AZ560)&lt;46,"",SUMPRODUCT(CC560:CK560,'تنظیمات وزن‌دهی'!$C$5:$C$13)/100))</f>
        <v/>
      </c>
      <c r="CM560" s="38" t="str">
        <f t="shared" si="97"/>
        <v/>
      </c>
      <c r="CN560" s="38">
        <v>4</v>
      </c>
      <c r="CO560" s="28" t="str">
        <f t="shared" si="98"/>
        <v/>
      </c>
      <c r="CP560" s="58"/>
    </row>
    <row r="561" spans="1:94" ht="17.25" hidden="1">
      <c r="A561" s="33">
        <v>557</v>
      </c>
      <c r="B561" s="55" t="s">
        <v>187</v>
      </c>
      <c r="C561" s="55" t="str">
        <f>IF(دانش‌آموزان!E51="","",دانش‌آموزان!B51)</f>
        <v/>
      </c>
      <c r="D561" s="55" t="str">
        <f>IF(دانش‌آموزان!C51="","",دانش‌آموزان!C51)</f>
        <v/>
      </c>
      <c r="E561" s="55" t="str">
        <f>IF(دانش‌آموزان!E51="","",دانش‌آموزان!E51&amp;" "&amp;دانش‌آموزان!F51)</f>
        <v/>
      </c>
      <c r="F561" s="34" t="str">
        <f>IF(دانش‌آموزان!I51="","",دانش‌آموزان!I51)</f>
        <v/>
      </c>
      <c r="G561" s="19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1"/>
      <c r="CC561" s="27" t="str">
        <f t="shared" si="88"/>
        <v/>
      </c>
      <c r="CD561" s="38" t="str">
        <f t="shared" si="89"/>
        <v/>
      </c>
      <c r="CE561" s="38" t="str">
        <f t="shared" si="90"/>
        <v/>
      </c>
      <c r="CF561" s="38" t="str">
        <f t="shared" si="91"/>
        <v/>
      </c>
      <c r="CG561" s="38" t="str">
        <f t="shared" si="92"/>
        <v/>
      </c>
      <c r="CH561" s="38" t="str">
        <f t="shared" si="93"/>
        <v/>
      </c>
      <c r="CI561" s="38" t="str">
        <f t="shared" si="94"/>
        <v/>
      </c>
      <c r="CJ561" s="38" t="str">
        <f t="shared" si="95"/>
        <v/>
      </c>
      <c r="CK561" s="38" t="str">
        <f t="shared" si="96"/>
        <v/>
      </c>
      <c r="CL561" s="38" t="str">
        <f>IF(C561="","",IF(COUNT(G561:AZ561)&lt;46,"",SUMPRODUCT(CC561:CK561,'تنظیمات وزن‌دهی'!$C$5:$C$13)/100))</f>
        <v/>
      </c>
      <c r="CM561" s="38" t="str">
        <f t="shared" si="97"/>
        <v/>
      </c>
      <c r="CN561" s="38">
        <v>5</v>
      </c>
      <c r="CO561" s="28" t="str">
        <f t="shared" si="98"/>
        <v/>
      </c>
      <c r="CP561" s="58"/>
    </row>
    <row r="562" spans="1:94" ht="17.25" hidden="1">
      <c r="A562" s="33">
        <v>558</v>
      </c>
      <c r="B562" s="55" t="s">
        <v>188</v>
      </c>
      <c r="C562" s="55" t="str">
        <f>IF(دانش‌آموزان!E51="","",دانش‌آموزان!B51)</f>
        <v/>
      </c>
      <c r="D562" s="55" t="str">
        <f>IF(دانش‌آموزان!C51="","",دانش‌آموزان!C51)</f>
        <v/>
      </c>
      <c r="E562" s="55" t="str">
        <f>IF(دانش‌آموزان!E51="","",دانش‌آموزان!E51&amp;" "&amp;دانش‌آموزان!F51)</f>
        <v/>
      </c>
      <c r="F562" s="34" t="str">
        <f>IF(دانش‌آموزان!I51="","",دانش‌آموزان!I51)</f>
        <v/>
      </c>
      <c r="G562" s="19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1"/>
      <c r="CC562" s="27" t="str">
        <f t="shared" si="88"/>
        <v/>
      </c>
      <c r="CD562" s="38" t="str">
        <f t="shared" si="89"/>
        <v/>
      </c>
      <c r="CE562" s="38" t="str">
        <f t="shared" si="90"/>
        <v/>
      </c>
      <c r="CF562" s="38" t="str">
        <f t="shared" si="91"/>
        <v/>
      </c>
      <c r="CG562" s="38" t="str">
        <f t="shared" si="92"/>
        <v/>
      </c>
      <c r="CH562" s="38" t="str">
        <f t="shared" si="93"/>
        <v/>
      </c>
      <c r="CI562" s="38" t="str">
        <f t="shared" si="94"/>
        <v/>
      </c>
      <c r="CJ562" s="38" t="str">
        <f t="shared" si="95"/>
        <v/>
      </c>
      <c r="CK562" s="38" t="str">
        <f t="shared" si="96"/>
        <v/>
      </c>
      <c r="CL562" s="38" t="str">
        <f>IF(C562="","",IF(COUNT(G562:AZ562)&lt;46,"",SUMPRODUCT(CC562:CK562,'تنظیمات وزن‌دهی'!$C$5:$C$13)/100))</f>
        <v/>
      </c>
      <c r="CM562" s="38" t="str">
        <f t="shared" si="97"/>
        <v/>
      </c>
      <c r="CN562" s="38">
        <v>6</v>
      </c>
      <c r="CO562" s="28" t="str">
        <f t="shared" si="98"/>
        <v/>
      </c>
      <c r="CP562" s="58"/>
    </row>
    <row r="563" spans="1:94" ht="17.25" hidden="1">
      <c r="A563" s="33">
        <v>559</v>
      </c>
      <c r="B563" s="55" t="s">
        <v>189</v>
      </c>
      <c r="C563" s="55" t="str">
        <f>IF(دانش‌آموزان!E51="","",دانش‌آموزان!B51)</f>
        <v/>
      </c>
      <c r="D563" s="55" t="str">
        <f>IF(دانش‌آموزان!C51="","",دانش‌آموزان!C51)</f>
        <v/>
      </c>
      <c r="E563" s="55" t="str">
        <f>IF(دانش‌آموزان!E51="","",دانش‌آموزان!E51&amp;" "&amp;دانش‌آموزان!F51)</f>
        <v/>
      </c>
      <c r="F563" s="34" t="str">
        <f>IF(دانش‌آموزان!I51="","",دانش‌آموزان!I51)</f>
        <v/>
      </c>
      <c r="G563" s="19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1"/>
      <c r="CC563" s="27" t="str">
        <f t="shared" si="88"/>
        <v/>
      </c>
      <c r="CD563" s="38" t="str">
        <f t="shared" si="89"/>
        <v/>
      </c>
      <c r="CE563" s="38" t="str">
        <f t="shared" si="90"/>
        <v/>
      </c>
      <c r="CF563" s="38" t="str">
        <f t="shared" si="91"/>
        <v/>
      </c>
      <c r="CG563" s="38" t="str">
        <f t="shared" si="92"/>
        <v/>
      </c>
      <c r="CH563" s="38" t="str">
        <f t="shared" si="93"/>
        <v/>
      </c>
      <c r="CI563" s="38" t="str">
        <f t="shared" si="94"/>
        <v/>
      </c>
      <c r="CJ563" s="38" t="str">
        <f t="shared" si="95"/>
        <v/>
      </c>
      <c r="CK563" s="38" t="str">
        <f t="shared" si="96"/>
        <v/>
      </c>
      <c r="CL563" s="38" t="str">
        <f>IF(C563="","",IF(COUNT(G563:AZ563)&lt;46,"",SUMPRODUCT(CC563:CK563,'تنظیمات وزن‌دهی'!$C$5:$C$13)/100))</f>
        <v/>
      </c>
      <c r="CM563" s="38" t="str">
        <f t="shared" si="97"/>
        <v/>
      </c>
      <c r="CN563" s="38">
        <v>7</v>
      </c>
      <c r="CO563" s="28" t="str">
        <f t="shared" si="98"/>
        <v/>
      </c>
      <c r="CP563" s="58"/>
    </row>
    <row r="564" spans="1:94" ht="17.25" hidden="1">
      <c r="A564" s="33">
        <v>560</v>
      </c>
      <c r="B564" s="55" t="s">
        <v>190</v>
      </c>
      <c r="C564" s="55" t="str">
        <f>IF(دانش‌آموزان!E51="","",دانش‌آموزان!B51)</f>
        <v/>
      </c>
      <c r="D564" s="55" t="str">
        <f>IF(دانش‌آموزان!C51="","",دانش‌آموزان!C51)</f>
        <v/>
      </c>
      <c r="E564" s="55" t="str">
        <f>IF(دانش‌آموزان!E51="","",دانش‌آموزان!E51&amp;" "&amp;دانش‌آموزان!F51)</f>
        <v/>
      </c>
      <c r="F564" s="34" t="str">
        <f>IF(دانش‌آموزان!I51="","",دانش‌آموزان!I51)</f>
        <v/>
      </c>
      <c r="G564" s="19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  <c r="BW564" s="20"/>
      <c r="BX564" s="20"/>
      <c r="BY564" s="20"/>
      <c r="BZ564" s="20"/>
      <c r="CA564" s="20"/>
      <c r="CB564" s="21"/>
      <c r="CC564" s="27" t="str">
        <f t="shared" si="88"/>
        <v/>
      </c>
      <c r="CD564" s="38" t="str">
        <f t="shared" si="89"/>
        <v/>
      </c>
      <c r="CE564" s="38" t="str">
        <f t="shared" si="90"/>
        <v/>
      </c>
      <c r="CF564" s="38" t="str">
        <f t="shared" si="91"/>
        <v/>
      </c>
      <c r="CG564" s="38" t="str">
        <f t="shared" si="92"/>
        <v/>
      </c>
      <c r="CH564" s="38" t="str">
        <f t="shared" si="93"/>
        <v/>
      </c>
      <c r="CI564" s="38" t="str">
        <f t="shared" si="94"/>
        <v/>
      </c>
      <c r="CJ564" s="38" t="str">
        <f t="shared" si="95"/>
        <v/>
      </c>
      <c r="CK564" s="38" t="str">
        <f t="shared" si="96"/>
        <v/>
      </c>
      <c r="CL564" s="38" t="str">
        <f>IF(C564="","",IF(COUNT(G564:AZ564)&lt;46,"",SUMPRODUCT(CC564:CK564,'تنظیمات وزن‌دهی'!$C$5:$C$13)/100))</f>
        <v/>
      </c>
      <c r="CM564" s="38" t="str">
        <f t="shared" si="97"/>
        <v/>
      </c>
      <c r="CN564" s="38">
        <v>8</v>
      </c>
      <c r="CO564" s="28" t="str">
        <f t="shared" si="98"/>
        <v/>
      </c>
      <c r="CP564" s="58"/>
    </row>
    <row r="565" spans="1:94" ht="17.25" hidden="1">
      <c r="A565" s="33">
        <v>561</v>
      </c>
      <c r="B565" s="55" t="s">
        <v>191</v>
      </c>
      <c r="C565" s="55" t="str">
        <f>IF(دانش‌آموزان!E51="","",دانش‌آموزان!B51)</f>
        <v/>
      </c>
      <c r="D565" s="55" t="str">
        <f>IF(دانش‌آموزان!C51="","",دانش‌آموزان!C51)</f>
        <v/>
      </c>
      <c r="E565" s="55" t="str">
        <f>IF(دانش‌آموزان!E51="","",دانش‌آموزان!E51&amp;" "&amp;دانش‌آموزان!F51)</f>
        <v/>
      </c>
      <c r="F565" s="34" t="str">
        <f>IF(دانش‌آموزان!I51="","",دانش‌آموزان!I51)</f>
        <v/>
      </c>
      <c r="G565" s="19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  <c r="CA565" s="20"/>
      <c r="CB565" s="21"/>
      <c r="CC565" s="27" t="str">
        <f t="shared" si="88"/>
        <v/>
      </c>
      <c r="CD565" s="38" t="str">
        <f t="shared" si="89"/>
        <v/>
      </c>
      <c r="CE565" s="38" t="str">
        <f t="shared" si="90"/>
        <v/>
      </c>
      <c r="CF565" s="38" t="str">
        <f t="shared" si="91"/>
        <v/>
      </c>
      <c r="CG565" s="38" t="str">
        <f t="shared" si="92"/>
        <v/>
      </c>
      <c r="CH565" s="38" t="str">
        <f t="shared" si="93"/>
        <v/>
      </c>
      <c r="CI565" s="38" t="str">
        <f t="shared" si="94"/>
        <v/>
      </c>
      <c r="CJ565" s="38" t="str">
        <f t="shared" si="95"/>
        <v/>
      </c>
      <c r="CK565" s="38" t="str">
        <f t="shared" si="96"/>
        <v/>
      </c>
      <c r="CL565" s="38" t="str">
        <f>IF(C565="","",IF(COUNT(G565:AZ565)&lt;46,"",SUMPRODUCT(CC565:CK565,'تنظیمات وزن‌دهی'!$C$5:$C$13)/100))</f>
        <v/>
      </c>
      <c r="CM565" s="38" t="str">
        <f t="shared" si="97"/>
        <v/>
      </c>
      <c r="CN565" s="38">
        <v>9</v>
      </c>
      <c r="CO565" s="28" t="str">
        <f t="shared" si="98"/>
        <v/>
      </c>
      <c r="CP565" s="58"/>
    </row>
    <row r="566" spans="1:94" ht="17.25" hidden="1">
      <c r="A566" s="33">
        <v>562</v>
      </c>
      <c r="B566" s="55" t="s">
        <v>192</v>
      </c>
      <c r="C566" s="55" t="str">
        <f>IF(دانش‌آموزان!E51="","",دانش‌آموزان!B51)</f>
        <v/>
      </c>
      <c r="D566" s="55" t="str">
        <f>IF(دانش‌آموزان!C51="","",دانش‌آموزان!C51)</f>
        <v/>
      </c>
      <c r="E566" s="55" t="str">
        <f>IF(دانش‌آموزان!E51="","",دانش‌آموزان!E51&amp;" "&amp;دانش‌آموزان!F51)</f>
        <v/>
      </c>
      <c r="F566" s="34" t="str">
        <f>IF(دانش‌آموزان!I51="","",دانش‌آموزان!I51)</f>
        <v/>
      </c>
      <c r="G566" s="19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  <c r="CA566" s="20"/>
      <c r="CB566" s="21"/>
      <c r="CC566" s="27" t="str">
        <f t="shared" si="88"/>
        <v/>
      </c>
      <c r="CD566" s="38" t="str">
        <f t="shared" si="89"/>
        <v/>
      </c>
      <c r="CE566" s="38" t="str">
        <f t="shared" si="90"/>
        <v/>
      </c>
      <c r="CF566" s="38" t="str">
        <f t="shared" si="91"/>
        <v/>
      </c>
      <c r="CG566" s="38" t="str">
        <f t="shared" si="92"/>
        <v/>
      </c>
      <c r="CH566" s="38" t="str">
        <f t="shared" si="93"/>
        <v/>
      </c>
      <c r="CI566" s="38" t="str">
        <f t="shared" si="94"/>
        <v/>
      </c>
      <c r="CJ566" s="38" t="str">
        <f t="shared" si="95"/>
        <v/>
      </c>
      <c r="CK566" s="38" t="str">
        <f t="shared" si="96"/>
        <v/>
      </c>
      <c r="CL566" s="38" t="str">
        <f>IF(C566="","",IF(COUNT(G566:AZ566)&lt;46,"",SUMPRODUCT(CC566:CK566,'تنظیمات وزن‌دهی'!$C$5:$C$13)/100))</f>
        <v/>
      </c>
      <c r="CM566" s="38" t="str">
        <f t="shared" si="97"/>
        <v/>
      </c>
      <c r="CN566" s="38">
        <v>10</v>
      </c>
      <c r="CO566" s="28" t="str">
        <f t="shared" si="98"/>
        <v/>
      </c>
      <c r="CP566" s="58"/>
    </row>
    <row r="567" spans="1:94" ht="17.25" hidden="1">
      <c r="A567" s="33">
        <v>563</v>
      </c>
      <c r="B567" s="55" t="s">
        <v>193</v>
      </c>
      <c r="C567" s="55" t="str">
        <f>IF(دانش‌آموزان!E51="","",دانش‌آموزان!B51)</f>
        <v/>
      </c>
      <c r="D567" s="55" t="str">
        <f>IF(دانش‌آموزان!C51="","",دانش‌آموزان!C51)</f>
        <v/>
      </c>
      <c r="E567" s="55" t="str">
        <f>IF(دانش‌آموزان!E51="","",دانش‌آموزان!E51&amp;" "&amp;دانش‌آموزان!F51)</f>
        <v/>
      </c>
      <c r="F567" s="34" t="str">
        <f>IF(دانش‌آموزان!I51="","",دانش‌آموزان!I51)</f>
        <v/>
      </c>
      <c r="G567" s="19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  <c r="BS567" s="20"/>
      <c r="BT567" s="20"/>
      <c r="BU567" s="20"/>
      <c r="BV567" s="20"/>
      <c r="BW567" s="20"/>
      <c r="BX567" s="20"/>
      <c r="BY567" s="20"/>
      <c r="BZ567" s="20"/>
      <c r="CA567" s="20"/>
      <c r="CB567" s="21"/>
      <c r="CC567" s="27" t="str">
        <f t="shared" si="88"/>
        <v/>
      </c>
      <c r="CD567" s="38" t="str">
        <f t="shared" si="89"/>
        <v/>
      </c>
      <c r="CE567" s="38" t="str">
        <f t="shared" si="90"/>
        <v/>
      </c>
      <c r="CF567" s="38" t="str">
        <f t="shared" si="91"/>
        <v/>
      </c>
      <c r="CG567" s="38" t="str">
        <f t="shared" si="92"/>
        <v/>
      </c>
      <c r="CH567" s="38" t="str">
        <f t="shared" si="93"/>
        <v/>
      </c>
      <c r="CI567" s="38" t="str">
        <f t="shared" si="94"/>
        <v/>
      </c>
      <c r="CJ567" s="38" t="str">
        <f t="shared" si="95"/>
        <v/>
      </c>
      <c r="CK567" s="38" t="str">
        <f t="shared" si="96"/>
        <v/>
      </c>
      <c r="CL567" s="38" t="str">
        <f>IF(C567="","",IF(COUNT(G567:AZ567)&lt;46,"",SUMPRODUCT(CC567:CK567,'تنظیمات وزن‌دهی'!$C$5:$C$13)/100))</f>
        <v/>
      </c>
      <c r="CM567" s="38" t="str">
        <f t="shared" si="97"/>
        <v/>
      </c>
      <c r="CN567" s="38">
        <v>11</v>
      </c>
      <c r="CO567" s="28" t="str">
        <f t="shared" si="98"/>
        <v/>
      </c>
      <c r="CP567" s="58"/>
    </row>
    <row r="568" spans="1:94" ht="17.25" hidden="1">
      <c r="A568" s="33">
        <v>564</v>
      </c>
      <c r="B568" s="55" t="s">
        <v>194</v>
      </c>
      <c r="C568" s="55" t="str">
        <f>IF(دانش‌آموزان!E51="","",دانش‌آموزان!B51)</f>
        <v/>
      </c>
      <c r="D568" s="55" t="str">
        <f>IF(دانش‌آموزان!C51="","",دانش‌آموزان!C51)</f>
        <v/>
      </c>
      <c r="E568" s="55" t="str">
        <f>IF(دانش‌آموزان!E51="","",دانش‌آموزان!E51&amp;" "&amp;دانش‌آموزان!F51)</f>
        <v/>
      </c>
      <c r="F568" s="34" t="str">
        <f>IF(دانش‌آموزان!I51="","",دانش‌آموزان!I51)</f>
        <v/>
      </c>
      <c r="G568" s="19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  <c r="BW568" s="20"/>
      <c r="BX568" s="20"/>
      <c r="BY568" s="20"/>
      <c r="BZ568" s="20"/>
      <c r="CA568" s="20"/>
      <c r="CB568" s="21"/>
      <c r="CC568" s="27" t="str">
        <f t="shared" si="88"/>
        <v/>
      </c>
      <c r="CD568" s="38" t="str">
        <f t="shared" si="89"/>
        <v/>
      </c>
      <c r="CE568" s="38" t="str">
        <f t="shared" si="90"/>
        <v/>
      </c>
      <c r="CF568" s="38" t="str">
        <f t="shared" si="91"/>
        <v/>
      </c>
      <c r="CG568" s="38" t="str">
        <f t="shared" si="92"/>
        <v/>
      </c>
      <c r="CH568" s="38" t="str">
        <f t="shared" si="93"/>
        <v/>
      </c>
      <c r="CI568" s="38" t="str">
        <f t="shared" si="94"/>
        <v/>
      </c>
      <c r="CJ568" s="38" t="str">
        <f t="shared" si="95"/>
        <v/>
      </c>
      <c r="CK568" s="38" t="str">
        <f t="shared" si="96"/>
        <v/>
      </c>
      <c r="CL568" s="38" t="str">
        <f>IF(C568="","",IF(COUNT(G568:AZ568)&lt;46,"",SUMPRODUCT(CC568:CK568,'تنظیمات وزن‌دهی'!$C$5:$C$13)/100))</f>
        <v/>
      </c>
      <c r="CM568" s="38" t="str">
        <f t="shared" si="97"/>
        <v/>
      </c>
      <c r="CN568" s="38">
        <v>12</v>
      </c>
      <c r="CO568" s="28" t="str">
        <f t="shared" si="98"/>
        <v/>
      </c>
      <c r="CP568" s="58"/>
    </row>
    <row r="569" spans="1:94" ht="17.25" hidden="1">
      <c r="A569" s="33">
        <v>565</v>
      </c>
      <c r="B569" s="55" t="s">
        <v>183</v>
      </c>
      <c r="C569" s="55" t="str">
        <f>IF(دانش‌آموزان!E52="","",دانش‌آموزان!B52)</f>
        <v/>
      </c>
      <c r="D569" s="55" t="str">
        <f>IF(دانش‌آموزان!C52="","",دانش‌آموزان!C52)</f>
        <v/>
      </c>
      <c r="E569" s="55" t="str">
        <f>IF(دانش‌آموزان!E52="","",دانش‌آموزان!E52&amp;" "&amp;دانش‌آموزان!F52)</f>
        <v/>
      </c>
      <c r="F569" s="34" t="str">
        <f>IF(دانش‌آموزان!I52="","",دانش‌آموزان!I52)</f>
        <v/>
      </c>
      <c r="G569" s="19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/>
      <c r="CB569" s="21"/>
      <c r="CC569" s="27" t="str">
        <f t="shared" si="88"/>
        <v/>
      </c>
      <c r="CD569" s="38" t="str">
        <f t="shared" si="89"/>
        <v/>
      </c>
      <c r="CE569" s="38" t="str">
        <f t="shared" si="90"/>
        <v/>
      </c>
      <c r="CF569" s="38" t="str">
        <f t="shared" si="91"/>
        <v/>
      </c>
      <c r="CG569" s="38" t="str">
        <f t="shared" si="92"/>
        <v/>
      </c>
      <c r="CH569" s="38" t="str">
        <f t="shared" si="93"/>
        <v/>
      </c>
      <c r="CI569" s="38" t="str">
        <f t="shared" si="94"/>
        <v/>
      </c>
      <c r="CJ569" s="38" t="str">
        <f t="shared" si="95"/>
        <v/>
      </c>
      <c r="CK569" s="38" t="str">
        <f t="shared" si="96"/>
        <v/>
      </c>
      <c r="CL569" s="38" t="str">
        <f>IF(C569="","",IF(COUNT(G569:AZ569)&lt;46,"",SUMPRODUCT(CC569:CK569,'تنظیمات وزن‌دهی'!$C$5:$C$13)/100))</f>
        <v/>
      </c>
      <c r="CM569" s="38" t="str">
        <f t="shared" si="97"/>
        <v/>
      </c>
      <c r="CN569" s="38">
        <v>1</v>
      </c>
      <c r="CO569" s="28" t="str">
        <f t="shared" si="98"/>
        <v/>
      </c>
      <c r="CP569" s="58"/>
    </row>
    <row r="570" spans="1:94" ht="17.25" hidden="1">
      <c r="A570" s="33">
        <v>566</v>
      </c>
      <c r="B570" s="55" t="s">
        <v>184</v>
      </c>
      <c r="C570" s="55" t="str">
        <f>IF(دانش‌آموزان!E52="","",دانش‌آموزان!B52)</f>
        <v/>
      </c>
      <c r="D570" s="55" t="str">
        <f>IF(دانش‌آموزان!C52="","",دانش‌آموزان!C52)</f>
        <v/>
      </c>
      <c r="E570" s="55" t="str">
        <f>IF(دانش‌آموزان!E52="","",دانش‌آموزان!E52&amp;" "&amp;دانش‌آموزان!F52)</f>
        <v/>
      </c>
      <c r="F570" s="34" t="str">
        <f>IF(دانش‌آموزان!I52="","",دانش‌آموزان!I52)</f>
        <v/>
      </c>
      <c r="G570" s="19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20"/>
      <c r="BX570" s="20"/>
      <c r="BY570" s="20"/>
      <c r="BZ570" s="20"/>
      <c r="CA570" s="20"/>
      <c r="CB570" s="21"/>
      <c r="CC570" s="27" t="str">
        <f t="shared" si="88"/>
        <v/>
      </c>
      <c r="CD570" s="38" t="str">
        <f t="shared" si="89"/>
        <v/>
      </c>
      <c r="CE570" s="38" t="str">
        <f t="shared" si="90"/>
        <v/>
      </c>
      <c r="CF570" s="38" t="str">
        <f t="shared" si="91"/>
        <v/>
      </c>
      <c r="CG570" s="38" t="str">
        <f t="shared" si="92"/>
        <v/>
      </c>
      <c r="CH570" s="38" t="str">
        <f t="shared" si="93"/>
        <v/>
      </c>
      <c r="CI570" s="38" t="str">
        <f t="shared" si="94"/>
        <v/>
      </c>
      <c r="CJ570" s="38" t="str">
        <f t="shared" si="95"/>
        <v/>
      </c>
      <c r="CK570" s="38" t="str">
        <f t="shared" si="96"/>
        <v/>
      </c>
      <c r="CL570" s="38" t="str">
        <f>IF(C570="","",IF(COUNT(G570:AZ570)&lt;46,"",SUMPRODUCT(CC570:CK570,'تنظیمات وزن‌دهی'!$C$5:$C$13)/100))</f>
        <v/>
      </c>
      <c r="CM570" s="38" t="str">
        <f t="shared" si="97"/>
        <v/>
      </c>
      <c r="CN570" s="38">
        <v>2</v>
      </c>
      <c r="CO570" s="28" t="str">
        <f t="shared" si="98"/>
        <v/>
      </c>
      <c r="CP570" s="58"/>
    </row>
    <row r="571" spans="1:94" ht="17.25">
      <c r="A571" s="33">
        <v>567</v>
      </c>
      <c r="B571" s="55" t="s">
        <v>185</v>
      </c>
      <c r="C571" s="55" t="str">
        <f>IF(دانش‌آموزان!E52="","",دانش‌آموزان!B52)</f>
        <v/>
      </c>
      <c r="D571" s="55" t="str">
        <f>IF(دانش‌آموزان!C52="","",دانش‌آموزان!C52)</f>
        <v/>
      </c>
      <c r="E571" s="55" t="str">
        <f>IF(دانش‌آموزان!E52="","",دانش‌آموزان!E52&amp;" "&amp;دانش‌آموزان!F52)</f>
        <v/>
      </c>
      <c r="F571" s="34" t="str">
        <f>IF(دانش‌آموزان!I52="","",دانش‌آموزان!I52)</f>
        <v/>
      </c>
      <c r="G571" s="19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  <c r="CA571" s="20"/>
      <c r="CB571" s="21"/>
      <c r="CC571" s="27" t="str">
        <f t="shared" si="88"/>
        <v/>
      </c>
      <c r="CD571" s="38" t="str">
        <f t="shared" si="89"/>
        <v/>
      </c>
      <c r="CE571" s="38" t="str">
        <f t="shared" si="90"/>
        <v/>
      </c>
      <c r="CF571" s="38" t="str">
        <f t="shared" si="91"/>
        <v/>
      </c>
      <c r="CG571" s="38" t="str">
        <f t="shared" si="92"/>
        <v/>
      </c>
      <c r="CH571" s="38" t="str">
        <f t="shared" si="93"/>
        <v/>
      </c>
      <c r="CI571" s="38" t="str">
        <f t="shared" si="94"/>
        <v/>
      </c>
      <c r="CJ571" s="38" t="str">
        <f t="shared" si="95"/>
        <v/>
      </c>
      <c r="CK571" s="38" t="str">
        <f t="shared" si="96"/>
        <v/>
      </c>
      <c r="CL571" s="38" t="str">
        <f>IF(C571="","",IF(COUNT(G571:AZ571)&lt;46,"",SUMPRODUCT(CC571:CK571,'تنظیمات وزن‌دهی'!$C$5:$C$13)/100))</f>
        <v/>
      </c>
      <c r="CM571" s="38" t="str">
        <f t="shared" si="97"/>
        <v/>
      </c>
      <c r="CN571" s="38">
        <v>3</v>
      </c>
      <c r="CO571" s="28" t="str">
        <f t="shared" si="98"/>
        <v/>
      </c>
      <c r="CP571" s="58"/>
    </row>
    <row r="572" spans="1:94" ht="17.25" hidden="1">
      <c r="A572" s="33">
        <v>568</v>
      </c>
      <c r="B572" s="55" t="s">
        <v>186</v>
      </c>
      <c r="C572" s="55" t="str">
        <f>IF(دانش‌آموزان!E52="","",دانش‌آموزان!B52)</f>
        <v/>
      </c>
      <c r="D572" s="55" t="str">
        <f>IF(دانش‌آموزان!C52="","",دانش‌آموزان!C52)</f>
        <v/>
      </c>
      <c r="E572" s="55" t="str">
        <f>IF(دانش‌آموزان!E52="","",دانش‌آموزان!E52&amp;" "&amp;دانش‌آموزان!F52)</f>
        <v/>
      </c>
      <c r="F572" s="34" t="str">
        <f>IF(دانش‌آموزان!I52="","",دانش‌آموزان!I52)</f>
        <v/>
      </c>
      <c r="G572" s="19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  <c r="CA572" s="20"/>
      <c r="CB572" s="21"/>
      <c r="CC572" s="27" t="str">
        <f t="shared" si="88"/>
        <v/>
      </c>
      <c r="CD572" s="38" t="str">
        <f t="shared" si="89"/>
        <v/>
      </c>
      <c r="CE572" s="38" t="str">
        <f t="shared" si="90"/>
        <v/>
      </c>
      <c r="CF572" s="38" t="str">
        <f t="shared" si="91"/>
        <v/>
      </c>
      <c r="CG572" s="38" t="str">
        <f t="shared" si="92"/>
        <v/>
      </c>
      <c r="CH572" s="38" t="str">
        <f t="shared" si="93"/>
        <v/>
      </c>
      <c r="CI572" s="38" t="str">
        <f t="shared" si="94"/>
        <v/>
      </c>
      <c r="CJ572" s="38" t="str">
        <f t="shared" si="95"/>
        <v/>
      </c>
      <c r="CK572" s="38" t="str">
        <f t="shared" si="96"/>
        <v/>
      </c>
      <c r="CL572" s="38" t="str">
        <f>IF(C572="","",IF(COUNT(G572:AZ572)&lt;46,"",SUMPRODUCT(CC572:CK572,'تنظیمات وزن‌دهی'!$C$5:$C$13)/100))</f>
        <v/>
      </c>
      <c r="CM572" s="38" t="str">
        <f t="shared" si="97"/>
        <v/>
      </c>
      <c r="CN572" s="38">
        <v>4</v>
      </c>
      <c r="CO572" s="28" t="str">
        <f t="shared" si="98"/>
        <v/>
      </c>
      <c r="CP572" s="58"/>
    </row>
    <row r="573" spans="1:94" ht="17.25" hidden="1">
      <c r="A573" s="33">
        <v>569</v>
      </c>
      <c r="B573" s="55" t="s">
        <v>187</v>
      </c>
      <c r="C573" s="55" t="str">
        <f>IF(دانش‌آموزان!E52="","",دانش‌آموزان!B52)</f>
        <v/>
      </c>
      <c r="D573" s="55" t="str">
        <f>IF(دانش‌آموزان!C52="","",دانش‌آموزان!C52)</f>
        <v/>
      </c>
      <c r="E573" s="55" t="str">
        <f>IF(دانش‌آموزان!E52="","",دانش‌آموزان!E52&amp;" "&amp;دانش‌آموزان!F52)</f>
        <v/>
      </c>
      <c r="F573" s="34" t="str">
        <f>IF(دانش‌آموزان!I52="","",دانش‌آموزان!I52)</f>
        <v/>
      </c>
      <c r="G573" s="19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1"/>
      <c r="CC573" s="27" t="str">
        <f t="shared" si="88"/>
        <v/>
      </c>
      <c r="CD573" s="38" t="str">
        <f t="shared" si="89"/>
        <v/>
      </c>
      <c r="CE573" s="38" t="str">
        <f t="shared" si="90"/>
        <v/>
      </c>
      <c r="CF573" s="38" t="str">
        <f t="shared" si="91"/>
        <v/>
      </c>
      <c r="CG573" s="38" t="str">
        <f t="shared" si="92"/>
        <v/>
      </c>
      <c r="CH573" s="38" t="str">
        <f t="shared" si="93"/>
        <v/>
      </c>
      <c r="CI573" s="38" t="str">
        <f t="shared" si="94"/>
        <v/>
      </c>
      <c r="CJ573" s="38" t="str">
        <f t="shared" si="95"/>
        <v/>
      </c>
      <c r="CK573" s="38" t="str">
        <f t="shared" si="96"/>
        <v/>
      </c>
      <c r="CL573" s="38" t="str">
        <f>IF(C573="","",IF(COUNT(G573:AZ573)&lt;46,"",SUMPRODUCT(CC573:CK573,'تنظیمات وزن‌دهی'!$C$5:$C$13)/100))</f>
        <v/>
      </c>
      <c r="CM573" s="38" t="str">
        <f t="shared" si="97"/>
        <v/>
      </c>
      <c r="CN573" s="38">
        <v>5</v>
      </c>
      <c r="CO573" s="28" t="str">
        <f t="shared" si="98"/>
        <v/>
      </c>
      <c r="CP573" s="58"/>
    </row>
    <row r="574" spans="1:94" ht="17.25" hidden="1">
      <c r="A574" s="33">
        <v>570</v>
      </c>
      <c r="B574" s="55" t="s">
        <v>188</v>
      </c>
      <c r="C574" s="55" t="str">
        <f>IF(دانش‌آموزان!E52="","",دانش‌آموزان!B52)</f>
        <v/>
      </c>
      <c r="D574" s="55" t="str">
        <f>IF(دانش‌آموزان!C52="","",دانش‌آموزان!C52)</f>
        <v/>
      </c>
      <c r="E574" s="55" t="str">
        <f>IF(دانش‌آموزان!E52="","",دانش‌آموزان!E52&amp;" "&amp;دانش‌آموزان!F52)</f>
        <v/>
      </c>
      <c r="F574" s="34" t="str">
        <f>IF(دانش‌آموزان!I52="","",دانش‌آموزان!I52)</f>
        <v/>
      </c>
      <c r="G574" s="19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1"/>
      <c r="CC574" s="27" t="str">
        <f t="shared" si="88"/>
        <v/>
      </c>
      <c r="CD574" s="38" t="str">
        <f t="shared" si="89"/>
        <v/>
      </c>
      <c r="CE574" s="38" t="str">
        <f t="shared" si="90"/>
        <v/>
      </c>
      <c r="CF574" s="38" t="str">
        <f t="shared" si="91"/>
        <v/>
      </c>
      <c r="CG574" s="38" t="str">
        <f t="shared" si="92"/>
        <v/>
      </c>
      <c r="CH574" s="38" t="str">
        <f t="shared" si="93"/>
        <v/>
      </c>
      <c r="CI574" s="38" t="str">
        <f t="shared" si="94"/>
        <v/>
      </c>
      <c r="CJ574" s="38" t="str">
        <f t="shared" si="95"/>
        <v/>
      </c>
      <c r="CK574" s="38" t="str">
        <f t="shared" si="96"/>
        <v/>
      </c>
      <c r="CL574" s="38" t="str">
        <f>IF(C574="","",IF(COUNT(G574:AZ574)&lt;46,"",SUMPRODUCT(CC574:CK574,'تنظیمات وزن‌دهی'!$C$5:$C$13)/100))</f>
        <v/>
      </c>
      <c r="CM574" s="38" t="str">
        <f t="shared" si="97"/>
        <v/>
      </c>
      <c r="CN574" s="38">
        <v>6</v>
      </c>
      <c r="CO574" s="28" t="str">
        <f t="shared" si="98"/>
        <v/>
      </c>
      <c r="CP574" s="58"/>
    </row>
    <row r="575" spans="1:94" ht="17.25" hidden="1">
      <c r="A575" s="33">
        <v>571</v>
      </c>
      <c r="B575" s="55" t="s">
        <v>189</v>
      </c>
      <c r="C575" s="55" t="str">
        <f>IF(دانش‌آموزان!E52="","",دانش‌آموزان!B52)</f>
        <v/>
      </c>
      <c r="D575" s="55" t="str">
        <f>IF(دانش‌آموزان!C52="","",دانش‌آموزان!C52)</f>
        <v/>
      </c>
      <c r="E575" s="55" t="str">
        <f>IF(دانش‌آموزان!E52="","",دانش‌آموزان!E52&amp;" "&amp;دانش‌آموزان!F52)</f>
        <v/>
      </c>
      <c r="F575" s="34" t="str">
        <f>IF(دانش‌آموزان!I52="","",دانش‌آموزان!I52)</f>
        <v/>
      </c>
      <c r="G575" s="19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1"/>
      <c r="CC575" s="27" t="str">
        <f t="shared" si="88"/>
        <v/>
      </c>
      <c r="CD575" s="38" t="str">
        <f t="shared" si="89"/>
        <v/>
      </c>
      <c r="CE575" s="38" t="str">
        <f t="shared" si="90"/>
        <v/>
      </c>
      <c r="CF575" s="38" t="str">
        <f t="shared" si="91"/>
        <v/>
      </c>
      <c r="CG575" s="38" t="str">
        <f t="shared" si="92"/>
        <v/>
      </c>
      <c r="CH575" s="38" t="str">
        <f t="shared" si="93"/>
        <v/>
      </c>
      <c r="CI575" s="38" t="str">
        <f t="shared" si="94"/>
        <v/>
      </c>
      <c r="CJ575" s="38" t="str">
        <f t="shared" si="95"/>
        <v/>
      </c>
      <c r="CK575" s="38" t="str">
        <f t="shared" si="96"/>
        <v/>
      </c>
      <c r="CL575" s="38" t="str">
        <f>IF(C575="","",IF(COUNT(G575:AZ575)&lt;46,"",SUMPRODUCT(CC575:CK575,'تنظیمات وزن‌دهی'!$C$5:$C$13)/100))</f>
        <v/>
      </c>
      <c r="CM575" s="38" t="str">
        <f t="shared" si="97"/>
        <v/>
      </c>
      <c r="CN575" s="38">
        <v>7</v>
      </c>
      <c r="CO575" s="28" t="str">
        <f t="shared" si="98"/>
        <v/>
      </c>
      <c r="CP575" s="58"/>
    </row>
    <row r="576" spans="1:94" ht="17.25" hidden="1">
      <c r="A576" s="33">
        <v>572</v>
      </c>
      <c r="B576" s="55" t="s">
        <v>190</v>
      </c>
      <c r="C576" s="55" t="str">
        <f>IF(دانش‌آموزان!E52="","",دانش‌آموزان!B52)</f>
        <v/>
      </c>
      <c r="D576" s="55" t="str">
        <f>IF(دانش‌آموزان!C52="","",دانش‌آموزان!C52)</f>
        <v/>
      </c>
      <c r="E576" s="55" t="str">
        <f>IF(دانش‌آموزان!E52="","",دانش‌آموزان!E52&amp;" "&amp;دانش‌آموزان!F52)</f>
        <v/>
      </c>
      <c r="F576" s="34" t="str">
        <f>IF(دانش‌آموزان!I52="","",دانش‌آموزان!I52)</f>
        <v/>
      </c>
      <c r="G576" s="19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1"/>
      <c r="CC576" s="27" t="str">
        <f t="shared" si="88"/>
        <v/>
      </c>
      <c r="CD576" s="38" t="str">
        <f t="shared" si="89"/>
        <v/>
      </c>
      <c r="CE576" s="38" t="str">
        <f t="shared" si="90"/>
        <v/>
      </c>
      <c r="CF576" s="38" t="str">
        <f t="shared" si="91"/>
        <v/>
      </c>
      <c r="CG576" s="38" t="str">
        <f t="shared" si="92"/>
        <v/>
      </c>
      <c r="CH576" s="38" t="str">
        <f t="shared" si="93"/>
        <v/>
      </c>
      <c r="CI576" s="38" t="str">
        <f t="shared" si="94"/>
        <v/>
      </c>
      <c r="CJ576" s="38" t="str">
        <f t="shared" si="95"/>
        <v/>
      </c>
      <c r="CK576" s="38" t="str">
        <f t="shared" si="96"/>
        <v/>
      </c>
      <c r="CL576" s="38" t="str">
        <f>IF(C576="","",IF(COUNT(G576:AZ576)&lt;46,"",SUMPRODUCT(CC576:CK576,'تنظیمات وزن‌دهی'!$C$5:$C$13)/100))</f>
        <v/>
      </c>
      <c r="CM576" s="38" t="str">
        <f t="shared" si="97"/>
        <v/>
      </c>
      <c r="CN576" s="38">
        <v>8</v>
      </c>
      <c r="CO576" s="28" t="str">
        <f t="shared" si="98"/>
        <v/>
      </c>
      <c r="CP576" s="58"/>
    </row>
    <row r="577" spans="1:94" ht="17.25" hidden="1">
      <c r="A577" s="33">
        <v>573</v>
      </c>
      <c r="B577" s="55" t="s">
        <v>191</v>
      </c>
      <c r="C577" s="55" t="str">
        <f>IF(دانش‌آموزان!E52="","",دانش‌آموزان!B52)</f>
        <v/>
      </c>
      <c r="D577" s="55" t="str">
        <f>IF(دانش‌آموزان!C52="","",دانش‌آموزان!C52)</f>
        <v/>
      </c>
      <c r="E577" s="55" t="str">
        <f>IF(دانش‌آموزان!E52="","",دانش‌آموزان!E52&amp;" "&amp;دانش‌آموزان!F52)</f>
        <v/>
      </c>
      <c r="F577" s="34" t="str">
        <f>IF(دانش‌آموزان!I52="","",دانش‌آموزان!I52)</f>
        <v/>
      </c>
      <c r="G577" s="19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  <c r="CA577" s="20"/>
      <c r="CB577" s="21"/>
      <c r="CC577" s="27" t="str">
        <f t="shared" si="88"/>
        <v/>
      </c>
      <c r="CD577" s="38" t="str">
        <f t="shared" si="89"/>
        <v/>
      </c>
      <c r="CE577" s="38" t="str">
        <f t="shared" si="90"/>
        <v/>
      </c>
      <c r="CF577" s="38" t="str">
        <f t="shared" si="91"/>
        <v/>
      </c>
      <c r="CG577" s="38" t="str">
        <f t="shared" si="92"/>
        <v/>
      </c>
      <c r="CH577" s="38" t="str">
        <f t="shared" si="93"/>
        <v/>
      </c>
      <c r="CI577" s="38" t="str">
        <f t="shared" si="94"/>
        <v/>
      </c>
      <c r="CJ577" s="38" t="str">
        <f t="shared" si="95"/>
        <v/>
      </c>
      <c r="CK577" s="38" t="str">
        <f t="shared" si="96"/>
        <v/>
      </c>
      <c r="CL577" s="38" t="str">
        <f>IF(C577="","",IF(COUNT(G577:AZ577)&lt;46,"",SUMPRODUCT(CC577:CK577,'تنظیمات وزن‌دهی'!$C$5:$C$13)/100))</f>
        <v/>
      </c>
      <c r="CM577" s="38" t="str">
        <f t="shared" si="97"/>
        <v/>
      </c>
      <c r="CN577" s="38">
        <v>9</v>
      </c>
      <c r="CO577" s="28" t="str">
        <f t="shared" si="98"/>
        <v/>
      </c>
      <c r="CP577" s="58"/>
    </row>
    <row r="578" spans="1:94" ht="17.25" hidden="1">
      <c r="A578" s="33">
        <v>574</v>
      </c>
      <c r="B578" s="55" t="s">
        <v>192</v>
      </c>
      <c r="C578" s="55" t="str">
        <f>IF(دانش‌آموزان!E52="","",دانش‌آموزان!B52)</f>
        <v/>
      </c>
      <c r="D578" s="55" t="str">
        <f>IF(دانش‌آموزان!C52="","",دانش‌آموزان!C52)</f>
        <v/>
      </c>
      <c r="E578" s="55" t="str">
        <f>IF(دانش‌آموزان!E52="","",دانش‌آموزان!E52&amp;" "&amp;دانش‌آموزان!F52)</f>
        <v/>
      </c>
      <c r="F578" s="34" t="str">
        <f>IF(دانش‌آموزان!I52="","",دانش‌آموزان!I52)</f>
        <v/>
      </c>
      <c r="G578" s="19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  <c r="CA578" s="20"/>
      <c r="CB578" s="21"/>
      <c r="CC578" s="27" t="str">
        <f t="shared" si="88"/>
        <v/>
      </c>
      <c r="CD578" s="38" t="str">
        <f t="shared" si="89"/>
        <v/>
      </c>
      <c r="CE578" s="38" t="str">
        <f t="shared" si="90"/>
        <v/>
      </c>
      <c r="CF578" s="38" t="str">
        <f t="shared" si="91"/>
        <v/>
      </c>
      <c r="CG578" s="38" t="str">
        <f t="shared" si="92"/>
        <v/>
      </c>
      <c r="CH578" s="38" t="str">
        <f t="shared" si="93"/>
        <v/>
      </c>
      <c r="CI578" s="38" t="str">
        <f t="shared" si="94"/>
        <v/>
      </c>
      <c r="CJ578" s="38" t="str">
        <f t="shared" si="95"/>
        <v/>
      </c>
      <c r="CK578" s="38" t="str">
        <f t="shared" si="96"/>
        <v/>
      </c>
      <c r="CL578" s="38" t="str">
        <f>IF(C578="","",IF(COUNT(G578:AZ578)&lt;46,"",SUMPRODUCT(CC578:CK578,'تنظیمات وزن‌دهی'!$C$5:$C$13)/100))</f>
        <v/>
      </c>
      <c r="CM578" s="38" t="str">
        <f t="shared" si="97"/>
        <v/>
      </c>
      <c r="CN578" s="38">
        <v>10</v>
      </c>
      <c r="CO578" s="28" t="str">
        <f t="shared" si="98"/>
        <v/>
      </c>
      <c r="CP578" s="58"/>
    </row>
    <row r="579" spans="1:94" ht="17.25" hidden="1">
      <c r="A579" s="33">
        <v>575</v>
      </c>
      <c r="B579" s="55" t="s">
        <v>193</v>
      </c>
      <c r="C579" s="55" t="str">
        <f>IF(دانش‌آموزان!E52="","",دانش‌آموزان!B52)</f>
        <v/>
      </c>
      <c r="D579" s="55" t="str">
        <f>IF(دانش‌آموزان!C52="","",دانش‌آموزان!C52)</f>
        <v/>
      </c>
      <c r="E579" s="55" t="str">
        <f>IF(دانش‌آموزان!E52="","",دانش‌آموزان!E52&amp;" "&amp;دانش‌آموزان!F52)</f>
        <v/>
      </c>
      <c r="F579" s="34" t="str">
        <f>IF(دانش‌آموزان!I52="","",دانش‌آموزان!I52)</f>
        <v/>
      </c>
      <c r="G579" s="19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  <c r="BS579" s="20"/>
      <c r="BT579" s="20"/>
      <c r="BU579" s="20"/>
      <c r="BV579" s="20"/>
      <c r="BW579" s="20"/>
      <c r="BX579" s="20"/>
      <c r="BY579" s="20"/>
      <c r="BZ579" s="20"/>
      <c r="CA579" s="20"/>
      <c r="CB579" s="21"/>
      <c r="CC579" s="27" t="str">
        <f t="shared" si="88"/>
        <v/>
      </c>
      <c r="CD579" s="38" t="str">
        <f t="shared" si="89"/>
        <v/>
      </c>
      <c r="CE579" s="38" t="str">
        <f t="shared" si="90"/>
        <v/>
      </c>
      <c r="CF579" s="38" t="str">
        <f t="shared" si="91"/>
        <v/>
      </c>
      <c r="CG579" s="38" t="str">
        <f t="shared" si="92"/>
        <v/>
      </c>
      <c r="CH579" s="38" t="str">
        <f t="shared" si="93"/>
        <v/>
      </c>
      <c r="CI579" s="38" t="str">
        <f t="shared" si="94"/>
        <v/>
      </c>
      <c r="CJ579" s="38" t="str">
        <f t="shared" si="95"/>
        <v/>
      </c>
      <c r="CK579" s="38" t="str">
        <f t="shared" si="96"/>
        <v/>
      </c>
      <c r="CL579" s="38" t="str">
        <f>IF(C579="","",IF(COUNT(G579:AZ579)&lt;46,"",SUMPRODUCT(CC579:CK579,'تنظیمات وزن‌دهی'!$C$5:$C$13)/100))</f>
        <v/>
      </c>
      <c r="CM579" s="38" t="str">
        <f t="shared" si="97"/>
        <v/>
      </c>
      <c r="CN579" s="38">
        <v>11</v>
      </c>
      <c r="CO579" s="28" t="str">
        <f t="shared" si="98"/>
        <v/>
      </c>
      <c r="CP579" s="58"/>
    </row>
    <row r="580" spans="1:94" ht="17.25" hidden="1">
      <c r="A580" s="33">
        <v>576</v>
      </c>
      <c r="B580" s="55" t="s">
        <v>194</v>
      </c>
      <c r="C580" s="55" t="str">
        <f>IF(دانش‌آموزان!E52="","",دانش‌آموزان!B52)</f>
        <v/>
      </c>
      <c r="D580" s="55" t="str">
        <f>IF(دانش‌آموزان!C52="","",دانش‌آموزان!C52)</f>
        <v/>
      </c>
      <c r="E580" s="55" t="str">
        <f>IF(دانش‌آموزان!E52="","",دانش‌آموزان!E52&amp;" "&amp;دانش‌آموزان!F52)</f>
        <v/>
      </c>
      <c r="F580" s="34" t="str">
        <f>IF(دانش‌آموزان!I52="","",دانش‌آموزان!I52)</f>
        <v/>
      </c>
      <c r="G580" s="19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20"/>
      <c r="BX580" s="20"/>
      <c r="BY580" s="20"/>
      <c r="BZ580" s="20"/>
      <c r="CA580" s="20"/>
      <c r="CB580" s="21"/>
      <c r="CC580" s="27" t="str">
        <f t="shared" si="88"/>
        <v/>
      </c>
      <c r="CD580" s="38" t="str">
        <f t="shared" si="89"/>
        <v/>
      </c>
      <c r="CE580" s="38" t="str">
        <f t="shared" si="90"/>
        <v/>
      </c>
      <c r="CF580" s="38" t="str">
        <f t="shared" si="91"/>
        <v/>
      </c>
      <c r="CG580" s="38" t="str">
        <f t="shared" si="92"/>
        <v/>
      </c>
      <c r="CH580" s="38" t="str">
        <f t="shared" si="93"/>
        <v/>
      </c>
      <c r="CI580" s="38" t="str">
        <f t="shared" si="94"/>
        <v/>
      </c>
      <c r="CJ580" s="38" t="str">
        <f t="shared" si="95"/>
        <v/>
      </c>
      <c r="CK580" s="38" t="str">
        <f t="shared" si="96"/>
        <v/>
      </c>
      <c r="CL580" s="38" t="str">
        <f>IF(C580="","",IF(COUNT(G580:AZ580)&lt;46,"",SUMPRODUCT(CC580:CK580,'تنظیمات وزن‌دهی'!$C$5:$C$13)/100))</f>
        <v/>
      </c>
      <c r="CM580" s="38" t="str">
        <f t="shared" si="97"/>
        <v/>
      </c>
      <c r="CN580" s="38">
        <v>12</v>
      </c>
      <c r="CO580" s="28" t="str">
        <f t="shared" si="98"/>
        <v/>
      </c>
      <c r="CP580" s="58"/>
    </row>
    <row r="581" spans="1:94" ht="17.25" hidden="1">
      <c r="A581" s="33">
        <v>577</v>
      </c>
      <c r="B581" s="55" t="s">
        <v>183</v>
      </c>
      <c r="C581" s="55" t="str">
        <f>IF(دانش‌آموزان!E53="","",دانش‌آموزان!B53)</f>
        <v/>
      </c>
      <c r="D581" s="55" t="str">
        <f>IF(دانش‌آموزان!C53="","",دانش‌آموزان!C53)</f>
        <v/>
      </c>
      <c r="E581" s="55" t="str">
        <f>IF(دانش‌آموزان!E53="","",دانش‌آموزان!E53&amp;" "&amp;دانش‌آموزان!F53)</f>
        <v/>
      </c>
      <c r="F581" s="34" t="str">
        <f>IF(دانش‌آموزان!I53="","",دانش‌آموزان!I53)</f>
        <v/>
      </c>
      <c r="G581" s="19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  <c r="CA581" s="20"/>
      <c r="CB581" s="21"/>
      <c r="CC581" s="27" t="str">
        <f t="shared" ref="CC581:CC644" si="99">IF(COUNT(G581:N581)=0,"",AVERAGE(G581:N581)*4)</f>
        <v/>
      </c>
      <c r="CD581" s="38" t="str">
        <f t="shared" ref="CD581:CD644" si="100">IF(COUNT(O581:S581)=0,"",AVERAGE(O581:S581)*4)</f>
        <v/>
      </c>
      <c r="CE581" s="38" t="str">
        <f t="shared" ref="CE581:CE644" si="101">IF(COUNT(T581:U581)=0,"",AVERAGE(T581:U581)*4)</f>
        <v/>
      </c>
      <c r="CF581" s="38" t="str">
        <f t="shared" ref="CF581:CF644" si="102">IF(COUNT(V581:Z581)=0,"",AVERAGE(V581:Z581)*4)</f>
        <v/>
      </c>
      <c r="CG581" s="38" t="str">
        <f t="shared" ref="CG581:CG644" si="103">IF(COUNT(AA581:AC581)=0,"",AVERAGE(AA581:AC581)*4)</f>
        <v/>
      </c>
      <c r="CH581" s="38" t="str">
        <f t="shared" ref="CH581:CH644" si="104">IF(COUNT(AD581:AI581)=0,"",AVERAGE(AD581:AI581)*4)</f>
        <v/>
      </c>
      <c r="CI581" s="38" t="str">
        <f t="shared" ref="CI581:CI644" si="105">IF(COUNT(AJ581:AP581)=0,"",AVERAGE(AJ581:AP581)*4)</f>
        <v/>
      </c>
      <c r="CJ581" s="38" t="str">
        <f t="shared" ref="CJ581:CJ644" si="106">IF(COUNT(AQ581:AW581)=0,"",AVERAGE(AQ581:AW581)*4)</f>
        <v/>
      </c>
      <c r="CK581" s="38" t="str">
        <f t="shared" ref="CK581:CK644" si="107">IF(COUNT(AX581:AZ581)=0,"",AVERAGE(AX581:AZ581)*4)</f>
        <v/>
      </c>
      <c r="CL581" s="38" t="str">
        <f>IF(C581="","",IF(COUNT(G581:AZ581)&lt;46,"",SUMPRODUCT(CC581:CK581,'تنظیمات وزن‌دهی'!$C$5:$C$13)/100))</f>
        <v/>
      </c>
      <c r="CM581" s="38" t="str">
        <f t="shared" ref="CM581:CM644" si="108">IF(C581="","",IF(COUNT(G581:AZ581)=0,"",IF(COUNT(G581:AZ581)&lt;46,"موقت - اطلاعات ناقص",IF(CL581&gt;=17,"عالی",IF(CL581&gt;=14,"خوب",IF(CL581&gt;=10,"متوسط","ضعیف"))))))</f>
        <v/>
      </c>
      <c r="CN581" s="38">
        <v>1</v>
      </c>
      <c r="CO581" s="28" t="str">
        <f t="shared" ref="CO581:CO644" si="109">IF(C581="","",COUNT(G581:AZ581)/46)</f>
        <v/>
      </c>
      <c r="CP581" s="58"/>
    </row>
    <row r="582" spans="1:94" ht="17.25" hidden="1">
      <c r="A582" s="33">
        <v>578</v>
      </c>
      <c r="B582" s="55" t="s">
        <v>184</v>
      </c>
      <c r="C582" s="55" t="str">
        <f>IF(دانش‌آموزان!E53="","",دانش‌آموزان!B53)</f>
        <v/>
      </c>
      <c r="D582" s="55" t="str">
        <f>IF(دانش‌آموزان!C53="","",دانش‌آموزان!C53)</f>
        <v/>
      </c>
      <c r="E582" s="55" t="str">
        <f>IF(دانش‌آموزان!E53="","",دانش‌آموزان!E53&amp;" "&amp;دانش‌آموزان!F53)</f>
        <v/>
      </c>
      <c r="F582" s="34" t="str">
        <f>IF(دانش‌آموزان!I53="","",دانش‌آموزان!I53)</f>
        <v/>
      </c>
      <c r="G582" s="19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  <c r="BW582" s="20"/>
      <c r="BX582" s="20"/>
      <c r="BY582" s="20"/>
      <c r="BZ582" s="20"/>
      <c r="CA582" s="20"/>
      <c r="CB582" s="21"/>
      <c r="CC582" s="27" t="str">
        <f t="shared" si="99"/>
        <v/>
      </c>
      <c r="CD582" s="38" t="str">
        <f t="shared" si="100"/>
        <v/>
      </c>
      <c r="CE582" s="38" t="str">
        <f t="shared" si="101"/>
        <v/>
      </c>
      <c r="CF582" s="38" t="str">
        <f t="shared" si="102"/>
        <v/>
      </c>
      <c r="CG582" s="38" t="str">
        <f t="shared" si="103"/>
        <v/>
      </c>
      <c r="CH582" s="38" t="str">
        <f t="shared" si="104"/>
        <v/>
      </c>
      <c r="CI582" s="38" t="str">
        <f t="shared" si="105"/>
        <v/>
      </c>
      <c r="CJ582" s="38" t="str">
        <f t="shared" si="106"/>
        <v/>
      </c>
      <c r="CK582" s="38" t="str">
        <f t="shared" si="107"/>
        <v/>
      </c>
      <c r="CL582" s="38" t="str">
        <f>IF(C582="","",IF(COUNT(G582:AZ582)&lt;46,"",SUMPRODUCT(CC582:CK582,'تنظیمات وزن‌دهی'!$C$5:$C$13)/100))</f>
        <v/>
      </c>
      <c r="CM582" s="38" t="str">
        <f t="shared" si="108"/>
        <v/>
      </c>
      <c r="CN582" s="38">
        <v>2</v>
      </c>
      <c r="CO582" s="28" t="str">
        <f t="shared" si="109"/>
        <v/>
      </c>
      <c r="CP582" s="58"/>
    </row>
    <row r="583" spans="1:94" ht="17.25">
      <c r="A583" s="33">
        <v>579</v>
      </c>
      <c r="B583" s="55" t="s">
        <v>185</v>
      </c>
      <c r="C583" s="55" t="str">
        <f>IF(دانش‌آموزان!E53="","",دانش‌آموزان!B53)</f>
        <v/>
      </c>
      <c r="D583" s="55" t="str">
        <f>IF(دانش‌آموزان!C53="","",دانش‌آموزان!C53)</f>
        <v/>
      </c>
      <c r="E583" s="55" t="str">
        <f>IF(دانش‌آموزان!E53="","",دانش‌آموزان!E53&amp;" "&amp;دانش‌آموزان!F53)</f>
        <v/>
      </c>
      <c r="F583" s="34" t="str">
        <f>IF(دانش‌آموزان!I53="","",دانش‌آموزان!I53)</f>
        <v/>
      </c>
      <c r="G583" s="19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20"/>
      <c r="CB583" s="21"/>
      <c r="CC583" s="27" t="str">
        <f t="shared" si="99"/>
        <v/>
      </c>
      <c r="CD583" s="38" t="str">
        <f t="shared" si="100"/>
        <v/>
      </c>
      <c r="CE583" s="38" t="str">
        <f t="shared" si="101"/>
        <v/>
      </c>
      <c r="CF583" s="38" t="str">
        <f t="shared" si="102"/>
        <v/>
      </c>
      <c r="CG583" s="38" t="str">
        <f t="shared" si="103"/>
        <v/>
      </c>
      <c r="CH583" s="38" t="str">
        <f t="shared" si="104"/>
        <v/>
      </c>
      <c r="CI583" s="38" t="str">
        <f t="shared" si="105"/>
        <v/>
      </c>
      <c r="CJ583" s="38" t="str">
        <f t="shared" si="106"/>
        <v/>
      </c>
      <c r="CK583" s="38" t="str">
        <f t="shared" si="107"/>
        <v/>
      </c>
      <c r="CL583" s="38" t="str">
        <f>IF(C583="","",IF(COUNT(G583:AZ583)&lt;46,"",SUMPRODUCT(CC583:CK583,'تنظیمات وزن‌دهی'!$C$5:$C$13)/100))</f>
        <v/>
      </c>
      <c r="CM583" s="38" t="str">
        <f t="shared" si="108"/>
        <v/>
      </c>
      <c r="CN583" s="38">
        <v>3</v>
      </c>
      <c r="CO583" s="28" t="str">
        <f t="shared" si="109"/>
        <v/>
      </c>
      <c r="CP583" s="58"/>
    </row>
    <row r="584" spans="1:94" ht="17.25" hidden="1">
      <c r="A584" s="33">
        <v>580</v>
      </c>
      <c r="B584" s="55" t="s">
        <v>186</v>
      </c>
      <c r="C584" s="55" t="str">
        <f>IF(دانش‌آموزان!E53="","",دانش‌آموزان!B53)</f>
        <v/>
      </c>
      <c r="D584" s="55" t="str">
        <f>IF(دانش‌آموزان!C53="","",دانش‌آموزان!C53)</f>
        <v/>
      </c>
      <c r="E584" s="55" t="str">
        <f>IF(دانش‌آموزان!E53="","",دانش‌آموزان!E53&amp;" "&amp;دانش‌آموزان!F53)</f>
        <v/>
      </c>
      <c r="F584" s="34" t="str">
        <f>IF(دانش‌آموزان!I53="","",دانش‌آموزان!I53)</f>
        <v/>
      </c>
      <c r="G584" s="19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20"/>
      <c r="CB584" s="21"/>
      <c r="CC584" s="27" t="str">
        <f t="shared" si="99"/>
        <v/>
      </c>
      <c r="CD584" s="38" t="str">
        <f t="shared" si="100"/>
        <v/>
      </c>
      <c r="CE584" s="38" t="str">
        <f t="shared" si="101"/>
        <v/>
      </c>
      <c r="CF584" s="38" t="str">
        <f t="shared" si="102"/>
        <v/>
      </c>
      <c r="CG584" s="38" t="str">
        <f t="shared" si="103"/>
        <v/>
      </c>
      <c r="CH584" s="38" t="str">
        <f t="shared" si="104"/>
        <v/>
      </c>
      <c r="CI584" s="38" t="str">
        <f t="shared" si="105"/>
        <v/>
      </c>
      <c r="CJ584" s="38" t="str">
        <f t="shared" si="106"/>
        <v/>
      </c>
      <c r="CK584" s="38" t="str">
        <f t="shared" si="107"/>
        <v/>
      </c>
      <c r="CL584" s="38" t="str">
        <f>IF(C584="","",IF(COUNT(G584:AZ584)&lt;46,"",SUMPRODUCT(CC584:CK584,'تنظیمات وزن‌دهی'!$C$5:$C$13)/100))</f>
        <v/>
      </c>
      <c r="CM584" s="38" t="str">
        <f t="shared" si="108"/>
        <v/>
      </c>
      <c r="CN584" s="38">
        <v>4</v>
      </c>
      <c r="CO584" s="28" t="str">
        <f t="shared" si="109"/>
        <v/>
      </c>
      <c r="CP584" s="58"/>
    </row>
    <row r="585" spans="1:94" ht="17.25" hidden="1">
      <c r="A585" s="33">
        <v>581</v>
      </c>
      <c r="B585" s="55" t="s">
        <v>187</v>
      </c>
      <c r="C585" s="55" t="str">
        <f>IF(دانش‌آموزان!E53="","",دانش‌آموزان!B53)</f>
        <v/>
      </c>
      <c r="D585" s="55" t="str">
        <f>IF(دانش‌آموزان!C53="","",دانش‌آموزان!C53)</f>
        <v/>
      </c>
      <c r="E585" s="55" t="str">
        <f>IF(دانش‌آموزان!E53="","",دانش‌آموزان!E53&amp;" "&amp;دانش‌آموزان!F53)</f>
        <v/>
      </c>
      <c r="F585" s="34" t="str">
        <f>IF(دانش‌آموزان!I53="","",دانش‌آموزان!I53)</f>
        <v/>
      </c>
      <c r="G585" s="19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  <c r="CA585" s="20"/>
      <c r="CB585" s="21"/>
      <c r="CC585" s="27" t="str">
        <f t="shared" si="99"/>
        <v/>
      </c>
      <c r="CD585" s="38" t="str">
        <f t="shared" si="100"/>
        <v/>
      </c>
      <c r="CE585" s="38" t="str">
        <f t="shared" si="101"/>
        <v/>
      </c>
      <c r="CF585" s="38" t="str">
        <f t="shared" si="102"/>
        <v/>
      </c>
      <c r="CG585" s="38" t="str">
        <f t="shared" si="103"/>
        <v/>
      </c>
      <c r="CH585" s="38" t="str">
        <f t="shared" si="104"/>
        <v/>
      </c>
      <c r="CI585" s="38" t="str">
        <f t="shared" si="105"/>
        <v/>
      </c>
      <c r="CJ585" s="38" t="str">
        <f t="shared" si="106"/>
        <v/>
      </c>
      <c r="CK585" s="38" t="str">
        <f t="shared" si="107"/>
        <v/>
      </c>
      <c r="CL585" s="38" t="str">
        <f>IF(C585="","",IF(COUNT(G585:AZ585)&lt;46,"",SUMPRODUCT(CC585:CK585,'تنظیمات وزن‌دهی'!$C$5:$C$13)/100))</f>
        <v/>
      </c>
      <c r="CM585" s="38" t="str">
        <f t="shared" si="108"/>
        <v/>
      </c>
      <c r="CN585" s="38">
        <v>5</v>
      </c>
      <c r="CO585" s="28" t="str">
        <f t="shared" si="109"/>
        <v/>
      </c>
      <c r="CP585" s="58"/>
    </row>
    <row r="586" spans="1:94" ht="17.25" hidden="1">
      <c r="A586" s="33">
        <v>582</v>
      </c>
      <c r="B586" s="55" t="s">
        <v>188</v>
      </c>
      <c r="C586" s="55" t="str">
        <f>IF(دانش‌آموزان!E53="","",دانش‌آموزان!B53)</f>
        <v/>
      </c>
      <c r="D586" s="55" t="str">
        <f>IF(دانش‌آموزان!C53="","",دانش‌آموزان!C53)</f>
        <v/>
      </c>
      <c r="E586" s="55" t="str">
        <f>IF(دانش‌آموزان!E53="","",دانش‌آموزان!E53&amp;" "&amp;دانش‌آموزان!F53)</f>
        <v/>
      </c>
      <c r="F586" s="34" t="str">
        <f>IF(دانش‌آموزان!I53="","",دانش‌آموزان!I53)</f>
        <v/>
      </c>
      <c r="G586" s="19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  <c r="CA586" s="20"/>
      <c r="CB586" s="21"/>
      <c r="CC586" s="27" t="str">
        <f t="shared" si="99"/>
        <v/>
      </c>
      <c r="CD586" s="38" t="str">
        <f t="shared" si="100"/>
        <v/>
      </c>
      <c r="CE586" s="38" t="str">
        <f t="shared" si="101"/>
        <v/>
      </c>
      <c r="CF586" s="38" t="str">
        <f t="shared" si="102"/>
        <v/>
      </c>
      <c r="CG586" s="38" t="str">
        <f t="shared" si="103"/>
        <v/>
      </c>
      <c r="CH586" s="38" t="str">
        <f t="shared" si="104"/>
        <v/>
      </c>
      <c r="CI586" s="38" t="str">
        <f t="shared" si="105"/>
        <v/>
      </c>
      <c r="CJ586" s="38" t="str">
        <f t="shared" si="106"/>
        <v/>
      </c>
      <c r="CK586" s="38" t="str">
        <f t="shared" si="107"/>
        <v/>
      </c>
      <c r="CL586" s="38" t="str">
        <f>IF(C586="","",IF(COUNT(G586:AZ586)&lt;46,"",SUMPRODUCT(CC586:CK586,'تنظیمات وزن‌دهی'!$C$5:$C$13)/100))</f>
        <v/>
      </c>
      <c r="CM586" s="38" t="str">
        <f t="shared" si="108"/>
        <v/>
      </c>
      <c r="CN586" s="38">
        <v>6</v>
      </c>
      <c r="CO586" s="28" t="str">
        <f t="shared" si="109"/>
        <v/>
      </c>
      <c r="CP586" s="58"/>
    </row>
    <row r="587" spans="1:94" ht="17.25" hidden="1">
      <c r="A587" s="33">
        <v>583</v>
      </c>
      <c r="B587" s="55" t="s">
        <v>189</v>
      </c>
      <c r="C587" s="55" t="str">
        <f>IF(دانش‌آموزان!E53="","",دانش‌آموزان!B53)</f>
        <v/>
      </c>
      <c r="D587" s="55" t="str">
        <f>IF(دانش‌آموزان!C53="","",دانش‌آموزان!C53)</f>
        <v/>
      </c>
      <c r="E587" s="55" t="str">
        <f>IF(دانش‌آموزان!E53="","",دانش‌آموزان!E53&amp;" "&amp;دانش‌آموزان!F53)</f>
        <v/>
      </c>
      <c r="F587" s="34" t="str">
        <f>IF(دانش‌آموزان!I53="","",دانش‌آموزان!I53)</f>
        <v/>
      </c>
      <c r="G587" s="19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  <c r="CA587" s="20"/>
      <c r="CB587" s="21"/>
      <c r="CC587" s="27" t="str">
        <f t="shared" si="99"/>
        <v/>
      </c>
      <c r="CD587" s="38" t="str">
        <f t="shared" si="100"/>
        <v/>
      </c>
      <c r="CE587" s="38" t="str">
        <f t="shared" si="101"/>
        <v/>
      </c>
      <c r="CF587" s="38" t="str">
        <f t="shared" si="102"/>
        <v/>
      </c>
      <c r="CG587" s="38" t="str">
        <f t="shared" si="103"/>
        <v/>
      </c>
      <c r="CH587" s="38" t="str">
        <f t="shared" si="104"/>
        <v/>
      </c>
      <c r="CI587" s="38" t="str">
        <f t="shared" si="105"/>
        <v/>
      </c>
      <c r="CJ587" s="38" t="str">
        <f t="shared" si="106"/>
        <v/>
      </c>
      <c r="CK587" s="38" t="str">
        <f t="shared" si="107"/>
        <v/>
      </c>
      <c r="CL587" s="38" t="str">
        <f>IF(C587="","",IF(COUNT(G587:AZ587)&lt;46,"",SUMPRODUCT(CC587:CK587,'تنظیمات وزن‌دهی'!$C$5:$C$13)/100))</f>
        <v/>
      </c>
      <c r="CM587" s="38" t="str">
        <f t="shared" si="108"/>
        <v/>
      </c>
      <c r="CN587" s="38">
        <v>7</v>
      </c>
      <c r="CO587" s="28" t="str">
        <f t="shared" si="109"/>
        <v/>
      </c>
      <c r="CP587" s="58"/>
    </row>
    <row r="588" spans="1:94" ht="17.25" hidden="1">
      <c r="A588" s="33">
        <v>584</v>
      </c>
      <c r="B588" s="55" t="s">
        <v>190</v>
      </c>
      <c r="C588" s="55" t="str">
        <f>IF(دانش‌آموزان!E53="","",دانش‌آموزان!B53)</f>
        <v/>
      </c>
      <c r="D588" s="55" t="str">
        <f>IF(دانش‌آموزان!C53="","",دانش‌آموزان!C53)</f>
        <v/>
      </c>
      <c r="E588" s="55" t="str">
        <f>IF(دانش‌آموزان!E53="","",دانش‌آموزان!E53&amp;" "&amp;دانش‌آموزان!F53)</f>
        <v/>
      </c>
      <c r="F588" s="34" t="str">
        <f>IF(دانش‌آموزان!I53="","",دانش‌آموزان!I53)</f>
        <v/>
      </c>
      <c r="G588" s="19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  <c r="CA588" s="20"/>
      <c r="CB588" s="21"/>
      <c r="CC588" s="27" t="str">
        <f t="shared" si="99"/>
        <v/>
      </c>
      <c r="CD588" s="38" t="str">
        <f t="shared" si="100"/>
        <v/>
      </c>
      <c r="CE588" s="38" t="str">
        <f t="shared" si="101"/>
        <v/>
      </c>
      <c r="CF588" s="38" t="str">
        <f t="shared" si="102"/>
        <v/>
      </c>
      <c r="CG588" s="38" t="str">
        <f t="shared" si="103"/>
        <v/>
      </c>
      <c r="CH588" s="38" t="str">
        <f t="shared" si="104"/>
        <v/>
      </c>
      <c r="CI588" s="38" t="str">
        <f t="shared" si="105"/>
        <v/>
      </c>
      <c r="CJ588" s="38" t="str">
        <f t="shared" si="106"/>
        <v/>
      </c>
      <c r="CK588" s="38" t="str">
        <f t="shared" si="107"/>
        <v/>
      </c>
      <c r="CL588" s="38" t="str">
        <f>IF(C588="","",IF(COUNT(G588:AZ588)&lt;46,"",SUMPRODUCT(CC588:CK588,'تنظیمات وزن‌دهی'!$C$5:$C$13)/100))</f>
        <v/>
      </c>
      <c r="CM588" s="38" t="str">
        <f t="shared" si="108"/>
        <v/>
      </c>
      <c r="CN588" s="38">
        <v>8</v>
      </c>
      <c r="CO588" s="28" t="str">
        <f t="shared" si="109"/>
        <v/>
      </c>
      <c r="CP588" s="58"/>
    </row>
    <row r="589" spans="1:94" ht="17.25" hidden="1">
      <c r="A589" s="33">
        <v>585</v>
      </c>
      <c r="B589" s="55" t="s">
        <v>191</v>
      </c>
      <c r="C589" s="55" t="str">
        <f>IF(دانش‌آموزان!E53="","",دانش‌آموزان!B53)</f>
        <v/>
      </c>
      <c r="D589" s="55" t="str">
        <f>IF(دانش‌آموزان!C53="","",دانش‌آموزان!C53)</f>
        <v/>
      </c>
      <c r="E589" s="55" t="str">
        <f>IF(دانش‌آموزان!E53="","",دانش‌آموزان!E53&amp;" "&amp;دانش‌آموزان!F53)</f>
        <v/>
      </c>
      <c r="F589" s="34" t="str">
        <f>IF(دانش‌آموزان!I53="","",دانش‌آموزان!I53)</f>
        <v/>
      </c>
      <c r="G589" s="19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  <c r="BW589" s="20"/>
      <c r="BX589" s="20"/>
      <c r="BY589" s="20"/>
      <c r="BZ589" s="20"/>
      <c r="CA589" s="20"/>
      <c r="CB589" s="21"/>
      <c r="CC589" s="27" t="str">
        <f t="shared" si="99"/>
        <v/>
      </c>
      <c r="CD589" s="38" t="str">
        <f t="shared" si="100"/>
        <v/>
      </c>
      <c r="CE589" s="38" t="str">
        <f t="shared" si="101"/>
        <v/>
      </c>
      <c r="CF589" s="38" t="str">
        <f t="shared" si="102"/>
        <v/>
      </c>
      <c r="CG589" s="38" t="str">
        <f t="shared" si="103"/>
        <v/>
      </c>
      <c r="CH589" s="38" t="str">
        <f t="shared" si="104"/>
        <v/>
      </c>
      <c r="CI589" s="38" t="str">
        <f t="shared" si="105"/>
        <v/>
      </c>
      <c r="CJ589" s="38" t="str">
        <f t="shared" si="106"/>
        <v/>
      </c>
      <c r="CK589" s="38" t="str">
        <f t="shared" si="107"/>
        <v/>
      </c>
      <c r="CL589" s="38" t="str">
        <f>IF(C589="","",IF(COUNT(G589:AZ589)&lt;46,"",SUMPRODUCT(CC589:CK589,'تنظیمات وزن‌دهی'!$C$5:$C$13)/100))</f>
        <v/>
      </c>
      <c r="CM589" s="38" t="str">
        <f t="shared" si="108"/>
        <v/>
      </c>
      <c r="CN589" s="38">
        <v>9</v>
      </c>
      <c r="CO589" s="28" t="str">
        <f t="shared" si="109"/>
        <v/>
      </c>
      <c r="CP589" s="58"/>
    </row>
    <row r="590" spans="1:94" ht="17.25" hidden="1">
      <c r="A590" s="33">
        <v>586</v>
      </c>
      <c r="B590" s="55" t="s">
        <v>192</v>
      </c>
      <c r="C590" s="55" t="str">
        <f>IF(دانش‌آموزان!E53="","",دانش‌آموزان!B53)</f>
        <v/>
      </c>
      <c r="D590" s="55" t="str">
        <f>IF(دانش‌آموزان!C53="","",دانش‌آموزان!C53)</f>
        <v/>
      </c>
      <c r="E590" s="55" t="str">
        <f>IF(دانش‌آموزان!E53="","",دانش‌آموزان!E53&amp;" "&amp;دانش‌آموزان!F53)</f>
        <v/>
      </c>
      <c r="F590" s="34" t="str">
        <f>IF(دانش‌آموزان!I53="","",دانش‌آموزان!I53)</f>
        <v/>
      </c>
      <c r="G590" s="19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  <c r="CA590" s="20"/>
      <c r="CB590" s="21"/>
      <c r="CC590" s="27" t="str">
        <f t="shared" si="99"/>
        <v/>
      </c>
      <c r="CD590" s="38" t="str">
        <f t="shared" si="100"/>
        <v/>
      </c>
      <c r="CE590" s="38" t="str">
        <f t="shared" si="101"/>
        <v/>
      </c>
      <c r="CF590" s="38" t="str">
        <f t="shared" si="102"/>
        <v/>
      </c>
      <c r="CG590" s="38" t="str">
        <f t="shared" si="103"/>
        <v/>
      </c>
      <c r="CH590" s="38" t="str">
        <f t="shared" si="104"/>
        <v/>
      </c>
      <c r="CI590" s="38" t="str">
        <f t="shared" si="105"/>
        <v/>
      </c>
      <c r="CJ590" s="38" t="str">
        <f t="shared" si="106"/>
        <v/>
      </c>
      <c r="CK590" s="38" t="str">
        <f t="shared" si="107"/>
        <v/>
      </c>
      <c r="CL590" s="38" t="str">
        <f>IF(C590="","",IF(COUNT(G590:AZ590)&lt;46,"",SUMPRODUCT(CC590:CK590,'تنظیمات وزن‌دهی'!$C$5:$C$13)/100))</f>
        <v/>
      </c>
      <c r="CM590" s="38" t="str">
        <f t="shared" si="108"/>
        <v/>
      </c>
      <c r="CN590" s="38">
        <v>10</v>
      </c>
      <c r="CO590" s="28" t="str">
        <f t="shared" si="109"/>
        <v/>
      </c>
      <c r="CP590" s="58"/>
    </row>
    <row r="591" spans="1:94" ht="17.25" hidden="1">
      <c r="A591" s="33">
        <v>587</v>
      </c>
      <c r="B591" s="55" t="s">
        <v>193</v>
      </c>
      <c r="C591" s="55" t="str">
        <f>IF(دانش‌آموزان!E53="","",دانش‌آموزان!B53)</f>
        <v/>
      </c>
      <c r="D591" s="55" t="str">
        <f>IF(دانش‌آموزان!C53="","",دانش‌آموزان!C53)</f>
        <v/>
      </c>
      <c r="E591" s="55" t="str">
        <f>IF(دانش‌آموزان!E53="","",دانش‌آموزان!E53&amp;" "&amp;دانش‌آموزان!F53)</f>
        <v/>
      </c>
      <c r="F591" s="34" t="str">
        <f>IF(دانش‌آموزان!I53="","",دانش‌آموزان!I53)</f>
        <v/>
      </c>
      <c r="G591" s="19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  <c r="BW591" s="20"/>
      <c r="BX591" s="20"/>
      <c r="BY591" s="20"/>
      <c r="BZ591" s="20"/>
      <c r="CA591" s="20"/>
      <c r="CB591" s="21"/>
      <c r="CC591" s="27" t="str">
        <f t="shared" si="99"/>
        <v/>
      </c>
      <c r="CD591" s="38" t="str">
        <f t="shared" si="100"/>
        <v/>
      </c>
      <c r="CE591" s="38" t="str">
        <f t="shared" si="101"/>
        <v/>
      </c>
      <c r="CF591" s="38" t="str">
        <f t="shared" si="102"/>
        <v/>
      </c>
      <c r="CG591" s="38" t="str">
        <f t="shared" si="103"/>
        <v/>
      </c>
      <c r="CH591" s="38" t="str">
        <f t="shared" si="104"/>
        <v/>
      </c>
      <c r="CI591" s="38" t="str">
        <f t="shared" si="105"/>
        <v/>
      </c>
      <c r="CJ591" s="38" t="str">
        <f t="shared" si="106"/>
        <v/>
      </c>
      <c r="CK591" s="38" t="str">
        <f t="shared" si="107"/>
        <v/>
      </c>
      <c r="CL591" s="38" t="str">
        <f>IF(C591="","",IF(COUNT(G591:AZ591)&lt;46,"",SUMPRODUCT(CC591:CK591,'تنظیمات وزن‌دهی'!$C$5:$C$13)/100))</f>
        <v/>
      </c>
      <c r="CM591" s="38" t="str">
        <f t="shared" si="108"/>
        <v/>
      </c>
      <c r="CN591" s="38">
        <v>11</v>
      </c>
      <c r="CO591" s="28" t="str">
        <f t="shared" si="109"/>
        <v/>
      </c>
      <c r="CP591" s="58"/>
    </row>
    <row r="592" spans="1:94" ht="17.25" hidden="1">
      <c r="A592" s="33">
        <v>588</v>
      </c>
      <c r="B592" s="55" t="s">
        <v>194</v>
      </c>
      <c r="C592" s="55" t="str">
        <f>IF(دانش‌آموزان!E53="","",دانش‌آموزان!B53)</f>
        <v/>
      </c>
      <c r="D592" s="55" t="str">
        <f>IF(دانش‌آموزان!C53="","",دانش‌آموزان!C53)</f>
        <v/>
      </c>
      <c r="E592" s="55" t="str">
        <f>IF(دانش‌آموزان!E53="","",دانش‌آموزان!E53&amp;" "&amp;دانش‌آموزان!F53)</f>
        <v/>
      </c>
      <c r="F592" s="34" t="str">
        <f>IF(دانش‌آموزان!I53="","",دانش‌آموزان!I53)</f>
        <v/>
      </c>
      <c r="G592" s="19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  <c r="BO592" s="20"/>
      <c r="BP592" s="20"/>
      <c r="BQ592" s="20"/>
      <c r="BR592" s="20"/>
      <c r="BS592" s="20"/>
      <c r="BT592" s="20"/>
      <c r="BU592" s="20"/>
      <c r="BV592" s="20"/>
      <c r="BW592" s="20"/>
      <c r="BX592" s="20"/>
      <c r="BY592" s="20"/>
      <c r="BZ592" s="20"/>
      <c r="CA592" s="20"/>
      <c r="CB592" s="21"/>
      <c r="CC592" s="27" t="str">
        <f t="shared" si="99"/>
        <v/>
      </c>
      <c r="CD592" s="38" t="str">
        <f t="shared" si="100"/>
        <v/>
      </c>
      <c r="CE592" s="38" t="str">
        <f t="shared" si="101"/>
        <v/>
      </c>
      <c r="CF592" s="38" t="str">
        <f t="shared" si="102"/>
        <v/>
      </c>
      <c r="CG592" s="38" t="str">
        <f t="shared" si="103"/>
        <v/>
      </c>
      <c r="CH592" s="38" t="str">
        <f t="shared" si="104"/>
        <v/>
      </c>
      <c r="CI592" s="38" t="str">
        <f t="shared" si="105"/>
        <v/>
      </c>
      <c r="CJ592" s="38" t="str">
        <f t="shared" si="106"/>
        <v/>
      </c>
      <c r="CK592" s="38" t="str">
        <f t="shared" si="107"/>
        <v/>
      </c>
      <c r="CL592" s="38" t="str">
        <f>IF(C592="","",IF(COUNT(G592:AZ592)&lt;46,"",SUMPRODUCT(CC592:CK592,'تنظیمات وزن‌دهی'!$C$5:$C$13)/100))</f>
        <v/>
      </c>
      <c r="CM592" s="38" t="str">
        <f t="shared" si="108"/>
        <v/>
      </c>
      <c r="CN592" s="38">
        <v>12</v>
      </c>
      <c r="CO592" s="28" t="str">
        <f t="shared" si="109"/>
        <v/>
      </c>
      <c r="CP592" s="58"/>
    </row>
    <row r="593" spans="1:94" ht="17.25" hidden="1">
      <c r="A593" s="33">
        <v>589</v>
      </c>
      <c r="B593" s="55" t="s">
        <v>183</v>
      </c>
      <c r="C593" s="55" t="str">
        <f>IF(دانش‌آموزان!E54="","",دانش‌آموزان!B54)</f>
        <v/>
      </c>
      <c r="D593" s="55" t="str">
        <f>IF(دانش‌آموزان!C54="","",دانش‌آموزان!C54)</f>
        <v/>
      </c>
      <c r="E593" s="55" t="str">
        <f>IF(دانش‌آموزان!E54="","",دانش‌آموزان!E54&amp;" "&amp;دانش‌آموزان!F54)</f>
        <v/>
      </c>
      <c r="F593" s="34" t="str">
        <f>IF(دانش‌آموزان!I54="","",دانش‌آموزان!I54)</f>
        <v/>
      </c>
      <c r="G593" s="19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  <c r="BO593" s="20"/>
      <c r="BP593" s="20"/>
      <c r="BQ593" s="20"/>
      <c r="BR593" s="20"/>
      <c r="BS593" s="20"/>
      <c r="BT593" s="20"/>
      <c r="BU593" s="20"/>
      <c r="BV593" s="20"/>
      <c r="BW593" s="20"/>
      <c r="BX593" s="20"/>
      <c r="BY593" s="20"/>
      <c r="BZ593" s="20"/>
      <c r="CA593" s="20"/>
      <c r="CB593" s="21"/>
      <c r="CC593" s="27" t="str">
        <f t="shared" si="99"/>
        <v/>
      </c>
      <c r="CD593" s="38" t="str">
        <f t="shared" si="100"/>
        <v/>
      </c>
      <c r="CE593" s="38" t="str">
        <f t="shared" si="101"/>
        <v/>
      </c>
      <c r="CF593" s="38" t="str">
        <f t="shared" si="102"/>
        <v/>
      </c>
      <c r="CG593" s="38" t="str">
        <f t="shared" si="103"/>
        <v/>
      </c>
      <c r="CH593" s="38" t="str">
        <f t="shared" si="104"/>
        <v/>
      </c>
      <c r="CI593" s="38" t="str">
        <f t="shared" si="105"/>
        <v/>
      </c>
      <c r="CJ593" s="38" t="str">
        <f t="shared" si="106"/>
        <v/>
      </c>
      <c r="CK593" s="38" t="str">
        <f t="shared" si="107"/>
        <v/>
      </c>
      <c r="CL593" s="38" t="str">
        <f>IF(C593="","",IF(COUNT(G593:AZ593)&lt;46,"",SUMPRODUCT(CC593:CK593,'تنظیمات وزن‌دهی'!$C$5:$C$13)/100))</f>
        <v/>
      </c>
      <c r="CM593" s="38" t="str">
        <f t="shared" si="108"/>
        <v/>
      </c>
      <c r="CN593" s="38">
        <v>1</v>
      </c>
      <c r="CO593" s="28" t="str">
        <f t="shared" si="109"/>
        <v/>
      </c>
      <c r="CP593" s="58"/>
    </row>
    <row r="594" spans="1:94" ht="17.25" hidden="1">
      <c r="A594" s="33">
        <v>590</v>
      </c>
      <c r="B594" s="55" t="s">
        <v>184</v>
      </c>
      <c r="C594" s="55" t="str">
        <f>IF(دانش‌آموزان!E54="","",دانش‌آموزان!B54)</f>
        <v/>
      </c>
      <c r="D594" s="55" t="str">
        <f>IF(دانش‌آموزان!C54="","",دانش‌آموزان!C54)</f>
        <v/>
      </c>
      <c r="E594" s="55" t="str">
        <f>IF(دانش‌آموزان!E54="","",دانش‌آموزان!E54&amp;" "&amp;دانش‌آموزان!F54)</f>
        <v/>
      </c>
      <c r="F594" s="34" t="str">
        <f>IF(دانش‌آموزان!I54="","",دانش‌آموزان!I54)</f>
        <v/>
      </c>
      <c r="G594" s="19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  <c r="BS594" s="20"/>
      <c r="BT594" s="20"/>
      <c r="BU594" s="20"/>
      <c r="BV594" s="20"/>
      <c r="BW594" s="20"/>
      <c r="BX594" s="20"/>
      <c r="BY594" s="20"/>
      <c r="BZ594" s="20"/>
      <c r="CA594" s="20"/>
      <c r="CB594" s="21"/>
      <c r="CC594" s="27" t="str">
        <f t="shared" si="99"/>
        <v/>
      </c>
      <c r="CD594" s="38" t="str">
        <f t="shared" si="100"/>
        <v/>
      </c>
      <c r="CE594" s="38" t="str">
        <f t="shared" si="101"/>
        <v/>
      </c>
      <c r="CF594" s="38" t="str">
        <f t="shared" si="102"/>
        <v/>
      </c>
      <c r="CG594" s="38" t="str">
        <f t="shared" si="103"/>
        <v/>
      </c>
      <c r="CH594" s="38" t="str">
        <f t="shared" si="104"/>
        <v/>
      </c>
      <c r="CI594" s="38" t="str">
        <f t="shared" si="105"/>
        <v/>
      </c>
      <c r="CJ594" s="38" t="str">
        <f t="shared" si="106"/>
        <v/>
      </c>
      <c r="CK594" s="38" t="str">
        <f t="shared" si="107"/>
        <v/>
      </c>
      <c r="CL594" s="38" t="str">
        <f>IF(C594="","",IF(COUNT(G594:AZ594)&lt;46,"",SUMPRODUCT(CC594:CK594,'تنظیمات وزن‌دهی'!$C$5:$C$13)/100))</f>
        <v/>
      </c>
      <c r="CM594" s="38" t="str">
        <f t="shared" si="108"/>
        <v/>
      </c>
      <c r="CN594" s="38">
        <v>2</v>
      </c>
      <c r="CO594" s="28" t="str">
        <f t="shared" si="109"/>
        <v/>
      </c>
      <c r="CP594" s="58"/>
    </row>
    <row r="595" spans="1:94" ht="17.25">
      <c r="A595" s="33">
        <v>591</v>
      </c>
      <c r="B595" s="55" t="s">
        <v>185</v>
      </c>
      <c r="C595" s="55" t="str">
        <f>IF(دانش‌آموزان!E54="","",دانش‌آموزان!B54)</f>
        <v/>
      </c>
      <c r="D595" s="55" t="str">
        <f>IF(دانش‌آموزان!C54="","",دانش‌آموزان!C54)</f>
        <v/>
      </c>
      <c r="E595" s="55" t="str">
        <f>IF(دانش‌آموزان!E54="","",دانش‌آموزان!E54&amp;" "&amp;دانش‌آموزان!F54)</f>
        <v/>
      </c>
      <c r="F595" s="34" t="str">
        <f>IF(دانش‌آموزان!I54="","",دانش‌آموزان!I54)</f>
        <v/>
      </c>
      <c r="G595" s="19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  <c r="BO595" s="20"/>
      <c r="BP595" s="20"/>
      <c r="BQ595" s="20"/>
      <c r="BR595" s="20"/>
      <c r="BS595" s="20"/>
      <c r="BT595" s="20"/>
      <c r="BU595" s="20"/>
      <c r="BV595" s="20"/>
      <c r="BW595" s="20"/>
      <c r="BX595" s="20"/>
      <c r="BY595" s="20"/>
      <c r="BZ595" s="20"/>
      <c r="CA595" s="20"/>
      <c r="CB595" s="21"/>
      <c r="CC595" s="27" t="str">
        <f t="shared" si="99"/>
        <v/>
      </c>
      <c r="CD595" s="38" t="str">
        <f t="shared" si="100"/>
        <v/>
      </c>
      <c r="CE595" s="38" t="str">
        <f t="shared" si="101"/>
        <v/>
      </c>
      <c r="CF595" s="38" t="str">
        <f t="shared" si="102"/>
        <v/>
      </c>
      <c r="CG595" s="38" t="str">
        <f t="shared" si="103"/>
        <v/>
      </c>
      <c r="CH595" s="38" t="str">
        <f t="shared" si="104"/>
        <v/>
      </c>
      <c r="CI595" s="38" t="str">
        <f t="shared" si="105"/>
        <v/>
      </c>
      <c r="CJ595" s="38" t="str">
        <f t="shared" si="106"/>
        <v/>
      </c>
      <c r="CK595" s="38" t="str">
        <f t="shared" si="107"/>
        <v/>
      </c>
      <c r="CL595" s="38" t="str">
        <f>IF(C595="","",IF(COUNT(G595:AZ595)&lt;46,"",SUMPRODUCT(CC595:CK595,'تنظیمات وزن‌دهی'!$C$5:$C$13)/100))</f>
        <v/>
      </c>
      <c r="CM595" s="38" t="str">
        <f t="shared" si="108"/>
        <v/>
      </c>
      <c r="CN595" s="38">
        <v>3</v>
      </c>
      <c r="CO595" s="28" t="str">
        <f t="shared" si="109"/>
        <v/>
      </c>
      <c r="CP595" s="58"/>
    </row>
    <row r="596" spans="1:94" ht="17.25" hidden="1">
      <c r="A596" s="33">
        <v>592</v>
      </c>
      <c r="B596" s="55" t="s">
        <v>186</v>
      </c>
      <c r="C596" s="55" t="str">
        <f>IF(دانش‌آموزان!E54="","",دانش‌آموزان!B54)</f>
        <v/>
      </c>
      <c r="D596" s="55" t="str">
        <f>IF(دانش‌آموزان!C54="","",دانش‌آموزان!C54)</f>
        <v/>
      </c>
      <c r="E596" s="55" t="str">
        <f>IF(دانش‌آموزان!E54="","",دانش‌آموزان!E54&amp;" "&amp;دانش‌آموزان!F54)</f>
        <v/>
      </c>
      <c r="F596" s="34" t="str">
        <f>IF(دانش‌آموزان!I54="","",دانش‌آموزان!I54)</f>
        <v/>
      </c>
      <c r="G596" s="19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  <c r="BO596" s="20"/>
      <c r="BP596" s="20"/>
      <c r="BQ596" s="20"/>
      <c r="BR596" s="20"/>
      <c r="BS596" s="20"/>
      <c r="BT596" s="20"/>
      <c r="BU596" s="20"/>
      <c r="BV596" s="20"/>
      <c r="BW596" s="20"/>
      <c r="BX596" s="20"/>
      <c r="BY596" s="20"/>
      <c r="BZ596" s="20"/>
      <c r="CA596" s="20"/>
      <c r="CB596" s="21"/>
      <c r="CC596" s="27" t="str">
        <f t="shared" si="99"/>
        <v/>
      </c>
      <c r="CD596" s="38" t="str">
        <f t="shared" si="100"/>
        <v/>
      </c>
      <c r="CE596" s="38" t="str">
        <f t="shared" si="101"/>
        <v/>
      </c>
      <c r="CF596" s="38" t="str">
        <f t="shared" si="102"/>
        <v/>
      </c>
      <c r="CG596" s="38" t="str">
        <f t="shared" si="103"/>
        <v/>
      </c>
      <c r="CH596" s="38" t="str">
        <f t="shared" si="104"/>
        <v/>
      </c>
      <c r="CI596" s="38" t="str">
        <f t="shared" si="105"/>
        <v/>
      </c>
      <c r="CJ596" s="38" t="str">
        <f t="shared" si="106"/>
        <v/>
      </c>
      <c r="CK596" s="38" t="str">
        <f t="shared" si="107"/>
        <v/>
      </c>
      <c r="CL596" s="38" t="str">
        <f>IF(C596="","",IF(COUNT(G596:AZ596)&lt;46,"",SUMPRODUCT(CC596:CK596,'تنظیمات وزن‌دهی'!$C$5:$C$13)/100))</f>
        <v/>
      </c>
      <c r="CM596" s="38" t="str">
        <f t="shared" si="108"/>
        <v/>
      </c>
      <c r="CN596" s="38">
        <v>4</v>
      </c>
      <c r="CO596" s="28" t="str">
        <f t="shared" si="109"/>
        <v/>
      </c>
      <c r="CP596" s="58"/>
    </row>
    <row r="597" spans="1:94" ht="17.25" hidden="1">
      <c r="A597" s="33">
        <v>593</v>
      </c>
      <c r="B597" s="55" t="s">
        <v>187</v>
      </c>
      <c r="C597" s="55" t="str">
        <f>IF(دانش‌آموزان!E54="","",دانش‌آموزان!B54)</f>
        <v/>
      </c>
      <c r="D597" s="55" t="str">
        <f>IF(دانش‌آموزان!C54="","",دانش‌آموزان!C54)</f>
        <v/>
      </c>
      <c r="E597" s="55" t="str">
        <f>IF(دانش‌آموزان!E54="","",دانش‌آموزان!E54&amp;" "&amp;دانش‌آموزان!F54)</f>
        <v/>
      </c>
      <c r="F597" s="34" t="str">
        <f>IF(دانش‌آموزان!I54="","",دانش‌آموزان!I54)</f>
        <v/>
      </c>
      <c r="G597" s="19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  <c r="BS597" s="20"/>
      <c r="BT597" s="20"/>
      <c r="BU597" s="20"/>
      <c r="BV597" s="20"/>
      <c r="BW597" s="20"/>
      <c r="BX597" s="20"/>
      <c r="BY597" s="20"/>
      <c r="BZ597" s="20"/>
      <c r="CA597" s="20"/>
      <c r="CB597" s="21"/>
      <c r="CC597" s="27" t="str">
        <f t="shared" si="99"/>
        <v/>
      </c>
      <c r="CD597" s="38" t="str">
        <f t="shared" si="100"/>
        <v/>
      </c>
      <c r="CE597" s="38" t="str">
        <f t="shared" si="101"/>
        <v/>
      </c>
      <c r="CF597" s="38" t="str">
        <f t="shared" si="102"/>
        <v/>
      </c>
      <c r="CG597" s="38" t="str">
        <f t="shared" si="103"/>
        <v/>
      </c>
      <c r="CH597" s="38" t="str">
        <f t="shared" si="104"/>
        <v/>
      </c>
      <c r="CI597" s="38" t="str">
        <f t="shared" si="105"/>
        <v/>
      </c>
      <c r="CJ597" s="38" t="str">
        <f t="shared" si="106"/>
        <v/>
      </c>
      <c r="CK597" s="38" t="str">
        <f t="shared" si="107"/>
        <v/>
      </c>
      <c r="CL597" s="38" t="str">
        <f>IF(C597="","",IF(COUNT(G597:AZ597)&lt;46,"",SUMPRODUCT(CC597:CK597,'تنظیمات وزن‌دهی'!$C$5:$C$13)/100))</f>
        <v/>
      </c>
      <c r="CM597" s="38" t="str">
        <f t="shared" si="108"/>
        <v/>
      </c>
      <c r="CN597" s="38">
        <v>5</v>
      </c>
      <c r="CO597" s="28" t="str">
        <f t="shared" si="109"/>
        <v/>
      </c>
      <c r="CP597" s="58"/>
    </row>
    <row r="598" spans="1:94" ht="17.25" hidden="1">
      <c r="A598" s="33">
        <v>594</v>
      </c>
      <c r="B598" s="55" t="s">
        <v>188</v>
      </c>
      <c r="C598" s="55" t="str">
        <f>IF(دانش‌آموزان!E54="","",دانش‌آموزان!B54)</f>
        <v/>
      </c>
      <c r="D598" s="55" t="str">
        <f>IF(دانش‌آموزان!C54="","",دانش‌آموزان!C54)</f>
        <v/>
      </c>
      <c r="E598" s="55" t="str">
        <f>IF(دانش‌آموزان!E54="","",دانش‌آموزان!E54&amp;" "&amp;دانش‌آموزان!F54)</f>
        <v/>
      </c>
      <c r="F598" s="34" t="str">
        <f>IF(دانش‌آموزان!I54="","",دانش‌آموزان!I54)</f>
        <v/>
      </c>
      <c r="G598" s="19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  <c r="BS598" s="20"/>
      <c r="BT598" s="20"/>
      <c r="BU598" s="20"/>
      <c r="BV598" s="20"/>
      <c r="BW598" s="20"/>
      <c r="BX598" s="20"/>
      <c r="BY598" s="20"/>
      <c r="BZ598" s="20"/>
      <c r="CA598" s="20"/>
      <c r="CB598" s="21"/>
      <c r="CC598" s="27" t="str">
        <f t="shared" si="99"/>
        <v/>
      </c>
      <c r="CD598" s="38" t="str">
        <f t="shared" si="100"/>
        <v/>
      </c>
      <c r="CE598" s="38" t="str">
        <f t="shared" si="101"/>
        <v/>
      </c>
      <c r="CF598" s="38" t="str">
        <f t="shared" si="102"/>
        <v/>
      </c>
      <c r="CG598" s="38" t="str">
        <f t="shared" si="103"/>
        <v/>
      </c>
      <c r="CH598" s="38" t="str">
        <f t="shared" si="104"/>
        <v/>
      </c>
      <c r="CI598" s="38" t="str">
        <f t="shared" si="105"/>
        <v/>
      </c>
      <c r="CJ598" s="38" t="str">
        <f t="shared" si="106"/>
        <v/>
      </c>
      <c r="CK598" s="38" t="str">
        <f t="shared" si="107"/>
        <v/>
      </c>
      <c r="CL598" s="38" t="str">
        <f>IF(C598="","",IF(COUNT(G598:AZ598)&lt;46,"",SUMPRODUCT(CC598:CK598,'تنظیمات وزن‌دهی'!$C$5:$C$13)/100))</f>
        <v/>
      </c>
      <c r="CM598" s="38" t="str">
        <f t="shared" si="108"/>
        <v/>
      </c>
      <c r="CN598" s="38">
        <v>6</v>
      </c>
      <c r="CO598" s="28" t="str">
        <f t="shared" si="109"/>
        <v/>
      </c>
      <c r="CP598" s="58"/>
    </row>
    <row r="599" spans="1:94" ht="17.25" hidden="1">
      <c r="A599" s="33">
        <v>595</v>
      </c>
      <c r="B599" s="55" t="s">
        <v>189</v>
      </c>
      <c r="C599" s="55" t="str">
        <f>IF(دانش‌آموزان!E54="","",دانش‌آموزان!B54)</f>
        <v/>
      </c>
      <c r="D599" s="55" t="str">
        <f>IF(دانش‌آموزان!C54="","",دانش‌آموزان!C54)</f>
        <v/>
      </c>
      <c r="E599" s="55" t="str">
        <f>IF(دانش‌آموزان!E54="","",دانش‌آموزان!E54&amp;" "&amp;دانش‌آموزان!F54)</f>
        <v/>
      </c>
      <c r="F599" s="34" t="str">
        <f>IF(دانش‌آموزان!I54="","",دانش‌آموزان!I54)</f>
        <v/>
      </c>
      <c r="G599" s="19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  <c r="BS599" s="20"/>
      <c r="BT599" s="20"/>
      <c r="BU599" s="20"/>
      <c r="BV599" s="20"/>
      <c r="BW599" s="20"/>
      <c r="BX599" s="20"/>
      <c r="BY599" s="20"/>
      <c r="BZ599" s="20"/>
      <c r="CA599" s="20"/>
      <c r="CB599" s="21"/>
      <c r="CC599" s="27" t="str">
        <f t="shared" si="99"/>
        <v/>
      </c>
      <c r="CD599" s="38" t="str">
        <f t="shared" si="100"/>
        <v/>
      </c>
      <c r="CE599" s="38" t="str">
        <f t="shared" si="101"/>
        <v/>
      </c>
      <c r="CF599" s="38" t="str">
        <f t="shared" si="102"/>
        <v/>
      </c>
      <c r="CG599" s="38" t="str">
        <f t="shared" si="103"/>
        <v/>
      </c>
      <c r="CH599" s="38" t="str">
        <f t="shared" si="104"/>
        <v/>
      </c>
      <c r="CI599" s="38" t="str">
        <f t="shared" si="105"/>
        <v/>
      </c>
      <c r="CJ599" s="38" t="str">
        <f t="shared" si="106"/>
        <v/>
      </c>
      <c r="CK599" s="38" t="str">
        <f t="shared" si="107"/>
        <v/>
      </c>
      <c r="CL599" s="38" t="str">
        <f>IF(C599="","",IF(COUNT(G599:AZ599)&lt;46,"",SUMPRODUCT(CC599:CK599,'تنظیمات وزن‌دهی'!$C$5:$C$13)/100))</f>
        <v/>
      </c>
      <c r="CM599" s="38" t="str">
        <f t="shared" si="108"/>
        <v/>
      </c>
      <c r="CN599" s="38">
        <v>7</v>
      </c>
      <c r="CO599" s="28" t="str">
        <f t="shared" si="109"/>
        <v/>
      </c>
      <c r="CP599" s="58"/>
    </row>
    <row r="600" spans="1:94" ht="17.25" hidden="1">
      <c r="A600" s="33">
        <v>596</v>
      </c>
      <c r="B600" s="55" t="s">
        <v>190</v>
      </c>
      <c r="C600" s="55" t="str">
        <f>IF(دانش‌آموزان!E54="","",دانش‌آموزان!B54)</f>
        <v/>
      </c>
      <c r="D600" s="55" t="str">
        <f>IF(دانش‌آموزان!C54="","",دانش‌آموزان!C54)</f>
        <v/>
      </c>
      <c r="E600" s="55" t="str">
        <f>IF(دانش‌آموزان!E54="","",دانش‌آموزان!E54&amp;" "&amp;دانش‌آموزان!F54)</f>
        <v/>
      </c>
      <c r="F600" s="34" t="str">
        <f>IF(دانش‌آموزان!I54="","",دانش‌آموزان!I54)</f>
        <v/>
      </c>
      <c r="G600" s="19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  <c r="BS600" s="20"/>
      <c r="BT600" s="20"/>
      <c r="BU600" s="20"/>
      <c r="BV600" s="20"/>
      <c r="BW600" s="20"/>
      <c r="BX600" s="20"/>
      <c r="BY600" s="20"/>
      <c r="BZ600" s="20"/>
      <c r="CA600" s="20"/>
      <c r="CB600" s="21"/>
      <c r="CC600" s="27" t="str">
        <f t="shared" si="99"/>
        <v/>
      </c>
      <c r="CD600" s="38" t="str">
        <f t="shared" si="100"/>
        <v/>
      </c>
      <c r="CE600" s="38" t="str">
        <f t="shared" si="101"/>
        <v/>
      </c>
      <c r="CF600" s="38" t="str">
        <f t="shared" si="102"/>
        <v/>
      </c>
      <c r="CG600" s="38" t="str">
        <f t="shared" si="103"/>
        <v/>
      </c>
      <c r="CH600" s="38" t="str">
        <f t="shared" si="104"/>
        <v/>
      </c>
      <c r="CI600" s="38" t="str">
        <f t="shared" si="105"/>
        <v/>
      </c>
      <c r="CJ600" s="38" t="str">
        <f t="shared" si="106"/>
        <v/>
      </c>
      <c r="CK600" s="38" t="str">
        <f t="shared" si="107"/>
        <v/>
      </c>
      <c r="CL600" s="38" t="str">
        <f>IF(C600="","",IF(COUNT(G600:AZ600)&lt;46,"",SUMPRODUCT(CC600:CK600,'تنظیمات وزن‌دهی'!$C$5:$C$13)/100))</f>
        <v/>
      </c>
      <c r="CM600" s="38" t="str">
        <f t="shared" si="108"/>
        <v/>
      </c>
      <c r="CN600" s="38">
        <v>8</v>
      </c>
      <c r="CO600" s="28" t="str">
        <f t="shared" si="109"/>
        <v/>
      </c>
      <c r="CP600" s="58"/>
    </row>
    <row r="601" spans="1:94" ht="17.25" hidden="1">
      <c r="A601" s="33">
        <v>597</v>
      </c>
      <c r="B601" s="55" t="s">
        <v>191</v>
      </c>
      <c r="C601" s="55" t="str">
        <f>IF(دانش‌آموزان!E54="","",دانش‌آموزان!B54)</f>
        <v/>
      </c>
      <c r="D601" s="55" t="str">
        <f>IF(دانش‌آموزان!C54="","",دانش‌آموزان!C54)</f>
        <v/>
      </c>
      <c r="E601" s="55" t="str">
        <f>IF(دانش‌آموزان!E54="","",دانش‌آموزان!E54&amp;" "&amp;دانش‌آموزان!F54)</f>
        <v/>
      </c>
      <c r="F601" s="34" t="str">
        <f>IF(دانش‌آموزان!I54="","",دانش‌آموزان!I54)</f>
        <v/>
      </c>
      <c r="G601" s="19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  <c r="CA601" s="20"/>
      <c r="CB601" s="21"/>
      <c r="CC601" s="27" t="str">
        <f t="shared" si="99"/>
        <v/>
      </c>
      <c r="CD601" s="38" t="str">
        <f t="shared" si="100"/>
        <v/>
      </c>
      <c r="CE601" s="38" t="str">
        <f t="shared" si="101"/>
        <v/>
      </c>
      <c r="CF601" s="38" t="str">
        <f t="shared" si="102"/>
        <v/>
      </c>
      <c r="CG601" s="38" t="str">
        <f t="shared" si="103"/>
        <v/>
      </c>
      <c r="CH601" s="38" t="str">
        <f t="shared" si="104"/>
        <v/>
      </c>
      <c r="CI601" s="38" t="str">
        <f t="shared" si="105"/>
        <v/>
      </c>
      <c r="CJ601" s="38" t="str">
        <f t="shared" si="106"/>
        <v/>
      </c>
      <c r="CK601" s="38" t="str">
        <f t="shared" si="107"/>
        <v/>
      </c>
      <c r="CL601" s="38" t="str">
        <f>IF(C601="","",IF(COUNT(G601:AZ601)&lt;46,"",SUMPRODUCT(CC601:CK601,'تنظیمات وزن‌دهی'!$C$5:$C$13)/100))</f>
        <v/>
      </c>
      <c r="CM601" s="38" t="str">
        <f t="shared" si="108"/>
        <v/>
      </c>
      <c r="CN601" s="38">
        <v>9</v>
      </c>
      <c r="CO601" s="28" t="str">
        <f t="shared" si="109"/>
        <v/>
      </c>
      <c r="CP601" s="58"/>
    </row>
    <row r="602" spans="1:94" ht="17.25" hidden="1">
      <c r="A602" s="33">
        <v>598</v>
      </c>
      <c r="B602" s="55" t="s">
        <v>192</v>
      </c>
      <c r="C602" s="55" t="str">
        <f>IF(دانش‌آموزان!E54="","",دانش‌آموزان!B54)</f>
        <v/>
      </c>
      <c r="D602" s="55" t="str">
        <f>IF(دانش‌آموزان!C54="","",دانش‌آموزان!C54)</f>
        <v/>
      </c>
      <c r="E602" s="55" t="str">
        <f>IF(دانش‌آموزان!E54="","",دانش‌آموزان!E54&amp;" "&amp;دانش‌آموزان!F54)</f>
        <v/>
      </c>
      <c r="F602" s="34" t="str">
        <f>IF(دانش‌آموزان!I54="","",دانش‌آموزان!I54)</f>
        <v/>
      </c>
      <c r="G602" s="19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20"/>
      <c r="BN602" s="20"/>
      <c r="BO602" s="20"/>
      <c r="BP602" s="20"/>
      <c r="BQ602" s="20"/>
      <c r="BR602" s="20"/>
      <c r="BS602" s="20"/>
      <c r="BT602" s="20"/>
      <c r="BU602" s="20"/>
      <c r="BV602" s="20"/>
      <c r="BW602" s="20"/>
      <c r="BX602" s="20"/>
      <c r="BY602" s="20"/>
      <c r="BZ602" s="20"/>
      <c r="CA602" s="20"/>
      <c r="CB602" s="21"/>
      <c r="CC602" s="27" t="str">
        <f t="shared" si="99"/>
        <v/>
      </c>
      <c r="CD602" s="38" t="str">
        <f t="shared" si="100"/>
        <v/>
      </c>
      <c r="CE602" s="38" t="str">
        <f t="shared" si="101"/>
        <v/>
      </c>
      <c r="CF602" s="38" t="str">
        <f t="shared" si="102"/>
        <v/>
      </c>
      <c r="CG602" s="38" t="str">
        <f t="shared" si="103"/>
        <v/>
      </c>
      <c r="CH602" s="38" t="str">
        <f t="shared" si="104"/>
        <v/>
      </c>
      <c r="CI602" s="38" t="str">
        <f t="shared" si="105"/>
        <v/>
      </c>
      <c r="CJ602" s="38" t="str">
        <f t="shared" si="106"/>
        <v/>
      </c>
      <c r="CK602" s="38" t="str">
        <f t="shared" si="107"/>
        <v/>
      </c>
      <c r="CL602" s="38" t="str">
        <f>IF(C602="","",IF(COUNT(G602:AZ602)&lt;46,"",SUMPRODUCT(CC602:CK602,'تنظیمات وزن‌دهی'!$C$5:$C$13)/100))</f>
        <v/>
      </c>
      <c r="CM602" s="38" t="str">
        <f t="shared" si="108"/>
        <v/>
      </c>
      <c r="CN602" s="38">
        <v>10</v>
      </c>
      <c r="CO602" s="28" t="str">
        <f t="shared" si="109"/>
        <v/>
      </c>
      <c r="CP602" s="58"/>
    </row>
    <row r="603" spans="1:94" ht="17.25" hidden="1">
      <c r="A603" s="33">
        <v>599</v>
      </c>
      <c r="B603" s="55" t="s">
        <v>193</v>
      </c>
      <c r="C603" s="55" t="str">
        <f>IF(دانش‌آموزان!E54="","",دانش‌آموزان!B54)</f>
        <v/>
      </c>
      <c r="D603" s="55" t="str">
        <f>IF(دانش‌آموزان!C54="","",دانش‌آموزان!C54)</f>
        <v/>
      </c>
      <c r="E603" s="55" t="str">
        <f>IF(دانش‌آموزان!E54="","",دانش‌آموزان!E54&amp;" "&amp;دانش‌آموزان!F54)</f>
        <v/>
      </c>
      <c r="F603" s="34" t="str">
        <f>IF(دانش‌آموزان!I54="","",دانش‌آموزان!I54)</f>
        <v/>
      </c>
      <c r="G603" s="19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  <c r="BO603" s="20"/>
      <c r="BP603" s="20"/>
      <c r="BQ603" s="20"/>
      <c r="BR603" s="20"/>
      <c r="BS603" s="20"/>
      <c r="BT603" s="20"/>
      <c r="BU603" s="20"/>
      <c r="BV603" s="20"/>
      <c r="BW603" s="20"/>
      <c r="BX603" s="20"/>
      <c r="BY603" s="20"/>
      <c r="BZ603" s="20"/>
      <c r="CA603" s="20"/>
      <c r="CB603" s="21"/>
      <c r="CC603" s="27" t="str">
        <f t="shared" si="99"/>
        <v/>
      </c>
      <c r="CD603" s="38" t="str">
        <f t="shared" si="100"/>
        <v/>
      </c>
      <c r="CE603" s="38" t="str">
        <f t="shared" si="101"/>
        <v/>
      </c>
      <c r="CF603" s="38" t="str">
        <f t="shared" si="102"/>
        <v/>
      </c>
      <c r="CG603" s="38" t="str">
        <f t="shared" si="103"/>
        <v/>
      </c>
      <c r="CH603" s="38" t="str">
        <f t="shared" si="104"/>
        <v/>
      </c>
      <c r="CI603" s="38" t="str">
        <f t="shared" si="105"/>
        <v/>
      </c>
      <c r="CJ603" s="38" t="str">
        <f t="shared" si="106"/>
        <v/>
      </c>
      <c r="CK603" s="38" t="str">
        <f t="shared" si="107"/>
        <v/>
      </c>
      <c r="CL603" s="38" t="str">
        <f>IF(C603="","",IF(COUNT(G603:AZ603)&lt;46,"",SUMPRODUCT(CC603:CK603,'تنظیمات وزن‌دهی'!$C$5:$C$13)/100))</f>
        <v/>
      </c>
      <c r="CM603" s="38" t="str">
        <f t="shared" si="108"/>
        <v/>
      </c>
      <c r="CN603" s="38">
        <v>11</v>
      </c>
      <c r="CO603" s="28" t="str">
        <f t="shared" si="109"/>
        <v/>
      </c>
      <c r="CP603" s="58"/>
    </row>
    <row r="604" spans="1:94" ht="17.25" hidden="1">
      <c r="A604" s="33">
        <v>600</v>
      </c>
      <c r="B604" s="55" t="s">
        <v>194</v>
      </c>
      <c r="C604" s="55" t="str">
        <f>IF(دانش‌آموزان!E54="","",دانش‌آموزان!B54)</f>
        <v/>
      </c>
      <c r="D604" s="55" t="str">
        <f>IF(دانش‌آموزان!C54="","",دانش‌آموزان!C54)</f>
        <v/>
      </c>
      <c r="E604" s="55" t="str">
        <f>IF(دانش‌آموزان!E54="","",دانش‌آموزان!E54&amp;" "&amp;دانش‌آموزان!F54)</f>
        <v/>
      </c>
      <c r="F604" s="34" t="str">
        <f>IF(دانش‌آموزان!I54="","",دانش‌آموزان!I54)</f>
        <v/>
      </c>
      <c r="G604" s="19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  <c r="BS604" s="20"/>
      <c r="BT604" s="20"/>
      <c r="BU604" s="20"/>
      <c r="BV604" s="20"/>
      <c r="BW604" s="20"/>
      <c r="BX604" s="20"/>
      <c r="BY604" s="20"/>
      <c r="BZ604" s="20"/>
      <c r="CA604" s="20"/>
      <c r="CB604" s="21"/>
      <c r="CC604" s="27" t="str">
        <f t="shared" si="99"/>
        <v/>
      </c>
      <c r="CD604" s="38" t="str">
        <f t="shared" si="100"/>
        <v/>
      </c>
      <c r="CE604" s="38" t="str">
        <f t="shared" si="101"/>
        <v/>
      </c>
      <c r="CF604" s="38" t="str">
        <f t="shared" si="102"/>
        <v/>
      </c>
      <c r="CG604" s="38" t="str">
        <f t="shared" si="103"/>
        <v/>
      </c>
      <c r="CH604" s="38" t="str">
        <f t="shared" si="104"/>
        <v/>
      </c>
      <c r="CI604" s="38" t="str">
        <f t="shared" si="105"/>
        <v/>
      </c>
      <c r="CJ604" s="38" t="str">
        <f t="shared" si="106"/>
        <v/>
      </c>
      <c r="CK604" s="38" t="str">
        <f t="shared" si="107"/>
        <v/>
      </c>
      <c r="CL604" s="38" t="str">
        <f>IF(C604="","",IF(COUNT(G604:AZ604)&lt;46,"",SUMPRODUCT(CC604:CK604,'تنظیمات وزن‌دهی'!$C$5:$C$13)/100))</f>
        <v/>
      </c>
      <c r="CM604" s="38" t="str">
        <f t="shared" si="108"/>
        <v/>
      </c>
      <c r="CN604" s="38">
        <v>12</v>
      </c>
      <c r="CO604" s="28" t="str">
        <f t="shared" si="109"/>
        <v/>
      </c>
      <c r="CP604" s="58"/>
    </row>
    <row r="605" spans="1:94" ht="17.25" hidden="1">
      <c r="A605" s="33">
        <v>601</v>
      </c>
      <c r="B605" s="55" t="s">
        <v>183</v>
      </c>
      <c r="C605" s="55" t="str">
        <f>IF(دانش‌آموزان!E55="","",دانش‌آموزان!B55)</f>
        <v/>
      </c>
      <c r="D605" s="55" t="str">
        <f>IF(دانش‌آموزان!C55="","",دانش‌آموزان!C55)</f>
        <v/>
      </c>
      <c r="E605" s="55" t="str">
        <f>IF(دانش‌آموزان!E55="","",دانش‌آموزان!E55&amp;" "&amp;دانش‌آموزان!F55)</f>
        <v/>
      </c>
      <c r="F605" s="34" t="str">
        <f>IF(دانش‌آموزان!I55="","",دانش‌آموزان!I55)</f>
        <v/>
      </c>
      <c r="G605" s="19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  <c r="BK605" s="20"/>
      <c r="BL605" s="20"/>
      <c r="BM605" s="20"/>
      <c r="BN605" s="20"/>
      <c r="BO605" s="20"/>
      <c r="BP605" s="20"/>
      <c r="BQ605" s="20"/>
      <c r="BR605" s="20"/>
      <c r="BS605" s="20"/>
      <c r="BT605" s="20"/>
      <c r="BU605" s="20"/>
      <c r="BV605" s="20"/>
      <c r="BW605" s="20"/>
      <c r="BX605" s="20"/>
      <c r="BY605" s="20"/>
      <c r="BZ605" s="20"/>
      <c r="CA605" s="20"/>
      <c r="CB605" s="21"/>
      <c r="CC605" s="27" t="str">
        <f t="shared" si="99"/>
        <v/>
      </c>
      <c r="CD605" s="38" t="str">
        <f t="shared" si="100"/>
        <v/>
      </c>
      <c r="CE605" s="38" t="str">
        <f t="shared" si="101"/>
        <v/>
      </c>
      <c r="CF605" s="38" t="str">
        <f t="shared" si="102"/>
        <v/>
      </c>
      <c r="CG605" s="38" t="str">
        <f t="shared" si="103"/>
        <v/>
      </c>
      <c r="CH605" s="38" t="str">
        <f t="shared" si="104"/>
        <v/>
      </c>
      <c r="CI605" s="38" t="str">
        <f t="shared" si="105"/>
        <v/>
      </c>
      <c r="CJ605" s="38" t="str">
        <f t="shared" si="106"/>
        <v/>
      </c>
      <c r="CK605" s="38" t="str">
        <f t="shared" si="107"/>
        <v/>
      </c>
      <c r="CL605" s="38" t="str">
        <f>IF(C605="","",IF(COUNT(G605:AZ605)&lt;46,"",SUMPRODUCT(CC605:CK605,'تنظیمات وزن‌دهی'!$C$5:$C$13)/100))</f>
        <v/>
      </c>
      <c r="CM605" s="38" t="str">
        <f t="shared" si="108"/>
        <v/>
      </c>
      <c r="CN605" s="38">
        <v>1</v>
      </c>
      <c r="CO605" s="28" t="str">
        <f t="shared" si="109"/>
        <v/>
      </c>
      <c r="CP605" s="58"/>
    </row>
    <row r="606" spans="1:94" ht="17.25" hidden="1">
      <c r="A606" s="33">
        <v>602</v>
      </c>
      <c r="B606" s="55" t="s">
        <v>184</v>
      </c>
      <c r="C606" s="55" t="str">
        <f>IF(دانش‌آموزان!E55="","",دانش‌آموزان!B55)</f>
        <v/>
      </c>
      <c r="D606" s="55" t="str">
        <f>IF(دانش‌آموزان!C55="","",دانش‌آموزان!C55)</f>
        <v/>
      </c>
      <c r="E606" s="55" t="str">
        <f>IF(دانش‌آموزان!E55="","",دانش‌آموزان!E55&amp;" "&amp;دانش‌آموزان!F55)</f>
        <v/>
      </c>
      <c r="F606" s="34" t="str">
        <f>IF(دانش‌آموزان!I55="","",دانش‌آموزان!I55)</f>
        <v/>
      </c>
      <c r="G606" s="19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  <c r="BX606" s="20"/>
      <c r="BY606" s="20"/>
      <c r="BZ606" s="20"/>
      <c r="CA606" s="20"/>
      <c r="CB606" s="21"/>
      <c r="CC606" s="27" t="str">
        <f t="shared" si="99"/>
        <v/>
      </c>
      <c r="CD606" s="38" t="str">
        <f t="shared" si="100"/>
        <v/>
      </c>
      <c r="CE606" s="38" t="str">
        <f t="shared" si="101"/>
        <v/>
      </c>
      <c r="CF606" s="38" t="str">
        <f t="shared" si="102"/>
        <v/>
      </c>
      <c r="CG606" s="38" t="str">
        <f t="shared" si="103"/>
        <v/>
      </c>
      <c r="CH606" s="38" t="str">
        <f t="shared" si="104"/>
        <v/>
      </c>
      <c r="CI606" s="38" t="str">
        <f t="shared" si="105"/>
        <v/>
      </c>
      <c r="CJ606" s="38" t="str">
        <f t="shared" si="106"/>
        <v/>
      </c>
      <c r="CK606" s="38" t="str">
        <f t="shared" si="107"/>
        <v/>
      </c>
      <c r="CL606" s="38" t="str">
        <f>IF(C606="","",IF(COUNT(G606:AZ606)&lt;46,"",SUMPRODUCT(CC606:CK606,'تنظیمات وزن‌دهی'!$C$5:$C$13)/100))</f>
        <v/>
      </c>
      <c r="CM606" s="38" t="str">
        <f t="shared" si="108"/>
        <v/>
      </c>
      <c r="CN606" s="38">
        <v>2</v>
      </c>
      <c r="CO606" s="28" t="str">
        <f t="shared" si="109"/>
        <v/>
      </c>
      <c r="CP606" s="58"/>
    </row>
    <row r="607" spans="1:94" ht="17.25">
      <c r="A607" s="33">
        <v>603</v>
      </c>
      <c r="B607" s="55" t="s">
        <v>185</v>
      </c>
      <c r="C607" s="55" t="str">
        <f>IF(دانش‌آموزان!E55="","",دانش‌آموزان!B55)</f>
        <v/>
      </c>
      <c r="D607" s="55" t="str">
        <f>IF(دانش‌آموزان!C55="","",دانش‌آموزان!C55)</f>
        <v/>
      </c>
      <c r="E607" s="55" t="str">
        <f>IF(دانش‌آموزان!E55="","",دانش‌آموزان!E55&amp;" "&amp;دانش‌آموزان!F55)</f>
        <v/>
      </c>
      <c r="F607" s="34" t="str">
        <f>IF(دانش‌آموزان!I55="","",دانش‌آموزان!I55)</f>
        <v/>
      </c>
      <c r="G607" s="19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  <c r="BS607" s="20"/>
      <c r="BT607" s="20"/>
      <c r="BU607" s="20"/>
      <c r="BV607" s="20"/>
      <c r="BW607" s="20"/>
      <c r="BX607" s="20"/>
      <c r="BY607" s="20"/>
      <c r="BZ607" s="20"/>
      <c r="CA607" s="20"/>
      <c r="CB607" s="21"/>
      <c r="CC607" s="27" t="str">
        <f t="shared" si="99"/>
        <v/>
      </c>
      <c r="CD607" s="38" t="str">
        <f t="shared" si="100"/>
        <v/>
      </c>
      <c r="CE607" s="38" t="str">
        <f t="shared" si="101"/>
        <v/>
      </c>
      <c r="CF607" s="38" t="str">
        <f t="shared" si="102"/>
        <v/>
      </c>
      <c r="CG607" s="38" t="str">
        <f t="shared" si="103"/>
        <v/>
      </c>
      <c r="CH607" s="38" t="str">
        <f t="shared" si="104"/>
        <v/>
      </c>
      <c r="CI607" s="38" t="str">
        <f t="shared" si="105"/>
        <v/>
      </c>
      <c r="CJ607" s="38" t="str">
        <f t="shared" si="106"/>
        <v/>
      </c>
      <c r="CK607" s="38" t="str">
        <f t="shared" si="107"/>
        <v/>
      </c>
      <c r="CL607" s="38" t="str">
        <f>IF(C607="","",IF(COUNT(G607:AZ607)&lt;46,"",SUMPRODUCT(CC607:CK607,'تنظیمات وزن‌دهی'!$C$5:$C$13)/100))</f>
        <v/>
      </c>
      <c r="CM607" s="38" t="str">
        <f t="shared" si="108"/>
        <v/>
      </c>
      <c r="CN607" s="38">
        <v>3</v>
      </c>
      <c r="CO607" s="28" t="str">
        <f t="shared" si="109"/>
        <v/>
      </c>
      <c r="CP607" s="58"/>
    </row>
    <row r="608" spans="1:94" ht="17.25" hidden="1">
      <c r="A608" s="33">
        <v>604</v>
      </c>
      <c r="B608" s="55" t="s">
        <v>186</v>
      </c>
      <c r="C608" s="55" t="str">
        <f>IF(دانش‌آموزان!E55="","",دانش‌آموزان!B55)</f>
        <v/>
      </c>
      <c r="D608" s="55" t="str">
        <f>IF(دانش‌آموزان!C55="","",دانش‌آموزان!C55)</f>
        <v/>
      </c>
      <c r="E608" s="55" t="str">
        <f>IF(دانش‌آموزان!E55="","",دانش‌آموزان!E55&amp;" "&amp;دانش‌آموزان!F55)</f>
        <v/>
      </c>
      <c r="F608" s="34" t="str">
        <f>IF(دانش‌آموزان!I55="","",دانش‌آموزان!I55)</f>
        <v/>
      </c>
      <c r="G608" s="19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  <c r="BS608" s="20"/>
      <c r="BT608" s="20"/>
      <c r="BU608" s="20"/>
      <c r="BV608" s="20"/>
      <c r="BW608" s="20"/>
      <c r="BX608" s="20"/>
      <c r="BY608" s="20"/>
      <c r="BZ608" s="20"/>
      <c r="CA608" s="20"/>
      <c r="CB608" s="21"/>
      <c r="CC608" s="27" t="str">
        <f t="shared" si="99"/>
        <v/>
      </c>
      <c r="CD608" s="38" t="str">
        <f t="shared" si="100"/>
        <v/>
      </c>
      <c r="CE608" s="38" t="str">
        <f t="shared" si="101"/>
        <v/>
      </c>
      <c r="CF608" s="38" t="str">
        <f t="shared" si="102"/>
        <v/>
      </c>
      <c r="CG608" s="38" t="str">
        <f t="shared" si="103"/>
        <v/>
      </c>
      <c r="CH608" s="38" t="str">
        <f t="shared" si="104"/>
        <v/>
      </c>
      <c r="CI608" s="38" t="str">
        <f t="shared" si="105"/>
        <v/>
      </c>
      <c r="CJ608" s="38" t="str">
        <f t="shared" si="106"/>
        <v/>
      </c>
      <c r="CK608" s="38" t="str">
        <f t="shared" si="107"/>
        <v/>
      </c>
      <c r="CL608" s="38" t="str">
        <f>IF(C608="","",IF(COUNT(G608:AZ608)&lt;46,"",SUMPRODUCT(CC608:CK608,'تنظیمات وزن‌دهی'!$C$5:$C$13)/100))</f>
        <v/>
      </c>
      <c r="CM608" s="38" t="str">
        <f t="shared" si="108"/>
        <v/>
      </c>
      <c r="CN608" s="38">
        <v>4</v>
      </c>
      <c r="CO608" s="28" t="str">
        <f t="shared" si="109"/>
        <v/>
      </c>
      <c r="CP608" s="58"/>
    </row>
    <row r="609" spans="1:94" ht="17.25" hidden="1">
      <c r="A609" s="33">
        <v>605</v>
      </c>
      <c r="B609" s="55" t="s">
        <v>187</v>
      </c>
      <c r="C609" s="55" t="str">
        <f>IF(دانش‌آموزان!E55="","",دانش‌آموزان!B55)</f>
        <v/>
      </c>
      <c r="D609" s="55" t="str">
        <f>IF(دانش‌آموزان!C55="","",دانش‌آموزان!C55)</f>
        <v/>
      </c>
      <c r="E609" s="55" t="str">
        <f>IF(دانش‌آموزان!E55="","",دانش‌آموزان!E55&amp;" "&amp;دانش‌آموزان!F55)</f>
        <v/>
      </c>
      <c r="F609" s="34" t="str">
        <f>IF(دانش‌آموزان!I55="","",دانش‌آموزان!I55)</f>
        <v/>
      </c>
      <c r="G609" s="19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  <c r="CB609" s="21"/>
      <c r="CC609" s="27" t="str">
        <f t="shared" si="99"/>
        <v/>
      </c>
      <c r="CD609" s="38" t="str">
        <f t="shared" si="100"/>
        <v/>
      </c>
      <c r="CE609" s="38" t="str">
        <f t="shared" si="101"/>
        <v/>
      </c>
      <c r="CF609" s="38" t="str">
        <f t="shared" si="102"/>
        <v/>
      </c>
      <c r="CG609" s="38" t="str">
        <f t="shared" si="103"/>
        <v/>
      </c>
      <c r="CH609" s="38" t="str">
        <f t="shared" si="104"/>
        <v/>
      </c>
      <c r="CI609" s="38" t="str">
        <f t="shared" si="105"/>
        <v/>
      </c>
      <c r="CJ609" s="38" t="str">
        <f t="shared" si="106"/>
        <v/>
      </c>
      <c r="CK609" s="38" t="str">
        <f t="shared" si="107"/>
        <v/>
      </c>
      <c r="CL609" s="38" t="str">
        <f>IF(C609="","",IF(COUNT(G609:AZ609)&lt;46,"",SUMPRODUCT(CC609:CK609,'تنظیمات وزن‌دهی'!$C$5:$C$13)/100))</f>
        <v/>
      </c>
      <c r="CM609" s="38" t="str">
        <f t="shared" si="108"/>
        <v/>
      </c>
      <c r="CN609" s="38">
        <v>5</v>
      </c>
      <c r="CO609" s="28" t="str">
        <f t="shared" si="109"/>
        <v/>
      </c>
      <c r="CP609" s="58"/>
    </row>
    <row r="610" spans="1:94" ht="17.25" hidden="1">
      <c r="A610" s="33">
        <v>606</v>
      </c>
      <c r="B610" s="55" t="s">
        <v>188</v>
      </c>
      <c r="C610" s="55" t="str">
        <f>IF(دانش‌آموزان!E55="","",دانش‌آموزان!B55)</f>
        <v/>
      </c>
      <c r="D610" s="55" t="str">
        <f>IF(دانش‌آموزان!C55="","",دانش‌آموزان!C55)</f>
        <v/>
      </c>
      <c r="E610" s="55" t="str">
        <f>IF(دانش‌آموزان!E55="","",دانش‌آموزان!E55&amp;" "&amp;دانش‌آموزان!F55)</f>
        <v/>
      </c>
      <c r="F610" s="34" t="str">
        <f>IF(دانش‌آموزان!I55="","",دانش‌آموزان!I55)</f>
        <v/>
      </c>
      <c r="G610" s="19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  <c r="CB610" s="21"/>
      <c r="CC610" s="27" t="str">
        <f t="shared" si="99"/>
        <v/>
      </c>
      <c r="CD610" s="38" t="str">
        <f t="shared" si="100"/>
        <v/>
      </c>
      <c r="CE610" s="38" t="str">
        <f t="shared" si="101"/>
        <v/>
      </c>
      <c r="CF610" s="38" t="str">
        <f t="shared" si="102"/>
        <v/>
      </c>
      <c r="CG610" s="38" t="str">
        <f t="shared" si="103"/>
        <v/>
      </c>
      <c r="CH610" s="38" t="str">
        <f t="shared" si="104"/>
        <v/>
      </c>
      <c r="CI610" s="38" t="str">
        <f t="shared" si="105"/>
        <v/>
      </c>
      <c r="CJ610" s="38" t="str">
        <f t="shared" si="106"/>
        <v/>
      </c>
      <c r="CK610" s="38" t="str">
        <f t="shared" si="107"/>
        <v/>
      </c>
      <c r="CL610" s="38" t="str">
        <f>IF(C610="","",IF(COUNT(G610:AZ610)&lt;46,"",SUMPRODUCT(CC610:CK610,'تنظیمات وزن‌دهی'!$C$5:$C$13)/100))</f>
        <v/>
      </c>
      <c r="CM610" s="38" t="str">
        <f t="shared" si="108"/>
        <v/>
      </c>
      <c r="CN610" s="38">
        <v>6</v>
      </c>
      <c r="CO610" s="28" t="str">
        <f t="shared" si="109"/>
        <v/>
      </c>
      <c r="CP610" s="58"/>
    </row>
    <row r="611" spans="1:94" ht="17.25" hidden="1">
      <c r="A611" s="33">
        <v>607</v>
      </c>
      <c r="B611" s="55" t="s">
        <v>189</v>
      </c>
      <c r="C611" s="55" t="str">
        <f>IF(دانش‌آموزان!E55="","",دانش‌آموزان!B55)</f>
        <v/>
      </c>
      <c r="D611" s="55" t="str">
        <f>IF(دانش‌آموزان!C55="","",دانش‌آموزان!C55)</f>
        <v/>
      </c>
      <c r="E611" s="55" t="str">
        <f>IF(دانش‌آموزان!E55="","",دانش‌آموزان!E55&amp;" "&amp;دانش‌آموزان!F55)</f>
        <v/>
      </c>
      <c r="F611" s="34" t="str">
        <f>IF(دانش‌آموزان!I55="","",دانش‌آموزان!I55)</f>
        <v/>
      </c>
      <c r="G611" s="19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  <c r="CA611" s="20"/>
      <c r="CB611" s="21"/>
      <c r="CC611" s="27" t="str">
        <f t="shared" si="99"/>
        <v/>
      </c>
      <c r="CD611" s="38" t="str">
        <f t="shared" si="100"/>
        <v/>
      </c>
      <c r="CE611" s="38" t="str">
        <f t="shared" si="101"/>
        <v/>
      </c>
      <c r="CF611" s="38" t="str">
        <f t="shared" si="102"/>
        <v/>
      </c>
      <c r="CG611" s="38" t="str">
        <f t="shared" si="103"/>
        <v/>
      </c>
      <c r="CH611" s="38" t="str">
        <f t="shared" si="104"/>
        <v/>
      </c>
      <c r="CI611" s="38" t="str">
        <f t="shared" si="105"/>
        <v/>
      </c>
      <c r="CJ611" s="38" t="str">
        <f t="shared" si="106"/>
        <v/>
      </c>
      <c r="CK611" s="38" t="str">
        <f t="shared" si="107"/>
        <v/>
      </c>
      <c r="CL611" s="38" t="str">
        <f>IF(C611="","",IF(COUNT(G611:AZ611)&lt;46,"",SUMPRODUCT(CC611:CK611,'تنظیمات وزن‌دهی'!$C$5:$C$13)/100))</f>
        <v/>
      </c>
      <c r="CM611" s="38" t="str">
        <f t="shared" si="108"/>
        <v/>
      </c>
      <c r="CN611" s="38">
        <v>7</v>
      </c>
      <c r="CO611" s="28" t="str">
        <f t="shared" si="109"/>
        <v/>
      </c>
      <c r="CP611" s="58"/>
    </row>
    <row r="612" spans="1:94" ht="17.25" hidden="1">
      <c r="A612" s="33">
        <v>608</v>
      </c>
      <c r="B612" s="55" t="s">
        <v>190</v>
      </c>
      <c r="C612" s="55" t="str">
        <f>IF(دانش‌آموزان!E55="","",دانش‌آموزان!B55)</f>
        <v/>
      </c>
      <c r="D612" s="55" t="str">
        <f>IF(دانش‌آموزان!C55="","",دانش‌آموزان!C55)</f>
        <v/>
      </c>
      <c r="E612" s="55" t="str">
        <f>IF(دانش‌آموزان!E55="","",دانش‌آموزان!E55&amp;" "&amp;دانش‌آموزان!F55)</f>
        <v/>
      </c>
      <c r="F612" s="34" t="str">
        <f>IF(دانش‌آموزان!I55="","",دانش‌آموزان!I55)</f>
        <v/>
      </c>
      <c r="G612" s="19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  <c r="BO612" s="20"/>
      <c r="BP612" s="20"/>
      <c r="BQ612" s="20"/>
      <c r="BR612" s="20"/>
      <c r="BS612" s="20"/>
      <c r="BT612" s="20"/>
      <c r="BU612" s="20"/>
      <c r="BV612" s="20"/>
      <c r="BW612" s="20"/>
      <c r="BX612" s="20"/>
      <c r="BY612" s="20"/>
      <c r="BZ612" s="20"/>
      <c r="CA612" s="20"/>
      <c r="CB612" s="21"/>
      <c r="CC612" s="27" t="str">
        <f t="shared" si="99"/>
        <v/>
      </c>
      <c r="CD612" s="38" t="str">
        <f t="shared" si="100"/>
        <v/>
      </c>
      <c r="CE612" s="38" t="str">
        <f t="shared" si="101"/>
        <v/>
      </c>
      <c r="CF612" s="38" t="str">
        <f t="shared" si="102"/>
        <v/>
      </c>
      <c r="CG612" s="38" t="str">
        <f t="shared" si="103"/>
        <v/>
      </c>
      <c r="CH612" s="38" t="str">
        <f t="shared" si="104"/>
        <v/>
      </c>
      <c r="CI612" s="38" t="str">
        <f t="shared" si="105"/>
        <v/>
      </c>
      <c r="CJ612" s="38" t="str">
        <f t="shared" si="106"/>
        <v/>
      </c>
      <c r="CK612" s="38" t="str">
        <f t="shared" si="107"/>
        <v/>
      </c>
      <c r="CL612" s="38" t="str">
        <f>IF(C612="","",IF(COUNT(G612:AZ612)&lt;46,"",SUMPRODUCT(CC612:CK612,'تنظیمات وزن‌دهی'!$C$5:$C$13)/100))</f>
        <v/>
      </c>
      <c r="CM612" s="38" t="str">
        <f t="shared" si="108"/>
        <v/>
      </c>
      <c r="CN612" s="38">
        <v>8</v>
      </c>
      <c r="CO612" s="28" t="str">
        <f t="shared" si="109"/>
        <v/>
      </c>
      <c r="CP612" s="58"/>
    </row>
    <row r="613" spans="1:94" ht="17.25" hidden="1">
      <c r="A613" s="33">
        <v>609</v>
      </c>
      <c r="B613" s="55" t="s">
        <v>191</v>
      </c>
      <c r="C613" s="55" t="str">
        <f>IF(دانش‌آموزان!E55="","",دانش‌آموزان!B55)</f>
        <v/>
      </c>
      <c r="D613" s="55" t="str">
        <f>IF(دانش‌آموزان!C55="","",دانش‌آموزان!C55)</f>
        <v/>
      </c>
      <c r="E613" s="55" t="str">
        <f>IF(دانش‌آموزان!E55="","",دانش‌آموزان!E55&amp;" "&amp;دانش‌آموزان!F55)</f>
        <v/>
      </c>
      <c r="F613" s="34" t="str">
        <f>IF(دانش‌آموزان!I55="","",دانش‌آموزان!I55)</f>
        <v/>
      </c>
      <c r="G613" s="19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  <c r="BS613" s="20"/>
      <c r="BT613" s="20"/>
      <c r="BU613" s="20"/>
      <c r="BV613" s="20"/>
      <c r="BW613" s="20"/>
      <c r="BX613" s="20"/>
      <c r="BY613" s="20"/>
      <c r="BZ613" s="20"/>
      <c r="CA613" s="20"/>
      <c r="CB613" s="21"/>
      <c r="CC613" s="27" t="str">
        <f t="shared" si="99"/>
        <v/>
      </c>
      <c r="CD613" s="38" t="str">
        <f t="shared" si="100"/>
        <v/>
      </c>
      <c r="CE613" s="38" t="str">
        <f t="shared" si="101"/>
        <v/>
      </c>
      <c r="CF613" s="38" t="str">
        <f t="shared" si="102"/>
        <v/>
      </c>
      <c r="CG613" s="38" t="str">
        <f t="shared" si="103"/>
        <v/>
      </c>
      <c r="CH613" s="38" t="str">
        <f t="shared" si="104"/>
        <v/>
      </c>
      <c r="CI613" s="38" t="str">
        <f t="shared" si="105"/>
        <v/>
      </c>
      <c r="CJ613" s="38" t="str">
        <f t="shared" si="106"/>
        <v/>
      </c>
      <c r="CK613" s="38" t="str">
        <f t="shared" si="107"/>
        <v/>
      </c>
      <c r="CL613" s="38" t="str">
        <f>IF(C613="","",IF(COUNT(G613:AZ613)&lt;46,"",SUMPRODUCT(CC613:CK613,'تنظیمات وزن‌دهی'!$C$5:$C$13)/100))</f>
        <v/>
      </c>
      <c r="CM613" s="38" t="str">
        <f t="shared" si="108"/>
        <v/>
      </c>
      <c r="CN613" s="38">
        <v>9</v>
      </c>
      <c r="CO613" s="28" t="str">
        <f t="shared" si="109"/>
        <v/>
      </c>
      <c r="CP613" s="58"/>
    </row>
    <row r="614" spans="1:94" ht="17.25" hidden="1">
      <c r="A614" s="33">
        <v>610</v>
      </c>
      <c r="B614" s="55" t="s">
        <v>192</v>
      </c>
      <c r="C614" s="55" t="str">
        <f>IF(دانش‌آموزان!E55="","",دانش‌آموزان!B55)</f>
        <v/>
      </c>
      <c r="D614" s="55" t="str">
        <f>IF(دانش‌آموزان!C55="","",دانش‌آموزان!C55)</f>
        <v/>
      </c>
      <c r="E614" s="55" t="str">
        <f>IF(دانش‌آموزان!E55="","",دانش‌آموزان!E55&amp;" "&amp;دانش‌آموزان!F55)</f>
        <v/>
      </c>
      <c r="F614" s="34" t="str">
        <f>IF(دانش‌آموزان!I55="","",دانش‌آموزان!I55)</f>
        <v/>
      </c>
      <c r="G614" s="19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  <c r="BS614" s="20"/>
      <c r="BT614" s="20"/>
      <c r="BU614" s="20"/>
      <c r="BV614" s="20"/>
      <c r="BW614" s="20"/>
      <c r="BX614" s="20"/>
      <c r="BY614" s="20"/>
      <c r="BZ614" s="20"/>
      <c r="CA614" s="20"/>
      <c r="CB614" s="21"/>
      <c r="CC614" s="27" t="str">
        <f t="shared" si="99"/>
        <v/>
      </c>
      <c r="CD614" s="38" t="str">
        <f t="shared" si="100"/>
        <v/>
      </c>
      <c r="CE614" s="38" t="str">
        <f t="shared" si="101"/>
        <v/>
      </c>
      <c r="CF614" s="38" t="str">
        <f t="shared" si="102"/>
        <v/>
      </c>
      <c r="CG614" s="38" t="str">
        <f t="shared" si="103"/>
        <v/>
      </c>
      <c r="CH614" s="38" t="str">
        <f t="shared" si="104"/>
        <v/>
      </c>
      <c r="CI614" s="38" t="str">
        <f t="shared" si="105"/>
        <v/>
      </c>
      <c r="CJ614" s="38" t="str">
        <f t="shared" si="106"/>
        <v/>
      </c>
      <c r="CK614" s="38" t="str">
        <f t="shared" si="107"/>
        <v/>
      </c>
      <c r="CL614" s="38" t="str">
        <f>IF(C614="","",IF(COUNT(G614:AZ614)&lt;46,"",SUMPRODUCT(CC614:CK614,'تنظیمات وزن‌دهی'!$C$5:$C$13)/100))</f>
        <v/>
      </c>
      <c r="CM614" s="38" t="str">
        <f t="shared" si="108"/>
        <v/>
      </c>
      <c r="CN614" s="38">
        <v>10</v>
      </c>
      <c r="CO614" s="28" t="str">
        <f t="shared" si="109"/>
        <v/>
      </c>
      <c r="CP614" s="58"/>
    </row>
    <row r="615" spans="1:94" ht="17.25" hidden="1">
      <c r="A615" s="33">
        <v>611</v>
      </c>
      <c r="B615" s="55" t="s">
        <v>193</v>
      </c>
      <c r="C615" s="55" t="str">
        <f>IF(دانش‌آموزان!E55="","",دانش‌آموزان!B55)</f>
        <v/>
      </c>
      <c r="D615" s="55" t="str">
        <f>IF(دانش‌آموزان!C55="","",دانش‌آموزان!C55)</f>
        <v/>
      </c>
      <c r="E615" s="55" t="str">
        <f>IF(دانش‌آموزان!E55="","",دانش‌آموزان!E55&amp;" "&amp;دانش‌آموزان!F55)</f>
        <v/>
      </c>
      <c r="F615" s="34" t="str">
        <f>IF(دانش‌آموزان!I55="","",دانش‌آموزان!I55)</f>
        <v/>
      </c>
      <c r="G615" s="19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20"/>
      <c r="BX615" s="20"/>
      <c r="BY615" s="20"/>
      <c r="BZ615" s="20"/>
      <c r="CA615" s="20"/>
      <c r="CB615" s="21"/>
      <c r="CC615" s="27" t="str">
        <f t="shared" si="99"/>
        <v/>
      </c>
      <c r="CD615" s="38" t="str">
        <f t="shared" si="100"/>
        <v/>
      </c>
      <c r="CE615" s="38" t="str">
        <f t="shared" si="101"/>
        <v/>
      </c>
      <c r="CF615" s="38" t="str">
        <f t="shared" si="102"/>
        <v/>
      </c>
      <c r="CG615" s="38" t="str">
        <f t="shared" si="103"/>
        <v/>
      </c>
      <c r="CH615" s="38" t="str">
        <f t="shared" si="104"/>
        <v/>
      </c>
      <c r="CI615" s="38" t="str">
        <f t="shared" si="105"/>
        <v/>
      </c>
      <c r="CJ615" s="38" t="str">
        <f t="shared" si="106"/>
        <v/>
      </c>
      <c r="CK615" s="38" t="str">
        <f t="shared" si="107"/>
        <v/>
      </c>
      <c r="CL615" s="38" t="str">
        <f>IF(C615="","",IF(COUNT(G615:AZ615)&lt;46,"",SUMPRODUCT(CC615:CK615,'تنظیمات وزن‌دهی'!$C$5:$C$13)/100))</f>
        <v/>
      </c>
      <c r="CM615" s="38" t="str">
        <f t="shared" si="108"/>
        <v/>
      </c>
      <c r="CN615" s="38">
        <v>11</v>
      </c>
      <c r="CO615" s="28" t="str">
        <f t="shared" si="109"/>
        <v/>
      </c>
      <c r="CP615" s="58"/>
    </row>
    <row r="616" spans="1:94" ht="17.25" hidden="1">
      <c r="A616" s="33">
        <v>612</v>
      </c>
      <c r="B616" s="55" t="s">
        <v>194</v>
      </c>
      <c r="C616" s="55" t="str">
        <f>IF(دانش‌آموزان!E55="","",دانش‌آموزان!B55)</f>
        <v/>
      </c>
      <c r="D616" s="55" t="str">
        <f>IF(دانش‌آموزان!C55="","",دانش‌آموزان!C55)</f>
        <v/>
      </c>
      <c r="E616" s="55" t="str">
        <f>IF(دانش‌آموزان!E55="","",دانش‌آموزان!E55&amp;" "&amp;دانش‌آموزان!F55)</f>
        <v/>
      </c>
      <c r="F616" s="34" t="str">
        <f>IF(دانش‌آموزان!I55="","",دانش‌آموزان!I55)</f>
        <v/>
      </c>
      <c r="G616" s="19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  <c r="BS616" s="20"/>
      <c r="BT616" s="20"/>
      <c r="BU616" s="20"/>
      <c r="BV616" s="20"/>
      <c r="BW616" s="20"/>
      <c r="BX616" s="20"/>
      <c r="BY616" s="20"/>
      <c r="BZ616" s="20"/>
      <c r="CA616" s="20"/>
      <c r="CB616" s="21"/>
      <c r="CC616" s="27" t="str">
        <f t="shared" si="99"/>
        <v/>
      </c>
      <c r="CD616" s="38" t="str">
        <f t="shared" si="100"/>
        <v/>
      </c>
      <c r="CE616" s="38" t="str">
        <f t="shared" si="101"/>
        <v/>
      </c>
      <c r="CF616" s="38" t="str">
        <f t="shared" si="102"/>
        <v/>
      </c>
      <c r="CG616" s="38" t="str">
        <f t="shared" si="103"/>
        <v/>
      </c>
      <c r="CH616" s="38" t="str">
        <f t="shared" si="104"/>
        <v/>
      </c>
      <c r="CI616" s="38" t="str">
        <f t="shared" si="105"/>
        <v/>
      </c>
      <c r="CJ616" s="38" t="str">
        <f t="shared" si="106"/>
        <v/>
      </c>
      <c r="CK616" s="38" t="str">
        <f t="shared" si="107"/>
        <v/>
      </c>
      <c r="CL616" s="38" t="str">
        <f>IF(C616="","",IF(COUNT(G616:AZ616)&lt;46,"",SUMPRODUCT(CC616:CK616,'تنظیمات وزن‌دهی'!$C$5:$C$13)/100))</f>
        <v/>
      </c>
      <c r="CM616" s="38" t="str">
        <f t="shared" si="108"/>
        <v/>
      </c>
      <c r="CN616" s="38">
        <v>12</v>
      </c>
      <c r="CO616" s="28" t="str">
        <f t="shared" si="109"/>
        <v/>
      </c>
      <c r="CP616" s="58"/>
    </row>
    <row r="617" spans="1:94" ht="17.25" hidden="1">
      <c r="A617" s="33">
        <v>613</v>
      </c>
      <c r="B617" s="55" t="s">
        <v>183</v>
      </c>
      <c r="C617" s="55" t="str">
        <f>IF(دانش‌آموزان!E56="","",دانش‌آموزان!B56)</f>
        <v/>
      </c>
      <c r="D617" s="55" t="str">
        <f>IF(دانش‌آموزان!C56="","",دانش‌آموزان!C56)</f>
        <v/>
      </c>
      <c r="E617" s="55" t="str">
        <f>IF(دانش‌آموزان!E56="","",دانش‌آموزان!E56&amp;" "&amp;دانش‌آموزان!F56)</f>
        <v/>
      </c>
      <c r="F617" s="34" t="str">
        <f>IF(دانش‌آموزان!I56="","",دانش‌آموزان!I56)</f>
        <v/>
      </c>
      <c r="G617" s="19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  <c r="BW617" s="20"/>
      <c r="BX617" s="20"/>
      <c r="BY617" s="20"/>
      <c r="BZ617" s="20"/>
      <c r="CA617" s="20"/>
      <c r="CB617" s="21"/>
      <c r="CC617" s="27" t="str">
        <f t="shared" si="99"/>
        <v/>
      </c>
      <c r="CD617" s="38" t="str">
        <f t="shared" si="100"/>
        <v/>
      </c>
      <c r="CE617" s="38" t="str">
        <f t="shared" si="101"/>
        <v/>
      </c>
      <c r="CF617" s="38" t="str">
        <f t="shared" si="102"/>
        <v/>
      </c>
      <c r="CG617" s="38" t="str">
        <f t="shared" si="103"/>
        <v/>
      </c>
      <c r="CH617" s="38" t="str">
        <f t="shared" si="104"/>
        <v/>
      </c>
      <c r="CI617" s="38" t="str">
        <f t="shared" si="105"/>
        <v/>
      </c>
      <c r="CJ617" s="38" t="str">
        <f t="shared" si="106"/>
        <v/>
      </c>
      <c r="CK617" s="38" t="str">
        <f t="shared" si="107"/>
        <v/>
      </c>
      <c r="CL617" s="38" t="str">
        <f>IF(C617="","",IF(COUNT(G617:AZ617)&lt;46,"",SUMPRODUCT(CC617:CK617,'تنظیمات وزن‌دهی'!$C$5:$C$13)/100))</f>
        <v/>
      </c>
      <c r="CM617" s="38" t="str">
        <f t="shared" si="108"/>
        <v/>
      </c>
      <c r="CN617" s="38">
        <v>1</v>
      </c>
      <c r="CO617" s="28" t="str">
        <f t="shared" si="109"/>
        <v/>
      </c>
      <c r="CP617" s="58"/>
    </row>
    <row r="618" spans="1:94" ht="17.25" hidden="1">
      <c r="A618" s="33">
        <v>614</v>
      </c>
      <c r="B618" s="55" t="s">
        <v>184</v>
      </c>
      <c r="C618" s="55" t="str">
        <f>IF(دانش‌آموزان!E56="","",دانش‌آموزان!B56)</f>
        <v/>
      </c>
      <c r="D618" s="55" t="str">
        <f>IF(دانش‌آموزان!C56="","",دانش‌آموزان!C56)</f>
        <v/>
      </c>
      <c r="E618" s="55" t="str">
        <f>IF(دانش‌آموزان!E56="","",دانش‌آموزان!E56&amp;" "&amp;دانش‌آموزان!F56)</f>
        <v/>
      </c>
      <c r="F618" s="34" t="str">
        <f>IF(دانش‌آموزان!I56="","",دانش‌آموزان!I56)</f>
        <v/>
      </c>
      <c r="G618" s="19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  <c r="BS618" s="20"/>
      <c r="BT618" s="20"/>
      <c r="BU618" s="20"/>
      <c r="BV618" s="20"/>
      <c r="BW618" s="20"/>
      <c r="BX618" s="20"/>
      <c r="BY618" s="20"/>
      <c r="BZ618" s="20"/>
      <c r="CA618" s="20"/>
      <c r="CB618" s="21"/>
      <c r="CC618" s="27" t="str">
        <f t="shared" si="99"/>
        <v/>
      </c>
      <c r="CD618" s="38" t="str">
        <f t="shared" si="100"/>
        <v/>
      </c>
      <c r="CE618" s="38" t="str">
        <f t="shared" si="101"/>
        <v/>
      </c>
      <c r="CF618" s="38" t="str">
        <f t="shared" si="102"/>
        <v/>
      </c>
      <c r="CG618" s="38" t="str">
        <f t="shared" si="103"/>
        <v/>
      </c>
      <c r="CH618" s="38" t="str">
        <f t="shared" si="104"/>
        <v/>
      </c>
      <c r="CI618" s="38" t="str">
        <f t="shared" si="105"/>
        <v/>
      </c>
      <c r="CJ618" s="38" t="str">
        <f t="shared" si="106"/>
        <v/>
      </c>
      <c r="CK618" s="38" t="str">
        <f t="shared" si="107"/>
        <v/>
      </c>
      <c r="CL618" s="38" t="str">
        <f>IF(C618="","",IF(COUNT(G618:AZ618)&lt;46,"",SUMPRODUCT(CC618:CK618,'تنظیمات وزن‌دهی'!$C$5:$C$13)/100))</f>
        <v/>
      </c>
      <c r="CM618" s="38" t="str">
        <f t="shared" si="108"/>
        <v/>
      </c>
      <c r="CN618" s="38">
        <v>2</v>
      </c>
      <c r="CO618" s="28" t="str">
        <f t="shared" si="109"/>
        <v/>
      </c>
      <c r="CP618" s="58"/>
    </row>
    <row r="619" spans="1:94" ht="17.25">
      <c r="A619" s="33">
        <v>615</v>
      </c>
      <c r="B619" s="55" t="s">
        <v>185</v>
      </c>
      <c r="C619" s="55" t="str">
        <f>IF(دانش‌آموزان!E56="","",دانش‌آموزان!B56)</f>
        <v/>
      </c>
      <c r="D619" s="55" t="str">
        <f>IF(دانش‌آموزان!C56="","",دانش‌آموزان!C56)</f>
        <v/>
      </c>
      <c r="E619" s="55" t="str">
        <f>IF(دانش‌آموزان!E56="","",دانش‌آموزان!E56&amp;" "&amp;دانش‌آموزان!F56)</f>
        <v/>
      </c>
      <c r="F619" s="34" t="str">
        <f>IF(دانش‌آموزان!I56="","",دانش‌آموزان!I56)</f>
        <v/>
      </c>
      <c r="G619" s="19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  <c r="BS619" s="20"/>
      <c r="BT619" s="20"/>
      <c r="BU619" s="20"/>
      <c r="BV619" s="20"/>
      <c r="BW619" s="20"/>
      <c r="BX619" s="20"/>
      <c r="BY619" s="20"/>
      <c r="BZ619" s="20"/>
      <c r="CA619" s="20"/>
      <c r="CB619" s="21"/>
      <c r="CC619" s="27" t="str">
        <f t="shared" si="99"/>
        <v/>
      </c>
      <c r="CD619" s="38" t="str">
        <f t="shared" si="100"/>
        <v/>
      </c>
      <c r="CE619" s="38" t="str">
        <f t="shared" si="101"/>
        <v/>
      </c>
      <c r="CF619" s="38" t="str">
        <f t="shared" si="102"/>
        <v/>
      </c>
      <c r="CG619" s="38" t="str">
        <f t="shared" si="103"/>
        <v/>
      </c>
      <c r="CH619" s="38" t="str">
        <f t="shared" si="104"/>
        <v/>
      </c>
      <c r="CI619" s="38" t="str">
        <f t="shared" si="105"/>
        <v/>
      </c>
      <c r="CJ619" s="38" t="str">
        <f t="shared" si="106"/>
        <v/>
      </c>
      <c r="CK619" s="38" t="str">
        <f t="shared" si="107"/>
        <v/>
      </c>
      <c r="CL619" s="38" t="str">
        <f>IF(C619="","",IF(COUNT(G619:AZ619)&lt;46,"",SUMPRODUCT(CC619:CK619,'تنظیمات وزن‌دهی'!$C$5:$C$13)/100))</f>
        <v/>
      </c>
      <c r="CM619" s="38" t="str">
        <f t="shared" si="108"/>
        <v/>
      </c>
      <c r="CN619" s="38">
        <v>3</v>
      </c>
      <c r="CO619" s="28" t="str">
        <f t="shared" si="109"/>
        <v/>
      </c>
      <c r="CP619" s="58"/>
    </row>
    <row r="620" spans="1:94" ht="17.25" hidden="1">
      <c r="A620" s="33">
        <v>616</v>
      </c>
      <c r="B620" s="55" t="s">
        <v>186</v>
      </c>
      <c r="C620" s="55" t="str">
        <f>IF(دانش‌آموزان!E56="","",دانش‌آموزان!B56)</f>
        <v/>
      </c>
      <c r="D620" s="55" t="str">
        <f>IF(دانش‌آموزان!C56="","",دانش‌آموزان!C56)</f>
        <v/>
      </c>
      <c r="E620" s="55" t="str">
        <f>IF(دانش‌آموزان!E56="","",دانش‌آموزان!E56&amp;" "&amp;دانش‌آموزان!F56)</f>
        <v/>
      </c>
      <c r="F620" s="34" t="str">
        <f>IF(دانش‌آموزان!I56="","",دانش‌آموزان!I56)</f>
        <v/>
      </c>
      <c r="G620" s="19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  <c r="BW620" s="20"/>
      <c r="BX620" s="20"/>
      <c r="BY620" s="20"/>
      <c r="BZ620" s="20"/>
      <c r="CA620" s="20"/>
      <c r="CB620" s="21"/>
      <c r="CC620" s="27" t="str">
        <f t="shared" si="99"/>
        <v/>
      </c>
      <c r="CD620" s="38" t="str">
        <f t="shared" si="100"/>
        <v/>
      </c>
      <c r="CE620" s="38" t="str">
        <f t="shared" si="101"/>
        <v/>
      </c>
      <c r="CF620" s="38" t="str">
        <f t="shared" si="102"/>
        <v/>
      </c>
      <c r="CG620" s="38" t="str">
        <f t="shared" si="103"/>
        <v/>
      </c>
      <c r="CH620" s="38" t="str">
        <f t="shared" si="104"/>
        <v/>
      </c>
      <c r="CI620" s="38" t="str">
        <f t="shared" si="105"/>
        <v/>
      </c>
      <c r="CJ620" s="38" t="str">
        <f t="shared" si="106"/>
        <v/>
      </c>
      <c r="CK620" s="38" t="str">
        <f t="shared" si="107"/>
        <v/>
      </c>
      <c r="CL620" s="38" t="str">
        <f>IF(C620="","",IF(COUNT(G620:AZ620)&lt;46,"",SUMPRODUCT(CC620:CK620,'تنظیمات وزن‌دهی'!$C$5:$C$13)/100))</f>
        <v/>
      </c>
      <c r="CM620" s="38" t="str">
        <f t="shared" si="108"/>
        <v/>
      </c>
      <c r="CN620" s="38">
        <v>4</v>
      </c>
      <c r="CO620" s="28" t="str">
        <f t="shared" si="109"/>
        <v/>
      </c>
      <c r="CP620" s="58"/>
    </row>
    <row r="621" spans="1:94" ht="17.25" hidden="1">
      <c r="A621" s="33">
        <v>617</v>
      </c>
      <c r="B621" s="55" t="s">
        <v>187</v>
      </c>
      <c r="C621" s="55" t="str">
        <f>IF(دانش‌آموزان!E56="","",دانش‌آموزان!B56)</f>
        <v/>
      </c>
      <c r="D621" s="55" t="str">
        <f>IF(دانش‌آموزان!C56="","",دانش‌آموزان!C56)</f>
        <v/>
      </c>
      <c r="E621" s="55" t="str">
        <f>IF(دانش‌آموزان!E56="","",دانش‌آموزان!E56&amp;" "&amp;دانش‌آموزان!F56)</f>
        <v/>
      </c>
      <c r="F621" s="34" t="str">
        <f>IF(دانش‌آموزان!I56="","",دانش‌آموزان!I56)</f>
        <v/>
      </c>
      <c r="G621" s="19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  <c r="BS621" s="20"/>
      <c r="BT621" s="20"/>
      <c r="BU621" s="20"/>
      <c r="BV621" s="20"/>
      <c r="BW621" s="20"/>
      <c r="BX621" s="20"/>
      <c r="BY621" s="20"/>
      <c r="BZ621" s="20"/>
      <c r="CA621" s="20"/>
      <c r="CB621" s="21"/>
      <c r="CC621" s="27" t="str">
        <f t="shared" si="99"/>
        <v/>
      </c>
      <c r="CD621" s="38" t="str">
        <f t="shared" si="100"/>
        <v/>
      </c>
      <c r="CE621" s="38" t="str">
        <f t="shared" si="101"/>
        <v/>
      </c>
      <c r="CF621" s="38" t="str">
        <f t="shared" si="102"/>
        <v/>
      </c>
      <c r="CG621" s="38" t="str">
        <f t="shared" si="103"/>
        <v/>
      </c>
      <c r="CH621" s="38" t="str">
        <f t="shared" si="104"/>
        <v/>
      </c>
      <c r="CI621" s="38" t="str">
        <f t="shared" si="105"/>
        <v/>
      </c>
      <c r="CJ621" s="38" t="str">
        <f t="shared" si="106"/>
        <v/>
      </c>
      <c r="CK621" s="38" t="str">
        <f t="shared" si="107"/>
        <v/>
      </c>
      <c r="CL621" s="38" t="str">
        <f>IF(C621="","",IF(COUNT(G621:AZ621)&lt;46,"",SUMPRODUCT(CC621:CK621,'تنظیمات وزن‌دهی'!$C$5:$C$13)/100))</f>
        <v/>
      </c>
      <c r="CM621" s="38" t="str">
        <f t="shared" si="108"/>
        <v/>
      </c>
      <c r="CN621" s="38">
        <v>5</v>
      </c>
      <c r="CO621" s="28" t="str">
        <f t="shared" si="109"/>
        <v/>
      </c>
      <c r="CP621" s="58"/>
    </row>
    <row r="622" spans="1:94" ht="17.25" hidden="1">
      <c r="A622" s="33">
        <v>618</v>
      </c>
      <c r="B622" s="55" t="s">
        <v>188</v>
      </c>
      <c r="C622" s="55" t="str">
        <f>IF(دانش‌آموزان!E56="","",دانش‌آموزان!B56)</f>
        <v/>
      </c>
      <c r="D622" s="55" t="str">
        <f>IF(دانش‌آموزان!C56="","",دانش‌آموزان!C56)</f>
        <v/>
      </c>
      <c r="E622" s="55" t="str">
        <f>IF(دانش‌آموزان!E56="","",دانش‌آموزان!E56&amp;" "&amp;دانش‌آموزان!F56)</f>
        <v/>
      </c>
      <c r="F622" s="34" t="str">
        <f>IF(دانش‌آموزان!I56="","",دانش‌آموزان!I56)</f>
        <v/>
      </c>
      <c r="G622" s="19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  <c r="CA622" s="20"/>
      <c r="CB622" s="21"/>
      <c r="CC622" s="27" t="str">
        <f t="shared" si="99"/>
        <v/>
      </c>
      <c r="CD622" s="38" t="str">
        <f t="shared" si="100"/>
        <v/>
      </c>
      <c r="CE622" s="38" t="str">
        <f t="shared" si="101"/>
        <v/>
      </c>
      <c r="CF622" s="38" t="str">
        <f t="shared" si="102"/>
        <v/>
      </c>
      <c r="CG622" s="38" t="str">
        <f t="shared" si="103"/>
        <v/>
      </c>
      <c r="CH622" s="38" t="str">
        <f t="shared" si="104"/>
        <v/>
      </c>
      <c r="CI622" s="38" t="str">
        <f t="shared" si="105"/>
        <v/>
      </c>
      <c r="CJ622" s="38" t="str">
        <f t="shared" si="106"/>
        <v/>
      </c>
      <c r="CK622" s="38" t="str">
        <f t="shared" si="107"/>
        <v/>
      </c>
      <c r="CL622" s="38" t="str">
        <f>IF(C622="","",IF(COUNT(G622:AZ622)&lt;46,"",SUMPRODUCT(CC622:CK622,'تنظیمات وزن‌دهی'!$C$5:$C$13)/100))</f>
        <v/>
      </c>
      <c r="CM622" s="38" t="str">
        <f t="shared" si="108"/>
        <v/>
      </c>
      <c r="CN622" s="38">
        <v>6</v>
      </c>
      <c r="CO622" s="28" t="str">
        <f t="shared" si="109"/>
        <v/>
      </c>
      <c r="CP622" s="58"/>
    </row>
    <row r="623" spans="1:94" ht="17.25" hidden="1">
      <c r="A623" s="33">
        <v>619</v>
      </c>
      <c r="B623" s="55" t="s">
        <v>189</v>
      </c>
      <c r="C623" s="55" t="str">
        <f>IF(دانش‌آموزان!E56="","",دانش‌آموزان!B56)</f>
        <v/>
      </c>
      <c r="D623" s="55" t="str">
        <f>IF(دانش‌آموزان!C56="","",دانش‌آموزان!C56)</f>
        <v/>
      </c>
      <c r="E623" s="55" t="str">
        <f>IF(دانش‌آموزان!E56="","",دانش‌آموزان!E56&amp;" "&amp;دانش‌آموزان!F56)</f>
        <v/>
      </c>
      <c r="F623" s="34" t="str">
        <f>IF(دانش‌آموزان!I56="","",دانش‌آموزان!I56)</f>
        <v/>
      </c>
      <c r="G623" s="19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  <c r="BS623" s="20"/>
      <c r="BT623" s="20"/>
      <c r="BU623" s="20"/>
      <c r="BV623" s="20"/>
      <c r="BW623" s="20"/>
      <c r="BX623" s="20"/>
      <c r="BY623" s="20"/>
      <c r="BZ623" s="20"/>
      <c r="CA623" s="20"/>
      <c r="CB623" s="21"/>
      <c r="CC623" s="27" t="str">
        <f t="shared" si="99"/>
        <v/>
      </c>
      <c r="CD623" s="38" t="str">
        <f t="shared" si="100"/>
        <v/>
      </c>
      <c r="CE623" s="38" t="str">
        <f t="shared" si="101"/>
        <v/>
      </c>
      <c r="CF623" s="38" t="str">
        <f t="shared" si="102"/>
        <v/>
      </c>
      <c r="CG623" s="38" t="str">
        <f t="shared" si="103"/>
        <v/>
      </c>
      <c r="CH623" s="38" t="str">
        <f t="shared" si="104"/>
        <v/>
      </c>
      <c r="CI623" s="38" t="str">
        <f t="shared" si="105"/>
        <v/>
      </c>
      <c r="CJ623" s="38" t="str">
        <f t="shared" si="106"/>
        <v/>
      </c>
      <c r="CK623" s="38" t="str">
        <f t="shared" si="107"/>
        <v/>
      </c>
      <c r="CL623" s="38" t="str">
        <f>IF(C623="","",IF(COUNT(G623:AZ623)&lt;46,"",SUMPRODUCT(CC623:CK623,'تنظیمات وزن‌دهی'!$C$5:$C$13)/100))</f>
        <v/>
      </c>
      <c r="CM623" s="38" t="str">
        <f t="shared" si="108"/>
        <v/>
      </c>
      <c r="CN623" s="38">
        <v>7</v>
      </c>
      <c r="CO623" s="28" t="str">
        <f t="shared" si="109"/>
        <v/>
      </c>
      <c r="CP623" s="58"/>
    </row>
    <row r="624" spans="1:94" ht="17.25" hidden="1">
      <c r="A624" s="33">
        <v>620</v>
      </c>
      <c r="B624" s="55" t="s">
        <v>190</v>
      </c>
      <c r="C624" s="55" t="str">
        <f>IF(دانش‌آموزان!E56="","",دانش‌آموزان!B56)</f>
        <v/>
      </c>
      <c r="D624" s="55" t="str">
        <f>IF(دانش‌آموزان!C56="","",دانش‌آموزان!C56)</f>
        <v/>
      </c>
      <c r="E624" s="55" t="str">
        <f>IF(دانش‌آموزان!E56="","",دانش‌آموزان!E56&amp;" "&amp;دانش‌آموزان!F56)</f>
        <v/>
      </c>
      <c r="F624" s="34" t="str">
        <f>IF(دانش‌آموزان!I56="","",دانش‌آموزان!I56)</f>
        <v/>
      </c>
      <c r="G624" s="19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  <c r="CA624" s="20"/>
      <c r="CB624" s="21"/>
      <c r="CC624" s="27" t="str">
        <f t="shared" si="99"/>
        <v/>
      </c>
      <c r="CD624" s="38" t="str">
        <f t="shared" si="100"/>
        <v/>
      </c>
      <c r="CE624" s="38" t="str">
        <f t="shared" si="101"/>
        <v/>
      </c>
      <c r="CF624" s="38" t="str">
        <f t="shared" si="102"/>
        <v/>
      </c>
      <c r="CG624" s="38" t="str">
        <f t="shared" si="103"/>
        <v/>
      </c>
      <c r="CH624" s="38" t="str">
        <f t="shared" si="104"/>
        <v/>
      </c>
      <c r="CI624" s="38" t="str">
        <f t="shared" si="105"/>
        <v/>
      </c>
      <c r="CJ624" s="38" t="str">
        <f t="shared" si="106"/>
        <v/>
      </c>
      <c r="CK624" s="38" t="str">
        <f t="shared" si="107"/>
        <v/>
      </c>
      <c r="CL624" s="38" t="str">
        <f>IF(C624="","",IF(COUNT(G624:AZ624)&lt;46,"",SUMPRODUCT(CC624:CK624,'تنظیمات وزن‌دهی'!$C$5:$C$13)/100))</f>
        <v/>
      </c>
      <c r="CM624" s="38" t="str">
        <f t="shared" si="108"/>
        <v/>
      </c>
      <c r="CN624" s="38">
        <v>8</v>
      </c>
      <c r="CO624" s="28" t="str">
        <f t="shared" si="109"/>
        <v/>
      </c>
      <c r="CP624" s="58"/>
    </row>
    <row r="625" spans="1:94" ht="17.25" hidden="1">
      <c r="A625" s="33">
        <v>621</v>
      </c>
      <c r="B625" s="55" t="s">
        <v>191</v>
      </c>
      <c r="C625" s="55" t="str">
        <f>IF(دانش‌آموزان!E56="","",دانش‌آموزان!B56)</f>
        <v/>
      </c>
      <c r="D625" s="55" t="str">
        <f>IF(دانش‌آموزان!C56="","",دانش‌آموزان!C56)</f>
        <v/>
      </c>
      <c r="E625" s="55" t="str">
        <f>IF(دانش‌آموزان!E56="","",دانش‌آموزان!E56&amp;" "&amp;دانش‌آموزان!F56)</f>
        <v/>
      </c>
      <c r="F625" s="34" t="str">
        <f>IF(دانش‌آموزان!I56="","",دانش‌آموزان!I56)</f>
        <v/>
      </c>
      <c r="G625" s="19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  <c r="BS625" s="20"/>
      <c r="BT625" s="20"/>
      <c r="BU625" s="20"/>
      <c r="BV625" s="20"/>
      <c r="BW625" s="20"/>
      <c r="BX625" s="20"/>
      <c r="BY625" s="20"/>
      <c r="BZ625" s="20"/>
      <c r="CA625" s="20"/>
      <c r="CB625" s="21"/>
      <c r="CC625" s="27" t="str">
        <f t="shared" si="99"/>
        <v/>
      </c>
      <c r="CD625" s="38" t="str">
        <f t="shared" si="100"/>
        <v/>
      </c>
      <c r="CE625" s="38" t="str">
        <f t="shared" si="101"/>
        <v/>
      </c>
      <c r="CF625" s="38" t="str">
        <f t="shared" si="102"/>
        <v/>
      </c>
      <c r="CG625" s="38" t="str">
        <f t="shared" si="103"/>
        <v/>
      </c>
      <c r="CH625" s="38" t="str">
        <f t="shared" si="104"/>
        <v/>
      </c>
      <c r="CI625" s="38" t="str">
        <f t="shared" si="105"/>
        <v/>
      </c>
      <c r="CJ625" s="38" t="str">
        <f t="shared" si="106"/>
        <v/>
      </c>
      <c r="CK625" s="38" t="str">
        <f t="shared" si="107"/>
        <v/>
      </c>
      <c r="CL625" s="38" t="str">
        <f>IF(C625="","",IF(COUNT(G625:AZ625)&lt;46,"",SUMPRODUCT(CC625:CK625,'تنظیمات وزن‌دهی'!$C$5:$C$13)/100))</f>
        <v/>
      </c>
      <c r="CM625" s="38" t="str">
        <f t="shared" si="108"/>
        <v/>
      </c>
      <c r="CN625" s="38">
        <v>9</v>
      </c>
      <c r="CO625" s="28" t="str">
        <f t="shared" si="109"/>
        <v/>
      </c>
      <c r="CP625" s="58"/>
    </row>
    <row r="626" spans="1:94" ht="17.25" hidden="1">
      <c r="A626" s="33">
        <v>622</v>
      </c>
      <c r="B626" s="55" t="s">
        <v>192</v>
      </c>
      <c r="C626" s="55" t="str">
        <f>IF(دانش‌آموزان!E56="","",دانش‌آموزان!B56)</f>
        <v/>
      </c>
      <c r="D626" s="55" t="str">
        <f>IF(دانش‌آموزان!C56="","",دانش‌آموزان!C56)</f>
        <v/>
      </c>
      <c r="E626" s="55" t="str">
        <f>IF(دانش‌آموزان!E56="","",دانش‌آموزان!E56&amp;" "&amp;دانش‌آموزان!F56)</f>
        <v/>
      </c>
      <c r="F626" s="34" t="str">
        <f>IF(دانش‌آموزان!I56="","",دانش‌آموزان!I56)</f>
        <v/>
      </c>
      <c r="G626" s="19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  <c r="BJ626" s="20"/>
      <c r="BK626" s="20"/>
      <c r="BL626" s="20"/>
      <c r="BM626" s="20"/>
      <c r="BN626" s="20"/>
      <c r="BO626" s="20"/>
      <c r="BP626" s="20"/>
      <c r="BQ626" s="20"/>
      <c r="BR626" s="20"/>
      <c r="BS626" s="20"/>
      <c r="BT626" s="20"/>
      <c r="BU626" s="20"/>
      <c r="BV626" s="20"/>
      <c r="BW626" s="20"/>
      <c r="BX626" s="20"/>
      <c r="BY626" s="20"/>
      <c r="BZ626" s="20"/>
      <c r="CA626" s="20"/>
      <c r="CB626" s="21"/>
      <c r="CC626" s="27" t="str">
        <f t="shared" si="99"/>
        <v/>
      </c>
      <c r="CD626" s="38" t="str">
        <f t="shared" si="100"/>
        <v/>
      </c>
      <c r="CE626" s="38" t="str">
        <f t="shared" si="101"/>
        <v/>
      </c>
      <c r="CF626" s="38" t="str">
        <f t="shared" si="102"/>
        <v/>
      </c>
      <c r="CG626" s="38" t="str">
        <f t="shared" si="103"/>
        <v/>
      </c>
      <c r="CH626" s="38" t="str">
        <f t="shared" si="104"/>
        <v/>
      </c>
      <c r="CI626" s="38" t="str">
        <f t="shared" si="105"/>
        <v/>
      </c>
      <c r="CJ626" s="38" t="str">
        <f t="shared" si="106"/>
        <v/>
      </c>
      <c r="CK626" s="38" t="str">
        <f t="shared" si="107"/>
        <v/>
      </c>
      <c r="CL626" s="38" t="str">
        <f>IF(C626="","",IF(COUNT(G626:AZ626)&lt;46,"",SUMPRODUCT(CC626:CK626,'تنظیمات وزن‌دهی'!$C$5:$C$13)/100))</f>
        <v/>
      </c>
      <c r="CM626" s="38" t="str">
        <f t="shared" si="108"/>
        <v/>
      </c>
      <c r="CN626" s="38">
        <v>10</v>
      </c>
      <c r="CO626" s="28" t="str">
        <f t="shared" si="109"/>
        <v/>
      </c>
      <c r="CP626" s="58"/>
    </row>
    <row r="627" spans="1:94" ht="17.25" hidden="1">
      <c r="A627" s="33">
        <v>623</v>
      </c>
      <c r="B627" s="55" t="s">
        <v>193</v>
      </c>
      <c r="C627" s="55" t="str">
        <f>IF(دانش‌آموزان!E56="","",دانش‌آموزان!B56)</f>
        <v/>
      </c>
      <c r="D627" s="55" t="str">
        <f>IF(دانش‌آموزان!C56="","",دانش‌آموزان!C56)</f>
        <v/>
      </c>
      <c r="E627" s="55" t="str">
        <f>IF(دانش‌آموزان!E56="","",دانش‌آموزان!E56&amp;" "&amp;دانش‌آموزان!F56)</f>
        <v/>
      </c>
      <c r="F627" s="34" t="str">
        <f>IF(دانش‌آموزان!I56="","",دانش‌آموزان!I56)</f>
        <v/>
      </c>
      <c r="G627" s="19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20"/>
      <c r="BN627" s="20"/>
      <c r="BO627" s="20"/>
      <c r="BP627" s="20"/>
      <c r="BQ627" s="20"/>
      <c r="BR627" s="20"/>
      <c r="BS627" s="20"/>
      <c r="BT627" s="20"/>
      <c r="BU627" s="20"/>
      <c r="BV627" s="20"/>
      <c r="BW627" s="20"/>
      <c r="BX627" s="20"/>
      <c r="BY627" s="20"/>
      <c r="BZ627" s="20"/>
      <c r="CA627" s="20"/>
      <c r="CB627" s="21"/>
      <c r="CC627" s="27" t="str">
        <f t="shared" si="99"/>
        <v/>
      </c>
      <c r="CD627" s="38" t="str">
        <f t="shared" si="100"/>
        <v/>
      </c>
      <c r="CE627" s="38" t="str">
        <f t="shared" si="101"/>
        <v/>
      </c>
      <c r="CF627" s="38" t="str">
        <f t="shared" si="102"/>
        <v/>
      </c>
      <c r="CG627" s="38" t="str">
        <f t="shared" si="103"/>
        <v/>
      </c>
      <c r="CH627" s="38" t="str">
        <f t="shared" si="104"/>
        <v/>
      </c>
      <c r="CI627" s="38" t="str">
        <f t="shared" si="105"/>
        <v/>
      </c>
      <c r="CJ627" s="38" t="str">
        <f t="shared" si="106"/>
        <v/>
      </c>
      <c r="CK627" s="38" t="str">
        <f t="shared" si="107"/>
        <v/>
      </c>
      <c r="CL627" s="38" t="str">
        <f>IF(C627="","",IF(COUNT(G627:AZ627)&lt;46,"",SUMPRODUCT(CC627:CK627,'تنظیمات وزن‌دهی'!$C$5:$C$13)/100))</f>
        <v/>
      </c>
      <c r="CM627" s="38" t="str">
        <f t="shared" si="108"/>
        <v/>
      </c>
      <c r="CN627" s="38">
        <v>11</v>
      </c>
      <c r="CO627" s="28" t="str">
        <f t="shared" si="109"/>
        <v/>
      </c>
      <c r="CP627" s="58"/>
    </row>
    <row r="628" spans="1:94" ht="17.25" hidden="1">
      <c r="A628" s="33">
        <v>624</v>
      </c>
      <c r="B628" s="55" t="s">
        <v>194</v>
      </c>
      <c r="C628" s="55" t="str">
        <f>IF(دانش‌آموزان!E56="","",دانش‌آموزان!B56)</f>
        <v/>
      </c>
      <c r="D628" s="55" t="str">
        <f>IF(دانش‌آموزان!C56="","",دانش‌آموزان!C56)</f>
        <v/>
      </c>
      <c r="E628" s="55" t="str">
        <f>IF(دانش‌آموزان!E56="","",دانش‌آموزان!E56&amp;" "&amp;دانش‌آموزان!F56)</f>
        <v/>
      </c>
      <c r="F628" s="34" t="str">
        <f>IF(دانش‌آموزان!I56="","",دانش‌آموزان!I56)</f>
        <v/>
      </c>
      <c r="G628" s="19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1"/>
      <c r="CC628" s="27" t="str">
        <f t="shared" si="99"/>
        <v/>
      </c>
      <c r="CD628" s="38" t="str">
        <f t="shared" si="100"/>
        <v/>
      </c>
      <c r="CE628" s="38" t="str">
        <f t="shared" si="101"/>
        <v/>
      </c>
      <c r="CF628" s="38" t="str">
        <f t="shared" si="102"/>
        <v/>
      </c>
      <c r="CG628" s="38" t="str">
        <f t="shared" si="103"/>
        <v/>
      </c>
      <c r="CH628" s="38" t="str">
        <f t="shared" si="104"/>
        <v/>
      </c>
      <c r="CI628" s="38" t="str">
        <f t="shared" si="105"/>
        <v/>
      </c>
      <c r="CJ628" s="38" t="str">
        <f t="shared" si="106"/>
        <v/>
      </c>
      <c r="CK628" s="38" t="str">
        <f t="shared" si="107"/>
        <v/>
      </c>
      <c r="CL628" s="38" t="str">
        <f>IF(C628="","",IF(COUNT(G628:AZ628)&lt;46,"",SUMPRODUCT(CC628:CK628,'تنظیمات وزن‌دهی'!$C$5:$C$13)/100))</f>
        <v/>
      </c>
      <c r="CM628" s="38" t="str">
        <f t="shared" si="108"/>
        <v/>
      </c>
      <c r="CN628" s="38">
        <v>12</v>
      </c>
      <c r="CO628" s="28" t="str">
        <f t="shared" si="109"/>
        <v/>
      </c>
      <c r="CP628" s="58"/>
    </row>
    <row r="629" spans="1:94" ht="17.25" hidden="1">
      <c r="A629" s="33">
        <v>625</v>
      </c>
      <c r="B629" s="55" t="s">
        <v>183</v>
      </c>
      <c r="C629" s="55" t="str">
        <f>IF(دانش‌آموزان!E57="","",دانش‌آموزان!B57)</f>
        <v/>
      </c>
      <c r="D629" s="55" t="str">
        <f>IF(دانش‌آموزان!C57="","",دانش‌آموزان!C57)</f>
        <v/>
      </c>
      <c r="E629" s="55" t="str">
        <f>IF(دانش‌آموزان!E57="","",دانش‌آموزان!E57&amp;" "&amp;دانش‌آموزان!F57)</f>
        <v/>
      </c>
      <c r="F629" s="34" t="str">
        <f>IF(دانش‌آموزان!I57="","",دانش‌آموزان!I57)</f>
        <v/>
      </c>
      <c r="G629" s="19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  <c r="BS629" s="20"/>
      <c r="BT629" s="20"/>
      <c r="BU629" s="20"/>
      <c r="BV629" s="20"/>
      <c r="BW629" s="20"/>
      <c r="BX629" s="20"/>
      <c r="BY629" s="20"/>
      <c r="BZ629" s="20"/>
      <c r="CA629" s="20"/>
      <c r="CB629" s="21"/>
      <c r="CC629" s="27" t="str">
        <f t="shared" si="99"/>
        <v/>
      </c>
      <c r="CD629" s="38" t="str">
        <f t="shared" si="100"/>
        <v/>
      </c>
      <c r="CE629" s="38" t="str">
        <f t="shared" si="101"/>
        <v/>
      </c>
      <c r="CF629" s="38" t="str">
        <f t="shared" si="102"/>
        <v/>
      </c>
      <c r="CG629" s="38" t="str">
        <f t="shared" si="103"/>
        <v/>
      </c>
      <c r="CH629" s="38" t="str">
        <f t="shared" si="104"/>
        <v/>
      </c>
      <c r="CI629" s="38" t="str">
        <f t="shared" si="105"/>
        <v/>
      </c>
      <c r="CJ629" s="38" t="str">
        <f t="shared" si="106"/>
        <v/>
      </c>
      <c r="CK629" s="38" t="str">
        <f t="shared" si="107"/>
        <v/>
      </c>
      <c r="CL629" s="38" t="str">
        <f>IF(C629="","",IF(COUNT(G629:AZ629)&lt;46,"",SUMPRODUCT(CC629:CK629,'تنظیمات وزن‌دهی'!$C$5:$C$13)/100))</f>
        <v/>
      </c>
      <c r="CM629" s="38" t="str">
        <f t="shared" si="108"/>
        <v/>
      </c>
      <c r="CN629" s="38">
        <v>1</v>
      </c>
      <c r="CO629" s="28" t="str">
        <f t="shared" si="109"/>
        <v/>
      </c>
      <c r="CP629" s="58"/>
    </row>
    <row r="630" spans="1:94" ht="17.25" hidden="1">
      <c r="A630" s="33">
        <v>626</v>
      </c>
      <c r="B630" s="55" t="s">
        <v>184</v>
      </c>
      <c r="C630" s="55" t="str">
        <f>IF(دانش‌آموزان!E57="","",دانش‌آموزان!B57)</f>
        <v/>
      </c>
      <c r="D630" s="55" t="str">
        <f>IF(دانش‌آموزان!C57="","",دانش‌آموزان!C57)</f>
        <v/>
      </c>
      <c r="E630" s="55" t="str">
        <f>IF(دانش‌آموزان!E57="","",دانش‌آموزان!E57&amp;" "&amp;دانش‌آموزان!F57)</f>
        <v/>
      </c>
      <c r="F630" s="34" t="str">
        <f>IF(دانش‌آموزان!I57="","",دانش‌آموزان!I57)</f>
        <v/>
      </c>
      <c r="G630" s="19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  <c r="BW630" s="20"/>
      <c r="BX630" s="20"/>
      <c r="BY630" s="20"/>
      <c r="BZ630" s="20"/>
      <c r="CA630" s="20"/>
      <c r="CB630" s="21"/>
      <c r="CC630" s="27" t="str">
        <f t="shared" si="99"/>
        <v/>
      </c>
      <c r="CD630" s="38" t="str">
        <f t="shared" si="100"/>
        <v/>
      </c>
      <c r="CE630" s="38" t="str">
        <f t="shared" si="101"/>
        <v/>
      </c>
      <c r="CF630" s="38" t="str">
        <f t="shared" si="102"/>
        <v/>
      </c>
      <c r="CG630" s="38" t="str">
        <f t="shared" si="103"/>
        <v/>
      </c>
      <c r="CH630" s="38" t="str">
        <f t="shared" si="104"/>
        <v/>
      </c>
      <c r="CI630" s="38" t="str">
        <f t="shared" si="105"/>
        <v/>
      </c>
      <c r="CJ630" s="38" t="str">
        <f t="shared" si="106"/>
        <v/>
      </c>
      <c r="CK630" s="38" t="str">
        <f t="shared" si="107"/>
        <v/>
      </c>
      <c r="CL630" s="38" t="str">
        <f>IF(C630="","",IF(COUNT(G630:AZ630)&lt;46,"",SUMPRODUCT(CC630:CK630,'تنظیمات وزن‌دهی'!$C$5:$C$13)/100))</f>
        <v/>
      </c>
      <c r="CM630" s="38" t="str">
        <f t="shared" si="108"/>
        <v/>
      </c>
      <c r="CN630" s="38">
        <v>2</v>
      </c>
      <c r="CO630" s="28" t="str">
        <f t="shared" si="109"/>
        <v/>
      </c>
      <c r="CP630" s="58"/>
    </row>
    <row r="631" spans="1:94" ht="17.25">
      <c r="A631" s="33">
        <v>627</v>
      </c>
      <c r="B631" s="55" t="s">
        <v>185</v>
      </c>
      <c r="C631" s="55" t="str">
        <f>IF(دانش‌آموزان!E57="","",دانش‌آموزان!B57)</f>
        <v/>
      </c>
      <c r="D631" s="55" t="str">
        <f>IF(دانش‌آموزان!C57="","",دانش‌آموزان!C57)</f>
        <v/>
      </c>
      <c r="E631" s="55" t="str">
        <f>IF(دانش‌آموزان!E57="","",دانش‌آموزان!E57&amp;" "&amp;دانش‌آموزان!F57)</f>
        <v/>
      </c>
      <c r="F631" s="34" t="str">
        <f>IF(دانش‌آموزان!I57="","",دانش‌آموزان!I57)</f>
        <v/>
      </c>
      <c r="G631" s="19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20"/>
      <c r="BX631" s="20"/>
      <c r="BY631" s="20"/>
      <c r="BZ631" s="20"/>
      <c r="CA631" s="20"/>
      <c r="CB631" s="21"/>
      <c r="CC631" s="27" t="str">
        <f t="shared" si="99"/>
        <v/>
      </c>
      <c r="CD631" s="38" t="str">
        <f t="shared" si="100"/>
        <v/>
      </c>
      <c r="CE631" s="38" t="str">
        <f t="shared" si="101"/>
        <v/>
      </c>
      <c r="CF631" s="38" t="str">
        <f t="shared" si="102"/>
        <v/>
      </c>
      <c r="CG631" s="38" t="str">
        <f t="shared" si="103"/>
        <v/>
      </c>
      <c r="CH631" s="38" t="str">
        <f t="shared" si="104"/>
        <v/>
      </c>
      <c r="CI631" s="38" t="str">
        <f t="shared" si="105"/>
        <v/>
      </c>
      <c r="CJ631" s="38" t="str">
        <f t="shared" si="106"/>
        <v/>
      </c>
      <c r="CK631" s="38" t="str">
        <f t="shared" si="107"/>
        <v/>
      </c>
      <c r="CL631" s="38" t="str">
        <f>IF(C631="","",IF(COUNT(G631:AZ631)&lt;46,"",SUMPRODUCT(CC631:CK631,'تنظیمات وزن‌دهی'!$C$5:$C$13)/100))</f>
        <v/>
      </c>
      <c r="CM631" s="38" t="str">
        <f t="shared" si="108"/>
        <v/>
      </c>
      <c r="CN631" s="38">
        <v>3</v>
      </c>
      <c r="CO631" s="28" t="str">
        <f t="shared" si="109"/>
        <v/>
      </c>
      <c r="CP631" s="58"/>
    </row>
    <row r="632" spans="1:94" ht="17.25" hidden="1">
      <c r="A632" s="33">
        <v>628</v>
      </c>
      <c r="B632" s="55" t="s">
        <v>186</v>
      </c>
      <c r="C632" s="55" t="str">
        <f>IF(دانش‌آموزان!E57="","",دانش‌آموزان!B57)</f>
        <v/>
      </c>
      <c r="D632" s="55" t="str">
        <f>IF(دانش‌آموزان!C57="","",دانش‌آموزان!C57)</f>
        <v/>
      </c>
      <c r="E632" s="55" t="str">
        <f>IF(دانش‌آموزان!E57="","",دانش‌آموزان!E57&amp;" "&amp;دانش‌آموزان!F57)</f>
        <v/>
      </c>
      <c r="F632" s="34" t="str">
        <f>IF(دانش‌آموزان!I57="","",دانش‌آموزان!I57)</f>
        <v/>
      </c>
      <c r="G632" s="19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20"/>
      <c r="BX632" s="20"/>
      <c r="BY632" s="20"/>
      <c r="BZ632" s="20"/>
      <c r="CA632" s="20"/>
      <c r="CB632" s="21"/>
      <c r="CC632" s="27" t="str">
        <f t="shared" si="99"/>
        <v/>
      </c>
      <c r="CD632" s="38" t="str">
        <f t="shared" si="100"/>
        <v/>
      </c>
      <c r="CE632" s="38" t="str">
        <f t="shared" si="101"/>
        <v/>
      </c>
      <c r="CF632" s="38" t="str">
        <f t="shared" si="102"/>
        <v/>
      </c>
      <c r="CG632" s="38" t="str">
        <f t="shared" si="103"/>
        <v/>
      </c>
      <c r="CH632" s="38" t="str">
        <f t="shared" si="104"/>
        <v/>
      </c>
      <c r="CI632" s="38" t="str">
        <f t="shared" si="105"/>
        <v/>
      </c>
      <c r="CJ632" s="38" t="str">
        <f t="shared" si="106"/>
        <v/>
      </c>
      <c r="CK632" s="38" t="str">
        <f t="shared" si="107"/>
        <v/>
      </c>
      <c r="CL632" s="38" t="str">
        <f>IF(C632="","",IF(COUNT(G632:AZ632)&lt;46,"",SUMPRODUCT(CC632:CK632,'تنظیمات وزن‌دهی'!$C$5:$C$13)/100))</f>
        <v/>
      </c>
      <c r="CM632" s="38" t="str">
        <f t="shared" si="108"/>
        <v/>
      </c>
      <c r="CN632" s="38">
        <v>4</v>
      </c>
      <c r="CO632" s="28" t="str">
        <f t="shared" si="109"/>
        <v/>
      </c>
      <c r="CP632" s="58"/>
    </row>
    <row r="633" spans="1:94" ht="17.25" hidden="1">
      <c r="A633" s="33">
        <v>629</v>
      </c>
      <c r="B633" s="55" t="s">
        <v>187</v>
      </c>
      <c r="C633" s="55" t="str">
        <f>IF(دانش‌آموزان!E57="","",دانش‌آموزان!B57)</f>
        <v/>
      </c>
      <c r="D633" s="55" t="str">
        <f>IF(دانش‌آموزان!C57="","",دانش‌آموزان!C57)</f>
        <v/>
      </c>
      <c r="E633" s="55" t="str">
        <f>IF(دانش‌آموزان!E57="","",دانش‌آموزان!E57&amp;" "&amp;دانش‌آموزان!F57)</f>
        <v/>
      </c>
      <c r="F633" s="34" t="str">
        <f>IF(دانش‌آموزان!I57="","",دانش‌آموزان!I57)</f>
        <v/>
      </c>
      <c r="G633" s="19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  <c r="BW633" s="20"/>
      <c r="BX633" s="20"/>
      <c r="BY633" s="20"/>
      <c r="BZ633" s="20"/>
      <c r="CA633" s="20"/>
      <c r="CB633" s="21"/>
      <c r="CC633" s="27" t="str">
        <f t="shared" si="99"/>
        <v/>
      </c>
      <c r="CD633" s="38" t="str">
        <f t="shared" si="100"/>
        <v/>
      </c>
      <c r="CE633" s="38" t="str">
        <f t="shared" si="101"/>
        <v/>
      </c>
      <c r="CF633" s="38" t="str">
        <f t="shared" si="102"/>
        <v/>
      </c>
      <c r="CG633" s="38" t="str">
        <f t="shared" si="103"/>
        <v/>
      </c>
      <c r="CH633" s="38" t="str">
        <f t="shared" si="104"/>
        <v/>
      </c>
      <c r="CI633" s="38" t="str">
        <f t="shared" si="105"/>
        <v/>
      </c>
      <c r="CJ633" s="38" t="str">
        <f t="shared" si="106"/>
        <v/>
      </c>
      <c r="CK633" s="38" t="str">
        <f t="shared" si="107"/>
        <v/>
      </c>
      <c r="CL633" s="38" t="str">
        <f>IF(C633="","",IF(COUNT(G633:AZ633)&lt;46,"",SUMPRODUCT(CC633:CK633,'تنظیمات وزن‌دهی'!$C$5:$C$13)/100))</f>
        <v/>
      </c>
      <c r="CM633" s="38" t="str">
        <f t="shared" si="108"/>
        <v/>
      </c>
      <c r="CN633" s="38">
        <v>5</v>
      </c>
      <c r="CO633" s="28" t="str">
        <f t="shared" si="109"/>
        <v/>
      </c>
      <c r="CP633" s="58"/>
    </row>
    <row r="634" spans="1:94" ht="17.25" hidden="1">
      <c r="A634" s="33">
        <v>630</v>
      </c>
      <c r="B634" s="55" t="s">
        <v>188</v>
      </c>
      <c r="C634" s="55" t="str">
        <f>IF(دانش‌آموزان!E57="","",دانش‌آموزان!B57)</f>
        <v/>
      </c>
      <c r="D634" s="55" t="str">
        <f>IF(دانش‌آموزان!C57="","",دانش‌آموزان!C57)</f>
        <v/>
      </c>
      <c r="E634" s="55" t="str">
        <f>IF(دانش‌آموزان!E57="","",دانش‌آموزان!E57&amp;" "&amp;دانش‌آموزان!F57)</f>
        <v/>
      </c>
      <c r="F634" s="34" t="str">
        <f>IF(دانش‌آموزان!I57="","",دانش‌آموزان!I57)</f>
        <v/>
      </c>
      <c r="G634" s="19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  <c r="BS634" s="20"/>
      <c r="BT634" s="20"/>
      <c r="BU634" s="20"/>
      <c r="BV634" s="20"/>
      <c r="BW634" s="20"/>
      <c r="BX634" s="20"/>
      <c r="BY634" s="20"/>
      <c r="BZ634" s="20"/>
      <c r="CA634" s="20"/>
      <c r="CB634" s="21"/>
      <c r="CC634" s="27" t="str">
        <f t="shared" si="99"/>
        <v/>
      </c>
      <c r="CD634" s="38" t="str">
        <f t="shared" si="100"/>
        <v/>
      </c>
      <c r="CE634" s="38" t="str">
        <f t="shared" si="101"/>
        <v/>
      </c>
      <c r="CF634" s="38" t="str">
        <f t="shared" si="102"/>
        <v/>
      </c>
      <c r="CG634" s="38" t="str">
        <f t="shared" si="103"/>
        <v/>
      </c>
      <c r="CH634" s="38" t="str">
        <f t="shared" si="104"/>
        <v/>
      </c>
      <c r="CI634" s="38" t="str">
        <f t="shared" si="105"/>
        <v/>
      </c>
      <c r="CJ634" s="38" t="str">
        <f t="shared" si="106"/>
        <v/>
      </c>
      <c r="CK634" s="38" t="str">
        <f t="shared" si="107"/>
        <v/>
      </c>
      <c r="CL634" s="38" t="str">
        <f>IF(C634="","",IF(COUNT(G634:AZ634)&lt;46,"",SUMPRODUCT(CC634:CK634,'تنظیمات وزن‌دهی'!$C$5:$C$13)/100))</f>
        <v/>
      </c>
      <c r="CM634" s="38" t="str">
        <f t="shared" si="108"/>
        <v/>
      </c>
      <c r="CN634" s="38">
        <v>6</v>
      </c>
      <c r="CO634" s="28" t="str">
        <f t="shared" si="109"/>
        <v/>
      </c>
      <c r="CP634" s="58"/>
    </row>
    <row r="635" spans="1:94" ht="17.25" hidden="1">
      <c r="A635" s="33">
        <v>631</v>
      </c>
      <c r="B635" s="55" t="s">
        <v>189</v>
      </c>
      <c r="C635" s="55" t="str">
        <f>IF(دانش‌آموزان!E57="","",دانش‌آموزان!B57)</f>
        <v/>
      </c>
      <c r="D635" s="55" t="str">
        <f>IF(دانش‌آموزان!C57="","",دانش‌آموزان!C57)</f>
        <v/>
      </c>
      <c r="E635" s="55" t="str">
        <f>IF(دانش‌آموزان!E57="","",دانش‌آموزان!E57&amp;" "&amp;دانش‌آموزان!F57)</f>
        <v/>
      </c>
      <c r="F635" s="34" t="str">
        <f>IF(دانش‌آموزان!I57="","",دانش‌آموزان!I57)</f>
        <v/>
      </c>
      <c r="G635" s="19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  <c r="BW635" s="20"/>
      <c r="BX635" s="20"/>
      <c r="BY635" s="20"/>
      <c r="BZ635" s="20"/>
      <c r="CA635" s="20"/>
      <c r="CB635" s="21"/>
      <c r="CC635" s="27" t="str">
        <f t="shared" si="99"/>
        <v/>
      </c>
      <c r="CD635" s="38" t="str">
        <f t="shared" si="100"/>
        <v/>
      </c>
      <c r="CE635" s="38" t="str">
        <f t="shared" si="101"/>
        <v/>
      </c>
      <c r="CF635" s="38" t="str">
        <f t="shared" si="102"/>
        <v/>
      </c>
      <c r="CG635" s="38" t="str">
        <f t="shared" si="103"/>
        <v/>
      </c>
      <c r="CH635" s="38" t="str">
        <f t="shared" si="104"/>
        <v/>
      </c>
      <c r="CI635" s="38" t="str">
        <f t="shared" si="105"/>
        <v/>
      </c>
      <c r="CJ635" s="38" t="str">
        <f t="shared" si="106"/>
        <v/>
      </c>
      <c r="CK635" s="38" t="str">
        <f t="shared" si="107"/>
        <v/>
      </c>
      <c r="CL635" s="38" t="str">
        <f>IF(C635="","",IF(COUNT(G635:AZ635)&lt;46,"",SUMPRODUCT(CC635:CK635,'تنظیمات وزن‌دهی'!$C$5:$C$13)/100))</f>
        <v/>
      </c>
      <c r="CM635" s="38" t="str">
        <f t="shared" si="108"/>
        <v/>
      </c>
      <c r="CN635" s="38">
        <v>7</v>
      </c>
      <c r="CO635" s="28" t="str">
        <f t="shared" si="109"/>
        <v/>
      </c>
      <c r="CP635" s="58"/>
    </row>
    <row r="636" spans="1:94" ht="17.25" hidden="1">
      <c r="A636" s="33">
        <v>632</v>
      </c>
      <c r="B636" s="55" t="s">
        <v>190</v>
      </c>
      <c r="C636" s="55" t="str">
        <f>IF(دانش‌آموزان!E57="","",دانش‌آموزان!B57)</f>
        <v/>
      </c>
      <c r="D636" s="55" t="str">
        <f>IF(دانش‌آموزان!C57="","",دانش‌آموزان!C57)</f>
        <v/>
      </c>
      <c r="E636" s="55" t="str">
        <f>IF(دانش‌آموزان!E57="","",دانش‌آموزان!E57&amp;" "&amp;دانش‌آموزان!F57)</f>
        <v/>
      </c>
      <c r="F636" s="34" t="str">
        <f>IF(دانش‌آموزان!I57="","",دانش‌آموزان!I57)</f>
        <v/>
      </c>
      <c r="G636" s="19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  <c r="BS636" s="20"/>
      <c r="BT636" s="20"/>
      <c r="BU636" s="20"/>
      <c r="BV636" s="20"/>
      <c r="BW636" s="20"/>
      <c r="BX636" s="20"/>
      <c r="BY636" s="20"/>
      <c r="BZ636" s="20"/>
      <c r="CA636" s="20"/>
      <c r="CB636" s="21"/>
      <c r="CC636" s="27" t="str">
        <f t="shared" si="99"/>
        <v/>
      </c>
      <c r="CD636" s="38" t="str">
        <f t="shared" si="100"/>
        <v/>
      </c>
      <c r="CE636" s="38" t="str">
        <f t="shared" si="101"/>
        <v/>
      </c>
      <c r="CF636" s="38" t="str">
        <f t="shared" si="102"/>
        <v/>
      </c>
      <c r="CG636" s="38" t="str">
        <f t="shared" si="103"/>
        <v/>
      </c>
      <c r="CH636" s="38" t="str">
        <f t="shared" si="104"/>
        <v/>
      </c>
      <c r="CI636" s="38" t="str">
        <f t="shared" si="105"/>
        <v/>
      </c>
      <c r="CJ636" s="38" t="str">
        <f t="shared" si="106"/>
        <v/>
      </c>
      <c r="CK636" s="38" t="str">
        <f t="shared" si="107"/>
        <v/>
      </c>
      <c r="CL636" s="38" t="str">
        <f>IF(C636="","",IF(COUNT(G636:AZ636)&lt;46,"",SUMPRODUCT(CC636:CK636,'تنظیمات وزن‌دهی'!$C$5:$C$13)/100))</f>
        <v/>
      </c>
      <c r="CM636" s="38" t="str">
        <f t="shared" si="108"/>
        <v/>
      </c>
      <c r="CN636" s="38">
        <v>8</v>
      </c>
      <c r="CO636" s="28" t="str">
        <f t="shared" si="109"/>
        <v/>
      </c>
      <c r="CP636" s="58"/>
    </row>
    <row r="637" spans="1:94" ht="17.25" hidden="1">
      <c r="A637" s="33">
        <v>633</v>
      </c>
      <c r="B637" s="55" t="s">
        <v>191</v>
      </c>
      <c r="C637" s="55" t="str">
        <f>IF(دانش‌آموزان!E57="","",دانش‌آموزان!B57)</f>
        <v/>
      </c>
      <c r="D637" s="55" t="str">
        <f>IF(دانش‌آموزان!C57="","",دانش‌آموزان!C57)</f>
        <v/>
      </c>
      <c r="E637" s="55" t="str">
        <f>IF(دانش‌آموزان!E57="","",دانش‌آموزان!E57&amp;" "&amp;دانش‌آموزان!F57)</f>
        <v/>
      </c>
      <c r="F637" s="34" t="str">
        <f>IF(دانش‌آموزان!I57="","",دانش‌آموزان!I57)</f>
        <v/>
      </c>
      <c r="G637" s="19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  <c r="BS637" s="20"/>
      <c r="BT637" s="20"/>
      <c r="BU637" s="20"/>
      <c r="BV637" s="20"/>
      <c r="BW637" s="20"/>
      <c r="BX637" s="20"/>
      <c r="BY637" s="20"/>
      <c r="BZ637" s="20"/>
      <c r="CA637" s="20"/>
      <c r="CB637" s="21"/>
      <c r="CC637" s="27" t="str">
        <f t="shared" si="99"/>
        <v/>
      </c>
      <c r="CD637" s="38" t="str">
        <f t="shared" si="100"/>
        <v/>
      </c>
      <c r="CE637" s="38" t="str">
        <f t="shared" si="101"/>
        <v/>
      </c>
      <c r="CF637" s="38" t="str">
        <f t="shared" si="102"/>
        <v/>
      </c>
      <c r="CG637" s="38" t="str">
        <f t="shared" si="103"/>
        <v/>
      </c>
      <c r="CH637" s="38" t="str">
        <f t="shared" si="104"/>
        <v/>
      </c>
      <c r="CI637" s="38" t="str">
        <f t="shared" si="105"/>
        <v/>
      </c>
      <c r="CJ637" s="38" t="str">
        <f t="shared" si="106"/>
        <v/>
      </c>
      <c r="CK637" s="38" t="str">
        <f t="shared" si="107"/>
        <v/>
      </c>
      <c r="CL637" s="38" t="str">
        <f>IF(C637="","",IF(COUNT(G637:AZ637)&lt;46,"",SUMPRODUCT(CC637:CK637,'تنظیمات وزن‌دهی'!$C$5:$C$13)/100))</f>
        <v/>
      </c>
      <c r="CM637" s="38" t="str">
        <f t="shared" si="108"/>
        <v/>
      </c>
      <c r="CN637" s="38">
        <v>9</v>
      </c>
      <c r="CO637" s="28" t="str">
        <f t="shared" si="109"/>
        <v/>
      </c>
      <c r="CP637" s="58"/>
    </row>
    <row r="638" spans="1:94" ht="17.25" hidden="1">
      <c r="A638" s="33">
        <v>634</v>
      </c>
      <c r="B638" s="55" t="s">
        <v>192</v>
      </c>
      <c r="C638" s="55" t="str">
        <f>IF(دانش‌آموزان!E57="","",دانش‌آموزان!B57)</f>
        <v/>
      </c>
      <c r="D638" s="55" t="str">
        <f>IF(دانش‌آموزان!C57="","",دانش‌آموزان!C57)</f>
        <v/>
      </c>
      <c r="E638" s="55" t="str">
        <f>IF(دانش‌آموزان!E57="","",دانش‌آموزان!E57&amp;" "&amp;دانش‌آموزان!F57)</f>
        <v/>
      </c>
      <c r="F638" s="34" t="str">
        <f>IF(دانش‌آموزان!I57="","",دانش‌آموزان!I57)</f>
        <v/>
      </c>
      <c r="G638" s="19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  <c r="BW638" s="20"/>
      <c r="BX638" s="20"/>
      <c r="BY638" s="20"/>
      <c r="BZ638" s="20"/>
      <c r="CA638" s="20"/>
      <c r="CB638" s="21"/>
      <c r="CC638" s="27" t="str">
        <f t="shared" si="99"/>
        <v/>
      </c>
      <c r="CD638" s="38" t="str">
        <f t="shared" si="100"/>
        <v/>
      </c>
      <c r="CE638" s="38" t="str">
        <f t="shared" si="101"/>
        <v/>
      </c>
      <c r="CF638" s="38" t="str">
        <f t="shared" si="102"/>
        <v/>
      </c>
      <c r="CG638" s="38" t="str">
        <f t="shared" si="103"/>
        <v/>
      </c>
      <c r="CH638" s="38" t="str">
        <f t="shared" si="104"/>
        <v/>
      </c>
      <c r="CI638" s="38" t="str">
        <f t="shared" si="105"/>
        <v/>
      </c>
      <c r="CJ638" s="38" t="str">
        <f t="shared" si="106"/>
        <v/>
      </c>
      <c r="CK638" s="38" t="str">
        <f t="shared" si="107"/>
        <v/>
      </c>
      <c r="CL638" s="38" t="str">
        <f>IF(C638="","",IF(COUNT(G638:AZ638)&lt;46,"",SUMPRODUCT(CC638:CK638,'تنظیمات وزن‌دهی'!$C$5:$C$13)/100))</f>
        <v/>
      </c>
      <c r="CM638" s="38" t="str">
        <f t="shared" si="108"/>
        <v/>
      </c>
      <c r="CN638" s="38">
        <v>10</v>
      </c>
      <c r="CO638" s="28" t="str">
        <f t="shared" si="109"/>
        <v/>
      </c>
      <c r="CP638" s="58"/>
    </row>
    <row r="639" spans="1:94" ht="17.25" hidden="1">
      <c r="A639" s="33">
        <v>635</v>
      </c>
      <c r="B639" s="55" t="s">
        <v>193</v>
      </c>
      <c r="C639" s="55" t="str">
        <f>IF(دانش‌آموزان!E57="","",دانش‌آموزان!B57)</f>
        <v/>
      </c>
      <c r="D639" s="55" t="str">
        <f>IF(دانش‌آموزان!C57="","",دانش‌آموزان!C57)</f>
        <v/>
      </c>
      <c r="E639" s="55" t="str">
        <f>IF(دانش‌آموزان!E57="","",دانش‌آموزان!E57&amp;" "&amp;دانش‌آموزان!F57)</f>
        <v/>
      </c>
      <c r="F639" s="34" t="str">
        <f>IF(دانش‌آموزان!I57="","",دانش‌آموزان!I57)</f>
        <v/>
      </c>
      <c r="G639" s="19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  <c r="BS639" s="20"/>
      <c r="BT639" s="20"/>
      <c r="BU639" s="20"/>
      <c r="BV639" s="20"/>
      <c r="BW639" s="20"/>
      <c r="BX639" s="20"/>
      <c r="BY639" s="20"/>
      <c r="BZ639" s="20"/>
      <c r="CA639" s="20"/>
      <c r="CB639" s="21"/>
      <c r="CC639" s="27" t="str">
        <f t="shared" si="99"/>
        <v/>
      </c>
      <c r="CD639" s="38" t="str">
        <f t="shared" si="100"/>
        <v/>
      </c>
      <c r="CE639" s="38" t="str">
        <f t="shared" si="101"/>
        <v/>
      </c>
      <c r="CF639" s="38" t="str">
        <f t="shared" si="102"/>
        <v/>
      </c>
      <c r="CG639" s="38" t="str">
        <f t="shared" si="103"/>
        <v/>
      </c>
      <c r="CH639" s="38" t="str">
        <f t="shared" si="104"/>
        <v/>
      </c>
      <c r="CI639" s="38" t="str">
        <f t="shared" si="105"/>
        <v/>
      </c>
      <c r="CJ639" s="38" t="str">
        <f t="shared" si="106"/>
        <v/>
      </c>
      <c r="CK639" s="38" t="str">
        <f t="shared" si="107"/>
        <v/>
      </c>
      <c r="CL639" s="38" t="str">
        <f>IF(C639="","",IF(COUNT(G639:AZ639)&lt;46,"",SUMPRODUCT(CC639:CK639,'تنظیمات وزن‌دهی'!$C$5:$C$13)/100))</f>
        <v/>
      </c>
      <c r="CM639" s="38" t="str">
        <f t="shared" si="108"/>
        <v/>
      </c>
      <c r="CN639" s="38">
        <v>11</v>
      </c>
      <c r="CO639" s="28" t="str">
        <f t="shared" si="109"/>
        <v/>
      </c>
      <c r="CP639" s="58"/>
    </row>
    <row r="640" spans="1:94" ht="17.25" hidden="1">
      <c r="A640" s="33">
        <v>636</v>
      </c>
      <c r="B640" s="55" t="s">
        <v>194</v>
      </c>
      <c r="C640" s="55" t="str">
        <f>IF(دانش‌آموزان!E57="","",دانش‌آموزان!B57)</f>
        <v/>
      </c>
      <c r="D640" s="55" t="str">
        <f>IF(دانش‌آموزان!C57="","",دانش‌آموزان!C57)</f>
        <v/>
      </c>
      <c r="E640" s="55" t="str">
        <f>IF(دانش‌آموزان!E57="","",دانش‌آموزان!E57&amp;" "&amp;دانش‌آموزان!F57)</f>
        <v/>
      </c>
      <c r="F640" s="34" t="str">
        <f>IF(دانش‌آموزان!I57="","",دانش‌آموزان!I57)</f>
        <v/>
      </c>
      <c r="G640" s="19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  <c r="BW640" s="20"/>
      <c r="BX640" s="20"/>
      <c r="BY640" s="20"/>
      <c r="BZ640" s="20"/>
      <c r="CA640" s="20"/>
      <c r="CB640" s="21"/>
      <c r="CC640" s="27" t="str">
        <f t="shared" si="99"/>
        <v/>
      </c>
      <c r="CD640" s="38" t="str">
        <f t="shared" si="100"/>
        <v/>
      </c>
      <c r="CE640" s="38" t="str">
        <f t="shared" si="101"/>
        <v/>
      </c>
      <c r="CF640" s="38" t="str">
        <f t="shared" si="102"/>
        <v/>
      </c>
      <c r="CG640" s="38" t="str">
        <f t="shared" si="103"/>
        <v/>
      </c>
      <c r="CH640" s="38" t="str">
        <f t="shared" si="104"/>
        <v/>
      </c>
      <c r="CI640" s="38" t="str">
        <f t="shared" si="105"/>
        <v/>
      </c>
      <c r="CJ640" s="38" t="str">
        <f t="shared" si="106"/>
        <v/>
      </c>
      <c r="CK640" s="38" t="str">
        <f t="shared" si="107"/>
        <v/>
      </c>
      <c r="CL640" s="38" t="str">
        <f>IF(C640="","",IF(COUNT(G640:AZ640)&lt;46,"",SUMPRODUCT(CC640:CK640,'تنظیمات وزن‌دهی'!$C$5:$C$13)/100))</f>
        <v/>
      </c>
      <c r="CM640" s="38" t="str">
        <f t="shared" si="108"/>
        <v/>
      </c>
      <c r="CN640" s="38">
        <v>12</v>
      </c>
      <c r="CO640" s="28" t="str">
        <f t="shared" si="109"/>
        <v/>
      </c>
      <c r="CP640" s="58"/>
    </row>
    <row r="641" spans="1:94" ht="17.25" hidden="1">
      <c r="A641" s="33">
        <v>637</v>
      </c>
      <c r="B641" s="55" t="s">
        <v>183</v>
      </c>
      <c r="C641" s="55" t="str">
        <f>IF(دانش‌آموزان!E58="","",دانش‌آموزان!B58)</f>
        <v/>
      </c>
      <c r="D641" s="55" t="str">
        <f>IF(دانش‌آموزان!C58="","",دانش‌آموزان!C58)</f>
        <v/>
      </c>
      <c r="E641" s="55" t="str">
        <f>IF(دانش‌آموزان!E58="","",دانش‌آموزان!E58&amp;" "&amp;دانش‌آموزان!F58)</f>
        <v/>
      </c>
      <c r="F641" s="34" t="str">
        <f>IF(دانش‌آموزان!I58="","",دانش‌آموزان!I58)</f>
        <v/>
      </c>
      <c r="G641" s="19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1"/>
      <c r="CC641" s="27" t="str">
        <f t="shared" si="99"/>
        <v/>
      </c>
      <c r="CD641" s="38" t="str">
        <f t="shared" si="100"/>
        <v/>
      </c>
      <c r="CE641" s="38" t="str">
        <f t="shared" si="101"/>
        <v/>
      </c>
      <c r="CF641" s="38" t="str">
        <f t="shared" si="102"/>
        <v/>
      </c>
      <c r="CG641" s="38" t="str">
        <f t="shared" si="103"/>
        <v/>
      </c>
      <c r="CH641" s="38" t="str">
        <f t="shared" si="104"/>
        <v/>
      </c>
      <c r="CI641" s="38" t="str">
        <f t="shared" si="105"/>
        <v/>
      </c>
      <c r="CJ641" s="38" t="str">
        <f t="shared" si="106"/>
        <v/>
      </c>
      <c r="CK641" s="38" t="str">
        <f t="shared" si="107"/>
        <v/>
      </c>
      <c r="CL641" s="38" t="str">
        <f>IF(C641="","",IF(COUNT(G641:AZ641)&lt;46,"",SUMPRODUCT(CC641:CK641,'تنظیمات وزن‌دهی'!$C$5:$C$13)/100))</f>
        <v/>
      </c>
      <c r="CM641" s="38" t="str">
        <f t="shared" si="108"/>
        <v/>
      </c>
      <c r="CN641" s="38">
        <v>1</v>
      </c>
      <c r="CO641" s="28" t="str">
        <f t="shared" si="109"/>
        <v/>
      </c>
      <c r="CP641" s="58"/>
    </row>
    <row r="642" spans="1:94" ht="17.25" hidden="1">
      <c r="A642" s="33">
        <v>638</v>
      </c>
      <c r="B642" s="55" t="s">
        <v>184</v>
      </c>
      <c r="C642" s="55" t="str">
        <f>IF(دانش‌آموزان!E58="","",دانش‌آموزان!B58)</f>
        <v/>
      </c>
      <c r="D642" s="55" t="str">
        <f>IF(دانش‌آموزان!C58="","",دانش‌آموزان!C58)</f>
        <v/>
      </c>
      <c r="E642" s="55" t="str">
        <f>IF(دانش‌آموزان!E58="","",دانش‌آموزان!E58&amp;" "&amp;دانش‌آموزان!F58)</f>
        <v/>
      </c>
      <c r="F642" s="34" t="str">
        <f>IF(دانش‌آموزان!I58="","",دانش‌آموزان!I58)</f>
        <v/>
      </c>
      <c r="G642" s="19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  <c r="CA642" s="20"/>
      <c r="CB642" s="21"/>
      <c r="CC642" s="27" t="str">
        <f t="shared" si="99"/>
        <v/>
      </c>
      <c r="CD642" s="38" t="str">
        <f t="shared" si="100"/>
        <v/>
      </c>
      <c r="CE642" s="38" t="str">
        <f t="shared" si="101"/>
        <v/>
      </c>
      <c r="CF642" s="38" t="str">
        <f t="shared" si="102"/>
        <v/>
      </c>
      <c r="CG642" s="38" t="str">
        <f t="shared" si="103"/>
        <v/>
      </c>
      <c r="CH642" s="38" t="str">
        <f t="shared" si="104"/>
        <v/>
      </c>
      <c r="CI642" s="38" t="str">
        <f t="shared" si="105"/>
        <v/>
      </c>
      <c r="CJ642" s="38" t="str">
        <f t="shared" si="106"/>
        <v/>
      </c>
      <c r="CK642" s="38" t="str">
        <f t="shared" si="107"/>
        <v/>
      </c>
      <c r="CL642" s="38" t="str">
        <f>IF(C642="","",IF(COUNT(G642:AZ642)&lt;46,"",SUMPRODUCT(CC642:CK642,'تنظیمات وزن‌دهی'!$C$5:$C$13)/100))</f>
        <v/>
      </c>
      <c r="CM642" s="38" t="str">
        <f t="shared" si="108"/>
        <v/>
      </c>
      <c r="CN642" s="38">
        <v>2</v>
      </c>
      <c r="CO642" s="28" t="str">
        <f t="shared" si="109"/>
        <v/>
      </c>
      <c r="CP642" s="58"/>
    </row>
    <row r="643" spans="1:94" ht="17.25">
      <c r="A643" s="33">
        <v>639</v>
      </c>
      <c r="B643" s="55" t="s">
        <v>185</v>
      </c>
      <c r="C643" s="55" t="str">
        <f>IF(دانش‌آموزان!E58="","",دانش‌آموزان!B58)</f>
        <v/>
      </c>
      <c r="D643" s="55" t="str">
        <f>IF(دانش‌آموزان!C58="","",دانش‌آموزان!C58)</f>
        <v/>
      </c>
      <c r="E643" s="55" t="str">
        <f>IF(دانش‌آموزان!E58="","",دانش‌آموزان!E58&amp;" "&amp;دانش‌آموزان!F58)</f>
        <v/>
      </c>
      <c r="F643" s="34" t="str">
        <f>IF(دانش‌آموزان!I58="","",دانش‌آموزان!I58)</f>
        <v/>
      </c>
      <c r="G643" s="19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  <c r="BO643" s="20"/>
      <c r="BP643" s="20"/>
      <c r="BQ643" s="20"/>
      <c r="BR643" s="20"/>
      <c r="BS643" s="20"/>
      <c r="BT643" s="20"/>
      <c r="BU643" s="20"/>
      <c r="BV643" s="20"/>
      <c r="BW643" s="20"/>
      <c r="BX643" s="20"/>
      <c r="BY643" s="20"/>
      <c r="BZ643" s="20"/>
      <c r="CA643" s="20"/>
      <c r="CB643" s="21"/>
      <c r="CC643" s="27" t="str">
        <f t="shared" si="99"/>
        <v/>
      </c>
      <c r="CD643" s="38" t="str">
        <f t="shared" si="100"/>
        <v/>
      </c>
      <c r="CE643" s="38" t="str">
        <f t="shared" si="101"/>
        <v/>
      </c>
      <c r="CF643" s="38" t="str">
        <f t="shared" si="102"/>
        <v/>
      </c>
      <c r="CG643" s="38" t="str">
        <f t="shared" si="103"/>
        <v/>
      </c>
      <c r="CH643" s="38" t="str">
        <f t="shared" si="104"/>
        <v/>
      </c>
      <c r="CI643" s="38" t="str">
        <f t="shared" si="105"/>
        <v/>
      </c>
      <c r="CJ643" s="38" t="str">
        <f t="shared" si="106"/>
        <v/>
      </c>
      <c r="CK643" s="38" t="str">
        <f t="shared" si="107"/>
        <v/>
      </c>
      <c r="CL643" s="38" t="str">
        <f>IF(C643="","",IF(COUNT(G643:AZ643)&lt;46,"",SUMPRODUCT(CC643:CK643,'تنظیمات وزن‌دهی'!$C$5:$C$13)/100))</f>
        <v/>
      </c>
      <c r="CM643" s="38" t="str">
        <f t="shared" si="108"/>
        <v/>
      </c>
      <c r="CN643" s="38">
        <v>3</v>
      </c>
      <c r="CO643" s="28" t="str">
        <f t="shared" si="109"/>
        <v/>
      </c>
      <c r="CP643" s="58"/>
    </row>
    <row r="644" spans="1:94" ht="17.25" hidden="1">
      <c r="A644" s="33">
        <v>640</v>
      </c>
      <c r="B644" s="55" t="s">
        <v>186</v>
      </c>
      <c r="C644" s="55" t="str">
        <f>IF(دانش‌آموزان!E58="","",دانش‌آموزان!B58)</f>
        <v/>
      </c>
      <c r="D644" s="55" t="str">
        <f>IF(دانش‌آموزان!C58="","",دانش‌آموزان!C58)</f>
        <v/>
      </c>
      <c r="E644" s="55" t="str">
        <f>IF(دانش‌آموزان!E58="","",دانش‌آموزان!E58&amp;" "&amp;دانش‌آموزان!F58)</f>
        <v/>
      </c>
      <c r="F644" s="34" t="str">
        <f>IF(دانش‌آموزان!I58="","",دانش‌آموزان!I58)</f>
        <v/>
      </c>
      <c r="G644" s="19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  <c r="BW644" s="20"/>
      <c r="BX644" s="20"/>
      <c r="BY644" s="20"/>
      <c r="BZ644" s="20"/>
      <c r="CA644" s="20"/>
      <c r="CB644" s="21"/>
      <c r="CC644" s="27" t="str">
        <f t="shared" si="99"/>
        <v/>
      </c>
      <c r="CD644" s="38" t="str">
        <f t="shared" si="100"/>
        <v/>
      </c>
      <c r="CE644" s="38" t="str">
        <f t="shared" si="101"/>
        <v/>
      </c>
      <c r="CF644" s="38" t="str">
        <f t="shared" si="102"/>
        <v/>
      </c>
      <c r="CG644" s="38" t="str">
        <f t="shared" si="103"/>
        <v/>
      </c>
      <c r="CH644" s="38" t="str">
        <f t="shared" si="104"/>
        <v/>
      </c>
      <c r="CI644" s="38" t="str">
        <f t="shared" si="105"/>
        <v/>
      </c>
      <c r="CJ644" s="38" t="str">
        <f t="shared" si="106"/>
        <v/>
      </c>
      <c r="CK644" s="38" t="str">
        <f t="shared" si="107"/>
        <v/>
      </c>
      <c r="CL644" s="38" t="str">
        <f>IF(C644="","",IF(COUNT(G644:AZ644)&lt;46,"",SUMPRODUCT(CC644:CK644,'تنظیمات وزن‌دهی'!$C$5:$C$13)/100))</f>
        <v/>
      </c>
      <c r="CM644" s="38" t="str">
        <f t="shared" si="108"/>
        <v/>
      </c>
      <c r="CN644" s="38">
        <v>4</v>
      </c>
      <c r="CO644" s="28" t="str">
        <f t="shared" si="109"/>
        <v/>
      </c>
      <c r="CP644" s="58"/>
    </row>
    <row r="645" spans="1:94" ht="17.25" hidden="1">
      <c r="A645" s="33">
        <v>641</v>
      </c>
      <c r="B645" s="55" t="s">
        <v>187</v>
      </c>
      <c r="C645" s="55" t="str">
        <f>IF(دانش‌آموزان!E58="","",دانش‌آموزان!B58)</f>
        <v/>
      </c>
      <c r="D645" s="55" t="str">
        <f>IF(دانش‌آموزان!C58="","",دانش‌آموزان!C58)</f>
        <v/>
      </c>
      <c r="E645" s="55" t="str">
        <f>IF(دانش‌آموزان!E58="","",دانش‌آموزان!E58&amp;" "&amp;دانش‌آموزان!F58)</f>
        <v/>
      </c>
      <c r="F645" s="34" t="str">
        <f>IF(دانش‌آموزان!I58="","",دانش‌آموزان!I58)</f>
        <v/>
      </c>
      <c r="G645" s="19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  <c r="BS645" s="20"/>
      <c r="BT645" s="20"/>
      <c r="BU645" s="20"/>
      <c r="BV645" s="20"/>
      <c r="BW645" s="20"/>
      <c r="BX645" s="20"/>
      <c r="BY645" s="20"/>
      <c r="BZ645" s="20"/>
      <c r="CA645" s="20"/>
      <c r="CB645" s="21"/>
      <c r="CC645" s="27" t="str">
        <f t="shared" ref="CC645:CC708" si="110">IF(COUNT(G645:N645)=0,"",AVERAGE(G645:N645)*4)</f>
        <v/>
      </c>
      <c r="CD645" s="38" t="str">
        <f t="shared" ref="CD645:CD708" si="111">IF(COUNT(O645:S645)=0,"",AVERAGE(O645:S645)*4)</f>
        <v/>
      </c>
      <c r="CE645" s="38" t="str">
        <f t="shared" ref="CE645:CE708" si="112">IF(COUNT(T645:U645)=0,"",AVERAGE(T645:U645)*4)</f>
        <v/>
      </c>
      <c r="CF645" s="38" t="str">
        <f t="shared" ref="CF645:CF708" si="113">IF(COUNT(V645:Z645)=0,"",AVERAGE(V645:Z645)*4)</f>
        <v/>
      </c>
      <c r="CG645" s="38" t="str">
        <f t="shared" ref="CG645:CG708" si="114">IF(COUNT(AA645:AC645)=0,"",AVERAGE(AA645:AC645)*4)</f>
        <v/>
      </c>
      <c r="CH645" s="38" t="str">
        <f t="shared" ref="CH645:CH708" si="115">IF(COUNT(AD645:AI645)=0,"",AVERAGE(AD645:AI645)*4)</f>
        <v/>
      </c>
      <c r="CI645" s="38" t="str">
        <f t="shared" ref="CI645:CI708" si="116">IF(COUNT(AJ645:AP645)=0,"",AVERAGE(AJ645:AP645)*4)</f>
        <v/>
      </c>
      <c r="CJ645" s="38" t="str">
        <f t="shared" ref="CJ645:CJ708" si="117">IF(COUNT(AQ645:AW645)=0,"",AVERAGE(AQ645:AW645)*4)</f>
        <v/>
      </c>
      <c r="CK645" s="38" t="str">
        <f t="shared" ref="CK645:CK708" si="118">IF(COUNT(AX645:AZ645)=0,"",AVERAGE(AX645:AZ645)*4)</f>
        <v/>
      </c>
      <c r="CL645" s="38" t="str">
        <f>IF(C645="","",IF(COUNT(G645:AZ645)&lt;46,"",SUMPRODUCT(CC645:CK645,'تنظیمات وزن‌دهی'!$C$5:$C$13)/100))</f>
        <v/>
      </c>
      <c r="CM645" s="38" t="str">
        <f t="shared" ref="CM645:CM708" si="119">IF(C645="","",IF(COUNT(G645:AZ645)=0,"",IF(COUNT(G645:AZ645)&lt;46,"موقت - اطلاعات ناقص",IF(CL645&gt;=17,"عالی",IF(CL645&gt;=14,"خوب",IF(CL645&gt;=10,"متوسط","ضعیف"))))))</f>
        <v/>
      </c>
      <c r="CN645" s="38">
        <v>5</v>
      </c>
      <c r="CO645" s="28" t="str">
        <f t="shared" ref="CO645:CO708" si="120">IF(C645="","",COUNT(G645:AZ645)/46)</f>
        <v/>
      </c>
      <c r="CP645" s="58"/>
    </row>
    <row r="646" spans="1:94" ht="17.25" hidden="1">
      <c r="A646" s="33">
        <v>642</v>
      </c>
      <c r="B646" s="55" t="s">
        <v>188</v>
      </c>
      <c r="C646" s="55" t="str">
        <f>IF(دانش‌آموزان!E58="","",دانش‌آموزان!B58)</f>
        <v/>
      </c>
      <c r="D646" s="55" t="str">
        <f>IF(دانش‌آموزان!C58="","",دانش‌آموزان!C58)</f>
        <v/>
      </c>
      <c r="E646" s="55" t="str">
        <f>IF(دانش‌آموزان!E58="","",دانش‌آموزان!E58&amp;" "&amp;دانش‌آموزان!F58)</f>
        <v/>
      </c>
      <c r="F646" s="34" t="str">
        <f>IF(دانش‌آموزان!I58="","",دانش‌آموزان!I58)</f>
        <v/>
      </c>
      <c r="G646" s="19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  <c r="BS646" s="20"/>
      <c r="BT646" s="20"/>
      <c r="BU646" s="20"/>
      <c r="BV646" s="20"/>
      <c r="BW646" s="20"/>
      <c r="BX646" s="20"/>
      <c r="BY646" s="20"/>
      <c r="BZ646" s="20"/>
      <c r="CA646" s="20"/>
      <c r="CB646" s="21"/>
      <c r="CC646" s="27" t="str">
        <f t="shared" si="110"/>
        <v/>
      </c>
      <c r="CD646" s="38" t="str">
        <f t="shared" si="111"/>
        <v/>
      </c>
      <c r="CE646" s="38" t="str">
        <f t="shared" si="112"/>
        <v/>
      </c>
      <c r="CF646" s="38" t="str">
        <f t="shared" si="113"/>
        <v/>
      </c>
      <c r="CG646" s="38" t="str">
        <f t="shared" si="114"/>
        <v/>
      </c>
      <c r="CH646" s="38" t="str">
        <f t="shared" si="115"/>
        <v/>
      </c>
      <c r="CI646" s="38" t="str">
        <f t="shared" si="116"/>
        <v/>
      </c>
      <c r="CJ646" s="38" t="str">
        <f t="shared" si="117"/>
        <v/>
      </c>
      <c r="CK646" s="38" t="str">
        <f t="shared" si="118"/>
        <v/>
      </c>
      <c r="CL646" s="38" t="str">
        <f>IF(C646="","",IF(COUNT(G646:AZ646)&lt;46,"",SUMPRODUCT(CC646:CK646,'تنظیمات وزن‌دهی'!$C$5:$C$13)/100))</f>
        <v/>
      </c>
      <c r="CM646" s="38" t="str">
        <f t="shared" si="119"/>
        <v/>
      </c>
      <c r="CN646" s="38">
        <v>6</v>
      </c>
      <c r="CO646" s="28" t="str">
        <f t="shared" si="120"/>
        <v/>
      </c>
      <c r="CP646" s="58"/>
    </row>
    <row r="647" spans="1:94" ht="17.25" hidden="1">
      <c r="A647" s="33">
        <v>643</v>
      </c>
      <c r="B647" s="55" t="s">
        <v>189</v>
      </c>
      <c r="C647" s="55" t="str">
        <f>IF(دانش‌آموزان!E58="","",دانش‌آموزان!B58)</f>
        <v/>
      </c>
      <c r="D647" s="55" t="str">
        <f>IF(دانش‌آموزان!C58="","",دانش‌آموزان!C58)</f>
        <v/>
      </c>
      <c r="E647" s="55" t="str">
        <f>IF(دانش‌آموزان!E58="","",دانش‌آموزان!E58&amp;" "&amp;دانش‌آموزان!F58)</f>
        <v/>
      </c>
      <c r="F647" s="34" t="str">
        <f>IF(دانش‌آموزان!I58="","",دانش‌آموزان!I58)</f>
        <v/>
      </c>
      <c r="G647" s="19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  <c r="BS647" s="20"/>
      <c r="BT647" s="20"/>
      <c r="BU647" s="20"/>
      <c r="BV647" s="20"/>
      <c r="BW647" s="20"/>
      <c r="BX647" s="20"/>
      <c r="BY647" s="20"/>
      <c r="BZ647" s="20"/>
      <c r="CA647" s="20"/>
      <c r="CB647" s="21"/>
      <c r="CC647" s="27" t="str">
        <f t="shared" si="110"/>
        <v/>
      </c>
      <c r="CD647" s="38" t="str">
        <f t="shared" si="111"/>
        <v/>
      </c>
      <c r="CE647" s="38" t="str">
        <f t="shared" si="112"/>
        <v/>
      </c>
      <c r="CF647" s="38" t="str">
        <f t="shared" si="113"/>
        <v/>
      </c>
      <c r="CG647" s="38" t="str">
        <f t="shared" si="114"/>
        <v/>
      </c>
      <c r="CH647" s="38" t="str">
        <f t="shared" si="115"/>
        <v/>
      </c>
      <c r="CI647" s="38" t="str">
        <f t="shared" si="116"/>
        <v/>
      </c>
      <c r="CJ647" s="38" t="str">
        <f t="shared" si="117"/>
        <v/>
      </c>
      <c r="CK647" s="38" t="str">
        <f t="shared" si="118"/>
        <v/>
      </c>
      <c r="CL647" s="38" t="str">
        <f>IF(C647="","",IF(COUNT(G647:AZ647)&lt;46,"",SUMPRODUCT(CC647:CK647,'تنظیمات وزن‌دهی'!$C$5:$C$13)/100))</f>
        <v/>
      </c>
      <c r="CM647" s="38" t="str">
        <f t="shared" si="119"/>
        <v/>
      </c>
      <c r="CN647" s="38">
        <v>7</v>
      </c>
      <c r="CO647" s="28" t="str">
        <f t="shared" si="120"/>
        <v/>
      </c>
      <c r="CP647" s="58"/>
    </row>
    <row r="648" spans="1:94" ht="17.25" hidden="1">
      <c r="A648" s="33">
        <v>644</v>
      </c>
      <c r="B648" s="55" t="s">
        <v>190</v>
      </c>
      <c r="C648" s="55" t="str">
        <f>IF(دانش‌آموزان!E58="","",دانش‌آموزان!B58)</f>
        <v/>
      </c>
      <c r="D648" s="55" t="str">
        <f>IF(دانش‌آموزان!C58="","",دانش‌آموزان!C58)</f>
        <v/>
      </c>
      <c r="E648" s="55" t="str">
        <f>IF(دانش‌آموزان!E58="","",دانش‌آموزان!E58&amp;" "&amp;دانش‌آموزان!F58)</f>
        <v/>
      </c>
      <c r="F648" s="34" t="str">
        <f>IF(دانش‌آموزان!I58="","",دانش‌آموزان!I58)</f>
        <v/>
      </c>
      <c r="G648" s="19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  <c r="BS648" s="20"/>
      <c r="BT648" s="20"/>
      <c r="BU648" s="20"/>
      <c r="BV648" s="20"/>
      <c r="BW648" s="20"/>
      <c r="BX648" s="20"/>
      <c r="BY648" s="20"/>
      <c r="BZ648" s="20"/>
      <c r="CA648" s="20"/>
      <c r="CB648" s="21"/>
      <c r="CC648" s="27" t="str">
        <f t="shared" si="110"/>
        <v/>
      </c>
      <c r="CD648" s="38" t="str">
        <f t="shared" si="111"/>
        <v/>
      </c>
      <c r="CE648" s="38" t="str">
        <f t="shared" si="112"/>
        <v/>
      </c>
      <c r="CF648" s="38" t="str">
        <f t="shared" si="113"/>
        <v/>
      </c>
      <c r="CG648" s="38" t="str">
        <f t="shared" si="114"/>
        <v/>
      </c>
      <c r="CH648" s="38" t="str">
        <f t="shared" si="115"/>
        <v/>
      </c>
      <c r="CI648" s="38" t="str">
        <f t="shared" si="116"/>
        <v/>
      </c>
      <c r="CJ648" s="38" t="str">
        <f t="shared" si="117"/>
        <v/>
      </c>
      <c r="CK648" s="38" t="str">
        <f t="shared" si="118"/>
        <v/>
      </c>
      <c r="CL648" s="38" t="str">
        <f>IF(C648="","",IF(COUNT(G648:AZ648)&lt;46,"",SUMPRODUCT(CC648:CK648,'تنظیمات وزن‌دهی'!$C$5:$C$13)/100))</f>
        <v/>
      </c>
      <c r="CM648" s="38" t="str">
        <f t="shared" si="119"/>
        <v/>
      </c>
      <c r="CN648" s="38">
        <v>8</v>
      </c>
      <c r="CO648" s="28" t="str">
        <f t="shared" si="120"/>
        <v/>
      </c>
      <c r="CP648" s="58"/>
    </row>
    <row r="649" spans="1:94" ht="17.25" hidden="1">
      <c r="A649" s="33">
        <v>645</v>
      </c>
      <c r="B649" s="55" t="s">
        <v>191</v>
      </c>
      <c r="C649" s="55" t="str">
        <f>IF(دانش‌آموزان!E58="","",دانش‌آموزان!B58)</f>
        <v/>
      </c>
      <c r="D649" s="55" t="str">
        <f>IF(دانش‌آموزان!C58="","",دانش‌آموزان!C58)</f>
        <v/>
      </c>
      <c r="E649" s="55" t="str">
        <f>IF(دانش‌آموزان!E58="","",دانش‌آموزان!E58&amp;" "&amp;دانش‌آموزان!F58)</f>
        <v/>
      </c>
      <c r="F649" s="34" t="str">
        <f>IF(دانش‌آموزان!I58="","",دانش‌آموزان!I58)</f>
        <v/>
      </c>
      <c r="G649" s="19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  <c r="BJ649" s="20"/>
      <c r="BK649" s="20"/>
      <c r="BL649" s="20"/>
      <c r="BM649" s="20"/>
      <c r="BN649" s="20"/>
      <c r="BO649" s="20"/>
      <c r="BP649" s="20"/>
      <c r="BQ649" s="20"/>
      <c r="BR649" s="20"/>
      <c r="BS649" s="20"/>
      <c r="BT649" s="20"/>
      <c r="BU649" s="20"/>
      <c r="BV649" s="20"/>
      <c r="BW649" s="20"/>
      <c r="BX649" s="20"/>
      <c r="BY649" s="20"/>
      <c r="BZ649" s="20"/>
      <c r="CA649" s="20"/>
      <c r="CB649" s="21"/>
      <c r="CC649" s="27" t="str">
        <f t="shared" si="110"/>
        <v/>
      </c>
      <c r="CD649" s="38" t="str">
        <f t="shared" si="111"/>
        <v/>
      </c>
      <c r="CE649" s="38" t="str">
        <f t="shared" si="112"/>
        <v/>
      </c>
      <c r="CF649" s="38" t="str">
        <f t="shared" si="113"/>
        <v/>
      </c>
      <c r="CG649" s="38" t="str">
        <f t="shared" si="114"/>
        <v/>
      </c>
      <c r="CH649" s="38" t="str">
        <f t="shared" si="115"/>
        <v/>
      </c>
      <c r="CI649" s="38" t="str">
        <f t="shared" si="116"/>
        <v/>
      </c>
      <c r="CJ649" s="38" t="str">
        <f t="shared" si="117"/>
        <v/>
      </c>
      <c r="CK649" s="38" t="str">
        <f t="shared" si="118"/>
        <v/>
      </c>
      <c r="CL649" s="38" t="str">
        <f>IF(C649="","",IF(COUNT(G649:AZ649)&lt;46,"",SUMPRODUCT(CC649:CK649,'تنظیمات وزن‌دهی'!$C$5:$C$13)/100))</f>
        <v/>
      </c>
      <c r="CM649" s="38" t="str">
        <f t="shared" si="119"/>
        <v/>
      </c>
      <c r="CN649" s="38">
        <v>9</v>
      </c>
      <c r="CO649" s="28" t="str">
        <f t="shared" si="120"/>
        <v/>
      </c>
      <c r="CP649" s="58"/>
    </row>
    <row r="650" spans="1:94" ht="17.25" hidden="1">
      <c r="A650" s="33">
        <v>646</v>
      </c>
      <c r="B650" s="55" t="s">
        <v>192</v>
      </c>
      <c r="C650" s="55" t="str">
        <f>IF(دانش‌آموزان!E58="","",دانش‌آموزان!B58)</f>
        <v/>
      </c>
      <c r="D650" s="55" t="str">
        <f>IF(دانش‌آموزان!C58="","",دانش‌آموزان!C58)</f>
        <v/>
      </c>
      <c r="E650" s="55" t="str">
        <f>IF(دانش‌آموزان!E58="","",دانش‌آموزان!E58&amp;" "&amp;دانش‌آموزان!F58)</f>
        <v/>
      </c>
      <c r="F650" s="34" t="str">
        <f>IF(دانش‌آموزان!I58="","",دانش‌آموزان!I58)</f>
        <v/>
      </c>
      <c r="G650" s="19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  <c r="BJ650" s="20"/>
      <c r="BK650" s="20"/>
      <c r="BL650" s="20"/>
      <c r="BM650" s="20"/>
      <c r="BN650" s="20"/>
      <c r="BO650" s="20"/>
      <c r="BP650" s="20"/>
      <c r="BQ650" s="20"/>
      <c r="BR650" s="20"/>
      <c r="BS650" s="20"/>
      <c r="BT650" s="20"/>
      <c r="BU650" s="20"/>
      <c r="BV650" s="20"/>
      <c r="BW650" s="20"/>
      <c r="BX650" s="20"/>
      <c r="BY650" s="20"/>
      <c r="BZ650" s="20"/>
      <c r="CA650" s="20"/>
      <c r="CB650" s="21"/>
      <c r="CC650" s="27" t="str">
        <f t="shared" si="110"/>
        <v/>
      </c>
      <c r="CD650" s="38" t="str">
        <f t="shared" si="111"/>
        <v/>
      </c>
      <c r="CE650" s="38" t="str">
        <f t="shared" si="112"/>
        <v/>
      </c>
      <c r="CF650" s="38" t="str">
        <f t="shared" si="113"/>
        <v/>
      </c>
      <c r="CG650" s="38" t="str">
        <f t="shared" si="114"/>
        <v/>
      </c>
      <c r="CH650" s="38" t="str">
        <f t="shared" si="115"/>
        <v/>
      </c>
      <c r="CI650" s="38" t="str">
        <f t="shared" si="116"/>
        <v/>
      </c>
      <c r="CJ650" s="38" t="str">
        <f t="shared" si="117"/>
        <v/>
      </c>
      <c r="CK650" s="38" t="str">
        <f t="shared" si="118"/>
        <v/>
      </c>
      <c r="CL650" s="38" t="str">
        <f>IF(C650="","",IF(COUNT(G650:AZ650)&lt;46,"",SUMPRODUCT(CC650:CK650,'تنظیمات وزن‌دهی'!$C$5:$C$13)/100))</f>
        <v/>
      </c>
      <c r="CM650" s="38" t="str">
        <f t="shared" si="119"/>
        <v/>
      </c>
      <c r="CN650" s="38">
        <v>10</v>
      </c>
      <c r="CO650" s="28" t="str">
        <f t="shared" si="120"/>
        <v/>
      </c>
      <c r="CP650" s="58"/>
    </row>
    <row r="651" spans="1:94" ht="17.25" hidden="1">
      <c r="A651" s="33">
        <v>647</v>
      </c>
      <c r="B651" s="55" t="s">
        <v>193</v>
      </c>
      <c r="C651" s="55" t="str">
        <f>IF(دانش‌آموزان!E58="","",دانش‌آموزان!B58)</f>
        <v/>
      </c>
      <c r="D651" s="55" t="str">
        <f>IF(دانش‌آموزان!C58="","",دانش‌آموزان!C58)</f>
        <v/>
      </c>
      <c r="E651" s="55" t="str">
        <f>IF(دانش‌آموزان!E58="","",دانش‌آموزان!E58&amp;" "&amp;دانش‌آموزان!F58)</f>
        <v/>
      </c>
      <c r="F651" s="34" t="str">
        <f>IF(دانش‌آموزان!I58="","",دانش‌آموزان!I58)</f>
        <v/>
      </c>
      <c r="G651" s="19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  <c r="BS651" s="20"/>
      <c r="BT651" s="20"/>
      <c r="BU651" s="20"/>
      <c r="BV651" s="20"/>
      <c r="BW651" s="20"/>
      <c r="BX651" s="20"/>
      <c r="BY651" s="20"/>
      <c r="BZ651" s="20"/>
      <c r="CA651" s="20"/>
      <c r="CB651" s="21"/>
      <c r="CC651" s="27" t="str">
        <f t="shared" si="110"/>
        <v/>
      </c>
      <c r="CD651" s="38" t="str">
        <f t="shared" si="111"/>
        <v/>
      </c>
      <c r="CE651" s="38" t="str">
        <f t="shared" si="112"/>
        <v/>
      </c>
      <c r="CF651" s="38" t="str">
        <f t="shared" si="113"/>
        <v/>
      </c>
      <c r="CG651" s="38" t="str">
        <f t="shared" si="114"/>
        <v/>
      </c>
      <c r="CH651" s="38" t="str">
        <f t="shared" si="115"/>
        <v/>
      </c>
      <c r="CI651" s="38" t="str">
        <f t="shared" si="116"/>
        <v/>
      </c>
      <c r="CJ651" s="38" t="str">
        <f t="shared" si="117"/>
        <v/>
      </c>
      <c r="CK651" s="38" t="str">
        <f t="shared" si="118"/>
        <v/>
      </c>
      <c r="CL651" s="38" t="str">
        <f>IF(C651="","",IF(COUNT(G651:AZ651)&lt;46,"",SUMPRODUCT(CC651:CK651,'تنظیمات وزن‌دهی'!$C$5:$C$13)/100))</f>
        <v/>
      </c>
      <c r="CM651" s="38" t="str">
        <f t="shared" si="119"/>
        <v/>
      </c>
      <c r="CN651" s="38">
        <v>11</v>
      </c>
      <c r="CO651" s="28" t="str">
        <f t="shared" si="120"/>
        <v/>
      </c>
      <c r="CP651" s="58"/>
    </row>
    <row r="652" spans="1:94" ht="17.25" hidden="1">
      <c r="A652" s="33">
        <v>648</v>
      </c>
      <c r="B652" s="55" t="s">
        <v>194</v>
      </c>
      <c r="C652" s="55" t="str">
        <f>IF(دانش‌آموزان!E58="","",دانش‌آموزان!B58)</f>
        <v/>
      </c>
      <c r="D652" s="55" t="str">
        <f>IF(دانش‌آموزان!C58="","",دانش‌آموزان!C58)</f>
        <v/>
      </c>
      <c r="E652" s="55" t="str">
        <f>IF(دانش‌آموزان!E58="","",دانش‌آموزان!E58&amp;" "&amp;دانش‌آموزان!F58)</f>
        <v/>
      </c>
      <c r="F652" s="34" t="str">
        <f>IF(دانش‌آموزان!I58="","",دانش‌آموزان!I58)</f>
        <v/>
      </c>
      <c r="G652" s="19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  <c r="BS652" s="20"/>
      <c r="BT652" s="20"/>
      <c r="BU652" s="20"/>
      <c r="BV652" s="20"/>
      <c r="BW652" s="20"/>
      <c r="BX652" s="20"/>
      <c r="BY652" s="20"/>
      <c r="BZ652" s="20"/>
      <c r="CA652" s="20"/>
      <c r="CB652" s="21"/>
      <c r="CC652" s="27" t="str">
        <f t="shared" si="110"/>
        <v/>
      </c>
      <c r="CD652" s="38" t="str">
        <f t="shared" si="111"/>
        <v/>
      </c>
      <c r="CE652" s="38" t="str">
        <f t="shared" si="112"/>
        <v/>
      </c>
      <c r="CF652" s="38" t="str">
        <f t="shared" si="113"/>
        <v/>
      </c>
      <c r="CG652" s="38" t="str">
        <f t="shared" si="114"/>
        <v/>
      </c>
      <c r="CH652" s="38" t="str">
        <f t="shared" si="115"/>
        <v/>
      </c>
      <c r="CI652" s="38" t="str">
        <f t="shared" si="116"/>
        <v/>
      </c>
      <c r="CJ652" s="38" t="str">
        <f t="shared" si="117"/>
        <v/>
      </c>
      <c r="CK652" s="38" t="str">
        <f t="shared" si="118"/>
        <v/>
      </c>
      <c r="CL652" s="38" t="str">
        <f>IF(C652="","",IF(COUNT(G652:AZ652)&lt;46,"",SUMPRODUCT(CC652:CK652,'تنظیمات وزن‌دهی'!$C$5:$C$13)/100))</f>
        <v/>
      </c>
      <c r="CM652" s="38" t="str">
        <f t="shared" si="119"/>
        <v/>
      </c>
      <c r="CN652" s="38">
        <v>12</v>
      </c>
      <c r="CO652" s="28" t="str">
        <f t="shared" si="120"/>
        <v/>
      </c>
      <c r="CP652" s="58"/>
    </row>
    <row r="653" spans="1:94" ht="17.25" hidden="1">
      <c r="A653" s="33">
        <v>649</v>
      </c>
      <c r="B653" s="55" t="s">
        <v>183</v>
      </c>
      <c r="C653" s="55" t="str">
        <f>IF(دانش‌آموزان!E59="","",دانش‌آموزان!B59)</f>
        <v/>
      </c>
      <c r="D653" s="55" t="str">
        <f>IF(دانش‌آموزان!C59="","",دانش‌آموزان!C59)</f>
        <v/>
      </c>
      <c r="E653" s="55" t="str">
        <f>IF(دانش‌آموزان!E59="","",دانش‌آموزان!E59&amp;" "&amp;دانش‌آموزان!F59)</f>
        <v/>
      </c>
      <c r="F653" s="34" t="str">
        <f>IF(دانش‌آموزان!I59="","",دانش‌آموزان!I59)</f>
        <v/>
      </c>
      <c r="G653" s="19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  <c r="BS653" s="20"/>
      <c r="BT653" s="20"/>
      <c r="BU653" s="20"/>
      <c r="BV653" s="20"/>
      <c r="BW653" s="20"/>
      <c r="BX653" s="20"/>
      <c r="BY653" s="20"/>
      <c r="BZ653" s="20"/>
      <c r="CA653" s="20"/>
      <c r="CB653" s="21"/>
      <c r="CC653" s="27" t="str">
        <f t="shared" si="110"/>
        <v/>
      </c>
      <c r="CD653" s="38" t="str">
        <f t="shared" si="111"/>
        <v/>
      </c>
      <c r="CE653" s="38" t="str">
        <f t="shared" si="112"/>
        <v/>
      </c>
      <c r="CF653" s="38" t="str">
        <f t="shared" si="113"/>
        <v/>
      </c>
      <c r="CG653" s="38" t="str">
        <f t="shared" si="114"/>
        <v/>
      </c>
      <c r="CH653" s="38" t="str">
        <f t="shared" si="115"/>
        <v/>
      </c>
      <c r="CI653" s="38" t="str">
        <f t="shared" si="116"/>
        <v/>
      </c>
      <c r="CJ653" s="38" t="str">
        <f t="shared" si="117"/>
        <v/>
      </c>
      <c r="CK653" s="38" t="str">
        <f t="shared" si="118"/>
        <v/>
      </c>
      <c r="CL653" s="38" t="str">
        <f>IF(C653="","",IF(COUNT(G653:AZ653)&lt;46,"",SUMPRODUCT(CC653:CK653,'تنظیمات وزن‌دهی'!$C$5:$C$13)/100))</f>
        <v/>
      </c>
      <c r="CM653" s="38" t="str">
        <f t="shared" si="119"/>
        <v/>
      </c>
      <c r="CN653" s="38">
        <v>1</v>
      </c>
      <c r="CO653" s="28" t="str">
        <f t="shared" si="120"/>
        <v/>
      </c>
      <c r="CP653" s="58"/>
    </row>
    <row r="654" spans="1:94" ht="17.25" hidden="1">
      <c r="A654" s="33">
        <v>650</v>
      </c>
      <c r="B654" s="55" t="s">
        <v>184</v>
      </c>
      <c r="C654" s="55" t="str">
        <f>IF(دانش‌آموزان!E59="","",دانش‌آموزان!B59)</f>
        <v/>
      </c>
      <c r="D654" s="55" t="str">
        <f>IF(دانش‌آموزان!C59="","",دانش‌آموزان!C59)</f>
        <v/>
      </c>
      <c r="E654" s="55" t="str">
        <f>IF(دانش‌آموزان!E59="","",دانش‌آموزان!E59&amp;" "&amp;دانش‌آموزان!F59)</f>
        <v/>
      </c>
      <c r="F654" s="34" t="str">
        <f>IF(دانش‌آموزان!I59="","",دانش‌آموزان!I59)</f>
        <v/>
      </c>
      <c r="G654" s="19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  <c r="BS654" s="20"/>
      <c r="BT654" s="20"/>
      <c r="BU654" s="20"/>
      <c r="BV654" s="20"/>
      <c r="BW654" s="20"/>
      <c r="BX654" s="20"/>
      <c r="BY654" s="20"/>
      <c r="BZ654" s="20"/>
      <c r="CA654" s="20"/>
      <c r="CB654" s="21"/>
      <c r="CC654" s="27" t="str">
        <f t="shared" si="110"/>
        <v/>
      </c>
      <c r="CD654" s="38" t="str">
        <f t="shared" si="111"/>
        <v/>
      </c>
      <c r="CE654" s="38" t="str">
        <f t="shared" si="112"/>
        <v/>
      </c>
      <c r="CF654" s="38" t="str">
        <f t="shared" si="113"/>
        <v/>
      </c>
      <c r="CG654" s="38" t="str">
        <f t="shared" si="114"/>
        <v/>
      </c>
      <c r="CH654" s="38" t="str">
        <f t="shared" si="115"/>
        <v/>
      </c>
      <c r="CI654" s="38" t="str">
        <f t="shared" si="116"/>
        <v/>
      </c>
      <c r="CJ654" s="38" t="str">
        <f t="shared" si="117"/>
        <v/>
      </c>
      <c r="CK654" s="38" t="str">
        <f t="shared" si="118"/>
        <v/>
      </c>
      <c r="CL654" s="38" t="str">
        <f>IF(C654="","",IF(COUNT(G654:AZ654)&lt;46,"",SUMPRODUCT(CC654:CK654,'تنظیمات وزن‌دهی'!$C$5:$C$13)/100))</f>
        <v/>
      </c>
      <c r="CM654" s="38" t="str">
        <f t="shared" si="119"/>
        <v/>
      </c>
      <c r="CN654" s="38">
        <v>2</v>
      </c>
      <c r="CO654" s="28" t="str">
        <f t="shared" si="120"/>
        <v/>
      </c>
      <c r="CP654" s="58"/>
    </row>
    <row r="655" spans="1:94" ht="17.25">
      <c r="A655" s="33">
        <v>651</v>
      </c>
      <c r="B655" s="55" t="s">
        <v>185</v>
      </c>
      <c r="C655" s="55" t="str">
        <f>IF(دانش‌آموزان!E59="","",دانش‌آموزان!B59)</f>
        <v/>
      </c>
      <c r="D655" s="55" t="str">
        <f>IF(دانش‌آموزان!C59="","",دانش‌آموزان!C59)</f>
        <v/>
      </c>
      <c r="E655" s="55" t="str">
        <f>IF(دانش‌آموزان!E59="","",دانش‌آموزان!E59&amp;" "&amp;دانش‌آموزان!F59)</f>
        <v/>
      </c>
      <c r="F655" s="34" t="str">
        <f>IF(دانش‌آموزان!I59="","",دانش‌آموزان!I59)</f>
        <v/>
      </c>
      <c r="G655" s="19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  <c r="BO655" s="20"/>
      <c r="BP655" s="20"/>
      <c r="BQ655" s="20"/>
      <c r="BR655" s="20"/>
      <c r="BS655" s="20"/>
      <c r="BT655" s="20"/>
      <c r="BU655" s="20"/>
      <c r="BV655" s="20"/>
      <c r="BW655" s="20"/>
      <c r="BX655" s="20"/>
      <c r="BY655" s="20"/>
      <c r="BZ655" s="20"/>
      <c r="CA655" s="20"/>
      <c r="CB655" s="21"/>
      <c r="CC655" s="27" t="str">
        <f t="shared" si="110"/>
        <v/>
      </c>
      <c r="CD655" s="38" t="str">
        <f t="shared" si="111"/>
        <v/>
      </c>
      <c r="CE655" s="38" t="str">
        <f t="shared" si="112"/>
        <v/>
      </c>
      <c r="CF655" s="38" t="str">
        <f t="shared" si="113"/>
        <v/>
      </c>
      <c r="CG655" s="38" t="str">
        <f t="shared" si="114"/>
        <v/>
      </c>
      <c r="CH655" s="38" t="str">
        <f t="shared" si="115"/>
        <v/>
      </c>
      <c r="CI655" s="38" t="str">
        <f t="shared" si="116"/>
        <v/>
      </c>
      <c r="CJ655" s="38" t="str">
        <f t="shared" si="117"/>
        <v/>
      </c>
      <c r="CK655" s="38" t="str">
        <f t="shared" si="118"/>
        <v/>
      </c>
      <c r="CL655" s="38" t="str">
        <f>IF(C655="","",IF(COUNT(G655:AZ655)&lt;46,"",SUMPRODUCT(CC655:CK655,'تنظیمات وزن‌دهی'!$C$5:$C$13)/100))</f>
        <v/>
      </c>
      <c r="CM655" s="38" t="str">
        <f t="shared" si="119"/>
        <v/>
      </c>
      <c r="CN655" s="38">
        <v>3</v>
      </c>
      <c r="CO655" s="28" t="str">
        <f t="shared" si="120"/>
        <v/>
      </c>
      <c r="CP655" s="58"/>
    </row>
    <row r="656" spans="1:94" ht="17.25" hidden="1">
      <c r="A656" s="33">
        <v>652</v>
      </c>
      <c r="B656" s="55" t="s">
        <v>186</v>
      </c>
      <c r="C656" s="55" t="str">
        <f>IF(دانش‌آموزان!E59="","",دانش‌آموزان!B59)</f>
        <v/>
      </c>
      <c r="D656" s="55" t="str">
        <f>IF(دانش‌آموزان!C59="","",دانش‌آموزان!C59)</f>
        <v/>
      </c>
      <c r="E656" s="55" t="str">
        <f>IF(دانش‌آموزان!E59="","",دانش‌آموزان!E59&amp;" "&amp;دانش‌آموزان!F59)</f>
        <v/>
      </c>
      <c r="F656" s="34" t="str">
        <f>IF(دانش‌آموزان!I59="","",دانش‌آموزان!I59)</f>
        <v/>
      </c>
      <c r="G656" s="19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  <c r="BW656" s="20"/>
      <c r="BX656" s="20"/>
      <c r="BY656" s="20"/>
      <c r="BZ656" s="20"/>
      <c r="CA656" s="20"/>
      <c r="CB656" s="21"/>
      <c r="CC656" s="27" t="str">
        <f t="shared" si="110"/>
        <v/>
      </c>
      <c r="CD656" s="38" t="str">
        <f t="shared" si="111"/>
        <v/>
      </c>
      <c r="CE656" s="38" t="str">
        <f t="shared" si="112"/>
        <v/>
      </c>
      <c r="CF656" s="38" t="str">
        <f t="shared" si="113"/>
        <v/>
      </c>
      <c r="CG656" s="38" t="str">
        <f t="shared" si="114"/>
        <v/>
      </c>
      <c r="CH656" s="38" t="str">
        <f t="shared" si="115"/>
        <v/>
      </c>
      <c r="CI656" s="38" t="str">
        <f t="shared" si="116"/>
        <v/>
      </c>
      <c r="CJ656" s="38" t="str">
        <f t="shared" si="117"/>
        <v/>
      </c>
      <c r="CK656" s="38" t="str">
        <f t="shared" si="118"/>
        <v/>
      </c>
      <c r="CL656" s="38" t="str">
        <f>IF(C656="","",IF(COUNT(G656:AZ656)&lt;46,"",SUMPRODUCT(CC656:CK656,'تنظیمات وزن‌دهی'!$C$5:$C$13)/100))</f>
        <v/>
      </c>
      <c r="CM656" s="38" t="str">
        <f t="shared" si="119"/>
        <v/>
      </c>
      <c r="CN656" s="38">
        <v>4</v>
      </c>
      <c r="CO656" s="28" t="str">
        <f t="shared" si="120"/>
        <v/>
      </c>
      <c r="CP656" s="58"/>
    </row>
    <row r="657" spans="1:94" ht="17.25" hidden="1">
      <c r="A657" s="33">
        <v>653</v>
      </c>
      <c r="B657" s="55" t="s">
        <v>187</v>
      </c>
      <c r="C657" s="55" t="str">
        <f>IF(دانش‌آموزان!E59="","",دانش‌آموزان!B59)</f>
        <v/>
      </c>
      <c r="D657" s="55" t="str">
        <f>IF(دانش‌آموزان!C59="","",دانش‌آموزان!C59)</f>
        <v/>
      </c>
      <c r="E657" s="55" t="str">
        <f>IF(دانش‌آموزان!E59="","",دانش‌آموزان!E59&amp;" "&amp;دانش‌آموزان!F59)</f>
        <v/>
      </c>
      <c r="F657" s="34" t="str">
        <f>IF(دانش‌آموزان!I59="","",دانش‌آموزان!I59)</f>
        <v/>
      </c>
      <c r="G657" s="19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  <c r="CA657" s="20"/>
      <c r="CB657" s="21"/>
      <c r="CC657" s="27" t="str">
        <f t="shared" si="110"/>
        <v/>
      </c>
      <c r="CD657" s="38" t="str">
        <f t="shared" si="111"/>
        <v/>
      </c>
      <c r="CE657" s="38" t="str">
        <f t="shared" si="112"/>
        <v/>
      </c>
      <c r="CF657" s="38" t="str">
        <f t="shared" si="113"/>
        <v/>
      </c>
      <c r="CG657" s="38" t="str">
        <f t="shared" si="114"/>
        <v/>
      </c>
      <c r="CH657" s="38" t="str">
        <f t="shared" si="115"/>
        <v/>
      </c>
      <c r="CI657" s="38" t="str">
        <f t="shared" si="116"/>
        <v/>
      </c>
      <c r="CJ657" s="38" t="str">
        <f t="shared" si="117"/>
        <v/>
      </c>
      <c r="CK657" s="38" t="str">
        <f t="shared" si="118"/>
        <v/>
      </c>
      <c r="CL657" s="38" t="str">
        <f>IF(C657="","",IF(COUNT(G657:AZ657)&lt;46,"",SUMPRODUCT(CC657:CK657,'تنظیمات وزن‌دهی'!$C$5:$C$13)/100))</f>
        <v/>
      </c>
      <c r="CM657" s="38" t="str">
        <f t="shared" si="119"/>
        <v/>
      </c>
      <c r="CN657" s="38">
        <v>5</v>
      </c>
      <c r="CO657" s="28" t="str">
        <f t="shared" si="120"/>
        <v/>
      </c>
      <c r="CP657" s="58"/>
    </row>
    <row r="658" spans="1:94" ht="17.25" hidden="1">
      <c r="A658" s="33">
        <v>654</v>
      </c>
      <c r="B658" s="55" t="s">
        <v>188</v>
      </c>
      <c r="C658" s="55" t="str">
        <f>IF(دانش‌آموزان!E59="","",دانش‌آموزان!B59)</f>
        <v/>
      </c>
      <c r="D658" s="55" t="str">
        <f>IF(دانش‌آموزان!C59="","",دانش‌آموزان!C59)</f>
        <v/>
      </c>
      <c r="E658" s="55" t="str">
        <f>IF(دانش‌آموزان!E59="","",دانش‌آموزان!E59&amp;" "&amp;دانش‌آموزان!F59)</f>
        <v/>
      </c>
      <c r="F658" s="34" t="str">
        <f>IF(دانش‌آموزان!I59="","",دانش‌آموزان!I59)</f>
        <v/>
      </c>
      <c r="G658" s="19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  <c r="BO658" s="20"/>
      <c r="BP658" s="20"/>
      <c r="BQ658" s="20"/>
      <c r="BR658" s="20"/>
      <c r="BS658" s="20"/>
      <c r="BT658" s="20"/>
      <c r="BU658" s="20"/>
      <c r="BV658" s="20"/>
      <c r="BW658" s="20"/>
      <c r="BX658" s="20"/>
      <c r="BY658" s="20"/>
      <c r="BZ658" s="20"/>
      <c r="CA658" s="20"/>
      <c r="CB658" s="21"/>
      <c r="CC658" s="27" t="str">
        <f t="shared" si="110"/>
        <v/>
      </c>
      <c r="CD658" s="38" t="str">
        <f t="shared" si="111"/>
        <v/>
      </c>
      <c r="CE658" s="38" t="str">
        <f t="shared" si="112"/>
        <v/>
      </c>
      <c r="CF658" s="38" t="str">
        <f t="shared" si="113"/>
        <v/>
      </c>
      <c r="CG658" s="38" t="str">
        <f t="shared" si="114"/>
        <v/>
      </c>
      <c r="CH658" s="38" t="str">
        <f t="shared" si="115"/>
        <v/>
      </c>
      <c r="CI658" s="38" t="str">
        <f t="shared" si="116"/>
        <v/>
      </c>
      <c r="CJ658" s="38" t="str">
        <f t="shared" si="117"/>
        <v/>
      </c>
      <c r="CK658" s="38" t="str">
        <f t="shared" si="118"/>
        <v/>
      </c>
      <c r="CL658" s="38" t="str">
        <f>IF(C658="","",IF(COUNT(G658:AZ658)&lt;46,"",SUMPRODUCT(CC658:CK658,'تنظیمات وزن‌دهی'!$C$5:$C$13)/100))</f>
        <v/>
      </c>
      <c r="CM658" s="38" t="str">
        <f t="shared" si="119"/>
        <v/>
      </c>
      <c r="CN658" s="38">
        <v>6</v>
      </c>
      <c r="CO658" s="28" t="str">
        <f t="shared" si="120"/>
        <v/>
      </c>
      <c r="CP658" s="58"/>
    </row>
    <row r="659" spans="1:94" ht="17.25" hidden="1">
      <c r="A659" s="33">
        <v>655</v>
      </c>
      <c r="B659" s="55" t="s">
        <v>189</v>
      </c>
      <c r="C659" s="55" t="str">
        <f>IF(دانش‌آموزان!E59="","",دانش‌آموزان!B59)</f>
        <v/>
      </c>
      <c r="D659" s="55" t="str">
        <f>IF(دانش‌آموزان!C59="","",دانش‌آموزان!C59)</f>
        <v/>
      </c>
      <c r="E659" s="55" t="str">
        <f>IF(دانش‌آموزان!E59="","",دانش‌آموزان!E59&amp;" "&amp;دانش‌آموزان!F59)</f>
        <v/>
      </c>
      <c r="F659" s="34" t="str">
        <f>IF(دانش‌آموزان!I59="","",دانش‌آموزان!I59)</f>
        <v/>
      </c>
      <c r="G659" s="19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  <c r="BK659" s="20"/>
      <c r="BL659" s="20"/>
      <c r="BM659" s="20"/>
      <c r="BN659" s="20"/>
      <c r="BO659" s="20"/>
      <c r="BP659" s="20"/>
      <c r="BQ659" s="20"/>
      <c r="BR659" s="20"/>
      <c r="BS659" s="20"/>
      <c r="BT659" s="20"/>
      <c r="BU659" s="20"/>
      <c r="BV659" s="20"/>
      <c r="BW659" s="20"/>
      <c r="BX659" s="20"/>
      <c r="BY659" s="20"/>
      <c r="BZ659" s="20"/>
      <c r="CA659" s="20"/>
      <c r="CB659" s="21"/>
      <c r="CC659" s="27" t="str">
        <f t="shared" si="110"/>
        <v/>
      </c>
      <c r="CD659" s="38" t="str">
        <f t="shared" si="111"/>
        <v/>
      </c>
      <c r="CE659" s="38" t="str">
        <f t="shared" si="112"/>
        <v/>
      </c>
      <c r="CF659" s="38" t="str">
        <f t="shared" si="113"/>
        <v/>
      </c>
      <c r="CG659" s="38" t="str">
        <f t="shared" si="114"/>
        <v/>
      </c>
      <c r="CH659" s="38" t="str">
        <f t="shared" si="115"/>
        <v/>
      </c>
      <c r="CI659" s="38" t="str">
        <f t="shared" si="116"/>
        <v/>
      </c>
      <c r="CJ659" s="38" t="str">
        <f t="shared" si="117"/>
        <v/>
      </c>
      <c r="CK659" s="38" t="str">
        <f t="shared" si="118"/>
        <v/>
      </c>
      <c r="CL659" s="38" t="str">
        <f>IF(C659="","",IF(COUNT(G659:AZ659)&lt;46,"",SUMPRODUCT(CC659:CK659,'تنظیمات وزن‌دهی'!$C$5:$C$13)/100))</f>
        <v/>
      </c>
      <c r="CM659" s="38" t="str">
        <f t="shared" si="119"/>
        <v/>
      </c>
      <c r="CN659" s="38">
        <v>7</v>
      </c>
      <c r="CO659" s="28" t="str">
        <f t="shared" si="120"/>
        <v/>
      </c>
      <c r="CP659" s="58"/>
    </row>
    <row r="660" spans="1:94" ht="17.25" hidden="1">
      <c r="A660" s="33">
        <v>656</v>
      </c>
      <c r="B660" s="55" t="s">
        <v>190</v>
      </c>
      <c r="C660" s="55" t="str">
        <f>IF(دانش‌آموزان!E59="","",دانش‌آموزان!B59)</f>
        <v/>
      </c>
      <c r="D660" s="55" t="str">
        <f>IF(دانش‌آموزان!C59="","",دانش‌آموزان!C59)</f>
        <v/>
      </c>
      <c r="E660" s="55" t="str">
        <f>IF(دانش‌آموزان!E59="","",دانش‌آموزان!E59&amp;" "&amp;دانش‌آموزان!F59)</f>
        <v/>
      </c>
      <c r="F660" s="34" t="str">
        <f>IF(دانش‌آموزان!I59="","",دانش‌آموزان!I59)</f>
        <v/>
      </c>
      <c r="G660" s="19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20"/>
      <c r="BX660" s="20"/>
      <c r="BY660" s="20"/>
      <c r="BZ660" s="20"/>
      <c r="CA660" s="20"/>
      <c r="CB660" s="21"/>
      <c r="CC660" s="27" t="str">
        <f t="shared" si="110"/>
        <v/>
      </c>
      <c r="CD660" s="38" t="str">
        <f t="shared" si="111"/>
        <v/>
      </c>
      <c r="CE660" s="38" t="str">
        <f t="shared" si="112"/>
        <v/>
      </c>
      <c r="CF660" s="38" t="str">
        <f t="shared" si="113"/>
        <v/>
      </c>
      <c r="CG660" s="38" t="str">
        <f t="shared" si="114"/>
        <v/>
      </c>
      <c r="CH660" s="38" t="str">
        <f t="shared" si="115"/>
        <v/>
      </c>
      <c r="CI660" s="38" t="str">
        <f t="shared" si="116"/>
        <v/>
      </c>
      <c r="CJ660" s="38" t="str">
        <f t="shared" si="117"/>
        <v/>
      </c>
      <c r="CK660" s="38" t="str">
        <f t="shared" si="118"/>
        <v/>
      </c>
      <c r="CL660" s="38" t="str">
        <f>IF(C660="","",IF(COUNT(G660:AZ660)&lt;46,"",SUMPRODUCT(CC660:CK660,'تنظیمات وزن‌دهی'!$C$5:$C$13)/100))</f>
        <v/>
      </c>
      <c r="CM660" s="38" t="str">
        <f t="shared" si="119"/>
        <v/>
      </c>
      <c r="CN660" s="38">
        <v>8</v>
      </c>
      <c r="CO660" s="28" t="str">
        <f t="shared" si="120"/>
        <v/>
      </c>
      <c r="CP660" s="58"/>
    </row>
    <row r="661" spans="1:94" ht="17.25" hidden="1">
      <c r="A661" s="33">
        <v>657</v>
      </c>
      <c r="B661" s="55" t="s">
        <v>191</v>
      </c>
      <c r="C661" s="55" t="str">
        <f>IF(دانش‌آموزان!E59="","",دانش‌آموزان!B59)</f>
        <v/>
      </c>
      <c r="D661" s="55" t="str">
        <f>IF(دانش‌آموزان!C59="","",دانش‌آموزان!C59)</f>
        <v/>
      </c>
      <c r="E661" s="55" t="str">
        <f>IF(دانش‌آموزان!E59="","",دانش‌آموزان!E59&amp;" "&amp;دانش‌آموزان!F59)</f>
        <v/>
      </c>
      <c r="F661" s="34" t="str">
        <f>IF(دانش‌آموزان!I59="","",دانش‌آموزان!I59)</f>
        <v/>
      </c>
      <c r="G661" s="19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  <c r="BX661" s="20"/>
      <c r="BY661" s="20"/>
      <c r="BZ661" s="20"/>
      <c r="CA661" s="20"/>
      <c r="CB661" s="21"/>
      <c r="CC661" s="27" t="str">
        <f t="shared" si="110"/>
        <v/>
      </c>
      <c r="CD661" s="38" t="str">
        <f t="shared" si="111"/>
        <v/>
      </c>
      <c r="CE661" s="38" t="str">
        <f t="shared" si="112"/>
        <v/>
      </c>
      <c r="CF661" s="38" t="str">
        <f t="shared" si="113"/>
        <v/>
      </c>
      <c r="CG661" s="38" t="str">
        <f t="shared" si="114"/>
        <v/>
      </c>
      <c r="CH661" s="38" t="str">
        <f t="shared" si="115"/>
        <v/>
      </c>
      <c r="CI661" s="38" t="str">
        <f t="shared" si="116"/>
        <v/>
      </c>
      <c r="CJ661" s="38" t="str">
        <f t="shared" si="117"/>
        <v/>
      </c>
      <c r="CK661" s="38" t="str">
        <f t="shared" si="118"/>
        <v/>
      </c>
      <c r="CL661" s="38" t="str">
        <f>IF(C661="","",IF(COUNT(G661:AZ661)&lt;46,"",SUMPRODUCT(CC661:CK661,'تنظیمات وزن‌دهی'!$C$5:$C$13)/100))</f>
        <v/>
      </c>
      <c r="CM661" s="38" t="str">
        <f t="shared" si="119"/>
        <v/>
      </c>
      <c r="CN661" s="38">
        <v>9</v>
      </c>
      <c r="CO661" s="28" t="str">
        <f t="shared" si="120"/>
        <v/>
      </c>
      <c r="CP661" s="58"/>
    </row>
    <row r="662" spans="1:94" ht="17.25" hidden="1">
      <c r="A662" s="33">
        <v>658</v>
      </c>
      <c r="B662" s="55" t="s">
        <v>192</v>
      </c>
      <c r="C662" s="55" t="str">
        <f>IF(دانش‌آموزان!E59="","",دانش‌آموزان!B59)</f>
        <v/>
      </c>
      <c r="D662" s="55" t="str">
        <f>IF(دانش‌آموزان!C59="","",دانش‌آموزان!C59)</f>
        <v/>
      </c>
      <c r="E662" s="55" t="str">
        <f>IF(دانش‌آموزان!E59="","",دانش‌آموزان!E59&amp;" "&amp;دانش‌آموزان!F59)</f>
        <v/>
      </c>
      <c r="F662" s="34" t="str">
        <f>IF(دانش‌آموزان!I59="","",دانش‌آموزان!I59)</f>
        <v/>
      </c>
      <c r="G662" s="19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  <c r="BW662" s="20"/>
      <c r="BX662" s="20"/>
      <c r="BY662" s="20"/>
      <c r="BZ662" s="20"/>
      <c r="CA662" s="20"/>
      <c r="CB662" s="21"/>
      <c r="CC662" s="27" t="str">
        <f t="shared" si="110"/>
        <v/>
      </c>
      <c r="CD662" s="38" t="str">
        <f t="shared" si="111"/>
        <v/>
      </c>
      <c r="CE662" s="38" t="str">
        <f t="shared" si="112"/>
        <v/>
      </c>
      <c r="CF662" s="38" t="str">
        <f t="shared" si="113"/>
        <v/>
      </c>
      <c r="CG662" s="38" t="str">
        <f t="shared" si="114"/>
        <v/>
      </c>
      <c r="CH662" s="38" t="str">
        <f t="shared" si="115"/>
        <v/>
      </c>
      <c r="CI662" s="38" t="str">
        <f t="shared" si="116"/>
        <v/>
      </c>
      <c r="CJ662" s="38" t="str">
        <f t="shared" si="117"/>
        <v/>
      </c>
      <c r="CK662" s="38" t="str">
        <f t="shared" si="118"/>
        <v/>
      </c>
      <c r="CL662" s="38" t="str">
        <f>IF(C662="","",IF(COUNT(G662:AZ662)&lt;46,"",SUMPRODUCT(CC662:CK662,'تنظیمات وزن‌دهی'!$C$5:$C$13)/100))</f>
        <v/>
      </c>
      <c r="CM662" s="38" t="str">
        <f t="shared" si="119"/>
        <v/>
      </c>
      <c r="CN662" s="38">
        <v>10</v>
      </c>
      <c r="CO662" s="28" t="str">
        <f t="shared" si="120"/>
        <v/>
      </c>
      <c r="CP662" s="58"/>
    </row>
    <row r="663" spans="1:94" ht="17.25" hidden="1">
      <c r="A663" s="33">
        <v>659</v>
      </c>
      <c r="B663" s="55" t="s">
        <v>193</v>
      </c>
      <c r="C663" s="55" t="str">
        <f>IF(دانش‌آموزان!E59="","",دانش‌آموزان!B59)</f>
        <v/>
      </c>
      <c r="D663" s="55" t="str">
        <f>IF(دانش‌آموزان!C59="","",دانش‌آموزان!C59)</f>
        <v/>
      </c>
      <c r="E663" s="55" t="str">
        <f>IF(دانش‌آموزان!E59="","",دانش‌آموزان!E59&amp;" "&amp;دانش‌آموزان!F59)</f>
        <v/>
      </c>
      <c r="F663" s="34" t="str">
        <f>IF(دانش‌آموزان!I59="","",دانش‌آموزان!I59)</f>
        <v/>
      </c>
      <c r="G663" s="19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  <c r="BW663" s="20"/>
      <c r="BX663" s="20"/>
      <c r="BY663" s="20"/>
      <c r="BZ663" s="20"/>
      <c r="CA663" s="20"/>
      <c r="CB663" s="21"/>
      <c r="CC663" s="27" t="str">
        <f t="shared" si="110"/>
        <v/>
      </c>
      <c r="CD663" s="38" t="str">
        <f t="shared" si="111"/>
        <v/>
      </c>
      <c r="CE663" s="38" t="str">
        <f t="shared" si="112"/>
        <v/>
      </c>
      <c r="CF663" s="38" t="str">
        <f t="shared" si="113"/>
        <v/>
      </c>
      <c r="CG663" s="38" t="str">
        <f t="shared" si="114"/>
        <v/>
      </c>
      <c r="CH663" s="38" t="str">
        <f t="shared" si="115"/>
        <v/>
      </c>
      <c r="CI663" s="38" t="str">
        <f t="shared" si="116"/>
        <v/>
      </c>
      <c r="CJ663" s="38" t="str">
        <f t="shared" si="117"/>
        <v/>
      </c>
      <c r="CK663" s="38" t="str">
        <f t="shared" si="118"/>
        <v/>
      </c>
      <c r="CL663" s="38" t="str">
        <f>IF(C663="","",IF(COUNT(G663:AZ663)&lt;46,"",SUMPRODUCT(CC663:CK663,'تنظیمات وزن‌دهی'!$C$5:$C$13)/100))</f>
        <v/>
      </c>
      <c r="CM663" s="38" t="str">
        <f t="shared" si="119"/>
        <v/>
      </c>
      <c r="CN663" s="38">
        <v>11</v>
      </c>
      <c r="CO663" s="28" t="str">
        <f t="shared" si="120"/>
        <v/>
      </c>
      <c r="CP663" s="58"/>
    </row>
    <row r="664" spans="1:94" ht="17.25" hidden="1">
      <c r="A664" s="33">
        <v>660</v>
      </c>
      <c r="B664" s="55" t="s">
        <v>194</v>
      </c>
      <c r="C664" s="55" t="str">
        <f>IF(دانش‌آموزان!E59="","",دانش‌آموزان!B59)</f>
        <v/>
      </c>
      <c r="D664" s="55" t="str">
        <f>IF(دانش‌آموزان!C59="","",دانش‌آموزان!C59)</f>
        <v/>
      </c>
      <c r="E664" s="55" t="str">
        <f>IF(دانش‌آموزان!E59="","",دانش‌آموزان!E59&amp;" "&amp;دانش‌آموزان!F59)</f>
        <v/>
      </c>
      <c r="F664" s="34" t="str">
        <f>IF(دانش‌آموزان!I59="","",دانش‌آموزان!I59)</f>
        <v/>
      </c>
      <c r="G664" s="19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  <c r="BS664" s="20"/>
      <c r="BT664" s="20"/>
      <c r="BU664" s="20"/>
      <c r="BV664" s="20"/>
      <c r="BW664" s="20"/>
      <c r="BX664" s="20"/>
      <c r="BY664" s="20"/>
      <c r="BZ664" s="20"/>
      <c r="CA664" s="20"/>
      <c r="CB664" s="21"/>
      <c r="CC664" s="27" t="str">
        <f t="shared" si="110"/>
        <v/>
      </c>
      <c r="CD664" s="38" t="str">
        <f t="shared" si="111"/>
        <v/>
      </c>
      <c r="CE664" s="38" t="str">
        <f t="shared" si="112"/>
        <v/>
      </c>
      <c r="CF664" s="38" t="str">
        <f t="shared" si="113"/>
        <v/>
      </c>
      <c r="CG664" s="38" t="str">
        <f t="shared" si="114"/>
        <v/>
      </c>
      <c r="CH664" s="38" t="str">
        <f t="shared" si="115"/>
        <v/>
      </c>
      <c r="CI664" s="38" t="str">
        <f t="shared" si="116"/>
        <v/>
      </c>
      <c r="CJ664" s="38" t="str">
        <f t="shared" si="117"/>
        <v/>
      </c>
      <c r="CK664" s="38" t="str">
        <f t="shared" si="118"/>
        <v/>
      </c>
      <c r="CL664" s="38" t="str">
        <f>IF(C664="","",IF(COUNT(G664:AZ664)&lt;46,"",SUMPRODUCT(CC664:CK664,'تنظیمات وزن‌دهی'!$C$5:$C$13)/100))</f>
        <v/>
      </c>
      <c r="CM664" s="38" t="str">
        <f t="shared" si="119"/>
        <v/>
      </c>
      <c r="CN664" s="38">
        <v>12</v>
      </c>
      <c r="CO664" s="28" t="str">
        <f t="shared" si="120"/>
        <v/>
      </c>
      <c r="CP664" s="58"/>
    </row>
    <row r="665" spans="1:94" ht="17.25" hidden="1">
      <c r="A665" s="33">
        <v>661</v>
      </c>
      <c r="B665" s="55" t="s">
        <v>183</v>
      </c>
      <c r="C665" s="55" t="str">
        <f>IF(دانش‌آموزان!E60="","",دانش‌آموزان!B60)</f>
        <v/>
      </c>
      <c r="D665" s="55" t="str">
        <f>IF(دانش‌آموزان!C60="","",دانش‌آموزان!C60)</f>
        <v/>
      </c>
      <c r="E665" s="55" t="str">
        <f>IF(دانش‌آموزان!E60="","",دانش‌آموزان!E60&amp;" "&amp;دانش‌آموزان!F60)</f>
        <v/>
      </c>
      <c r="F665" s="34" t="str">
        <f>IF(دانش‌آموزان!I60="","",دانش‌آموزان!I60)</f>
        <v/>
      </c>
      <c r="G665" s="19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  <c r="BS665" s="20"/>
      <c r="BT665" s="20"/>
      <c r="BU665" s="20"/>
      <c r="BV665" s="20"/>
      <c r="BW665" s="20"/>
      <c r="BX665" s="20"/>
      <c r="BY665" s="20"/>
      <c r="BZ665" s="20"/>
      <c r="CA665" s="20"/>
      <c r="CB665" s="21"/>
      <c r="CC665" s="27" t="str">
        <f t="shared" si="110"/>
        <v/>
      </c>
      <c r="CD665" s="38" t="str">
        <f t="shared" si="111"/>
        <v/>
      </c>
      <c r="CE665" s="38" t="str">
        <f t="shared" si="112"/>
        <v/>
      </c>
      <c r="CF665" s="38" t="str">
        <f t="shared" si="113"/>
        <v/>
      </c>
      <c r="CG665" s="38" t="str">
        <f t="shared" si="114"/>
        <v/>
      </c>
      <c r="CH665" s="38" t="str">
        <f t="shared" si="115"/>
        <v/>
      </c>
      <c r="CI665" s="38" t="str">
        <f t="shared" si="116"/>
        <v/>
      </c>
      <c r="CJ665" s="38" t="str">
        <f t="shared" si="117"/>
        <v/>
      </c>
      <c r="CK665" s="38" t="str">
        <f t="shared" si="118"/>
        <v/>
      </c>
      <c r="CL665" s="38" t="str">
        <f>IF(C665="","",IF(COUNT(G665:AZ665)&lt;46,"",SUMPRODUCT(CC665:CK665,'تنظیمات وزن‌دهی'!$C$5:$C$13)/100))</f>
        <v/>
      </c>
      <c r="CM665" s="38" t="str">
        <f t="shared" si="119"/>
        <v/>
      </c>
      <c r="CN665" s="38">
        <v>1</v>
      </c>
      <c r="CO665" s="28" t="str">
        <f t="shared" si="120"/>
        <v/>
      </c>
      <c r="CP665" s="58"/>
    </row>
    <row r="666" spans="1:94" ht="17.25" hidden="1">
      <c r="A666" s="33">
        <v>662</v>
      </c>
      <c r="B666" s="55" t="s">
        <v>184</v>
      </c>
      <c r="C666" s="55" t="str">
        <f>IF(دانش‌آموزان!E60="","",دانش‌آموزان!B60)</f>
        <v/>
      </c>
      <c r="D666" s="55" t="str">
        <f>IF(دانش‌آموزان!C60="","",دانش‌آموزان!C60)</f>
        <v/>
      </c>
      <c r="E666" s="55" t="str">
        <f>IF(دانش‌آموزان!E60="","",دانش‌آموزان!E60&amp;" "&amp;دانش‌آموزان!F60)</f>
        <v/>
      </c>
      <c r="F666" s="34" t="str">
        <f>IF(دانش‌آموزان!I60="","",دانش‌آموزان!I60)</f>
        <v/>
      </c>
      <c r="G666" s="19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  <c r="BO666" s="20"/>
      <c r="BP666" s="20"/>
      <c r="BQ666" s="20"/>
      <c r="BR666" s="20"/>
      <c r="BS666" s="20"/>
      <c r="BT666" s="20"/>
      <c r="BU666" s="20"/>
      <c r="BV666" s="20"/>
      <c r="BW666" s="20"/>
      <c r="BX666" s="20"/>
      <c r="BY666" s="20"/>
      <c r="BZ666" s="20"/>
      <c r="CA666" s="20"/>
      <c r="CB666" s="21"/>
      <c r="CC666" s="27" t="str">
        <f t="shared" si="110"/>
        <v/>
      </c>
      <c r="CD666" s="38" t="str">
        <f t="shared" si="111"/>
        <v/>
      </c>
      <c r="CE666" s="38" t="str">
        <f t="shared" si="112"/>
        <v/>
      </c>
      <c r="CF666" s="38" t="str">
        <f t="shared" si="113"/>
        <v/>
      </c>
      <c r="CG666" s="38" t="str">
        <f t="shared" si="114"/>
        <v/>
      </c>
      <c r="CH666" s="38" t="str">
        <f t="shared" si="115"/>
        <v/>
      </c>
      <c r="CI666" s="38" t="str">
        <f t="shared" si="116"/>
        <v/>
      </c>
      <c r="CJ666" s="38" t="str">
        <f t="shared" si="117"/>
        <v/>
      </c>
      <c r="CK666" s="38" t="str">
        <f t="shared" si="118"/>
        <v/>
      </c>
      <c r="CL666" s="38" t="str">
        <f>IF(C666="","",IF(COUNT(G666:AZ666)&lt;46,"",SUMPRODUCT(CC666:CK666,'تنظیمات وزن‌دهی'!$C$5:$C$13)/100))</f>
        <v/>
      </c>
      <c r="CM666" s="38" t="str">
        <f t="shared" si="119"/>
        <v/>
      </c>
      <c r="CN666" s="38">
        <v>2</v>
      </c>
      <c r="CO666" s="28" t="str">
        <f t="shared" si="120"/>
        <v/>
      </c>
      <c r="CP666" s="58"/>
    </row>
    <row r="667" spans="1:94" ht="17.25">
      <c r="A667" s="33">
        <v>663</v>
      </c>
      <c r="B667" s="55" t="s">
        <v>185</v>
      </c>
      <c r="C667" s="55" t="str">
        <f>IF(دانش‌آموزان!E60="","",دانش‌آموزان!B60)</f>
        <v/>
      </c>
      <c r="D667" s="55" t="str">
        <f>IF(دانش‌آموزان!C60="","",دانش‌آموزان!C60)</f>
        <v/>
      </c>
      <c r="E667" s="55" t="str">
        <f>IF(دانش‌آموزان!E60="","",دانش‌آموزان!E60&amp;" "&amp;دانش‌آموزان!F60)</f>
        <v/>
      </c>
      <c r="F667" s="34" t="str">
        <f>IF(دانش‌آموزان!I60="","",دانش‌آموزان!I60)</f>
        <v/>
      </c>
      <c r="G667" s="19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20"/>
      <c r="BM667" s="20"/>
      <c r="BN667" s="20"/>
      <c r="BO667" s="20"/>
      <c r="BP667" s="20"/>
      <c r="BQ667" s="20"/>
      <c r="BR667" s="20"/>
      <c r="BS667" s="20"/>
      <c r="BT667" s="20"/>
      <c r="BU667" s="20"/>
      <c r="BV667" s="20"/>
      <c r="BW667" s="20"/>
      <c r="BX667" s="20"/>
      <c r="BY667" s="20"/>
      <c r="BZ667" s="20"/>
      <c r="CA667" s="20"/>
      <c r="CB667" s="21"/>
      <c r="CC667" s="27" t="str">
        <f t="shared" si="110"/>
        <v/>
      </c>
      <c r="CD667" s="38" t="str">
        <f t="shared" si="111"/>
        <v/>
      </c>
      <c r="CE667" s="38" t="str">
        <f t="shared" si="112"/>
        <v/>
      </c>
      <c r="CF667" s="38" t="str">
        <f t="shared" si="113"/>
        <v/>
      </c>
      <c r="CG667" s="38" t="str">
        <f t="shared" si="114"/>
        <v/>
      </c>
      <c r="CH667" s="38" t="str">
        <f t="shared" si="115"/>
        <v/>
      </c>
      <c r="CI667" s="38" t="str">
        <f t="shared" si="116"/>
        <v/>
      </c>
      <c r="CJ667" s="38" t="str">
        <f t="shared" si="117"/>
        <v/>
      </c>
      <c r="CK667" s="38" t="str">
        <f t="shared" si="118"/>
        <v/>
      </c>
      <c r="CL667" s="38" t="str">
        <f>IF(C667="","",IF(COUNT(G667:AZ667)&lt;46,"",SUMPRODUCT(CC667:CK667,'تنظیمات وزن‌دهی'!$C$5:$C$13)/100))</f>
        <v/>
      </c>
      <c r="CM667" s="38" t="str">
        <f t="shared" si="119"/>
        <v/>
      </c>
      <c r="CN667" s="38">
        <v>3</v>
      </c>
      <c r="CO667" s="28" t="str">
        <f t="shared" si="120"/>
        <v/>
      </c>
      <c r="CP667" s="58"/>
    </row>
    <row r="668" spans="1:94" ht="17.25" hidden="1">
      <c r="A668" s="33">
        <v>664</v>
      </c>
      <c r="B668" s="55" t="s">
        <v>186</v>
      </c>
      <c r="C668" s="55" t="str">
        <f>IF(دانش‌آموزان!E60="","",دانش‌آموزان!B60)</f>
        <v/>
      </c>
      <c r="D668" s="55" t="str">
        <f>IF(دانش‌آموزان!C60="","",دانش‌آموزان!C60)</f>
        <v/>
      </c>
      <c r="E668" s="55" t="str">
        <f>IF(دانش‌آموزان!E60="","",دانش‌آموزان!E60&amp;" "&amp;دانش‌آموزان!F60)</f>
        <v/>
      </c>
      <c r="F668" s="34" t="str">
        <f>IF(دانش‌آموزان!I60="","",دانش‌آموزان!I60)</f>
        <v/>
      </c>
      <c r="G668" s="19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  <c r="BW668" s="20"/>
      <c r="BX668" s="20"/>
      <c r="BY668" s="20"/>
      <c r="BZ668" s="20"/>
      <c r="CA668" s="20"/>
      <c r="CB668" s="21"/>
      <c r="CC668" s="27" t="str">
        <f t="shared" si="110"/>
        <v/>
      </c>
      <c r="CD668" s="38" t="str">
        <f t="shared" si="111"/>
        <v/>
      </c>
      <c r="CE668" s="38" t="str">
        <f t="shared" si="112"/>
        <v/>
      </c>
      <c r="CF668" s="38" t="str">
        <f t="shared" si="113"/>
        <v/>
      </c>
      <c r="CG668" s="38" t="str">
        <f t="shared" si="114"/>
        <v/>
      </c>
      <c r="CH668" s="38" t="str">
        <f t="shared" si="115"/>
        <v/>
      </c>
      <c r="CI668" s="38" t="str">
        <f t="shared" si="116"/>
        <v/>
      </c>
      <c r="CJ668" s="38" t="str">
        <f t="shared" si="117"/>
        <v/>
      </c>
      <c r="CK668" s="38" t="str">
        <f t="shared" si="118"/>
        <v/>
      </c>
      <c r="CL668" s="38" t="str">
        <f>IF(C668="","",IF(COUNT(G668:AZ668)&lt;46,"",SUMPRODUCT(CC668:CK668,'تنظیمات وزن‌دهی'!$C$5:$C$13)/100))</f>
        <v/>
      </c>
      <c r="CM668" s="38" t="str">
        <f t="shared" si="119"/>
        <v/>
      </c>
      <c r="CN668" s="38">
        <v>4</v>
      </c>
      <c r="CO668" s="28" t="str">
        <f t="shared" si="120"/>
        <v/>
      </c>
      <c r="CP668" s="58"/>
    </row>
    <row r="669" spans="1:94" ht="17.25" hidden="1">
      <c r="A669" s="33">
        <v>665</v>
      </c>
      <c r="B669" s="55" t="s">
        <v>187</v>
      </c>
      <c r="C669" s="55" t="str">
        <f>IF(دانش‌آموزان!E60="","",دانش‌آموزان!B60)</f>
        <v/>
      </c>
      <c r="D669" s="55" t="str">
        <f>IF(دانش‌آموزان!C60="","",دانش‌آموزان!C60)</f>
        <v/>
      </c>
      <c r="E669" s="55" t="str">
        <f>IF(دانش‌آموزان!E60="","",دانش‌آموزان!E60&amp;" "&amp;دانش‌آموزان!F60)</f>
        <v/>
      </c>
      <c r="F669" s="34" t="str">
        <f>IF(دانش‌آموزان!I60="","",دانش‌آموزان!I60)</f>
        <v/>
      </c>
      <c r="G669" s="19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  <c r="BO669" s="20"/>
      <c r="BP669" s="20"/>
      <c r="BQ669" s="20"/>
      <c r="BR669" s="20"/>
      <c r="BS669" s="20"/>
      <c r="BT669" s="20"/>
      <c r="BU669" s="20"/>
      <c r="BV669" s="20"/>
      <c r="BW669" s="20"/>
      <c r="BX669" s="20"/>
      <c r="BY669" s="20"/>
      <c r="BZ669" s="20"/>
      <c r="CA669" s="20"/>
      <c r="CB669" s="21"/>
      <c r="CC669" s="27" t="str">
        <f t="shared" si="110"/>
        <v/>
      </c>
      <c r="CD669" s="38" t="str">
        <f t="shared" si="111"/>
        <v/>
      </c>
      <c r="CE669" s="38" t="str">
        <f t="shared" si="112"/>
        <v/>
      </c>
      <c r="CF669" s="38" t="str">
        <f t="shared" si="113"/>
        <v/>
      </c>
      <c r="CG669" s="38" t="str">
        <f t="shared" si="114"/>
        <v/>
      </c>
      <c r="CH669" s="38" t="str">
        <f t="shared" si="115"/>
        <v/>
      </c>
      <c r="CI669" s="38" t="str">
        <f t="shared" si="116"/>
        <v/>
      </c>
      <c r="CJ669" s="38" t="str">
        <f t="shared" si="117"/>
        <v/>
      </c>
      <c r="CK669" s="38" t="str">
        <f t="shared" si="118"/>
        <v/>
      </c>
      <c r="CL669" s="38" t="str">
        <f>IF(C669="","",IF(COUNT(G669:AZ669)&lt;46,"",SUMPRODUCT(CC669:CK669,'تنظیمات وزن‌دهی'!$C$5:$C$13)/100))</f>
        <v/>
      </c>
      <c r="CM669" s="38" t="str">
        <f t="shared" si="119"/>
        <v/>
      </c>
      <c r="CN669" s="38">
        <v>5</v>
      </c>
      <c r="CO669" s="28" t="str">
        <f t="shared" si="120"/>
        <v/>
      </c>
      <c r="CP669" s="58"/>
    </row>
    <row r="670" spans="1:94" ht="17.25" hidden="1">
      <c r="A670" s="33">
        <v>666</v>
      </c>
      <c r="B670" s="55" t="s">
        <v>188</v>
      </c>
      <c r="C670" s="55" t="str">
        <f>IF(دانش‌آموزان!E60="","",دانش‌آموزان!B60)</f>
        <v/>
      </c>
      <c r="D670" s="55" t="str">
        <f>IF(دانش‌آموزان!C60="","",دانش‌آموزان!C60)</f>
        <v/>
      </c>
      <c r="E670" s="55" t="str">
        <f>IF(دانش‌آموزان!E60="","",دانش‌آموزان!E60&amp;" "&amp;دانش‌آموزان!F60)</f>
        <v/>
      </c>
      <c r="F670" s="34" t="str">
        <f>IF(دانش‌آموزان!I60="","",دانش‌آموزان!I60)</f>
        <v/>
      </c>
      <c r="G670" s="19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  <c r="BW670" s="20"/>
      <c r="BX670" s="20"/>
      <c r="BY670" s="20"/>
      <c r="BZ670" s="20"/>
      <c r="CA670" s="20"/>
      <c r="CB670" s="21"/>
      <c r="CC670" s="27" t="str">
        <f t="shared" si="110"/>
        <v/>
      </c>
      <c r="CD670" s="38" t="str">
        <f t="shared" si="111"/>
        <v/>
      </c>
      <c r="CE670" s="38" t="str">
        <f t="shared" si="112"/>
        <v/>
      </c>
      <c r="CF670" s="38" t="str">
        <f t="shared" si="113"/>
        <v/>
      </c>
      <c r="CG670" s="38" t="str">
        <f t="shared" si="114"/>
        <v/>
      </c>
      <c r="CH670" s="38" t="str">
        <f t="shared" si="115"/>
        <v/>
      </c>
      <c r="CI670" s="38" t="str">
        <f t="shared" si="116"/>
        <v/>
      </c>
      <c r="CJ670" s="38" t="str">
        <f t="shared" si="117"/>
        <v/>
      </c>
      <c r="CK670" s="38" t="str">
        <f t="shared" si="118"/>
        <v/>
      </c>
      <c r="CL670" s="38" t="str">
        <f>IF(C670="","",IF(COUNT(G670:AZ670)&lt;46,"",SUMPRODUCT(CC670:CK670,'تنظیمات وزن‌دهی'!$C$5:$C$13)/100))</f>
        <v/>
      </c>
      <c r="CM670" s="38" t="str">
        <f t="shared" si="119"/>
        <v/>
      </c>
      <c r="CN670" s="38">
        <v>6</v>
      </c>
      <c r="CO670" s="28" t="str">
        <f t="shared" si="120"/>
        <v/>
      </c>
      <c r="CP670" s="58"/>
    </row>
    <row r="671" spans="1:94" ht="17.25" hidden="1">
      <c r="A671" s="33">
        <v>667</v>
      </c>
      <c r="B671" s="55" t="s">
        <v>189</v>
      </c>
      <c r="C671" s="55" t="str">
        <f>IF(دانش‌آموزان!E60="","",دانش‌آموزان!B60)</f>
        <v/>
      </c>
      <c r="D671" s="55" t="str">
        <f>IF(دانش‌آموزان!C60="","",دانش‌آموزان!C60)</f>
        <v/>
      </c>
      <c r="E671" s="55" t="str">
        <f>IF(دانش‌آموزان!E60="","",دانش‌آموزان!E60&amp;" "&amp;دانش‌آموزان!F60)</f>
        <v/>
      </c>
      <c r="F671" s="34" t="str">
        <f>IF(دانش‌آموزان!I60="","",دانش‌آموزان!I60)</f>
        <v/>
      </c>
      <c r="G671" s="19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  <c r="BW671" s="20"/>
      <c r="BX671" s="20"/>
      <c r="BY671" s="20"/>
      <c r="BZ671" s="20"/>
      <c r="CA671" s="20"/>
      <c r="CB671" s="21"/>
      <c r="CC671" s="27" t="str">
        <f t="shared" si="110"/>
        <v/>
      </c>
      <c r="CD671" s="38" t="str">
        <f t="shared" si="111"/>
        <v/>
      </c>
      <c r="CE671" s="38" t="str">
        <f t="shared" si="112"/>
        <v/>
      </c>
      <c r="CF671" s="38" t="str">
        <f t="shared" si="113"/>
        <v/>
      </c>
      <c r="CG671" s="38" t="str">
        <f t="shared" si="114"/>
        <v/>
      </c>
      <c r="CH671" s="38" t="str">
        <f t="shared" si="115"/>
        <v/>
      </c>
      <c r="CI671" s="38" t="str">
        <f t="shared" si="116"/>
        <v/>
      </c>
      <c r="CJ671" s="38" t="str">
        <f t="shared" si="117"/>
        <v/>
      </c>
      <c r="CK671" s="38" t="str">
        <f t="shared" si="118"/>
        <v/>
      </c>
      <c r="CL671" s="38" t="str">
        <f>IF(C671="","",IF(COUNT(G671:AZ671)&lt;46,"",SUMPRODUCT(CC671:CK671,'تنظیمات وزن‌دهی'!$C$5:$C$13)/100))</f>
        <v/>
      </c>
      <c r="CM671" s="38" t="str">
        <f t="shared" si="119"/>
        <v/>
      </c>
      <c r="CN671" s="38">
        <v>7</v>
      </c>
      <c r="CO671" s="28" t="str">
        <f t="shared" si="120"/>
        <v/>
      </c>
      <c r="CP671" s="58"/>
    </row>
    <row r="672" spans="1:94" ht="17.25" hidden="1">
      <c r="A672" s="33">
        <v>668</v>
      </c>
      <c r="B672" s="55" t="s">
        <v>190</v>
      </c>
      <c r="C672" s="55" t="str">
        <f>IF(دانش‌آموزان!E60="","",دانش‌آموزان!B60)</f>
        <v/>
      </c>
      <c r="D672" s="55" t="str">
        <f>IF(دانش‌آموزان!C60="","",دانش‌آموزان!C60)</f>
        <v/>
      </c>
      <c r="E672" s="55" t="str">
        <f>IF(دانش‌آموزان!E60="","",دانش‌آموزان!E60&amp;" "&amp;دانش‌آموزان!F60)</f>
        <v/>
      </c>
      <c r="F672" s="34" t="str">
        <f>IF(دانش‌آموزان!I60="","",دانش‌آموزان!I60)</f>
        <v/>
      </c>
      <c r="G672" s="19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  <c r="BQ672" s="20"/>
      <c r="BR672" s="20"/>
      <c r="BS672" s="20"/>
      <c r="BT672" s="20"/>
      <c r="BU672" s="20"/>
      <c r="BV672" s="20"/>
      <c r="BW672" s="20"/>
      <c r="BX672" s="20"/>
      <c r="BY672" s="20"/>
      <c r="BZ672" s="20"/>
      <c r="CA672" s="20"/>
      <c r="CB672" s="21"/>
      <c r="CC672" s="27" t="str">
        <f t="shared" si="110"/>
        <v/>
      </c>
      <c r="CD672" s="38" t="str">
        <f t="shared" si="111"/>
        <v/>
      </c>
      <c r="CE672" s="38" t="str">
        <f t="shared" si="112"/>
        <v/>
      </c>
      <c r="CF672" s="38" t="str">
        <f t="shared" si="113"/>
        <v/>
      </c>
      <c r="CG672" s="38" t="str">
        <f t="shared" si="114"/>
        <v/>
      </c>
      <c r="CH672" s="38" t="str">
        <f t="shared" si="115"/>
        <v/>
      </c>
      <c r="CI672" s="38" t="str">
        <f t="shared" si="116"/>
        <v/>
      </c>
      <c r="CJ672" s="38" t="str">
        <f t="shared" si="117"/>
        <v/>
      </c>
      <c r="CK672" s="38" t="str">
        <f t="shared" si="118"/>
        <v/>
      </c>
      <c r="CL672" s="38" t="str">
        <f>IF(C672="","",IF(COUNT(G672:AZ672)&lt;46,"",SUMPRODUCT(CC672:CK672,'تنظیمات وزن‌دهی'!$C$5:$C$13)/100))</f>
        <v/>
      </c>
      <c r="CM672" s="38" t="str">
        <f t="shared" si="119"/>
        <v/>
      </c>
      <c r="CN672" s="38">
        <v>8</v>
      </c>
      <c r="CO672" s="28" t="str">
        <f t="shared" si="120"/>
        <v/>
      </c>
      <c r="CP672" s="58"/>
    </row>
    <row r="673" spans="1:94" ht="17.25" hidden="1">
      <c r="A673" s="33">
        <v>669</v>
      </c>
      <c r="B673" s="55" t="s">
        <v>191</v>
      </c>
      <c r="C673" s="55" t="str">
        <f>IF(دانش‌آموزان!E60="","",دانش‌آموزان!B60)</f>
        <v/>
      </c>
      <c r="D673" s="55" t="str">
        <f>IF(دانش‌آموزان!C60="","",دانش‌آموزان!C60)</f>
        <v/>
      </c>
      <c r="E673" s="55" t="str">
        <f>IF(دانش‌آموزان!E60="","",دانش‌آموزان!E60&amp;" "&amp;دانش‌آموزان!F60)</f>
        <v/>
      </c>
      <c r="F673" s="34" t="str">
        <f>IF(دانش‌آموزان!I60="","",دانش‌آموزان!I60)</f>
        <v/>
      </c>
      <c r="G673" s="19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20"/>
      <c r="BX673" s="20"/>
      <c r="BY673" s="20"/>
      <c r="BZ673" s="20"/>
      <c r="CA673" s="20"/>
      <c r="CB673" s="21"/>
      <c r="CC673" s="27" t="str">
        <f t="shared" si="110"/>
        <v/>
      </c>
      <c r="CD673" s="38" t="str">
        <f t="shared" si="111"/>
        <v/>
      </c>
      <c r="CE673" s="38" t="str">
        <f t="shared" si="112"/>
        <v/>
      </c>
      <c r="CF673" s="38" t="str">
        <f t="shared" si="113"/>
        <v/>
      </c>
      <c r="CG673" s="38" t="str">
        <f t="shared" si="114"/>
        <v/>
      </c>
      <c r="CH673" s="38" t="str">
        <f t="shared" si="115"/>
        <v/>
      </c>
      <c r="CI673" s="38" t="str">
        <f t="shared" si="116"/>
        <v/>
      </c>
      <c r="CJ673" s="38" t="str">
        <f t="shared" si="117"/>
        <v/>
      </c>
      <c r="CK673" s="38" t="str">
        <f t="shared" si="118"/>
        <v/>
      </c>
      <c r="CL673" s="38" t="str">
        <f>IF(C673="","",IF(COUNT(G673:AZ673)&lt;46,"",SUMPRODUCT(CC673:CK673,'تنظیمات وزن‌دهی'!$C$5:$C$13)/100))</f>
        <v/>
      </c>
      <c r="CM673" s="38" t="str">
        <f t="shared" si="119"/>
        <v/>
      </c>
      <c r="CN673" s="38">
        <v>9</v>
      </c>
      <c r="CO673" s="28" t="str">
        <f t="shared" si="120"/>
        <v/>
      </c>
      <c r="CP673" s="58"/>
    </row>
    <row r="674" spans="1:94" ht="17.25" hidden="1">
      <c r="A674" s="33">
        <v>670</v>
      </c>
      <c r="B674" s="55" t="s">
        <v>192</v>
      </c>
      <c r="C674" s="55" t="str">
        <f>IF(دانش‌آموزان!E60="","",دانش‌آموزان!B60)</f>
        <v/>
      </c>
      <c r="D674" s="55" t="str">
        <f>IF(دانش‌آموزان!C60="","",دانش‌آموزان!C60)</f>
        <v/>
      </c>
      <c r="E674" s="55" t="str">
        <f>IF(دانش‌آموزان!E60="","",دانش‌آموزان!E60&amp;" "&amp;دانش‌آموزان!F60)</f>
        <v/>
      </c>
      <c r="F674" s="34" t="str">
        <f>IF(دانش‌آموزان!I60="","",دانش‌آموزان!I60)</f>
        <v/>
      </c>
      <c r="G674" s="19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20"/>
      <c r="BX674" s="20"/>
      <c r="BY674" s="20"/>
      <c r="BZ674" s="20"/>
      <c r="CA674" s="20"/>
      <c r="CB674" s="21"/>
      <c r="CC674" s="27" t="str">
        <f t="shared" si="110"/>
        <v/>
      </c>
      <c r="CD674" s="38" t="str">
        <f t="shared" si="111"/>
        <v/>
      </c>
      <c r="CE674" s="38" t="str">
        <f t="shared" si="112"/>
        <v/>
      </c>
      <c r="CF674" s="38" t="str">
        <f t="shared" si="113"/>
        <v/>
      </c>
      <c r="CG674" s="38" t="str">
        <f t="shared" si="114"/>
        <v/>
      </c>
      <c r="CH674" s="38" t="str">
        <f t="shared" si="115"/>
        <v/>
      </c>
      <c r="CI674" s="38" t="str">
        <f t="shared" si="116"/>
        <v/>
      </c>
      <c r="CJ674" s="38" t="str">
        <f t="shared" si="117"/>
        <v/>
      </c>
      <c r="CK674" s="38" t="str">
        <f t="shared" si="118"/>
        <v/>
      </c>
      <c r="CL674" s="38" t="str">
        <f>IF(C674="","",IF(COUNT(G674:AZ674)&lt;46,"",SUMPRODUCT(CC674:CK674,'تنظیمات وزن‌دهی'!$C$5:$C$13)/100))</f>
        <v/>
      </c>
      <c r="CM674" s="38" t="str">
        <f t="shared" si="119"/>
        <v/>
      </c>
      <c r="CN674" s="38">
        <v>10</v>
      </c>
      <c r="CO674" s="28" t="str">
        <f t="shared" si="120"/>
        <v/>
      </c>
      <c r="CP674" s="58"/>
    </row>
    <row r="675" spans="1:94" ht="17.25" hidden="1">
      <c r="A675" s="33">
        <v>671</v>
      </c>
      <c r="B675" s="55" t="s">
        <v>193</v>
      </c>
      <c r="C675" s="55" t="str">
        <f>IF(دانش‌آموزان!E60="","",دانش‌آموزان!B60)</f>
        <v/>
      </c>
      <c r="D675" s="55" t="str">
        <f>IF(دانش‌آموزان!C60="","",دانش‌آموزان!C60)</f>
        <v/>
      </c>
      <c r="E675" s="55" t="str">
        <f>IF(دانش‌آموزان!E60="","",دانش‌آموزان!E60&amp;" "&amp;دانش‌آموزان!F60)</f>
        <v/>
      </c>
      <c r="F675" s="34" t="str">
        <f>IF(دانش‌آموزان!I60="","",دانش‌آموزان!I60)</f>
        <v/>
      </c>
      <c r="G675" s="19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  <c r="BS675" s="20"/>
      <c r="BT675" s="20"/>
      <c r="BU675" s="20"/>
      <c r="BV675" s="20"/>
      <c r="BW675" s="20"/>
      <c r="BX675" s="20"/>
      <c r="BY675" s="20"/>
      <c r="BZ675" s="20"/>
      <c r="CA675" s="20"/>
      <c r="CB675" s="21"/>
      <c r="CC675" s="27" t="str">
        <f t="shared" si="110"/>
        <v/>
      </c>
      <c r="CD675" s="38" t="str">
        <f t="shared" si="111"/>
        <v/>
      </c>
      <c r="CE675" s="38" t="str">
        <f t="shared" si="112"/>
        <v/>
      </c>
      <c r="CF675" s="38" t="str">
        <f t="shared" si="113"/>
        <v/>
      </c>
      <c r="CG675" s="38" t="str">
        <f t="shared" si="114"/>
        <v/>
      </c>
      <c r="CH675" s="38" t="str">
        <f t="shared" si="115"/>
        <v/>
      </c>
      <c r="CI675" s="38" t="str">
        <f t="shared" si="116"/>
        <v/>
      </c>
      <c r="CJ675" s="38" t="str">
        <f t="shared" si="117"/>
        <v/>
      </c>
      <c r="CK675" s="38" t="str">
        <f t="shared" si="118"/>
        <v/>
      </c>
      <c r="CL675" s="38" t="str">
        <f>IF(C675="","",IF(COUNT(G675:AZ675)&lt;46,"",SUMPRODUCT(CC675:CK675,'تنظیمات وزن‌دهی'!$C$5:$C$13)/100))</f>
        <v/>
      </c>
      <c r="CM675" s="38" t="str">
        <f t="shared" si="119"/>
        <v/>
      </c>
      <c r="CN675" s="38">
        <v>11</v>
      </c>
      <c r="CO675" s="28" t="str">
        <f t="shared" si="120"/>
        <v/>
      </c>
      <c r="CP675" s="58"/>
    </row>
    <row r="676" spans="1:94" ht="17.25" hidden="1">
      <c r="A676" s="33">
        <v>672</v>
      </c>
      <c r="B676" s="55" t="s">
        <v>194</v>
      </c>
      <c r="C676" s="55" t="str">
        <f>IF(دانش‌آموزان!E60="","",دانش‌آموزان!B60)</f>
        <v/>
      </c>
      <c r="D676" s="55" t="str">
        <f>IF(دانش‌آموزان!C60="","",دانش‌آموزان!C60)</f>
        <v/>
      </c>
      <c r="E676" s="55" t="str">
        <f>IF(دانش‌آموزان!E60="","",دانش‌آموزان!E60&amp;" "&amp;دانش‌آموزان!F60)</f>
        <v/>
      </c>
      <c r="F676" s="34" t="str">
        <f>IF(دانش‌آموزان!I60="","",دانش‌آموزان!I60)</f>
        <v/>
      </c>
      <c r="G676" s="19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  <c r="BQ676" s="20"/>
      <c r="BR676" s="20"/>
      <c r="BS676" s="20"/>
      <c r="BT676" s="20"/>
      <c r="BU676" s="20"/>
      <c r="BV676" s="20"/>
      <c r="BW676" s="20"/>
      <c r="BX676" s="20"/>
      <c r="BY676" s="20"/>
      <c r="BZ676" s="20"/>
      <c r="CA676" s="20"/>
      <c r="CB676" s="21"/>
      <c r="CC676" s="27" t="str">
        <f t="shared" si="110"/>
        <v/>
      </c>
      <c r="CD676" s="38" t="str">
        <f t="shared" si="111"/>
        <v/>
      </c>
      <c r="CE676" s="38" t="str">
        <f t="shared" si="112"/>
        <v/>
      </c>
      <c r="CF676" s="38" t="str">
        <f t="shared" si="113"/>
        <v/>
      </c>
      <c r="CG676" s="38" t="str">
        <f t="shared" si="114"/>
        <v/>
      </c>
      <c r="CH676" s="38" t="str">
        <f t="shared" si="115"/>
        <v/>
      </c>
      <c r="CI676" s="38" t="str">
        <f t="shared" si="116"/>
        <v/>
      </c>
      <c r="CJ676" s="38" t="str">
        <f t="shared" si="117"/>
        <v/>
      </c>
      <c r="CK676" s="38" t="str">
        <f t="shared" si="118"/>
        <v/>
      </c>
      <c r="CL676" s="38" t="str">
        <f>IF(C676="","",IF(COUNT(G676:AZ676)&lt;46,"",SUMPRODUCT(CC676:CK676,'تنظیمات وزن‌دهی'!$C$5:$C$13)/100))</f>
        <v/>
      </c>
      <c r="CM676" s="38" t="str">
        <f t="shared" si="119"/>
        <v/>
      </c>
      <c r="CN676" s="38">
        <v>12</v>
      </c>
      <c r="CO676" s="28" t="str">
        <f t="shared" si="120"/>
        <v/>
      </c>
      <c r="CP676" s="58"/>
    </row>
    <row r="677" spans="1:94" ht="17.25" hidden="1">
      <c r="A677" s="33">
        <v>673</v>
      </c>
      <c r="B677" s="55" t="s">
        <v>183</v>
      </c>
      <c r="C677" s="55" t="str">
        <f>IF(دانش‌آموزان!E61="","",دانش‌آموزان!B61)</f>
        <v/>
      </c>
      <c r="D677" s="55" t="str">
        <f>IF(دانش‌آموزان!C61="","",دانش‌آموزان!C61)</f>
        <v/>
      </c>
      <c r="E677" s="55" t="str">
        <f>IF(دانش‌آموزان!E61="","",دانش‌آموزان!E61&amp;" "&amp;دانش‌آموزان!F61)</f>
        <v/>
      </c>
      <c r="F677" s="34" t="str">
        <f>IF(دانش‌آموزان!I61="","",دانش‌آموزان!I61)</f>
        <v/>
      </c>
      <c r="G677" s="19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  <c r="BO677" s="20"/>
      <c r="BP677" s="20"/>
      <c r="BQ677" s="20"/>
      <c r="BR677" s="20"/>
      <c r="BS677" s="20"/>
      <c r="BT677" s="20"/>
      <c r="BU677" s="20"/>
      <c r="BV677" s="20"/>
      <c r="BW677" s="20"/>
      <c r="BX677" s="20"/>
      <c r="BY677" s="20"/>
      <c r="BZ677" s="20"/>
      <c r="CA677" s="20"/>
      <c r="CB677" s="21"/>
      <c r="CC677" s="27" t="str">
        <f t="shared" si="110"/>
        <v/>
      </c>
      <c r="CD677" s="38" t="str">
        <f t="shared" si="111"/>
        <v/>
      </c>
      <c r="CE677" s="38" t="str">
        <f t="shared" si="112"/>
        <v/>
      </c>
      <c r="CF677" s="38" t="str">
        <f t="shared" si="113"/>
        <v/>
      </c>
      <c r="CG677" s="38" t="str">
        <f t="shared" si="114"/>
        <v/>
      </c>
      <c r="CH677" s="38" t="str">
        <f t="shared" si="115"/>
        <v/>
      </c>
      <c r="CI677" s="38" t="str">
        <f t="shared" si="116"/>
        <v/>
      </c>
      <c r="CJ677" s="38" t="str">
        <f t="shared" si="117"/>
        <v/>
      </c>
      <c r="CK677" s="38" t="str">
        <f t="shared" si="118"/>
        <v/>
      </c>
      <c r="CL677" s="38" t="str">
        <f>IF(C677="","",IF(COUNT(G677:AZ677)&lt;46,"",SUMPRODUCT(CC677:CK677,'تنظیمات وزن‌دهی'!$C$5:$C$13)/100))</f>
        <v/>
      </c>
      <c r="CM677" s="38" t="str">
        <f t="shared" si="119"/>
        <v/>
      </c>
      <c r="CN677" s="38">
        <v>1</v>
      </c>
      <c r="CO677" s="28" t="str">
        <f t="shared" si="120"/>
        <v/>
      </c>
      <c r="CP677" s="58"/>
    </row>
    <row r="678" spans="1:94" ht="17.25" hidden="1">
      <c r="A678" s="33">
        <v>674</v>
      </c>
      <c r="B678" s="55" t="s">
        <v>184</v>
      </c>
      <c r="C678" s="55" t="str">
        <f>IF(دانش‌آموزان!E61="","",دانش‌آموزان!B61)</f>
        <v/>
      </c>
      <c r="D678" s="55" t="str">
        <f>IF(دانش‌آموزان!C61="","",دانش‌آموزان!C61)</f>
        <v/>
      </c>
      <c r="E678" s="55" t="str">
        <f>IF(دانش‌آموزان!E61="","",دانش‌آموزان!E61&amp;" "&amp;دانش‌آموزان!F61)</f>
        <v/>
      </c>
      <c r="F678" s="34" t="str">
        <f>IF(دانش‌آموزان!I61="","",دانش‌آموزان!I61)</f>
        <v/>
      </c>
      <c r="G678" s="19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  <c r="CA678" s="20"/>
      <c r="CB678" s="21"/>
      <c r="CC678" s="27" t="str">
        <f t="shared" si="110"/>
        <v/>
      </c>
      <c r="CD678" s="38" t="str">
        <f t="shared" si="111"/>
        <v/>
      </c>
      <c r="CE678" s="38" t="str">
        <f t="shared" si="112"/>
        <v/>
      </c>
      <c r="CF678" s="38" t="str">
        <f t="shared" si="113"/>
        <v/>
      </c>
      <c r="CG678" s="38" t="str">
        <f t="shared" si="114"/>
        <v/>
      </c>
      <c r="CH678" s="38" t="str">
        <f t="shared" si="115"/>
        <v/>
      </c>
      <c r="CI678" s="38" t="str">
        <f t="shared" si="116"/>
        <v/>
      </c>
      <c r="CJ678" s="38" t="str">
        <f t="shared" si="117"/>
        <v/>
      </c>
      <c r="CK678" s="38" t="str">
        <f t="shared" si="118"/>
        <v/>
      </c>
      <c r="CL678" s="38" t="str">
        <f>IF(C678="","",IF(COUNT(G678:AZ678)&lt;46,"",SUMPRODUCT(CC678:CK678,'تنظیمات وزن‌دهی'!$C$5:$C$13)/100))</f>
        <v/>
      </c>
      <c r="CM678" s="38" t="str">
        <f t="shared" si="119"/>
        <v/>
      </c>
      <c r="CN678" s="38">
        <v>2</v>
      </c>
      <c r="CO678" s="28" t="str">
        <f t="shared" si="120"/>
        <v/>
      </c>
      <c r="CP678" s="58"/>
    </row>
    <row r="679" spans="1:94" ht="17.25">
      <c r="A679" s="33">
        <v>675</v>
      </c>
      <c r="B679" s="55" t="s">
        <v>185</v>
      </c>
      <c r="C679" s="55" t="str">
        <f>IF(دانش‌آموزان!E61="","",دانش‌آموزان!B61)</f>
        <v/>
      </c>
      <c r="D679" s="55" t="str">
        <f>IF(دانش‌آموزان!C61="","",دانش‌آموزان!C61)</f>
        <v/>
      </c>
      <c r="E679" s="55" t="str">
        <f>IF(دانش‌آموزان!E61="","",دانش‌آموزان!E61&amp;" "&amp;دانش‌آموزان!F61)</f>
        <v/>
      </c>
      <c r="F679" s="34" t="str">
        <f>IF(دانش‌آموزان!I61="","",دانش‌آموزان!I61)</f>
        <v/>
      </c>
      <c r="G679" s="19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  <c r="BO679" s="20"/>
      <c r="BP679" s="20"/>
      <c r="BQ679" s="20"/>
      <c r="BR679" s="20"/>
      <c r="BS679" s="20"/>
      <c r="BT679" s="20"/>
      <c r="BU679" s="20"/>
      <c r="BV679" s="20"/>
      <c r="BW679" s="20"/>
      <c r="BX679" s="20"/>
      <c r="BY679" s="20"/>
      <c r="BZ679" s="20"/>
      <c r="CA679" s="20"/>
      <c r="CB679" s="21"/>
      <c r="CC679" s="27" t="str">
        <f t="shared" si="110"/>
        <v/>
      </c>
      <c r="CD679" s="38" t="str">
        <f t="shared" si="111"/>
        <v/>
      </c>
      <c r="CE679" s="38" t="str">
        <f t="shared" si="112"/>
        <v/>
      </c>
      <c r="CF679" s="38" t="str">
        <f t="shared" si="113"/>
        <v/>
      </c>
      <c r="CG679" s="38" t="str">
        <f t="shared" si="114"/>
        <v/>
      </c>
      <c r="CH679" s="38" t="str">
        <f t="shared" si="115"/>
        <v/>
      </c>
      <c r="CI679" s="38" t="str">
        <f t="shared" si="116"/>
        <v/>
      </c>
      <c r="CJ679" s="38" t="str">
        <f t="shared" si="117"/>
        <v/>
      </c>
      <c r="CK679" s="38" t="str">
        <f t="shared" si="118"/>
        <v/>
      </c>
      <c r="CL679" s="38" t="str">
        <f>IF(C679="","",IF(COUNT(G679:AZ679)&lt;46,"",SUMPRODUCT(CC679:CK679,'تنظیمات وزن‌دهی'!$C$5:$C$13)/100))</f>
        <v/>
      </c>
      <c r="CM679" s="38" t="str">
        <f t="shared" si="119"/>
        <v/>
      </c>
      <c r="CN679" s="38">
        <v>3</v>
      </c>
      <c r="CO679" s="28" t="str">
        <f t="shared" si="120"/>
        <v/>
      </c>
      <c r="CP679" s="58"/>
    </row>
    <row r="680" spans="1:94" ht="17.25" hidden="1">
      <c r="A680" s="33">
        <v>676</v>
      </c>
      <c r="B680" s="55" t="s">
        <v>186</v>
      </c>
      <c r="C680" s="55" t="str">
        <f>IF(دانش‌آموزان!E61="","",دانش‌آموزان!B61)</f>
        <v/>
      </c>
      <c r="D680" s="55" t="str">
        <f>IF(دانش‌آموزان!C61="","",دانش‌آموزان!C61)</f>
        <v/>
      </c>
      <c r="E680" s="55" t="str">
        <f>IF(دانش‌آموزان!E61="","",دانش‌آموزان!E61&amp;" "&amp;دانش‌آموزان!F61)</f>
        <v/>
      </c>
      <c r="F680" s="34" t="str">
        <f>IF(دانش‌آموزان!I61="","",دانش‌آموزان!I61)</f>
        <v/>
      </c>
      <c r="G680" s="19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  <c r="BW680" s="20"/>
      <c r="BX680" s="20"/>
      <c r="BY680" s="20"/>
      <c r="BZ680" s="20"/>
      <c r="CA680" s="20"/>
      <c r="CB680" s="21"/>
      <c r="CC680" s="27" t="str">
        <f t="shared" si="110"/>
        <v/>
      </c>
      <c r="CD680" s="38" t="str">
        <f t="shared" si="111"/>
        <v/>
      </c>
      <c r="CE680" s="38" t="str">
        <f t="shared" si="112"/>
        <v/>
      </c>
      <c r="CF680" s="38" t="str">
        <f t="shared" si="113"/>
        <v/>
      </c>
      <c r="CG680" s="38" t="str">
        <f t="shared" si="114"/>
        <v/>
      </c>
      <c r="CH680" s="38" t="str">
        <f t="shared" si="115"/>
        <v/>
      </c>
      <c r="CI680" s="38" t="str">
        <f t="shared" si="116"/>
        <v/>
      </c>
      <c r="CJ680" s="38" t="str">
        <f t="shared" si="117"/>
        <v/>
      </c>
      <c r="CK680" s="38" t="str">
        <f t="shared" si="118"/>
        <v/>
      </c>
      <c r="CL680" s="38" t="str">
        <f>IF(C680="","",IF(COUNT(G680:AZ680)&lt;46,"",SUMPRODUCT(CC680:CK680,'تنظیمات وزن‌دهی'!$C$5:$C$13)/100))</f>
        <v/>
      </c>
      <c r="CM680" s="38" t="str">
        <f t="shared" si="119"/>
        <v/>
      </c>
      <c r="CN680" s="38">
        <v>4</v>
      </c>
      <c r="CO680" s="28" t="str">
        <f t="shared" si="120"/>
        <v/>
      </c>
      <c r="CP680" s="58"/>
    </row>
    <row r="681" spans="1:94" ht="17.25" hidden="1">
      <c r="A681" s="33">
        <v>677</v>
      </c>
      <c r="B681" s="55" t="s">
        <v>187</v>
      </c>
      <c r="C681" s="55" t="str">
        <f>IF(دانش‌آموزان!E61="","",دانش‌آموزان!B61)</f>
        <v/>
      </c>
      <c r="D681" s="55" t="str">
        <f>IF(دانش‌آموزان!C61="","",دانش‌آموزان!C61)</f>
        <v/>
      </c>
      <c r="E681" s="55" t="str">
        <f>IF(دانش‌آموزان!E61="","",دانش‌آموزان!E61&amp;" "&amp;دانش‌آموزان!F61)</f>
        <v/>
      </c>
      <c r="F681" s="34" t="str">
        <f>IF(دانش‌آموزان!I61="","",دانش‌آموزان!I61)</f>
        <v/>
      </c>
      <c r="G681" s="19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  <c r="BW681" s="20"/>
      <c r="BX681" s="20"/>
      <c r="BY681" s="20"/>
      <c r="BZ681" s="20"/>
      <c r="CA681" s="20"/>
      <c r="CB681" s="21"/>
      <c r="CC681" s="27" t="str">
        <f t="shared" si="110"/>
        <v/>
      </c>
      <c r="CD681" s="38" t="str">
        <f t="shared" si="111"/>
        <v/>
      </c>
      <c r="CE681" s="38" t="str">
        <f t="shared" si="112"/>
        <v/>
      </c>
      <c r="CF681" s="38" t="str">
        <f t="shared" si="113"/>
        <v/>
      </c>
      <c r="CG681" s="38" t="str">
        <f t="shared" si="114"/>
        <v/>
      </c>
      <c r="CH681" s="38" t="str">
        <f t="shared" si="115"/>
        <v/>
      </c>
      <c r="CI681" s="38" t="str">
        <f t="shared" si="116"/>
        <v/>
      </c>
      <c r="CJ681" s="38" t="str">
        <f t="shared" si="117"/>
        <v/>
      </c>
      <c r="CK681" s="38" t="str">
        <f t="shared" si="118"/>
        <v/>
      </c>
      <c r="CL681" s="38" t="str">
        <f>IF(C681="","",IF(COUNT(G681:AZ681)&lt;46,"",SUMPRODUCT(CC681:CK681,'تنظیمات وزن‌دهی'!$C$5:$C$13)/100))</f>
        <v/>
      </c>
      <c r="CM681" s="38" t="str">
        <f t="shared" si="119"/>
        <v/>
      </c>
      <c r="CN681" s="38">
        <v>5</v>
      </c>
      <c r="CO681" s="28" t="str">
        <f t="shared" si="120"/>
        <v/>
      </c>
      <c r="CP681" s="58"/>
    </row>
    <row r="682" spans="1:94" ht="17.25" hidden="1">
      <c r="A682" s="33">
        <v>678</v>
      </c>
      <c r="B682" s="55" t="s">
        <v>188</v>
      </c>
      <c r="C682" s="55" t="str">
        <f>IF(دانش‌آموزان!E61="","",دانش‌آموزان!B61)</f>
        <v/>
      </c>
      <c r="D682" s="55" t="str">
        <f>IF(دانش‌آموزان!C61="","",دانش‌آموزان!C61)</f>
        <v/>
      </c>
      <c r="E682" s="55" t="str">
        <f>IF(دانش‌آموزان!E61="","",دانش‌آموزان!E61&amp;" "&amp;دانش‌آموزان!F61)</f>
        <v/>
      </c>
      <c r="F682" s="34" t="str">
        <f>IF(دانش‌آموزان!I61="","",دانش‌آموزان!I61)</f>
        <v/>
      </c>
      <c r="G682" s="19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20"/>
      <c r="BX682" s="20"/>
      <c r="BY682" s="20"/>
      <c r="BZ682" s="20"/>
      <c r="CA682" s="20"/>
      <c r="CB682" s="21"/>
      <c r="CC682" s="27" t="str">
        <f t="shared" si="110"/>
        <v/>
      </c>
      <c r="CD682" s="38" t="str">
        <f t="shared" si="111"/>
        <v/>
      </c>
      <c r="CE682" s="38" t="str">
        <f t="shared" si="112"/>
        <v/>
      </c>
      <c r="CF682" s="38" t="str">
        <f t="shared" si="113"/>
        <v/>
      </c>
      <c r="CG682" s="38" t="str">
        <f t="shared" si="114"/>
        <v/>
      </c>
      <c r="CH682" s="38" t="str">
        <f t="shared" si="115"/>
        <v/>
      </c>
      <c r="CI682" s="38" t="str">
        <f t="shared" si="116"/>
        <v/>
      </c>
      <c r="CJ682" s="38" t="str">
        <f t="shared" si="117"/>
        <v/>
      </c>
      <c r="CK682" s="38" t="str">
        <f t="shared" si="118"/>
        <v/>
      </c>
      <c r="CL682" s="38" t="str">
        <f>IF(C682="","",IF(COUNT(G682:AZ682)&lt;46,"",SUMPRODUCT(CC682:CK682,'تنظیمات وزن‌دهی'!$C$5:$C$13)/100))</f>
        <v/>
      </c>
      <c r="CM682" s="38" t="str">
        <f t="shared" si="119"/>
        <v/>
      </c>
      <c r="CN682" s="38">
        <v>6</v>
      </c>
      <c r="CO682" s="28" t="str">
        <f t="shared" si="120"/>
        <v/>
      </c>
      <c r="CP682" s="58"/>
    </row>
    <row r="683" spans="1:94" ht="17.25" hidden="1">
      <c r="A683" s="33">
        <v>679</v>
      </c>
      <c r="B683" s="55" t="s">
        <v>189</v>
      </c>
      <c r="C683" s="55" t="str">
        <f>IF(دانش‌آموزان!E61="","",دانش‌آموزان!B61)</f>
        <v/>
      </c>
      <c r="D683" s="55" t="str">
        <f>IF(دانش‌آموزان!C61="","",دانش‌آموزان!C61)</f>
        <v/>
      </c>
      <c r="E683" s="55" t="str">
        <f>IF(دانش‌آموزان!E61="","",دانش‌آموزان!E61&amp;" "&amp;دانش‌آموزان!F61)</f>
        <v/>
      </c>
      <c r="F683" s="34" t="str">
        <f>IF(دانش‌آموزان!I61="","",دانش‌آموزان!I61)</f>
        <v/>
      </c>
      <c r="G683" s="19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  <c r="CA683" s="20"/>
      <c r="CB683" s="21"/>
      <c r="CC683" s="27" t="str">
        <f t="shared" si="110"/>
        <v/>
      </c>
      <c r="CD683" s="38" t="str">
        <f t="shared" si="111"/>
        <v/>
      </c>
      <c r="CE683" s="38" t="str">
        <f t="shared" si="112"/>
        <v/>
      </c>
      <c r="CF683" s="38" t="str">
        <f t="shared" si="113"/>
        <v/>
      </c>
      <c r="CG683" s="38" t="str">
        <f t="shared" si="114"/>
        <v/>
      </c>
      <c r="CH683" s="38" t="str">
        <f t="shared" si="115"/>
        <v/>
      </c>
      <c r="CI683" s="38" t="str">
        <f t="shared" si="116"/>
        <v/>
      </c>
      <c r="CJ683" s="38" t="str">
        <f t="shared" si="117"/>
        <v/>
      </c>
      <c r="CK683" s="38" t="str">
        <f t="shared" si="118"/>
        <v/>
      </c>
      <c r="CL683" s="38" t="str">
        <f>IF(C683="","",IF(COUNT(G683:AZ683)&lt;46,"",SUMPRODUCT(CC683:CK683,'تنظیمات وزن‌دهی'!$C$5:$C$13)/100))</f>
        <v/>
      </c>
      <c r="CM683" s="38" t="str">
        <f t="shared" si="119"/>
        <v/>
      </c>
      <c r="CN683" s="38">
        <v>7</v>
      </c>
      <c r="CO683" s="28" t="str">
        <f t="shared" si="120"/>
        <v/>
      </c>
      <c r="CP683" s="58"/>
    </row>
    <row r="684" spans="1:94" ht="17.25" hidden="1">
      <c r="A684" s="33">
        <v>680</v>
      </c>
      <c r="B684" s="55" t="s">
        <v>190</v>
      </c>
      <c r="C684" s="55" t="str">
        <f>IF(دانش‌آموزان!E61="","",دانش‌آموزان!B61)</f>
        <v/>
      </c>
      <c r="D684" s="55" t="str">
        <f>IF(دانش‌آموزان!C61="","",دانش‌آموزان!C61)</f>
        <v/>
      </c>
      <c r="E684" s="55" t="str">
        <f>IF(دانش‌آموزان!E61="","",دانش‌آموزان!E61&amp;" "&amp;دانش‌آموزان!F61)</f>
        <v/>
      </c>
      <c r="F684" s="34" t="str">
        <f>IF(دانش‌آموزان!I61="","",دانش‌آموزان!I61)</f>
        <v/>
      </c>
      <c r="G684" s="19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20"/>
      <c r="BX684" s="20"/>
      <c r="BY684" s="20"/>
      <c r="BZ684" s="20"/>
      <c r="CA684" s="20"/>
      <c r="CB684" s="21"/>
      <c r="CC684" s="27" t="str">
        <f t="shared" si="110"/>
        <v/>
      </c>
      <c r="CD684" s="38" t="str">
        <f t="shared" si="111"/>
        <v/>
      </c>
      <c r="CE684" s="38" t="str">
        <f t="shared" si="112"/>
        <v/>
      </c>
      <c r="CF684" s="38" t="str">
        <f t="shared" si="113"/>
        <v/>
      </c>
      <c r="CG684" s="38" t="str">
        <f t="shared" si="114"/>
        <v/>
      </c>
      <c r="CH684" s="38" t="str">
        <f t="shared" si="115"/>
        <v/>
      </c>
      <c r="CI684" s="38" t="str">
        <f t="shared" si="116"/>
        <v/>
      </c>
      <c r="CJ684" s="38" t="str">
        <f t="shared" si="117"/>
        <v/>
      </c>
      <c r="CK684" s="38" t="str">
        <f t="shared" si="118"/>
        <v/>
      </c>
      <c r="CL684" s="38" t="str">
        <f>IF(C684="","",IF(COUNT(G684:AZ684)&lt;46,"",SUMPRODUCT(CC684:CK684,'تنظیمات وزن‌دهی'!$C$5:$C$13)/100))</f>
        <v/>
      </c>
      <c r="CM684" s="38" t="str">
        <f t="shared" si="119"/>
        <v/>
      </c>
      <c r="CN684" s="38">
        <v>8</v>
      </c>
      <c r="CO684" s="28" t="str">
        <f t="shared" si="120"/>
        <v/>
      </c>
      <c r="CP684" s="58"/>
    </row>
    <row r="685" spans="1:94" ht="17.25" hidden="1">
      <c r="A685" s="33">
        <v>681</v>
      </c>
      <c r="B685" s="55" t="s">
        <v>191</v>
      </c>
      <c r="C685" s="55" t="str">
        <f>IF(دانش‌آموزان!E61="","",دانش‌آموزان!B61)</f>
        <v/>
      </c>
      <c r="D685" s="55" t="str">
        <f>IF(دانش‌آموزان!C61="","",دانش‌آموزان!C61)</f>
        <v/>
      </c>
      <c r="E685" s="55" t="str">
        <f>IF(دانش‌آموزان!E61="","",دانش‌آموزان!E61&amp;" "&amp;دانش‌آموزان!F61)</f>
        <v/>
      </c>
      <c r="F685" s="34" t="str">
        <f>IF(دانش‌آموزان!I61="","",دانش‌آموزان!I61)</f>
        <v/>
      </c>
      <c r="G685" s="19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/>
      <c r="BS685" s="20"/>
      <c r="BT685" s="20"/>
      <c r="BU685" s="20"/>
      <c r="BV685" s="20"/>
      <c r="BW685" s="20"/>
      <c r="BX685" s="20"/>
      <c r="BY685" s="20"/>
      <c r="BZ685" s="20"/>
      <c r="CA685" s="20"/>
      <c r="CB685" s="21"/>
      <c r="CC685" s="27" t="str">
        <f t="shared" si="110"/>
        <v/>
      </c>
      <c r="CD685" s="38" t="str">
        <f t="shared" si="111"/>
        <v/>
      </c>
      <c r="CE685" s="38" t="str">
        <f t="shared" si="112"/>
        <v/>
      </c>
      <c r="CF685" s="38" t="str">
        <f t="shared" si="113"/>
        <v/>
      </c>
      <c r="CG685" s="38" t="str">
        <f t="shared" si="114"/>
        <v/>
      </c>
      <c r="CH685" s="38" t="str">
        <f t="shared" si="115"/>
        <v/>
      </c>
      <c r="CI685" s="38" t="str">
        <f t="shared" si="116"/>
        <v/>
      </c>
      <c r="CJ685" s="38" t="str">
        <f t="shared" si="117"/>
        <v/>
      </c>
      <c r="CK685" s="38" t="str">
        <f t="shared" si="118"/>
        <v/>
      </c>
      <c r="CL685" s="38" t="str">
        <f>IF(C685="","",IF(COUNT(G685:AZ685)&lt;46,"",SUMPRODUCT(CC685:CK685,'تنظیمات وزن‌دهی'!$C$5:$C$13)/100))</f>
        <v/>
      </c>
      <c r="CM685" s="38" t="str">
        <f t="shared" si="119"/>
        <v/>
      </c>
      <c r="CN685" s="38">
        <v>9</v>
      </c>
      <c r="CO685" s="28" t="str">
        <f t="shared" si="120"/>
        <v/>
      </c>
      <c r="CP685" s="58"/>
    </row>
    <row r="686" spans="1:94" ht="17.25" hidden="1">
      <c r="A686" s="33">
        <v>682</v>
      </c>
      <c r="B686" s="55" t="s">
        <v>192</v>
      </c>
      <c r="C686" s="55" t="str">
        <f>IF(دانش‌آموزان!E61="","",دانش‌آموزان!B61)</f>
        <v/>
      </c>
      <c r="D686" s="55" t="str">
        <f>IF(دانش‌آموزان!C61="","",دانش‌آموزان!C61)</f>
        <v/>
      </c>
      <c r="E686" s="55" t="str">
        <f>IF(دانش‌آموزان!E61="","",دانش‌آموزان!E61&amp;" "&amp;دانش‌آموزان!F61)</f>
        <v/>
      </c>
      <c r="F686" s="34" t="str">
        <f>IF(دانش‌آموزان!I61="","",دانش‌آموزان!I61)</f>
        <v/>
      </c>
      <c r="G686" s="19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  <c r="BQ686" s="20"/>
      <c r="BR686" s="20"/>
      <c r="BS686" s="20"/>
      <c r="BT686" s="20"/>
      <c r="BU686" s="20"/>
      <c r="BV686" s="20"/>
      <c r="BW686" s="20"/>
      <c r="BX686" s="20"/>
      <c r="BY686" s="20"/>
      <c r="BZ686" s="20"/>
      <c r="CA686" s="20"/>
      <c r="CB686" s="21"/>
      <c r="CC686" s="27" t="str">
        <f t="shared" si="110"/>
        <v/>
      </c>
      <c r="CD686" s="38" t="str">
        <f t="shared" si="111"/>
        <v/>
      </c>
      <c r="CE686" s="38" t="str">
        <f t="shared" si="112"/>
        <v/>
      </c>
      <c r="CF686" s="38" t="str">
        <f t="shared" si="113"/>
        <v/>
      </c>
      <c r="CG686" s="38" t="str">
        <f t="shared" si="114"/>
        <v/>
      </c>
      <c r="CH686" s="38" t="str">
        <f t="shared" si="115"/>
        <v/>
      </c>
      <c r="CI686" s="38" t="str">
        <f t="shared" si="116"/>
        <v/>
      </c>
      <c r="CJ686" s="38" t="str">
        <f t="shared" si="117"/>
        <v/>
      </c>
      <c r="CK686" s="38" t="str">
        <f t="shared" si="118"/>
        <v/>
      </c>
      <c r="CL686" s="38" t="str">
        <f>IF(C686="","",IF(COUNT(G686:AZ686)&lt;46,"",SUMPRODUCT(CC686:CK686,'تنظیمات وزن‌دهی'!$C$5:$C$13)/100))</f>
        <v/>
      </c>
      <c r="CM686" s="38" t="str">
        <f t="shared" si="119"/>
        <v/>
      </c>
      <c r="CN686" s="38">
        <v>10</v>
      </c>
      <c r="CO686" s="28" t="str">
        <f t="shared" si="120"/>
        <v/>
      </c>
      <c r="CP686" s="58"/>
    </row>
    <row r="687" spans="1:94" ht="17.25" hidden="1">
      <c r="A687" s="33">
        <v>683</v>
      </c>
      <c r="B687" s="55" t="s">
        <v>193</v>
      </c>
      <c r="C687" s="55" t="str">
        <f>IF(دانش‌آموزان!E61="","",دانش‌آموزان!B61)</f>
        <v/>
      </c>
      <c r="D687" s="55" t="str">
        <f>IF(دانش‌آموزان!C61="","",دانش‌آموزان!C61)</f>
        <v/>
      </c>
      <c r="E687" s="55" t="str">
        <f>IF(دانش‌آموزان!E61="","",دانش‌آموزان!E61&amp;" "&amp;دانش‌آموزان!F61)</f>
        <v/>
      </c>
      <c r="F687" s="34" t="str">
        <f>IF(دانش‌آموزان!I61="","",دانش‌آموزان!I61)</f>
        <v/>
      </c>
      <c r="G687" s="19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  <c r="CA687" s="20"/>
      <c r="CB687" s="21"/>
      <c r="CC687" s="27" t="str">
        <f t="shared" si="110"/>
        <v/>
      </c>
      <c r="CD687" s="38" t="str">
        <f t="shared" si="111"/>
        <v/>
      </c>
      <c r="CE687" s="38" t="str">
        <f t="shared" si="112"/>
        <v/>
      </c>
      <c r="CF687" s="38" t="str">
        <f t="shared" si="113"/>
        <v/>
      </c>
      <c r="CG687" s="38" t="str">
        <f t="shared" si="114"/>
        <v/>
      </c>
      <c r="CH687" s="38" t="str">
        <f t="shared" si="115"/>
        <v/>
      </c>
      <c r="CI687" s="38" t="str">
        <f t="shared" si="116"/>
        <v/>
      </c>
      <c r="CJ687" s="38" t="str">
        <f t="shared" si="117"/>
        <v/>
      </c>
      <c r="CK687" s="38" t="str">
        <f t="shared" si="118"/>
        <v/>
      </c>
      <c r="CL687" s="38" t="str">
        <f>IF(C687="","",IF(COUNT(G687:AZ687)&lt;46,"",SUMPRODUCT(CC687:CK687,'تنظیمات وزن‌دهی'!$C$5:$C$13)/100))</f>
        <v/>
      </c>
      <c r="CM687" s="38" t="str">
        <f t="shared" si="119"/>
        <v/>
      </c>
      <c r="CN687" s="38">
        <v>11</v>
      </c>
      <c r="CO687" s="28" t="str">
        <f t="shared" si="120"/>
        <v/>
      </c>
      <c r="CP687" s="58"/>
    </row>
    <row r="688" spans="1:94" ht="17.25" hidden="1">
      <c r="A688" s="33">
        <v>684</v>
      </c>
      <c r="B688" s="55" t="s">
        <v>194</v>
      </c>
      <c r="C688" s="55" t="str">
        <f>IF(دانش‌آموزان!E61="","",دانش‌آموزان!B61)</f>
        <v/>
      </c>
      <c r="D688" s="55" t="str">
        <f>IF(دانش‌آموزان!C61="","",دانش‌آموزان!C61)</f>
        <v/>
      </c>
      <c r="E688" s="55" t="str">
        <f>IF(دانش‌آموزان!E61="","",دانش‌آموزان!E61&amp;" "&amp;دانش‌آموزان!F61)</f>
        <v/>
      </c>
      <c r="F688" s="34" t="str">
        <f>IF(دانش‌آموزان!I61="","",دانش‌آموزان!I61)</f>
        <v/>
      </c>
      <c r="G688" s="19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  <c r="BO688" s="20"/>
      <c r="BP688" s="20"/>
      <c r="BQ688" s="20"/>
      <c r="BR688" s="20"/>
      <c r="BS688" s="20"/>
      <c r="BT688" s="20"/>
      <c r="BU688" s="20"/>
      <c r="BV688" s="20"/>
      <c r="BW688" s="20"/>
      <c r="BX688" s="20"/>
      <c r="BY688" s="20"/>
      <c r="BZ688" s="20"/>
      <c r="CA688" s="20"/>
      <c r="CB688" s="21"/>
      <c r="CC688" s="27" t="str">
        <f t="shared" si="110"/>
        <v/>
      </c>
      <c r="CD688" s="38" t="str">
        <f t="shared" si="111"/>
        <v/>
      </c>
      <c r="CE688" s="38" t="str">
        <f t="shared" si="112"/>
        <v/>
      </c>
      <c r="CF688" s="38" t="str">
        <f t="shared" si="113"/>
        <v/>
      </c>
      <c r="CG688" s="38" t="str">
        <f t="shared" si="114"/>
        <v/>
      </c>
      <c r="CH688" s="38" t="str">
        <f t="shared" si="115"/>
        <v/>
      </c>
      <c r="CI688" s="38" t="str">
        <f t="shared" si="116"/>
        <v/>
      </c>
      <c r="CJ688" s="38" t="str">
        <f t="shared" si="117"/>
        <v/>
      </c>
      <c r="CK688" s="38" t="str">
        <f t="shared" si="118"/>
        <v/>
      </c>
      <c r="CL688" s="38" t="str">
        <f>IF(C688="","",IF(COUNT(G688:AZ688)&lt;46,"",SUMPRODUCT(CC688:CK688,'تنظیمات وزن‌دهی'!$C$5:$C$13)/100))</f>
        <v/>
      </c>
      <c r="CM688" s="38" t="str">
        <f t="shared" si="119"/>
        <v/>
      </c>
      <c r="CN688" s="38">
        <v>12</v>
      </c>
      <c r="CO688" s="28" t="str">
        <f t="shared" si="120"/>
        <v/>
      </c>
      <c r="CP688" s="58"/>
    </row>
    <row r="689" spans="1:94" ht="17.25" hidden="1">
      <c r="A689" s="33">
        <v>685</v>
      </c>
      <c r="B689" s="55" t="s">
        <v>183</v>
      </c>
      <c r="C689" s="55" t="str">
        <f>IF(دانش‌آموزان!E62="","",دانش‌آموزان!B62)</f>
        <v/>
      </c>
      <c r="D689" s="55" t="str">
        <f>IF(دانش‌آموزان!C62="","",دانش‌آموزان!C62)</f>
        <v/>
      </c>
      <c r="E689" s="55" t="str">
        <f>IF(دانش‌آموزان!E62="","",دانش‌آموزان!E62&amp;" "&amp;دانش‌آموزان!F62)</f>
        <v/>
      </c>
      <c r="F689" s="34" t="str">
        <f>IF(دانش‌آموزان!I62="","",دانش‌آموزان!I62)</f>
        <v/>
      </c>
      <c r="G689" s="19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20"/>
      <c r="BM689" s="20"/>
      <c r="BN689" s="20"/>
      <c r="BO689" s="20"/>
      <c r="BP689" s="20"/>
      <c r="BQ689" s="20"/>
      <c r="BR689" s="20"/>
      <c r="BS689" s="20"/>
      <c r="BT689" s="20"/>
      <c r="BU689" s="20"/>
      <c r="BV689" s="20"/>
      <c r="BW689" s="20"/>
      <c r="BX689" s="20"/>
      <c r="BY689" s="20"/>
      <c r="BZ689" s="20"/>
      <c r="CA689" s="20"/>
      <c r="CB689" s="21"/>
      <c r="CC689" s="27" t="str">
        <f t="shared" si="110"/>
        <v/>
      </c>
      <c r="CD689" s="38" t="str">
        <f t="shared" si="111"/>
        <v/>
      </c>
      <c r="CE689" s="38" t="str">
        <f t="shared" si="112"/>
        <v/>
      </c>
      <c r="CF689" s="38" t="str">
        <f t="shared" si="113"/>
        <v/>
      </c>
      <c r="CG689" s="38" t="str">
        <f t="shared" si="114"/>
        <v/>
      </c>
      <c r="CH689" s="38" t="str">
        <f t="shared" si="115"/>
        <v/>
      </c>
      <c r="CI689" s="38" t="str">
        <f t="shared" si="116"/>
        <v/>
      </c>
      <c r="CJ689" s="38" t="str">
        <f t="shared" si="117"/>
        <v/>
      </c>
      <c r="CK689" s="38" t="str">
        <f t="shared" si="118"/>
        <v/>
      </c>
      <c r="CL689" s="38" t="str">
        <f>IF(C689="","",IF(COUNT(G689:AZ689)&lt;46,"",SUMPRODUCT(CC689:CK689,'تنظیمات وزن‌دهی'!$C$5:$C$13)/100))</f>
        <v/>
      </c>
      <c r="CM689" s="38" t="str">
        <f t="shared" si="119"/>
        <v/>
      </c>
      <c r="CN689" s="38">
        <v>1</v>
      </c>
      <c r="CO689" s="28" t="str">
        <f t="shared" si="120"/>
        <v/>
      </c>
      <c r="CP689" s="58"/>
    </row>
    <row r="690" spans="1:94" ht="17.25" hidden="1">
      <c r="A690" s="33">
        <v>686</v>
      </c>
      <c r="B690" s="55" t="s">
        <v>184</v>
      </c>
      <c r="C690" s="55" t="str">
        <f>IF(دانش‌آموزان!E62="","",دانش‌آموزان!B62)</f>
        <v/>
      </c>
      <c r="D690" s="55" t="str">
        <f>IF(دانش‌آموزان!C62="","",دانش‌آموزان!C62)</f>
        <v/>
      </c>
      <c r="E690" s="55" t="str">
        <f>IF(دانش‌آموزان!E62="","",دانش‌آموزان!E62&amp;" "&amp;دانش‌آموزان!F62)</f>
        <v/>
      </c>
      <c r="F690" s="34" t="str">
        <f>IF(دانش‌آموزان!I62="","",دانش‌آموزان!I62)</f>
        <v/>
      </c>
      <c r="G690" s="19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  <c r="CA690" s="20"/>
      <c r="CB690" s="21"/>
      <c r="CC690" s="27" t="str">
        <f t="shared" si="110"/>
        <v/>
      </c>
      <c r="CD690" s="38" t="str">
        <f t="shared" si="111"/>
        <v/>
      </c>
      <c r="CE690" s="38" t="str">
        <f t="shared" si="112"/>
        <v/>
      </c>
      <c r="CF690" s="38" t="str">
        <f t="shared" si="113"/>
        <v/>
      </c>
      <c r="CG690" s="38" t="str">
        <f t="shared" si="114"/>
        <v/>
      </c>
      <c r="CH690" s="38" t="str">
        <f t="shared" si="115"/>
        <v/>
      </c>
      <c r="CI690" s="38" t="str">
        <f t="shared" si="116"/>
        <v/>
      </c>
      <c r="CJ690" s="38" t="str">
        <f t="shared" si="117"/>
        <v/>
      </c>
      <c r="CK690" s="38" t="str">
        <f t="shared" si="118"/>
        <v/>
      </c>
      <c r="CL690" s="38" t="str">
        <f>IF(C690="","",IF(COUNT(G690:AZ690)&lt;46,"",SUMPRODUCT(CC690:CK690,'تنظیمات وزن‌دهی'!$C$5:$C$13)/100))</f>
        <v/>
      </c>
      <c r="CM690" s="38" t="str">
        <f t="shared" si="119"/>
        <v/>
      </c>
      <c r="CN690" s="38">
        <v>2</v>
      </c>
      <c r="CO690" s="28" t="str">
        <f t="shared" si="120"/>
        <v/>
      </c>
      <c r="CP690" s="58"/>
    </row>
    <row r="691" spans="1:94" ht="17.25">
      <c r="A691" s="33">
        <v>687</v>
      </c>
      <c r="B691" s="55" t="s">
        <v>185</v>
      </c>
      <c r="C691" s="55" t="str">
        <f>IF(دانش‌آموزان!E62="","",دانش‌آموزان!B62)</f>
        <v/>
      </c>
      <c r="D691" s="55" t="str">
        <f>IF(دانش‌آموزان!C62="","",دانش‌آموزان!C62)</f>
        <v/>
      </c>
      <c r="E691" s="55" t="str">
        <f>IF(دانش‌آموزان!E62="","",دانش‌آموزان!E62&amp;" "&amp;دانش‌آموزان!F62)</f>
        <v/>
      </c>
      <c r="F691" s="34" t="str">
        <f>IF(دانش‌آموزان!I62="","",دانش‌آموزان!I62)</f>
        <v/>
      </c>
      <c r="G691" s="19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  <c r="BO691" s="20"/>
      <c r="BP691" s="20"/>
      <c r="BQ691" s="20"/>
      <c r="BR691" s="20"/>
      <c r="BS691" s="20"/>
      <c r="BT691" s="20"/>
      <c r="BU691" s="20"/>
      <c r="BV691" s="20"/>
      <c r="BW691" s="20"/>
      <c r="BX691" s="20"/>
      <c r="BY691" s="20"/>
      <c r="BZ691" s="20"/>
      <c r="CA691" s="20"/>
      <c r="CB691" s="21"/>
      <c r="CC691" s="27" t="str">
        <f t="shared" si="110"/>
        <v/>
      </c>
      <c r="CD691" s="38" t="str">
        <f t="shared" si="111"/>
        <v/>
      </c>
      <c r="CE691" s="38" t="str">
        <f t="shared" si="112"/>
        <v/>
      </c>
      <c r="CF691" s="38" t="str">
        <f t="shared" si="113"/>
        <v/>
      </c>
      <c r="CG691" s="38" t="str">
        <f t="shared" si="114"/>
        <v/>
      </c>
      <c r="CH691" s="38" t="str">
        <f t="shared" si="115"/>
        <v/>
      </c>
      <c r="CI691" s="38" t="str">
        <f t="shared" si="116"/>
        <v/>
      </c>
      <c r="CJ691" s="38" t="str">
        <f t="shared" si="117"/>
        <v/>
      </c>
      <c r="CK691" s="38" t="str">
        <f t="shared" si="118"/>
        <v/>
      </c>
      <c r="CL691" s="38" t="str">
        <f>IF(C691="","",IF(COUNT(G691:AZ691)&lt;46,"",SUMPRODUCT(CC691:CK691,'تنظیمات وزن‌دهی'!$C$5:$C$13)/100))</f>
        <v/>
      </c>
      <c r="CM691" s="38" t="str">
        <f t="shared" si="119"/>
        <v/>
      </c>
      <c r="CN691" s="38">
        <v>3</v>
      </c>
      <c r="CO691" s="28" t="str">
        <f t="shared" si="120"/>
        <v/>
      </c>
      <c r="CP691" s="58"/>
    </row>
    <row r="692" spans="1:94" ht="17.25" hidden="1">
      <c r="A692" s="33">
        <v>688</v>
      </c>
      <c r="B692" s="55" t="s">
        <v>186</v>
      </c>
      <c r="C692" s="55" t="str">
        <f>IF(دانش‌آموزان!E62="","",دانش‌آموزان!B62)</f>
        <v/>
      </c>
      <c r="D692" s="55" t="str">
        <f>IF(دانش‌آموزان!C62="","",دانش‌آموزان!C62)</f>
        <v/>
      </c>
      <c r="E692" s="55" t="str">
        <f>IF(دانش‌آموزان!E62="","",دانش‌آموزان!E62&amp;" "&amp;دانش‌آموزان!F62)</f>
        <v/>
      </c>
      <c r="F692" s="34" t="str">
        <f>IF(دانش‌آموزان!I62="","",دانش‌آموزان!I62)</f>
        <v/>
      </c>
      <c r="G692" s="19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20"/>
      <c r="BM692" s="20"/>
      <c r="BN692" s="20"/>
      <c r="BO692" s="20"/>
      <c r="BP692" s="20"/>
      <c r="BQ692" s="20"/>
      <c r="BR692" s="20"/>
      <c r="BS692" s="20"/>
      <c r="BT692" s="20"/>
      <c r="BU692" s="20"/>
      <c r="BV692" s="20"/>
      <c r="BW692" s="20"/>
      <c r="BX692" s="20"/>
      <c r="BY692" s="20"/>
      <c r="BZ692" s="20"/>
      <c r="CA692" s="20"/>
      <c r="CB692" s="21"/>
      <c r="CC692" s="27" t="str">
        <f t="shared" si="110"/>
        <v/>
      </c>
      <c r="CD692" s="38" t="str">
        <f t="shared" si="111"/>
        <v/>
      </c>
      <c r="CE692" s="38" t="str">
        <f t="shared" si="112"/>
        <v/>
      </c>
      <c r="CF692" s="38" t="str">
        <f t="shared" si="113"/>
        <v/>
      </c>
      <c r="CG692" s="38" t="str">
        <f t="shared" si="114"/>
        <v/>
      </c>
      <c r="CH692" s="38" t="str">
        <f t="shared" si="115"/>
        <v/>
      </c>
      <c r="CI692" s="38" t="str">
        <f t="shared" si="116"/>
        <v/>
      </c>
      <c r="CJ692" s="38" t="str">
        <f t="shared" si="117"/>
        <v/>
      </c>
      <c r="CK692" s="38" t="str">
        <f t="shared" si="118"/>
        <v/>
      </c>
      <c r="CL692" s="38" t="str">
        <f>IF(C692="","",IF(COUNT(G692:AZ692)&lt;46,"",SUMPRODUCT(CC692:CK692,'تنظیمات وزن‌دهی'!$C$5:$C$13)/100))</f>
        <v/>
      </c>
      <c r="CM692" s="38" t="str">
        <f t="shared" si="119"/>
        <v/>
      </c>
      <c r="CN692" s="38">
        <v>4</v>
      </c>
      <c r="CO692" s="28" t="str">
        <f t="shared" si="120"/>
        <v/>
      </c>
      <c r="CP692" s="58"/>
    </row>
    <row r="693" spans="1:94" ht="17.25" hidden="1">
      <c r="A693" s="33">
        <v>689</v>
      </c>
      <c r="B693" s="55" t="s">
        <v>187</v>
      </c>
      <c r="C693" s="55" t="str">
        <f>IF(دانش‌آموزان!E62="","",دانش‌آموزان!B62)</f>
        <v/>
      </c>
      <c r="D693" s="55" t="str">
        <f>IF(دانش‌آموزان!C62="","",دانش‌آموزان!C62)</f>
        <v/>
      </c>
      <c r="E693" s="55" t="str">
        <f>IF(دانش‌آموزان!E62="","",دانش‌آموزان!E62&amp;" "&amp;دانش‌آموزان!F62)</f>
        <v/>
      </c>
      <c r="F693" s="34" t="str">
        <f>IF(دانش‌آموزان!I62="","",دانش‌آموزان!I62)</f>
        <v/>
      </c>
      <c r="G693" s="19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20"/>
      <c r="BX693" s="20"/>
      <c r="BY693" s="20"/>
      <c r="BZ693" s="20"/>
      <c r="CA693" s="20"/>
      <c r="CB693" s="21"/>
      <c r="CC693" s="27" t="str">
        <f t="shared" si="110"/>
        <v/>
      </c>
      <c r="CD693" s="38" t="str">
        <f t="shared" si="111"/>
        <v/>
      </c>
      <c r="CE693" s="38" t="str">
        <f t="shared" si="112"/>
        <v/>
      </c>
      <c r="CF693" s="38" t="str">
        <f t="shared" si="113"/>
        <v/>
      </c>
      <c r="CG693" s="38" t="str">
        <f t="shared" si="114"/>
        <v/>
      </c>
      <c r="CH693" s="38" t="str">
        <f t="shared" si="115"/>
        <v/>
      </c>
      <c r="CI693" s="38" t="str">
        <f t="shared" si="116"/>
        <v/>
      </c>
      <c r="CJ693" s="38" t="str">
        <f t="shared" si="117"/>
        <v/>
      </c>
      <c r="CK693" s="38" t="str">
        <f t="shared" si="118"/>
        <v/>
      </c>
      <c r="CL693" s="38" t="str">
        <f>IF(C693="","",IF(COUNT(G693:AZ693)&lt;46,"",SUMPRODUCT(CC693:CK693,'تنظیمات وزن‌دهی'!$C$5:$C$13)/100))</f>
        <v/>
      </c>
      <c r="CM693" s="38" t="str">
        <f t="shared" si="119"/>
        <v/>
      </c>
      <c r="CN693" s="38">
        <v>5</v>
      </c>
      <c r="CO693" s="28" t="str">
        <f t="shared" si="120"/>
        <v/>
      </c>
      <c r="CP693" s="58"/>
    </row>
    <row r="694" spans="1:94" ht="17.25" hidden="1">
      <c r="A694" s="33">
        <v>690</v>
      </c>
      <c r="B694" s="55" t="s">
        <v>188</v>
      </c>
      <c r="C694" s="55" t="str">
        <f>IF(دانش‌آموزان!E62="","",دانش‌آموزان!B62)</f>
        <v/>
      </c>
      <c r="D694" s="55" t="str">
        <f>IF(دانش‌آموزان!C62="","",دانش‌آموزان!C62)</f>
        <v/>
      </c>
      <c r="E694" s="55" t="str">
        <f>IF(دانش‌آموزان!E62="","",دانش‌آموزان!E62&amp;" "&amp;دانش‌آموزان!F62)</f>
        <v/>
      </c>
      <c r="F694" s="34" t="str">
        <f>IF(دانش‌آموزان!I62="","",دانش‌آموزان!I62)</f>
        <v/>
      </c>
      <c r="G694" s="19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/>
      <c r="BS694" s="20"/>
      <c r="BT694" s="20"/>
      <c r="BU694" s="20"/>
      <c r="BV694" s="20"/>
      <c r="BW694" s="20"/>
      <c r="BX694" s="20"/>
      <c r="BY694" s="20"/>
      <c r="BZ694" s="20"/>
      <c r="CA694" s="20"/>
      <c r="CB694" s="21"/>
      <c r="CC694" s="27" t="str">
        <f t="shared" si="110"/>
        <v/>
      </c>
      <c r="CD694" s="38" t="str">
        <f t="shared" si="111"/>
        <v/>
      </c>
      <c r="CE694" s="38" t="str">
        <f t="shared" si="112"/>
        <v/>
      </c>
      <c r="CF694" s="38" t="str">
        <f t="shared" si="113"/>
        <v/>
      </c>
      <c r="CG694" s="38" t="str">
        <f t="shared" si="114"/>
        <v/>
      </c>
      <c r="CH694" s="38" t="str">
        <f t="shared" si="115"/>
        <v/>
      </c>
      <c r="CI694" s="38" t="str">
        <f t="shared" si="116"/>
        <v/>
      </c>
      <c r="CJ694" s="38" t="str">
        <f t="shared" si="117"/>
        <v/>
      </c>
      <c r="CK694" s="38" t="str">
        <f t="shared" si="118"/>
        <v/>
      </c>
      <c r="CL694" s="38" t="str">
        <f>IF(C694="","",IF(COUNT(G694:AZ694)&lt;46,"",SUMPRODUCT(CC694:CK694,'تنظیمات وزن‌دهی'!$C$5:$C$13)/100))</f>
        <v/>
      </c>
      <c r="CM694" s="38" t="str">
        <f t="shared" si="119"/>
        <v/>
      </c>
      <c r="CN694" s="38">
        <v>6</v>
      </c>
      <c r="CO694" s="28" t="str">
        <f t="shared" si="120"/>
        <v/>
      </c>
      <c r="CP694" s="58"/>
    </row>
    <row r="695" spans="1:94" ht="17.25" hidden="1">
      <c r="A695" s="33">
        <v>691</v>
      </c>
      <c r="B695" s="55" t="s">
        <v>189</v>
      </c>
      <c r="C695" s="55" t="str">
        <f>IF(دانش‌آموزان!E62="","",دانش‌آموزان!B62)</f>
        <v/>
      </c>
      <c r="D695" s="55" t="str">
        <f>IF(دانش‌آموزان!C62="","",دانش‌آموزان!C62)</f>
        <v/>
      </c>
      <c r="E695" s="55" t="str">
        <f>IF(دانش‌آموزان!E62="","",دانش‌آموزان!E62&amp;" "&amp;دانش‌آموزان!F62)</f>
        <v/>
      </c>
      <c r="F695" s="34" t="str">
        <f>IF(دانش‌آموزان!I62="","",دانش‌آموزان!I62)</f>
        <v/>
      </c>
      <c r="G695" s="19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  <c r="BO695" s="20"/>
      <c r="BP695" s="20"/>
      <c r="BQ695" s="20"/>
      <c r="BR695" s="20"/>
      <c r="BS695" s="20"/>
      <c r="BT695" s="20"/>
      <c r="BU695" s="20"/>
      <c r="BV695" s="20"/>
      <c r="BW695" s="20"/>
      <c r="BX695" s="20"/>
      <c r="BY695" s="20"/>
      <c r="BZ695" s="20"/>
      <c r="CA695" s="20"/>
      <c r="CB695" s="21"/>
      <c r="CC695" s="27" t="str">
        <f t="shared" si="110"/>
        <v/>
      </c>
      <c r="CD695" s="38" t="str">
        <f t="shared" si="111"/>
        <v/>
      </c>
      <c r="CE695" s="38" t="str">
        <f t="shared" si="112"/>
        <v/>
      </c>
      <c r="CF695" s="38" t="str">
        <f t="shared" si="113"/>
        <v/>
      </c>
      <c r="CG695" s="38" t="str">
        <f t="shared" si="114"/>
        <v/>
      </c>
      <c r="CH695" s="38" t="str">
        <f t="shared" si="115"/>
        <v/>
      </c>
      <c r="CI695" s="38" t="str">
        <f t="shared" si="116"/>
        <v/>
      </c>
      <c r="CJ695" s="38" t="str">
        <f t="shared" si="117"/>
        <v/>
      </c>
      <c r="CK695" s="38" t="str">
        <f t="shared" si="118"/>
        <v/>
      </c>
      <c r="CL695" s="38" t="str">
        <f>IF(C695="","",IF(COUNT(G695:AZ695)&lt;46,"",SUMPRODUCT(CC695:CK695,'تنظیمات وزن‌دهی'!$C$5:$C$13)/100))</f>
        <v/>
      </c>
      <c r="CM695" s="38" t="str">
        <f t="shared" si="119"/>
        <v/>
      </c>
      <c r="CN695" s="38">
        <v>7</v>
      </c>
      <c r="CO695" s="28" t="str">
        <f t="shared" si="120"/>
        <v/>
      </c>
      <c r="CP695" s="58"/>
    </row>
    <row r="696" spans="1:94" ht="17.25" hidden="1">
      <c r="A696" s="33">
        <v>692</v>
      </c>
      <c r="B696" s="55" t="s">
        <v>190</v>
      </c>
      <c r="C696" s="55" t="str">
        <f>IF(دانش‌آموزان!E62="","",دانش‌آموزان!B62)</f>
        <v/>
      </c>
      <c r="D696" s="55" t="str">
        <f>IF(دانش‌آموزان!C62="","",دانش‌آموزان!C62)</f>
        <v/>
      </c>
      <c r="E696" s="55" t="str">
        <f>IF(دانش‌آموزان!E62="","",دانش‌آموزان!E62&amp;" "&amp;دانش‌آموزان!F62)</f>
        <v/>
      </c>
      <c r="F696" s="34" t="str">
        <f>IF(دانش‌آموزان!I62="","",دانش‌آموزان!I62)</f>
        <v/>
      </c>
      <c r="G696" s="19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  <c r="BO696" s="20"/>
      <c r="BP696" s="20"/>
      <c r="BQ696" s="20"/>
      <c r="BR696" s="20"/>
      <c r="BS696" s="20"/>
      <c r="BT696" s="20"/>
      <c r="BU696" s="20"/>
      <c r="BV696" s="20"/>
      <c r="BW696" s="20"/>
      <c r="BX696" s="20"/>
      <c r="BY696" s="20"/>
      <c r="BZ696" s="20"/>
      <c r="CA696" s="20"/>
      <c r="CB696" s="21"/>
      <c r="CC696" s="27" t="str">
        <f t="shared" si="110"/>
        <v/>
      </c>
      <c r="CD696" s="38" t="str">
        <f t="shared" si="111"/>
        <v/>
      </c>
      <c r="CE696" s="38" t="str">
        <f t="shared" si="112"/>
        <v/>
      </c>
      <c r="CF696" s="38" t="str">
        <f t="shared" si="113"/>
        <v/>
      </c>
      <c r="CG696" s="38" t="str">
        <f t="shared" si="114"/>
        <v/>
      </c>
      <c r="CH696" s="38" t="str">
        <f t="shared" si="115"/>
        <v/>
      </c>
      <c r="CI696" s="38" t="str">
        <f t="shared" si="116"/>
        <v/>
      </c>
      <c r="CJ696" s="38" t="str">
        <f t="shared" si="117"/>
        <v/>
      </c>
      <c r="CK696" s="38" t="str">
        <f t="shared" si="118"/>
        <v/>
      </c>
      <c r="CL696" s="38" t="str">
        <f>IF(C696="","",IF(COUNT(G696:AZ696)&lt;46,"",SUMPRODUCT(CC696:CK696,'تنظیمات وزن‌دهی'!$C$5:$C$13)/100))</f>
        <v/>
      </c>
      <c r="CM696" s="38" t="str">
        <f t="shared" si="119"/>
        <v/>
      </c>
      <c r="CN696" s="38">
        <v>8</v>
      </c>
      <c r="CO696" s="28" t="str">
        <f t="shared" si="120"/>
        <v/>
      </c>
      <c r="CP696" s="58"/>
    </row>
    <row r="697" spans="1:94" ht="17.25" hidden="1">
      <c r="A697" s="33">
        <v>693</v>
      </c>
      <c r="B697" s="55" t="s">
        <v>191</v>
      </c>
      <c r="C697" s="55" t="str">
        <f>IF(دانش‌آموزان!E62="","",دانش‌آموزان!B62)</f>
        <v/>
      </c>
      <c r="D697" s="55" t="str">
        <f>IF(دانش‌آموزان!C62="","",دانش‌آموزان!C62)</f>
        <v/>
      </c>
      <c r="E697" s="55" t="str">
        <f>IF(دانش‌آموزان!E62="","",دانش‌آموزان!E62&amp;" "&amp;دانش‌آموزان!F62)</f>
        <v/>
      </c>
      <c r="F697" s="34" t="str">
        <f>IF(دانش‌آموزان!I62="","",دانش‌آموزان!I62)</f>
        <v/>
      </c>
      <c r="G697" s="19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  <c r="BQ697" s="20"/>
      <c r="BR697" s="20"/>
      <c r="BS697" s="20"/>
      <c r="BT697" s="20"/>
      <c r="BU697" s="20"/>
      <c r="BV697" s="20"/>
      <c r="BW697" s="20"/>
      <c r="BX697" s="20"/>
      <c r="BY697" s="20"/>
      <c r="BZ697" s="20"/>
      <c r="CA697" s="20"/>
      <c r="CB697" s="21"/>
      <c r="CC697" s="27" t="str">
        <f t="shared" si="110"/>
        <v/>
      </c>
      <c r="CD697" s="38" t="str">
        <f t="shared" si="111"/>
        <v/>
      </c>
      <c r="CE697" s="38" t="str">
        <f t="shared" si="112"/>
        <v/>
      </c>
      <c r="CF697" s="38" t="str">
        <f t="shared" si="113"/>
        <v/>
      </c>
      <c r="CG697" s="38" t="str">
        <f t="shared" si="114"/>
        <v/>
      </c>
      <c r="CH697" s="38" t="str">
        <f t="shared" si="115"/>
        <v/>
      </c>
      <c r="CI697" s="38" t="str">
        <f t="shared" si="116"/>
        <v/>
      </c>
      <c r="CJ697" s="38" t="str">
        <f t="shared" si="117"/>
        <v/>
      </c>
      <c r="CK697" s="38" t="str">
        <f t="shared" si="118"/>
        <v/>
      </c>
      <c r="CL697" s="38" t="str">
        <f>IF(C697="","",IF(COUNT(G697:AZ697)&lt;46,"",SUMPRODUCT(CC697:CK697,'تنظیمات وزن‌دهی'!$C$5:$C$13)/100))</f>
        <v/>
      </c>
      <c r="CM697" s="38" t="str">
        <f t="shared" si="119"/>
        <v/>
      </c>
      <c r="CN697" s="38">
        <v>9</v>
      </c>
      <c r="CO697" s="28" t="str">
        <f t="shared" si="120"/>
        <v/>
      </c>
      <c r="CP697" s="58"/>
    </row>
    <row r="698" spans="1:94" ht="17.25" hidden="1">
      <c r="A698" s="33">
        <v>694</v>
      </c>
      <c r="B698" s="55" t="s">
        <v>192</v>
      </c>
      <c r="C698" s="55" t="str">
        <f>IF(دانش‌آموزان!E62="","",دانش‌آموزان!B62)</f>
        <v/>
      </c>
      <c r="D698" s="55" t="str">
        <f>IF(دانش‌آموزان!C62="","",دانش‌آموزان!C62)</f>
        <v/>
      </c>
      <c r="E698" s="55" t="str">
        <f>IF(دانش‌آموزان!E62="","",دانش‌آموزان!E62&amp;" "&amp;دانش‌آموزان!F62)</f>
        <v/>
      </c>
      <c r="F698" s="34" t="str">
        <f>IF(دانش‌آموزان!I62="","",دانش‌آموزان!I62)</f>
        <v/>
      </c>
      <c r="G698" s="19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  <c r="BW698" s="20"/>
      <c r="BX698" s="20"/>
      <c r="BY698" s="20"/>
      <c r="BZ698" s="20"/>
      <c r="CA698" s="20"/>
      <c r="CB698" s="21"/>
      <c r="CC698" s="27" t="str">
        <f t="shared" si="110"/>
        <v/>
      </c>
      <c r="CD698" s="38" t="str">
        <f t="shared" si="111"/>
        <v/>
      </c>
      <c r="CE698" s="38" t="str">
        <f t="shared" si="112"/>
        <v/>
      </c>
      <c r="CF698" s="38" t="str">
        <f t="shared" si="113"/>
        <v/>
      </c>
      <c r="CG698" s="38" t="str">
        <f t="shared" si="114"/>
        <v/>
      </c>
      <c r="CH698" s="38" t="str">
        <f t="shared" si="115"/>
        <v/>
      </c>
      <c r="CI698" s="38" t="str">
        <f t="shared" si="116"/>
        <v/>
      </c>
      <c r="CJ698" s="38" t="str">
        <f t="shared" si="117"/>
        <v/>
      </c>
      <c r="CK698" s="38" t="str">
        <f t="shared" si="118"/>
        <v/>
      </c>
      <c r="CL698" s="38" t="str">
        <f>IF(C698="","",IF(COUNT(G698:AZ698)&lt;46,"",SUMPRODUCT(CC698:CK698,'تنظیمات وزن‌دهی'!$C$5:$C$13)/100))</f>
        <v/>
      </c>
      <c r="CM698" s="38" t="str">
        <f t="shared" si="119"/>
        <v/>
      </c>
      <c r="CN698" s="38">
        <v>10</v>
      </c>
      <c r="CO698" s="28" t="str">
        <f t="shared" si="120"/>
        <v/>
      </c>
      <c r="CP698" s="58"/>
    </row>
    <row r="699" spans="1:94" ht="17.25" hidden="1">
      <c r="A699" s="33">
        <v>695</v>
      </c>
      <c r="B699" s="55" t="s">
        <v>193</v>
      </c>
      <c r="C699" s="55" t="str">
        <f>IF(دانش‌آموزان!E62="","",دانش‌آموزان!B62)</f>
        <v/>
      </c>
      <c r="D699" s="55" t="str">
        <f>IF(دانش‌آموزان!C62="","",دانش‌آموزان!C62)</f>
        <v/>
      </c>
      <c r="E699" s="55" t="str">
        <f>IF(دانش‌آموزان!E62="","",دانش‌آموزان!E62&amp;" "&amp;دانش‌آموزان!F62)</f>
        <v/>
      </c>
      <c r="F699" s="34" t="str">
        <f>IF(دانش‌آموزان!I62="","",دانش‌آموزان!I62)</f>
        <v/>
      </c>
      <c r="G699" s="19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  <c r="BO699" s="20"/>
      <c r="BP699" s="20"/>
      <c r="BQ699" s="20"/>
      <c r="BR699" s="20"/>
      <c r="BS699" s="20"/>
      <c r="BT699" s="20"/>
      <c r="BU699" s="20"/>
      <c r="BV699" s="20"/>
      <c r="BW699" s="20"/>
      <c r="BX699" s="20"/>
      <c r="BY699" s="20"/>
      <c r="BZ699" s="20"/>
      <c r="CA699" s="20"/>
      <c r="CB699" s="21"/>
      <c r="CC699" s="27" t="str">
        <f t="shared" si="110"/>
        <v/>
      </c>
      <c r="CD699" s="38" t="str">
        <f t="shared" si="111"/>
        <v/>
      </c>
      <c r="CE699" s="38" t="str">
        <f t="shared" si="112"/>
        <v/>
      </c>
      <c r="CF699" s="38" t="str">
        <f t="shared" si="113"/>
        <v/>
      </c>
      <c r="CG699" s="38" t="str">
        <f t="shared" si="114"/>
        <v/>
      </c>
      <c r="CH699" s="38" t="str">
        <f t="shared" si="115"/>
        <v/>
      </c>
      <c r="CI699" s="38" t="str">
        <f t="shared" si="116"/>
        <v/>
      </c>
      <c r="CJ699" s="38" t="str">
        <f t="shared" si="117"/>
        <v/>
      </c>
      <c r="CK699" s="38" t="str">
        <f t="shared" si="118"/>
        <v/>
      </c>
      <c r="CL699" s="38" t="str">
        <f>IF(C699="","",IF(COUNT(G699:AZ699)&lt;46,"",SUMPRODUCT(CC699:CK699,'تنظیمات وزن‌دهی'!$C$5:$C$13)/100))</f>
        <v/>
      </c>
      <c r="CM699" s="38" t="str">
        <f t="shared" si="119"/>
        <v/>
      </c>
      <c r="CN699" s="38">
        <v>11</v>
      </c>
      <c r="CO699" s="28" t="str">
        <f t="shared" si="120"/>
        <v/>
      </c>
      <c r="CP699" s="58"/>
    </row>
    <row r="700" spans="1:94" ht="17.25" hidden="1">
      <c r="A700" s="33">
        <v>696</v>
      </c>
      <c r="B700" s="55" t="s">
        <v>194</v>
      </c>
      <c r="C700" s="55" t="str">
        <f>IF(دانش‌آموزان!E62="","",دانش‌آموزان!B62)</f>
        <v/>
      </c>
      <c r="D700" s="55" t="str">
        <f>IF(دانش‌آموزان!C62="","",دانش‌آموزان!C62)</f>
        <v/>
      </c>
      <c r="E700" s="55" t="str">
        <f>IF(دانش‌آموزان!E62="","",دانش‌آموزان!E62&amp;" "&amp;دانش‌آموزان!F62)</f>
        <v/>
      </c>
      <c r="F700" s="34" t="str">
        <f>IF(دانش‌آموزان!I62="","",دانش‌آموزان!I62)</f>
        <v/>
      </c>
      <c r="G700" s="19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  <c r="BO700" s="20"/>
      <c r="BP700" s="20"/>
      <c r="BQ700" s="20"/>
      <c r="BR700" s="20"/>
      <c r="BS700" s="20"/>
      <c r="BT700" s="20"/>
      <c r="BU700" s="20"/>
      <c r="BV700" s="20"/>
      <c r="BW700" s="20"/>
      <c r="BX700" s="20"/>
      <c r="BY700" s="20"/>
      <c r="BZ700" s="20"/>
      <c r="CA700" s="20"/>
      <c r="CB700" s="21"/>
      <c r="CC700" s="27" t="str">
        <f t="shared" si="110"/>
        <v/>
      </c>
      <c r="CD700" s="38" t="str">
        <f t="shared" si="111"/>
        <v/>
      </c>
      <c r="CE700" s="38" t="str">
        <f t="shared" si="112"/>
        <v/>
      </c>
      <c r="CF700" s="38" t="str">
        <f t="shared" si="113"/>
        <v/>
      </c>
      <c r="CG700" s="38" t="str">
        <f t="shared" si="114"/>
        <v/>
      </c>
      <c r="CH700" s="38" t="str">
        <f t="shared" si="115"/>
        <v/>
      </c>
      <c r="CI700" s="38" t="str">
        <f t="shared" si="116"/>
        <v/>
      </c>
      <c r="CJ700" s="38" t="str">
        <f t="shared" si="117"/>
        <v/>
      </c>
      <c r="CK700" s="38" t="str">
        <f t="shared" si="118"/>
        <v/>
      </c>
      <c r="CL700" s="38" t="str">
        <f>IF(C700="","",IF(COUNT(G700:AZ700)&lt;46,"",SUMPRODUCT(CC700:CK700,'تنظیمات وزن‌دهی'!$C$5:$C$13)/100))</f>
        <v/>
      </c>
      <c r="CM700" s="38" t="str">
        <f t="shared" si="119"/>
        <v/>
      </c>
      <c r="CN700" s="38">
        <v>12</v>
      </c>
      <c r="CO700" s="28" t="str">
        <f t="shared" si="120"/>
        <v/>
      </c>
      <c r="CP700" s="58"/>
    </row>
    <row r="701" spans="1:94" ht="17.25" hidden="1">
      <c r="A701" s="33">
        <v>697</v>
      </c>
      <c r="B701" s="55" t="s">
        <v>183</v>
      </c>
      <c r="C701" s="55" t="str">
        <f>IF(دانش‌آموزان!E63="","",دانش‌آموزان!B63)</f>
        <v/>
      </c>
      <c r="D701" s="55" t="str">
        <f>IF(دانش‌آموزان!C63="","",دانش‌آموزان!C63)</f>
        <v/>
      </c>
      <c r="E701" s="55" t="str">
        <f>IF(دانش‌آموزان!E63="","",دانش‌آموزان!E63&amp;" "&amp;دانش‌آموزان!F63)</f>
        <v/>
      </c>
      <c r="F701" s="34" t="str">
        <f>IF(دانش‌آموزان!I63="","",دانش‌آموزان!I63)</f>
        <v/>
      </c>
      <c r="G701" s="19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  <c r="BW701" s="20"/>
      <c r="BX701" s="20"/>
      <c r="BY701" s="20"/>
      <c r="BZ701" s="20"/>
      <c r="CA701" s="20"/>
      <c r="CB701" s="21"/>
      <c r="CC701" s="27" t="str">
        <f t="shared" si="110"/>
        <v/>
      </c>
      <c r="CD701" s="38" t="str">
        <f t="shared" si="111"/>
        <v/>
      </c>
      <c r="CE701" s="38" t="str">
        <f t="shared" si="112"/>
        <v/>
      </c>
      <c r="CF701" s="38" t="str">
        <f t="shared" si="113"/>
        <v/>
      </c>
      <c r="CG701" s="38" t="str">
        <f t="shared" si="114"/>
        <v/>
      </c>
      <c r="CH701" s="38" t="str">
        <f t="shared" si="115"/>
        <v/>
      </c>
      <c r="CI701" s="38" t="str">
        <f t="shared" si="116"/>
        <v/>
      </c>
      <c r="CJ701" s="38" t="str">
        <f t="shared" si="117"/>
        <v/>
      </c>
      <c r="CK701" s="38" t="str">
        <f t="shared" si="118"/>
        <v/>
      </c>
      <c r="CL701" s="38" t="str">
        <f>IF(C701="","",IF(COUNT(G701:AZ701)&lt;46,"",SUMPRODUCT(CC701:CK701,'تنظیمات وزن‌دهی'!$C$5:$C$13)/100))</f>
        <v/>
      </c>
      <c r="CM701" s="38" t="str">
        <f t="shared" si="119"/>
        <v/>
      </c>
      <c r="CN701" s="38">
        <v>1</v>
      </c>
      <c r="CO701" s="28" t="str">
        <f t="shared" si="120"/>
        <v/>
      </c>
      <c r="CP701" s="58"/>
    </row>
    <row r="702" spans="1:94" ht="17.25" hidden="1">
      <c r="A702" s="33">
        <v>698</v>
      </c>
      <c r="B702" s="55" t="s">
        <v>184</v>
      </c>
      <c r="C702" s="55" t="str">
        <f>IF(دانش‌آموزان!E63="","",دانش‌آموزان!B63)</f>
        <v/>
      </c>
      <c r="D702" s="55" t="str">
        <f>IF(دانش‌آموزان!C63="","",دانش‌آموزان!C63)</f>
        <v/>
      </c>
      <c r="E702" s="55" t="str">
        <f>IF(دانش‌آموزان!E63="","",دانش‌آموزان!E63&amp;" "&amp;دانش‌آموزان!F63)</f>
        <v/>
      </c>
      <c r="F702" s="34" t="str">
        <f>IF(دانش‌آموزان!I63="","",دانش‌آموزان!I63)</f>
        <v/>
      </c>
      <c r="G702" s="19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  <c r="BO702" s="20"/>
      <c r="BP702" s="20"/>
      <c r="BQ702" s="20"/>
      <c r="BR702" s="20"/>
      <c r="BS702" s="20"/>
      <c r="BT702" s="20"/>
      <c r="BU702" s="20"/>
      <c r="BV702" s="20"/>
      <c r="BW702" s="20"/>
      <c r="BX702" s="20"/>
      <c r="BY702" s="20"/>
      <c r="BZ702" s="20"/>
      <c r="CA702" s="20"/>
      <c r="CB702" s="21"/>
      <c r="CC702" s="27" t="str">
        <f t="shared" si="110"/>
        <v/>
      </c>
      <c r="CD702" s="38" t="str">
        <f t="shared" si="111"/>
        <v/>
      </c>
      <c r="CE702" s="38" t="str">
        <f t="shared" si="112"/>
        <v/>
      </c>
      <c r="CF702" s="38" t="str">
        <f t="shared" si="113"/>
        <v/>
      </c>
      <c r="CG702" s="38" t="str">
        <f t="shared" si="114"/>
        <v/>
      </c>
      <c r="CH702" s="38" t="str">
        <f t="shared" si="115"/>
        <v/>
      </c>
      <c r="CI702" s="38" t="str">
        <f t="shared" si="116"/>
        <v/>
      </c>
      <c r="CJ702" s="38" t="str">
        <f t="shared" si="117"/>
        <v/>
      </c>
      <c r="CK702" s="38" t="str">
        <f t="shared" si="118"/>
        <v/>
      </c>
      <c r="CL702" s="38" t="str">
        <f>IF(C702="","",IF(COUNT(G702:AZ702)&lt;46,"",SUMPRODUCT(CC702:CK702,'تنظیمات وزن‌دهی'!$C$5:$C$13)/100))</f>
        <v/>
      </c>
      <c r="CM702" s="38" t="str">
        <f t="shared" si="119"/>
        <v/>
      </c>
      <c r="CN702" s="38">
        <v>2</v>
      </c>
      <c r="CO702" s="28" t="str">
        <f t="shared" si="120"/>
        <v/>
      </c>
      <c r="CP702" s="58"/>
    </row>
    <row r="703" spans="1:94" ht="17.25">
      <c r="A703" s="33">
        <v>699</v>
      </c>
      <c r="B703" s="55" t="s">
        <v>185</v>
      </c>
      <c r="C703" s="55" t="str">
        <f>IF(دانش‌آموزان!E63="","",دانش‌آموزان!B63)</f>
        <v/>
      </c>
      <c r="D703" s="55" t="str">
        <f>IF(دانش‌آموزان!C63="","",دانش‌آموزان!C63)</f>
        <v/>
      </c>
      <c r="E703" s="55" t="str">
        <f>IF(دانش‌آموزان!E63="","",دانش‌آموزان!E63&amp;" "&amp;دانش‌آموزان!F63)</f>
        <v/>
      </c>
      <c r="F703" s="34" t="str">
        <f>IF(دانش‌آموزان!I63="","",دانش‌آموزان!I63)</f>
        <v/>
      </c>
      <c r="G703" s="19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  <c r="BK703" s="20"/>
      <c r="BL703" s="20"/>
      <c r="BM703" s="20"/>
      <c r="BN703" s="20"/>
      <c r="BO703" s="20"/>
      <c r="BP703" s="20"/>
      <c r="BQ703" s="20"/>
      <c r="BR703" s="20"/>
      <c r="BS703" s="20"/>
      <c r="BT703" s="20"/>
      <c r="BU703" s="20"/>
      <c r="BV703" s="20"/>
      <c r="BW703" s="20"/>
      <c r="BX703" s="20"/>
      <c r="BY703" s="20"/>
      <c r="BZ703" s="20"/>
      <c r="CA703" s="20"/>
      <c r="CB703" s="21"/>
      <c r="CC703" s="27" t="str">
        <f t="shared" si="110"/>
        <v/>
      </c>
      <c r="CD703" s="38" t="str">
        <f t="shared" si="111"/>
        <v/>
      </c>
      <c r="CE703" s="38" t="str">
        <f t="shared" si="112"/>
        <v/>
      </c>
      <c r="CF703" s="38" t="str">
        <f t="shared" si="113"/>
        <v/>
      </c>
      <c r="CG703" s="38" t="str">
        <f t="shared" si="114"/>
        <v/>
      </c>
      <c r="CH703" s="38" t="str">
        <f t="shared" si="115"/>
        <v/>
      </c>
      <c r="CI703" s="38" t="str">
        <f t="shared" si="116"/>
        <v/>
      </c>
      <c r="CJ703" s="38" t="str">
        <f t="shared" si="117"/>
        <v/>
      </c>
      <c r="CK703" s="38" t="str">
        <f t="shared" si="118"/>
        <v/>
      </c>
      <c r="CL703" s="38" t="str">
        <f>IF(C703="","",IF(COUNT(G703:AZ703)&lt;46,"",SUMPRODUCT(CC703:CK703,'تنظیمات وزن‌دهی'!$C$5:$C$13)/100))</f>
        <v/>
      </c>
      <c r="CM703" s="38" t="str">
        <f t="shared" si="119"/>
        <v/>
      </c>
      <c r="CN703" s="38">
        <v>3</v>
      </c>
      <c r="CO703" s="28" t="str">
        <f t="shared" si="120"/>
        <v/>
      </c>
      <c r="CP703" s="58"/>
    </row>
    <row r="704" spans="1:94" ht="17.25" hidden="1">
      <c r="A704" s="33">
        <v>700</v>
      </c>
      <c r="B704" s="55" t="s">
        <v>186</v>
      </c>
      <c r="C704" s="55" t="str">
        <f>IF(دانش‌آموزان!E63="","",دانش‌آموزان!B63)</f>
        <v/>
      </c>
      <c r="D704" s="55" t="str">
        <f>IF(دانش‌آموزان!C63="","",دانش‌آموزان!C63)</f>
        <v/>
      </c>
      <c r="E704" s="55" t="str">
        <f>IF(دانش‌آموزان!E63="","",دانش‌آموزان!E63&amp;" "&amp;دانش‌آموزان!F63)</f>
        <v/>
      </c>
      <c r="F704" s="34" t="str">
        <f>IF(دانش‌آموزان!I63="","",دانش‌آموزان!I63)</f>
        <v/>
      </c>
      <c r="G704" s="19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20"/>
      <c r="BM704" s="20"/>
      <c r="BN704" s="20"/>
      <c r="BO704" s="20"/>
      <c r="BP704" s="20"/>
      <c r="BQ704" s="20"/>
      <c r="BR704" s="20"/>
      <c r="BS704" s="20"/>
      <c r="BT704" s="20"/>
      <c r="BU704" s="20"/>
      <c r="BV704" s="20"/>
      <c r="BW704" s="20"/>
      <c r="BX704" s="20"/>
      <c r="BY704" s="20"/>
      <c r="BZ704" s="20"/>
      <c r="CA704" s="20"/>
      <c r="CB704" s="21"/>
      <c r="CC704" s="27" t="str">
        <f t="shared" si="110"/>
        <v/>
      </c>
      <c r="CD704" s="38" t="str">
        <f t="shared" si="111"/>
        <v/>
      </c>
      <c r="CE704" s="38" t="str">
        <f t="shared" si="112"/>
        <v/>
      </c>
      <c r="CF704" s="38" t="str">
        <f t="shared" si="113"/>
        <v/>
      </c>
      <c r="CG704" s="38" t="str">
        <f t="shared" si="114"/>
        <v/>
      </c>
      <c r="CH704" s="38" t="str">
        <f t="shared" si="115"/>
        <v/>
      </c>
      <c r="CI704" s="38" t="str">
        <f t="shared" si="116"/>
        <v/>
      </c>
      <c r="CJ704" s="38" t="str">
        <f t="shared" si="117"/>
        <v/>
      </c>
      <c r="CK704" s="38" t="str">
        <f t="shared" si="118"/>
        <v/>
      </c>
      <c r="CL704" s="38" t="str">
        <f>IF(C704="","",IF(COUNT(G704:AZ704)&lt;46,"",SUMPRODUCT(CC704:CK704,'تنظیمات وزن‌دهی'!$C$5:$C$13)/100))</f>
        <v/>
      </c>
      <c r="CM704" s="38" t="str">
        <f t="shared" si="119"/>
        <v/>
      </c>
      <c r="CN704" s="38">
        <v>4</v>
      </c>
      <c r="CO704" s="28" t="str">
        <f t="shared" si="120"/>
        <v/>
      </c>
      <c r="CP704" s="58"/>
    </row>
    <row r="705" spans="1:94" ht="17.25" hidden="1">
      <c r="A705" s="33">
        <v>701</v>
      </c>
      <c r="B705" s="55" t="s">
        <v>187</v>
      </c>
      <c r="C705" s="55" t="str">
        <f>IF(دانش‌آموزان!E63="","",دانش‌آموزان!B63)</f>
        <v/>
      </c>
      <c r="D705" s="55" t="str">
        <f>IF(دانش‌آموزان!C63="","",دانش‌آموزان!C63)</f>
        <v/>
      </c>
      <c r="E705" s="55" t="str">
        <f>IF(دانش‌آموزان!E63="","",دانش‌آموزان!E63&amp;" "&amp;دانش‌آموزان!F63)</f>
        <v/>
      </c>
      <c r="F705" s="34" t="str">
        <f>IF(دانش‌آموزان!I63="","",دانش‌آموزان!I63)</f>
        <v/>
      </c>
      <c r="G705" s="19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20"/>
      <c r="BM705" s="20"/>
      <c r="BN705" s="20"/>
      <c r="BO705" s="20"/>
      <c r="BP705" s="20"/>
      <c r="BQ705" s="20"/>
      <c r="BR705" s="20"/>
      <c r="BS705" s="20"/>
      <c r="BT705" s="20"/>
      <c r="BU705" s="20"/>
      <c r="BV705" s="20"/>
      <c r="BW705" s="20"/>
      <c r="BX705" s="20"/>
      <c r="BY705" s="20"/>
      <c r="BZ705" s="20"/>
      <c r="CA705" s="20"/>
      <c r="CB705" s="21"/>
      <c r="CC705" s="27" t="str">
        <f t="shared" si="110"/>
        <v/>
      </c>
      <c r="CD705" s="38" t="str">
        <f t="shared" si="111"/>
        <v/>
      </c>
      <c r="CE705" s="38" t="str">
        <f t="shared" si="112"/>
        <v/>
      </c>
      <c r="CF705" s="38" t="str">
        <f t="shared" si="113"/>
        <v/>
      </c>
      <c r="CG705" s="38" t="str">
        <f t="shared" si="114"/>
        <v/>
      </c>
      <c r="CH705" s="38" t="str">
        <f t="shared" si="115"/>
        <v/>
      </c>
      <c r="CI705" s="38" t="str">
        <f t="shared" si="116"/>
        <v/>
      </c>
      <c r="CJ705" s="38" t="str">
        <f t="shared" si="117"/>
        <v/>
      </c>
      <c r="CK705" s="38" t="str">
        <f t="shared" si="118"/>
        <v/>
      </c>
      <c r="CL705" s="38" t="str">
        <f>IF(C705="","",IF(COUNT(G705:AZ705)&lt;46,"",SUMPRODUCT(CC705:CK705,'تنظیمات وزن‌دهی'!$C$5:$C$13)/100))</f>
        <v/>
      </c>
      <c r="CM705" s="38" t="str">
        <f t="shared" si="119"/>
        <v/>
      </c>
      <c r="CN705" s="38">
        <v>5</v>
      </c>
      <c r="CO705" s="28" t="str">
        <f t="shared" si="120"/>
        <v/>
      </c>
      <c r="CP705" s="58"/>
    </row>
    <row r="706" spans="1:94" ht="17.25" hidden="1">
      <c r="A706" s="33">
        <v>702</v>
      </c>
      <c r="B706" s="55" t="s">
        <v>188</v>
      </c>
      <c r="C706" s="55" t="str">
        <f>IF(دانش‌آموزان!E63="","",دانش‌آموزان!B63)</f>
        <v/>
      </c>
      <c r="D706" s="55" t="str">
        <f>IF(دانش‌آموزان!C63="","",دانش‌آموزان!C63)</f>
        <v/>
      </c>
      <c r="E706" s="55" t="str">
        <f>IF(دانش‌آموزان!E63="","",دانش‌آموزان!E63&amp;" "&amp;دانش‌آموزان!F63)</f>
        <v/>
      </c>
      <c r="F706" s="34" t="str">
        <f>IF(دانش‌آموزان!I63="","",دانش‌آموزان!I63)</f>
        <v/>
      </c>
      <c r="G706" s="19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20"/>
      <c r="BM706" s="20"/>
      <c r="BN706" s="20"/>
      <c r="BO706" s="20"/>
      <c r="BP706" s="20"/>
      <c r="BQ706" s="20"/>
      <c r="BR706" s="20"/>
      <c r="BS706" s="20"/>
      <c r="BT706" s="20"/>
      <c r="BU706" s="20"/>
      <c r="BV706" s="20"/>
      <c r="BW706" s="20"/>
      <c r="BX706" s="20"/>
      <c r="BY706" s="20"/>
      <c r="BZ706" s="20"/>
      <c r="CA706" s="20"/>
      <c r="CB706" s="21"/>
      <c r="CC706" s="27" t="str">
        <f t="shared" si="110"/>
        <v/>
      </c>
      <c r="CD706" s="38" t="str">
        <f t="shared" si="111"/>
        <v/>
      </c>
      <c r="CE706" s="38" t="str">
        <f t="shared" si="112"/>
        <v/>
      </c>
      <c r="CF706" s="38" t="str">
        <f t="shared" si="113"/>
        <v/>
      </c>
      <c r="CG706" s="38" t="str">
        <f t="shared" si="114"/>
        <v/>
      </c>
      <c r="CH706" s="38" t="str">
        <f t="shared" si="115"/>
        <v/>
      </c>
      <c r="CI706" s="38" t="str">
        <f t="shared" si="116"/>
        <v/>
      </c>
      <c r="CJ706" s="38" t="str">
        <f t="shared" si="117"/>
        <v/>
      </c>
      <c r="CK706" s="38" t="str">
        <f t="shared" si="118"/>
        <v/>
      </c>
      <c r="CL706" s="38" t="str">
        <f>IF(C706="","",IF(COUNT(G706:AZ706)&lt;46,"",SUMPRODUCT(CC706:CK706,'تنظیمات وزن‌دهی'!$C$5:$C$13)/100))</f>
        <v/>
      </c>
      <c r="CM706" s="38" t="str">
        <f t="shared" si="119"/>
        <v/>
      </c>
      <c r="CN706" s="38">
        <v>6</v>
      </c>
      <c r="CO706" s="28" t="str">
        <f t="shared" si="120"/>
        <v/>
      </c>
      <c r="CP706" s="58"/>
    </row>
    <row r="707" spans="1:94" ht="17.25" hidden="1">
      <c r="A707" s="33">
        <v>703</v>
      </c>
      <c r="B707" s="55" t="s">
        <v>189</v>
      </c>
      <c r="C707" s="55" t="str">
        <f>IF(دانش‌آموزان!E63="","",دانش‌آموزان!B63)</f>
        <v/>
      </c>
      <c r="D707" s="55" t="str">
        <f>IF(دانش‌آموزان!C63="","",دانش‌آموزان!C63)</f>
        <v/>
      </c>
      <c r="E707" s="55" t="str">
        <f>IF(دانش‌آموزان!E63="","",دانش‌آموزان!E63&amp;" "&amp;دانش‌آموزان!F63)</f>
        <v/>
      </c>
      <c r="F707" s="34" t="str">
        <f>IF(دانش‌آموزان!I63="","",دانش‌آموزان!I63)</f>
        <v/>
      </c>
      <c r="G707" s="19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  <c r="BJ707" s="20"/>
      <c r="BK707" s="20"/>
      <c r="BL707" s="20"/>
      <c r="BM707" s="20"/>
      <c r="BN707" s="20"/>
      <c r="BO707" s="20"/>
      <c r="BP707" s="20"/>
      <c r="BQ707" s="20"/>
      <c r="BR707" s="20"/>
      <c r="BS707" s="20"/>
      <c r="BT707" s="20"/>
      <c r="BU707" s="20"/>
      <c r="BV707" s="20"/>
      <c r="BW707" s="20"/>
      <c r="BX707" s="20"/>
      <c r="BY707" s="20"/>
      <c r="BZ707" s="20"/>
      <c r="CA707" s="20"/>
      <c r="CB707" s="21"/>
      <c r="CC707" s="27" t="str">
        <f t="shared" si="110"/>
        <v/>
      </c>
      <c r="CD707" s="38" t="str">
        <f t="shared" si="111"/>
        <v/>
      </c>
      <c r="CE707" s="38" t="str">
        <f t="shared" si="112"/>
        <v/>
      </c>
      <c r="CF707" s="38" t="str">
        <f t="shared" si="113"/>
        <v/>
      </c>
      <c r="CG707" s="38" t="str">
        <f t="shared" si="114"/>
        <v/>
      </c>
      <c r="CH707" s="38" t="str">
        <f t="shared" si="115"/>
        <v/>
      </c>
      <c r="CI707" s="38" t="str">
        <f t="shared" si="116"/>
        <v/>
      </c>
      <c r="CJ707" s="38" t="str">
        <f t="shared" si="117"/>
        <v/>
      </c>
      <c r="CK707" s="38" t="str">
        <f t="shared" si="118"/>
        <v/>
      </c>
      <c r="CL707" s="38" t="str">
        <f>IF(C707="","",IF(COUNT(G707:AZ707)&lt;46,"",SUMPRODUCT(CC707:CK707,'تنظیمات وزن‌دهی'!$C$5:$C$13)/100))</f>
        <v/>
      </c>
      <c r="CM707" s="38" t="str">
        <f t="shared" si="119"/>
        <v/>
      </c>
      <c r="CN707" s="38">
        <v>7</v>
      </c>
      <c r="CO707" s="28" t="str">
        <f t="shared" si="120"/>
        <v/>
      </c>
      <c r="CP707" s="58"/>
    </row>
    <row r="708" spans="1:94" ht="17.25" hidden="1">
      <c r="A708" s="33">
        <v>704</v>
      </c>
      <c r="B708" s="55" t="s">
        <v>190</v>
      </c>
      <c r="C708" s="55" t="str">
        <f>IF(دانش‌آموزان!E63="","",دانش‌آموزان!B63)</f>
        <v/>
      </c>
      <c r="D708" s="55" t="str">
        <f>IF(دانش‌آموزان!C63="","",دانش‌آموزان!C63)</f>
        <v/>
      </c>
      <c r="E708" s="55" t="str">
        <f>IF(دانش‌آموزان!E63="","",دانش‌آموزان!E63&amp;" "&amp;دانش‌آموزان!F63)</f>
        <v/>
      </c>
      <c r="F708" s="34" t="str">
        <f>IF(دانش‌آموزان!I63="","",دانش‌آموزان!I63)</f>
        <v/>
      </c>
      <c r="G708" s="19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  <c r="BO708" s="20"/>
      <c r="BP708" s="20"/>
      <c r="BQ708" s="20"/>
      <c r="BR708" s="20"/>
      <c r="BS708" s="20"/>
      <c r="BT708" s="20"/>
      <c r="BU708" s="20"/>
      <c r="BV708" s="20"/>
      <c r="BW708" s="20"/>
      <c r="BX708" s="20"/>
      <c r="BY708" s="20"/>
      <c r="BZ708" s="20"/>
      <c r="CA708" s="20"/>
      <c r="CB708" s="21"/>
      <c r="CC708" s="27" t="str">
        <f t="shared" si="110"/>
        <v/>
      </c>
      <c r="CD708" s="38" t="str">
        <f t="shared" si="111"/>
        <v/>
      </c>
      <c r="CE708" s="38" t="str">
        <f t="shared" si="112"/>
        <v/>
      </c>
      <c r="CF708" s="38" t="str">
        <f t="shared" si="113"/>
        <v/>
      </c>
      <c r="CG708" s="38" t="str">
        <f t="shared" si="114"/>
        <v/>
      </c>
      <c r="CH708" s="38" t="str">
        <f t="shared" si="115"/>
        <v/>
      </c>
      <c r="CI708" s="38" t="str">
        <f t="shared" si="116"/>
        <v/>
      </c>
      <c r="CJ708" s="38" t="str">
        <f t="shared" si="117"/>
        <v/>
      </c>
      <c r="CK708" s="38" t="str">
        <f t="shared" si="118"/>
        <v/>
      </c>
      <c r="CL708" s="38" t="str">
        <f>IF(C708="","",IF(COUNT(G708:AZ708)&lt;46,"",SUMPRODUCT(CC708:CK708,'تنظیمات وزن‌دهی'!$C$5:$C$13)/100))</f>
        <v/>
      </c>
      <c r="CM708" s="38" t="str">
        <f t="shared" si="119"/>
        <v/>
      </c>
      <c r="CN708" s="38">
        <v>8</v>
      </c>
      <c r="CO708" s="28" t="str">
        <f t="shared" si="120"/>
        <v/>
      </c>
      <c r="CP708" s="58"/>
    </row>
    <row r="709" spans="1:94" ht="17.25" hidden="1">
      <c r="A709" s="33">
        <v>705</v>
      </c>
      <c r="B709" s="55" t="s">
        <v>191</v>
      </c>
      <c r="C709" s="55" t="str">
        <f>IF(دانش‌آموزان!E63="","",دانش‌آموزان!B63)</f>
        <v/>
      </c>
      <c r="D709" s="55" t="str">
        <f>IF(دانش‌آموزان!C63="","",دانش‌آموزان!C63)</f>
        <v/>
      </c>
      <c r="E709" s="55" t="str">
        <f>IF(دانش‌آموزان!E63="","",دانش‌آموزان!E63&amp;" "&amp;دانش‌آموزان!F63)</f>
        <v/>
      </c>
      <c r="F709" s="34" t="str">
        <f>IF(دانش‌آموزان!I63="","",دانش‌آموزان!I63)</f>
        <v/>
      </c>
      <c r="G709" s="19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/>
      <c r="BN709" s="20"/>
      <c r="BO709" s="20"/>
      <c r="BP709" s="20"/>
      <c r="BQ709" s="20"/>
      <c r="BR709" s="20"/>
      <c r="BS709" s="20"/>
      <c r="BT709" s="20"/>
      <c r="BU709" s="20"/>
      <c r="BV709" s="20"/>
      <c r="BW709" s="20"/>
      <c r="BX709" s="20"/>
      <c r="BY709" s="20"/>
      <c r="BZ709" s="20"/>
      <c r="CA709" s="20"/>
      <c r="CB709" s="21"/>
      <c r="CC709" s="27" t="str">
        <f t="shared" ref="CC709:CC772" si="121">IF(COUNT(G709:N709)=0,"",AVERAGE(G709:N709)*4)</f>
        <v/>
      </c>
      <c r="CD709" s="38" t="str">
        <f t="shared" ref="CD709:CD772" si="122">IF(COUNT(O709:S709)=0,"",AVERAGE(O709:S709)*4)</f>
        <v/>
      </c>
      <c r="CE709" s="38" t="str">
        <f t="shared" ref="CE709:CE772" si="123">IF(COUNT(T709:U709)=0,"",AVERAGE(T709:U709)*4)</f>
        <v/>
      </c>
      <c r="CF709" s="38" t="str">
        <f t="shared" ref="CF709:CF772" si="124">IF(COUNT(V709:Z709)=0,"",AVERAGE(V709:Z709)*4)</f>
        <v/>
      </c>
      <c r="CG709" s="38" t="str">
        <f t="shared" ref="CG709:CG772" si="125">IF(COUNT(AA709:AC709)=0,"",AVERAGE(AA709:AC709)*4)</f>
        <v/>
      </c>
      <c r="CH709" s="38" t="str">
        <f t="shared" ref="CH709:CH772" si="126">IF(COUNT(AD709:AI709)=0,"",AVERAGE(AD709:AI709)*4)</f>
        <v/>
      </c>
      <c r="CI709" s="38" t="str">
        <f t="shared" ref="CI709:CI772" si="127">IF(COUNT(AJ709:AP709)=0,"",AVERAGE(AJ709:AP709)*4)</f>
        <v/>
      </c>
      <c r="CJ709" s="38" t="str">
        <f t="shared" ref="CJ709:CJ772" si="128">IF(COUNT(AQ709:AW709)=0,"",AVERAGE(AQ709:AW709)*4)</f>
        <v/>
      </c>
      <c r="CK709" s="38" t="str">
        <f t="shared" ref="CK709:CK772" si="129">IF(COUNT(AX709:AZ709)=0,"",AVERAGE(AX709:AZ709)*4)</f>
        <v/>
      </c>
      <c r="CL709" s="38" t="str">
        <f>IF(C709="","",IF(COUNT(G709:AZ709)&lt;46,"",SUMPRODUCT(CC709:CK709,'تنظیمات وزن‌دهی'!$C$5:$C$13)/100))</f>
        <v/>
      </c>
      <c r="CM709" s="38" t="str">
        <f t="shared" ref="CM709:CM772" si="130">IF(C709="","",IF(COUNT(G709:AZ709)=0,"",IF(COUNT(G709:AZ709)&lt;46,"موقت - اطلاعات ناقص",IF(CL709&gt;=17,"عالی",IF(CL709&gt;=14,"خوب",IF(CL709&gt;=10,"متوسط","ضعیف"))))))</f>
        <v/>
      </c>
      <c r="CN709" s="38">
        <v>9</v>
      </c>
      <c r="CO709" s="28" t="str">
        <f t="shared" ref="CO709:CO772" si="131">IF(C709="","",COUNT(G709:AZ709)/46)</f>
        <v/>
      </c>
      <c r="CP709" s="58"/>
    </row>
    <row r="710" spans="1:94" ht="17.25" hidden="1">
      <c r="A710" s="33">
        <v>706</v>
      </c>
      <c r="B710" s="55" t="s">
        <v>192</v>
      </c>
      <c r="C710" s="55" t="str">
        <f>IF(دانش‌آموزان!E63="","",دانش‌آموزان!B63)</f>
        <v/>
      </c>
      <c r="D710" s="55" t="str">
        <f>IF(دانش‌آموزان!C63="","",دانش‌آموزان!C63)</f>
        <v/>
      </c>
      <c r="E710" s="55" t="str">
        <f>IF(دانش‌آموزان!E63="","",دانش‌آموزان!E63&amp;" "&amp;دانش‌آموزان!F63)</f>
        <v/>
      </c>
      <c r="F710" s="34" t="str">
        <f>IF(دانش‌آموزان!I63="","",دانش‌آموزان!I63)</f>
        <v/>
      </c>
      <c r="G710" s="19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  <c r="BJ710" s="20"/>
      <c r="BK710" s="20"/>
      <c r="BL710" s="20"/>
      <c r="BM710" s="20"/>
      <c r="BN710" s="20"/>
      <c r="BO710" s="20"/>
      <c r="BP710" s="20"/>
      <c r="BQ710" s="20"/>
      <c r="BR710" s="20"/>
      <c r="BS710" s="20"/>
      <c r="BT710" s="20"/>
      <c r="BU710" s="20"/>
      <c r="BV710" s="20"/>
      <c r="BW710" s="20"/>
      <c r="BX710" s="20"/>
      <c r="BY710" s="20"/>
      <c r="BZ710" s="20"/>
      <c r="CA710" s="20"/>
      <c r="CB710" s="21"/>
      <c r="CC710" s="27" t="str">
        <f t="shared" si="121"/>
        <v/>
      </c>
      <c r="CD710" s="38" t="str">
        <f t="shared" si="122"/>
        <v/>
      </c>
      <c r="CE710" s="38" t="str">
        <f t="shared" si="123"/>
        <v/>
      </c>
      <c r="CF710" s="38" t="str">
        <f t="shared" si="124"/>
        <v/>
      </c>
      <c r="CG710" s="38" t="str">
        <f t="shared" si="125"/>
        <v/>
      </c>
      <c r="CH710" s="38" t="str">
        <f t="shared" si="126"/>
        <v/>
      </c>
      <c r="CI710" s="38" t="str">
        <f t="shared" si="127"/>
        <v/>
      </c>
      <c r="CJ710" s="38" t="str">
        <f t="shared" si="128"/>
        <v/>
      </c>
      <c r="CK710" s="38" t="str">
        <f t="shared" si="129"/>
        <v/>
      </c>
      <c r="CL710" s="38" t="str">
        <f>IF(C710="","",IF(COUNT(G710:AZ710)&lt;46,"",SUMPRODUCT(CC710:CK710,'تنظیمات وزن‌دهی'!$C$5:$C$13)/100))</f>
        <v/>
      </c>
      <c r="CM710" s="38" t="str">
        <f t="shared" si="130"/>
        <v/>
      </c>
      <c r="CN710" s="38">
        <v>10</v>
      </c>
      <c r="CO710" s="28" t="str">
        <f t="shared" si="131"/>
        <v/>
      </c>
      <c r="CP710" s="58"/>
    </row>
    <row r="711" spans="1:94" ht="17.25" hidden="1">
      <c r="A711" s="33">
        <v>707</v>
      </c>
      <c r="B711" s="55" t="s">
        <v>193</v>
      </c>
      <c r="C711" s="55" t="str">
        <f>IF(دانش‌آموزان!E63="","",دانش‌آموزان!B63)</f>
        <v/>
      </c>
      <c r="D711" s="55" t="str">
        <f>IF(دانش‌آموزان!C63="","",دانش‌آموزان!C63)</f>
        <v/>
      </c>
      <c r="E711" s="55" t="str">
        <f>IF(دانش‌آموزان!E63="","",دانش‌آموزان!E63&amp;" "&amp;دانش‌آموزان!F63)</f>
        <v/>
      </c>
      <c r="F711" s="34" t="str">
        <f>IF(دانش‌آموزان!I63="","",دانش‌آموزان!I63)</f>
        <v/>
      </c>
      <c r="G711" s="19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  <c r="BK711" s="20"/>
      <c r="BL711" s="20"/>
      <c r="BM711" s="20"/>
      <c r="BN711" s="20"/>
      <c r="BO711" s="20"/>
      <c r="BP711" s="20"/>
      <c r="BQ711" s="20"/>
      <c r="BR711" s="20"/>
      <c r="BS711" s="20"/>
      <c r="BT711" s="20"/>
      <c r="BU711" s="20"/>
      <c r="BV711" s="20"/>
      <c r="BW711" s="20"/>
      <c r="BX711" s="20"/>
      <c r="BY711" s="20"/>
      <c r="BZ711" s="20"/>
      <c r="CA711" s="20"/>
      <c r="CB711" s="21"/>
      <c r="CC711" s="27" t="str">
        <f t="shared" si="121"/>
        <v/>
      </c>
      <c r="CD711" s="38" t="str">
        <f t="shared" si="122"/>
        <v/>
      </c>
      <c r="CE711" s="38" t="str">
        <f t="shared" si="123"/>
        <v/>
      </c>
      <c r="CF711" s="38" t="str">
        <f t="shared" si="124"/>
        <v/>
      </c>
      <c r="CG711" s="38" t="str">
        <f t="shared" si="125"/>
        <v/>
      </c>
      <c r="CH711" s="38" t="str">
        <f t="shared" si="126"/>
        <v/>
      </c>
      <c r="CI711" s="38" t="str">
        <f t="shared" si="127"/>
        <v/>
      </c>
      <c r="CJ711" s="38" t="str">
        <f t="shared" si="128"/>
        <v/>
      </c>
      <c r="CK711" s="38" t="str">
        <f t="shared" si="129"/>
        <v/>
      </c>
      <c r="CL711" s="38" t="str">
        <f>IF(C711="","",IF(COUNT(G711:AZ711)&lt;46,"",SUMPRODUCT(CC711:CK711,'تنظیمات وزن‌دهی'!$C$5:$C$13)/100))</f>
        <v/>
      </c>
      <c r="CM711" s="38" t="str">
        <f t="shared" si="130"/>
        <v/>
      </c>
      <c r="CN711" s="38">
        <v>11</v>
      </c>
      <c r="CO711" s="28" t="str">
        <f t="shared" si="131"/>
        <v/>
      </c>
      <c r="CP711" s="58"/>
    </row>
    <row r="712" spans="1:94" ht="17.25" hidden="1">
      <c r="A712" s="33">
        <v>708</v>
      </c>
      <c r="B712" s="55" t="s">
        <v>194</v>
      </c>
      <c r="C712" s="55" t="str">
        <f>IF(دانش‌آموزان!E63="","",دانش‌آموزان!B63)</f>
        <v/>
      </c>
      <c r="D712" s="55" t="str">
        <f>IF(دانش‌آموزان!C63="","",دانش‌آموزان!C63)</f>
        <v/>
      </c>
      <c r="E712" s="55" t="str">
        <f>IF(دانش‌آموزان!E63="","",دانش‌آموزان!E63&amp;" "&amp;دانش‌آموزان!F63)</f>
        <v/>
      </c>
      <c r="F712" s="34" t="str">
        <f>IF(دانش‌آموزان!I63="","",دانش‌آموزان!I63)</f>
        <v/>
      </c>
      <c r="G712" s="19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  <c r="BJ712" s="20"/>
      <c r="BK712" s="20"/>
      <c r="BL712" s="20"/>
      <c r="BM712" s="20"/>
      <c r="BN712" s="20"/>
      <c r="BO712" s="20"/>
      <c r="BP712" s="20"/>
      <c r="BQ712" s="20"/>
      <c r="BR712" s="20"/>
      <c r="BS712" s="20"/>
      <c r="BT712" s="20"/>
      <c r="BU712" s="20"/>
      <c r="BV712" s="20"/>
      <c r="BW712" s="20"/>
      <c r="BX712" s="20"/>
      <c r="BY712" s="20"/>
      <c r="BZ712" s="20"/>
      <c r="CA712" s="20"/>
      <c r="CB712" s="21"/>
      <c r="CC712" s="27" t="str">
        <f t="shared" si="121"/>
        <v/>
      </c>
      <c r="CD712" s="38" t="str">
        <f t="shared" si="122"/>
        <v/>
      </c>
      <c r="CE712" s="38" t="str">
        <f t="shared" si="123"/>
        <v/>
      </c>
      <c r="CF712" s="38" t="str">
        <f t="shared" si="124"/>
        <v/>
      </c>
      <c r="CG712" s="38" t="str">
        <f t="shared" si="125"/>
        <v/>
      </c>
      <c r="CH712" s="38" t="str">
        <f t="shared" si="126"/>
        <v/>
      </c>
      <c r="CI712" s="38" t="str">
        <f t="shared" si="127"/>
        <v/>
      </c>
      <c r="CJ712" s="38" t="str">
        <f t="shared" si="128"/>
        <v/>
      </c>
      <c r="CK712" s="38" t="str">
        <f t="shared" si="129"/>
        <v/>
      </c>
      <c r="CL712" s="38" t="str">
        <f>IF(C712="","",IF(COUNT(G712:AZ712)&lt;46,"",SUMPRODUCT(CC712:CK712,'تنظیمات وزن‌دهی'!$C$5:$C$13)/100))</f>
        <v/>
      </c>
      <c r="CM712" s="38" t="str">
        <f t="shared" si="130"/>
        <v/>
      </c>
      <c r="CN712" s="38">
        <v>12</v>
      </c>
      <c r="CO712" s="28" t="str">
        <f t="shared" si="131"/>
        <v/>
      </c>
      <c r="CP712" s="58"/>
    </row>
    <row r="713" spans="1:94" ht="17.25" hidden="1">
      <c r="A713" s="33">
        <v>709</v>
      </c>
      <c r="B713" s="55" t="s">
        <v>183</v>
      </c>
      <c r="C713" s="55" t="str">
        <f>IF(دانش‌آموزان!E64="","",دانش‌آموزان!B64)</f>
        <v/>
      </c>
      <c r="D713" s="55" t="str">
        <f>IF(دانش‌آموزان!C64="","",دانش‌آموزان!C64)</f>
        <v/>
      </c>
      <c r="E713" s="55" t="str">
        <f>IF(دانش‌آموزان!E64="","",دانش‌آموزان!E64&amp;" "&amp;دانش‌آموزان!F64)</f>
        <v/>
      </c>
      <c r="F713" s="34" t="str">
        <f>IF(دانش‌آموزان!I64="","",دانش‌آموزان!I64)</f>
        <v/>
      </c>
      <c r="G713" s="19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  <c r="BO713" s="20"/>
      <c r="BP713" s="20"/>
      <c r="BQ713" s="20"/>
      <c r="BR713" s="20"/>
      <c r="BS713" s="20"/>
      <c r="BT713" s="20"/>
      <c r="BU713" s="20"/>
      <c r="BV713" s="20"/>
      <c r="BW713" s="20"/>
      <c r="BX713" s="20"/>
      <c r="BY713" s="20"/>
      <c r="BZ713" s="20"/>
      <c r="CA713" s="20"/>
      <c r="CB713" s="21"/>
      <c r="CC713" s="27" t="str">
        <f t="shared" si="121"/>
        <v/>
      </c>
      <c r="CD713" s="38" t="str">
        <f t="shared" si="122"/>
        <v/>
      </c>
      <c r="CE713" s="38" t="str">
        <f t="shared" si="123"/>
        <v/>
      </c>
      <c r="CF713" s="38" t="str">
        <f t="shared" si="124"/>
        <v/>
      </c>
      <c r="CG713" s="38" t="str">
        <f t="shared" si="125"/>
        <v/>
      </c>
      <c r="CH713" s="38" t="str">
        <f t="shared" si="126"/>
        <v/>
      </c>
      <c r="CI713" s="38" t="str">
        <f t="shared" si="127"/>
        <v/>
      </c>
      <c r="CJ713" s="38" t="str">
        <f t="shared" si="128"/>
        <v/>
      </c>
      <c r="CK713" s="38" t="str">
        <f t="shared" si="129"/>
        <v/>
      </c>
      <c r="CL713" s="38" t="str">
        <f>IF(C713="","",IF(COUNT(G713:AZ713)&lt;46,"",SUMPRODUCT(CC713:CK713,'تنظیمات وزن‌دهی'!$C$5:$C$13)/100))</f>
        <v/>
      </c>
      <c r="CM713" s="38" t="str">
        <f t="shared" si="130"/>
        <v/>
      </c>
      <c r="CN713" s="38">
        <v>1</v>
      </c>
      <c r="CO713" s="28" t="str">
        <f t="shared" si="131"/>
        <v/>
      </c>
      <c r="CP713" s="58"/>
    </row>
    <row r="714" spans="1:94" ht="17.25" hidden="1">
      <c r="A714" s="33">
        <v>710</v>
      </c>
      <c r="B714" s="55" t="s">
        <v>184</v>
      </c>
      <c r="C714" s="55" t="str">
        <f>IF(دانش‌آموزان!E64="","",دانش‌آموزان!B64)</f>
        <v/>
      </c>
      <c r="D714" s="55" t="str">
        <f>IF(دانش‌آموزان!C64="","",دانش‌آموزان!C64)</f>
        <v/>
      </c>
      <c r="E714" s="55" t="str">
        <f>IF(دانش‌آموزان!E64="","",دانش‌آموزان!E64&amp;" "&amp;دانش‌آموزان!F64)</f>
        <v/>
      </c>
      <c r="F714" s="34" t="str">
        <f>IF(دانش‌آموزان!I64="","",دانش‌آموزان!I64)</f>
        <v/>
      </c>
      <c r="G714" s="19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20"/>
      <c r="BM714" s="20"/>
      <c r="BN714" s="20"/>
      <c r="BO714" s="20"/>
      <c r="BP714" s="20"/>
      <c r="BQ714" s="20"/>
      <c r="BR714" s="20"/>
      <c r="BS714" s="20"/>
      <c r="BT714" s="20"/>
      <c r="BU714" s="20"/>
      <c r="BV714" s="20"/>
      <c r="BW714" s="20"/>
      <c r="BX714" s="20"/>
      <c r="BY714" s="20"/>
      <c r="BZ714" s="20"/>
      <c r="CA714" s="20"/>
      <c r="CB714" s="21"/>
      <c r="CC714" s="27" t="str">
        <f t="shared" si="121"/>
        <v/>
      </c>
      <c r="CD714" s="38" t="str">
        <f t="shared" si="122"/>
        <v/>
      </c>
      <c r="CE714" s="38" t="str">
        <f t="shared" si="123"/>
        <v/>
      </c>
      <c r="CF714" s="38" t="str">
        <f t="shared" si="124"/>
        <v/>
      </c>
      <c r="CG714" s="38" t="str">
        <f t="shared" si="125"/>
        <v/>
      </c>
      <c r="CH714" s="38" t="str">
        <f t="shared" si="126"/>
        <v/>
      </c>
      <c r="CI714" s="38" t="str">
        <f t="shared" si="127"/>
        <v/>
      </c>
      <c r="CJ714" s="38" t="str">
        <f t="shared" si="128"/>
        <v/>
      </c>
      <c r="CK714" s="38" t="str">
        <f t="shared" si="129"/>
        <v/>
      </c>
      <c r="CL714" s="38" t="str">
        <f>IF(C714="","",IF(COUNT(G714:AZ714)&lt;46,"",SUMPRODUCT(CC714:CK714,'تنظیمات وزن‌دهی'!$C$5:$C$13)/100))</f>
        <v/>
      </c>
      <c r="CM714" s="38" t="str">
        <f t="shared" si="130"/>
        <v/>
      </c>
      <c r="CN714" s="38">
        <v>2</v>
      </c>
      <c r="CO714" s="28" t="str">
        <f t="shared" si="131"/>
        <v/>
      </c>
      <c r="CP714" s="58"/>
    </row>
    <row r="715" spans="1:94" ht="17.25">
      <c r="A715" s="33">
        <v>711</v>
      </c>
      <c r="B715" s="55" t="s">
        <v>185</v>
      </c>
      <c r="C715" s="55" t="str">
        <f>IF(دانش‌آموزان!E64="","",دانش‌آموزان!B64)</f>
        <v/>
      </c>
      <c r="D715" s="55" t="str">
        <f>IF(دانش‌آموزان!C64="","",دانش‌آموزان!C64)</f>
        <v/>
      </c>
      <c r="E715" s="55" t="str">
        <f>IF(دانش‌آموزان!E64="","",دانش‌آموزان!E64&amp;" "&amp;دانش‌آموزان!F64)</f>
        <v/>
      </c>
      <c r="F715" s="34" t="str">
        <f>IF(دانش‌آموزان!I64="","",دانش‌آموزان!I64)</f>
        <v/>
      </c>
      <c r="G715" s="19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  <c r="BK715" s="20"/>
      <c r="BL715" s="20"/>
      <c r="BM715" s="20"/>
      <c r="BN715" s="20"/>
      <c r="BO715" s="20"/>
      <c r="BP715" s="20"/>
      <c r="BQ715" s="20"/>
      <c r="BR715" s="20"/>
      <c r="BS715" s="20"/>
      <c r="BT715" s="20"/>
      <c r="BU715" s="20"/>
      <c r="BV715" s="20"/>
      <c r="BW715" s="20"/>
      <c r="BX715" s="20"/>
      <c r="BY715" s="20"/>
      <c r="BZ715" s="20"/>
      <c r="CA715" s="20"/>
      <c r="CB715" s="21"/>
      <c r="CC715" s="27" t="str">
        <f t="shared" si="121"/>
        <v/>
      </c>
      <c r="CD715" s="38" t="str">
        <f t="shared" si="122"/>
        <v/>
      </c>
      <c r="CE715" s="38" t="str">
        <f t="shared" si="123"/>
        <v/>
      </c>
      <c r="CF715" s="38" t="str">
        <f t="shared" si="124"/>
        <v/>
      </c>
      <c r="CG715" s="38" t="str">
        <f t="shared" si="125"/>
        <v/>
      </c>
      <c r="CH715" s="38" t="str">
        <f t="shared" si="126"/>
        <v/>
      </c>
      <c r="CI715" s="38" t="str">
        <f t="shared" si="127"/>
        <v/>
      </c>
      <c r="CJ715" s="38" t="str">
        <f t="shared" si="128"/>
        <v/>
      </c>
      <c r="CK715" s="38" t="str">
        <f t="shared" si="129"/>
        <v/>
      </c>
      <c r="CL715" s="38" t="str">
        <f>IF(C715="","",IF(COUNT(G715:AZ715)&lt;46,"",SUMPRODUCT(CC715:CK715,'تنظیمات وزن‌دهی'!$C$5:$C$13)/100))</f>
        <v/>
      </c>
      <c r="CM715" s="38" t="str">
        <f t="shared" si="130"/>
        <v/>
      </c>
      <c r="CN715" s="38">
        <v>3</v>
      </c>
      <c r="CO715" s="28" t="str">
        <f t="shared" si="131"/>
        <v/>
      </c>
      <c r="CP715" s="58"/>
    </row>
    <row r="716" spans="1:94" ht="17.25" hidden="1">
      <c r="A716" s="33">
        <v>712</v>
      </c>
      <c r="B716" s="55" t="s">
        <v>186</v>
      </c>
      <c r="C716" s="55" t="str">
        <f>IF(دانش‌آموزان!E64="","",دانش‌آموزان!B64)</f>
        <v/>
      </c>
      <c r="D716" s="55" t="str">
        <f>IF(دانش‌آموزان!C64="","",دانش‌آموزان!C64)</f>
        <v/>
      </c>
      <c r="E716" s="55" t="str">
        <f>IF(دانش‌آموزان!E64="","",دانش‌آموزان!E64&amp;" "&amp;دانش‌آموزان!F64)</f>
        <v/>
      </c>
      <c r="F716" s="34" t="str">
        <f>IF(دانش‌آموزان!I64="","",دانش‌آموزان!I64)</f>
        <v/>
      </c>
      <c r="G716" s="19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  <c r="BJ716" s="20"/>
      <c r="BK716" s="20"/>
      <c r="BL716" s="20"/>
      <c r="BM716" s="20"/>
      <c r="BN716" s="20"/>
      <c r="BO716" s="20"/>
      <c r="BP716" s="20"/>
      <c r="BQ716" s="20"/>
      <c r="BR716" s="20"/>
      <c r="BS716" s="20"/>
      <c r="BT716" s="20"/>
      <c r="BU716" s="20"/>
      <c r="BV716" s="20"/>
      <c r="BW716" s="20"/>
      <c r="BX716" s="20"/>
      <c r="BY716" s="20"/>
      <c r="BZ716" s="20"/>
      <c r="CA716" s="20"/>
      <c r="CB716" s="21"/>
      <c r="CC716" s="27" t="str">
        <f t="shared" si="121"/>
        <v/>
      </c>
      <c r="CD716" s="38" t="str">
        <f t="shared" si="122"/>
        <v/>
      </c>
      <c r="CE716" s="38" t="str">
        <f t="shared" si="123"/>
        <v/>
      </c>
      <c r="CF716" s="38" t="str">
        <f t="shared" si="124"/>
        <v/>
      </c>
      <c r="CG716" s="38" t="str">
        <f t="shared" si="125"/>
        <v/>
      </c>
      <c r="CH716" s="38" t="str">
        <f t="shared" si="126"/>
        <v/>
      </c>
      <c r="CI716" s="38" t="str">
        <f t="shared" si="127"/>
        <v/>
      </c>
      <c r="CJ716" s="38" t="str">
        <f t="shared" si="128"/>
        <v/>
      </c>
      <c r="CK716" s="38" t="str">
        <f t="shared" si="129"/>
        <v/>
      </c>
      <c r="CL716" s="38" t="str">
        <f>IF(C716="","",IF(COUNT(G716:AZ716)&lt;46,"",SUMPRODUCT(CC716:CK716,'تنظیمات وزن‌دهی'!$C$5:$C$13)/100))</f>
        <v/>
      </c>
      <c r="CM716" s="38" t="str">
        <f t="shared" si="130"/>
        <v/>
      </c>
      <c r="CN716" s="38">
        <v>4</v>
      </c>
      <c r="CO716" s="28" t="str">
        <f t="shared" si="131"/>
        <v/>
      </c>
      <c r="CP716" s="58"/>
    </row>
    <row r="717" spans="1:94" ht="17.25" hidden="1">
      <c r="A717" s="33">
        <v>713</v>
      </c>
      <c r="B717" s="55" t="s">
        <v>187</v>
      </c>
      <c r="C717" s="55" t="str">
        <f>IF(دانش‌آموزان!E64="","",دانش‌آموزان!B64)</f>
        <v/>
      </c>
      <c r="D717" s="55" t="str">
        <f>IF(دانش‌آموزان!C64="","",دانش‌آموزان!C64)</f>
        <v/>
      </c>
      <c r="E717" s="55" t="str">
        <f>IF(دانش‌آموزان!E64="","",دانش‌آموزان!E64&amp;" "&amp;دانش‌آموزان!F64)</f>
        <v/>
      </c>
      <c r="F717" s="34" t="str">
        <f>IF(دانش‌آموزان!I64="","",دانش‌آموزان!I64)</f>
        <v/>
      </c>
      <c r="G717" s="19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  <c r="BJ717" s="20"/>
      <c r="BK717" s="20"/>
      <c r="BL717" s="20"/>
      <c r="BM717" s="20"/>
      <c r="BN717" s="20"/>
      <c r="BO717" s="20"/>
      <c r="BP717" s="20"/>
      <c r="BQ717" s="20"/>
      <c r="BR717" s="20"/>
      <c r="BS717" s="20"/>
      <c r="BT717" s="20"/>
      <c r="BU717" s="20"/>
      <c r="BV717" s="20"/>
      <c r="BW717" s="20"/>
      <c r="BX717" s="20"/>
      <c r="BY717" s="20"/>
      <c r="BZ717" s="20"/>
      <c r="CA717" s="20"/>
      <c r="CB717" s="21"/>
      <c r="CC717" s="27" t="str">
        <f t="shared" si="121"/>
        <v/>
      </c>
      <c r="CD717" s="38" t="str">
        <f t="shared" si="122"/>
        <v/>
      </c>
      <c r="CE717" s="38" t="str">
        <f t="shared" si="123"/>
        <v/>
      </c>
      <c r="CF717" s="38" t="str">
        <f t="shared" si="124"/>
        <v/>
      </c>
      <c r="CG717" s="38" t="str">
        <f t="shared" si="125"/>
        <v/>
      </c>
      <c r="CH717" s="38" t="str">
        <f t="shared" si="126"/>
        <v/>
      </c>
      <c r="CI717" s="38" t="str">
        <f t="shared" si="127"/>
        <v/>
      </c>
      <c r="CJ717" s="38" t="str">
        <f t="shared" si="128"/>
        <v/>
      </c>
      <c r="CK717" s="38" t="str">
        <f t="shared" si="129"/>
        <v/>
      </c>
      <c r="CL717" s="38" t="str">
        <f>IF(C717="","",IF(COUNT(G717:AZ717)&lt;46,"",SUMPRODUCT(CC717:CK717,'تنظیمات وزن‌دهی'!$C$5:$C$13)/100))</f>
        <v/>
      </c>
      <c r="CM717" s="38" t="str">
        <f t="shared" si="130"/>
        <v/>
      </c>
      <c r="CN717" s="38">
        <v>5</v>
      </c>
      <c r="CO717" s="28" t="str">
        <f t="shared" si="131"/>
        <v/>
      </c>
      <c r="CP717" s="58"/>
    </row>
    <row r="718" spans="1:94" ht="17.25" hidden="1">
      <c r="A718" s="33">
        <v>714</v>
      </c>
      <c r="B718" s="55" t="s">
        <v>188</v>
      </c>
      <c r="C718" s="55" t="str">
        <f>IF(دانش‌آموزان!E64="","",دانش‌آموزان!B64)</f>
        <v/>
      </c>
      <c r="D718" s="55" t="str">
        <f>IF(دانش‌آموزان!C64="","",دانش‌آموزان!C64)</f>
        <v/>
      </c>
      <c r="E718" s="55" t="str">
        <f>IF(دانش‌آموزان!E64="","",دانش‌آموزان!E64&amp;" "&amp;دانش‌آموزان!F64)</f>
        <v/>
      </c>
      <c r="F718" s="34" t="str">
        <f>IF(دانش‌آموزان!I64="","",دانش‌آموزان!I64)</f>
        <v/>
      </c>
      <c r="G718" s="19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20"/>
      <c r="BM718" s="20"/>
      <c r="BN718" s="20"/>
      <c r="BO718" s="20"/>
      <c r="BP718" s="20"/>
      <c r="BQ718" s="20"/>
      <c r="BR718" s="20"/>
      <c r="BS718" s="20"/>
      <c r="BT718" s="20"/>
      <c r="BU718" s="20"/>
      <c r="BV718" s="20"/>
      <c r="BW718" s="20"/>
      <c r="BX718" s="20"/>
      <c r="BY718" s="20"/>
      <c r="BZ718" s="20"/>
      <c r="CA718" s="20"/>
      <c r="CB718" s="21"/>
      <c r="CC718" s="27" t="str">
        <f t="shared" si="121"/>
        <v/>
      </c>
      <c r="CD718" s="38" t="str">
        <f t="shared" si="122"/>
        <v/>
      </c>
      <c r="CE718" s="38" t="str">
        <f t="shared" si="123"/>
        <v/>
      </c>
      <c r="CF718" s="38" t="str">
        <f t="shared" si="124"/>
        <v/>
      </c>
      <c r="CG718" s="38" t="str">
        <f t="shared" si="125"/>
        <v/>
      </c>
      <c r="CH718" s="38" t="str">
        <f t="shared" si="126"/>
        <v/>
      </c>
      <c r="CI718" s="38" t="str">
        <f t="shared" si="127"/>
        <v/>
      </c>
      <c r="CJ718" s="38" t="str">
        <f t="shared" si="128"/>
        <v/>
      </c>
      <c r="CK718" s="38" t="str">
        <f t="shared" si="129"/>
        <v/>
      </c>
      <c r="CL718" s="38" t="str">
        <f>IF(C718="","",IF(COUNT(G718:AZ718)&lt;46,"",SUMPRODUCT(CC718:CK718,'تنظیمات وزن‌دهی'!$C$5:$C$13)/100))</f>
        <v/>
      </c>
      <c r="CM718" s="38" t="str">
        <f t="shared" si="130"/>
        <v/>
      </c>
      <c r="CN718" s="38">
        <v>6</v>
      </c>
      <c r="CO718" s="28" t="str">
        <f t="shared" si="131"/>
        <v/>
      </c>
      <c r="CP718" s="58"/>
    </row>
    <row r="719" spans="1:94" ht="17.25" hidden="1">
      <c r="A719" s="33">
        <v>715</v>
      </c>
      <c r="B719" s="55" t="s">
        <v>189</v>
      </c>
      <c r="C719" s="55" t="str">
        <f>IF(دانش‌آموزان!E64="","",دانش‌آموزان!B64)</f>
        <v/>
      </c>
      <c r="D719" s="55" t="str">
        <f>IF(دانش‌آموزان!C64="","",دانش‌آموزان!C64)</f>
        <v/>
      </c>
      <c r="E719" s="55" t="str">
        <f>IF(دانش‌آموزان!E64="","",دانش‌آموزان!E64&amp;" "&amp;دانش‌آموزان!F64)</f>
        <v/>
      </c>
      <c r="F719" s="34" t="str">
        <f>IF(دانش‌آموزان!I64="","",دانش‌آموزان!I64)</f>
        <v/>
      </c>
      <c r="G719" s="19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20"/>
      <c r="BM719" s="20"/>
      <c r="BN719" s="20"/>
      <c r="BO719" s="20"/>
      <c r="BP719" s="20"/>
      <c r="BQ719" s="20"/>
      <c r="BR719" s="20"/>
      <c r="BS719" s="20"/>
      <c r="BT719" s="20"/>
      <c r="BU719" s="20"/>
      <c r="BV719" s="20"/>
      <c r="BW719" s="20"/>
      <c r="BX719" s="20"/>
      <c r="BY719" s="20"/>
      <c r="BZ719" s="20"/>
      <c r="CA719" s="20"/>
      <c r="CB719" s="21"/>
      <c r="CC719" s="27" t="str">
        <f t="shared" si="121"/>
        <v/>
      </c>
      <c r="CD719" s="38" t="str">
        <f t="shared" si="122"/>
        <v/>
      </c>
      <c r="CE719" s="38" t="str">
        <f t="shared" si="123"/>
        <v/>
      </c>
      <c r="CF719" s="38" t="str">
        <f t="shared" si="124"/>
        <v/>
      </c>
      <c r="CG719" s="38" t="str">
        <f t="shared" si="125"/>
        <v/>
      </c>
      <c r="CH719" s="38" t="str">
        <f t="shared" si="126"/>
        <v/>
      </c>
      <c r="CI719" s="38" t="str">
        <f t="shared" si="127"/>
        <v/>
      </c>
      <c r="CJ719" s="38" t="str">
        <f t="shared" si="128"/>
        <v/>
      </c>
      <c r="CK719" s="38" t="str">
        <f t="shared" si="129"/>
        <v/>
      </c>
      <c r="CL719" s="38" t="str">
        <f>IF(C719="","",IF(COUNT(G719:AZ719)&lt;46,"",SUMPRODUCT(CC719:CK719,'تنظیمات وزن‌دهی'!$C$5:$C$13)/100))</f>
        <v/>
      </c>
      <c r="CM719" s="38" t="str">
        <f t="shared" si="130"/>
        <v/>
      </c>
      <c r="CN719" s="38">
        <v>7</v>
      </c>
      <c r="CO719" s="28" t="str">
        <f t="shared" si="131"/>
        <v/>
      </c>
      <c r="CP719" s="58"/>
    </row>
    <row r="720" spans="1:94" ht="17.25" hidden="1">
      <c r="A720" s="33">
        <v>716</v>
      </c>
      <c r="B720" s="55" t="s">
        <v>190</v>
      </c>
      <c r="C720" s="55" t="str">
        <f>IF(دانش‌آموزان!E64="","",دانش‌آموزان!B64)</f>
        <v/>
      </c>
      <c r="D720" s="55" t="str">
        <f>IF(دانش‌آموزان!C64="","",دانش‌آموزان!C64)</f>
        <v/>
      </c>
      <c r="E720" s="55" t="str">
        <f>IF(دانش‌آموزان!E64="","",دانش‌آموزان!E64&amp;" "&amp;دانش‌آموزان!F64)</f>
        <v/>
      </c>
      <c r="F720" s="34" t="str">
        <f>IF(دانش‌آموزان!I64="","",دانش‌آموزان!I64)</f>
        <v/>
      </c>
      <c r="G720" s="19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20"/>
      <c r="BM720" s="20"/>
      <c r="BN720" s="20"/>
      <c r="BO720" s="20"/>
      <c r="BP720" s="20"/>
      <c r="BQ720" s="20"/>
      <c r="BR720" s="20"/>
      <c r="BS720" s="20"/>
      <c r="BT720" s="20"/>
      <c r="BU720" s="20"/>
      <c r="BV720" s="20"/>
      <c r="BW720" s="20"/>
      <c r="BX720" s="20"/>
      <c r="BY720" s="20"/>
      <c r="BZ720" s="20"/>
      <c r="CA720" s="20"/>
      <c r="CB720" s="21"/>
      <c r="CC720" s="27" t="str">
        <f t="shared" si="121"/>
        <v/>
      </c>
      <c r="CD720" s="38" t="str">
        <f t="shared" si="122"/>
        <v/>
      </c>
      <c r="CE720" s="38" t="str">
        <f t="shared" si="123"/>
        <v/>
      </c>
      <c r="CF720" s="38" t="str">
        <f t="shared" si="124"/>
        <v/>
      </c>
      <c r="CG720" s="38" t="str">
        <f t="shared" si="125"/>
        <v/>
      </c>
      <c r="CH720" s="38" t="str">
        <f t="shared" si="126"/>
        <v/>
      </c>
      <c r="CI720" s="38" t="str">
        <f t="shared" si="127"/>
        <v/>
      </c>
      <c r="CJ720" s="38" t="str">
        <f t="shared" si="128"/>
        <v/>
      </c>
      <c r="CK720" s="38" t="str">
        <f t="shared" si="129"/>
        <v/>
      </c>
      <c r="CL720" s="38" t="str">
        <f>IF(C720="","",IF(COUNT(G720:AZ720)&lt;46,"",SUMPRODUCT(CC720:CK720,'تنظیمات وزن‌دهی'!$C$5:$C$13)/100))</f>
        <v/>
      </c>
      <c r="CM720" s="38" t="str">
        <f t="shared" si="130"/>
        <v/>
      </c>
      <c r="CN720" s="38">
        <v>8</v>
      </c>
      <c r="CO720" s="28" t="str">
        <f t="shared" si="131"/>
        <v/>
      </c>
      <c r="CP720" s="58"/>
    </row>
    <row r="721" spans="1:94" ht="17.25" hidden="1">
      <c r="A721" s="33">
        <v>717</v>
      </c>
      <c r="B721" s="55" t="s">
        <v>191</v>
      </c>
      <c r="C721" s="55" t="str">
        <f>IF(دانش‌آموزان!E64="","",دانش‌آموزان!B64)</f>
        <v/>
      </c>
      <c r="D721" s="55" t="str">
        <f>IF(دانش‌آموزان!C64="","",دانش‌آموزان!C64)</f>
        <v/>
      </c>
      <c r="E721" s="55" t="str">
        <f>IF(دانش‌آموزان!E64="","",دانش‌آموزان!E64&amp;" "&amp;دانش‌آموزان!F64)</f>
        <v/>
      </c>
      <c r="F721" s="34" t="str">
        <f>IF(دانش‌آموزان!I64="","",دانش‌آموزان!I64)</f>
        <v/>
      </c>
      <c r="G721" s="19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20"/>
      <c r="BM721" s="20"/>
      <c r="BN721" s="20"/>
      <c r="BO721" s="20"/>
      <c r="BP721" s="20"/>
      <c r="BQ721" s="20"/>
      <c r="BR721" s="20"/>
      <c r="BS721" s="20"/>
      <c r="BT721" s="20"/>
      <c r="BU721" s="20"/>
      <c r="BV721" s="20"/>
      <c r="BW721" s="20"/>
      <c r="BX721" s="20"/>
      <c r="BY721" s="20"/>
      <c r="BZ721" s="20"/>
      <c r="CA721" s="20"/>
      <c r="CB721" s="21"/>
      <c r="CC721" s="27" t="str">
        <f t="shared" si="121"/>
        <v/>
      </c>
      <c r="CD721" s="38" t="str">
        <f t="shared" si="122"/>
        <v/>
      </c>
      <c r="CE721" s="38" t="str">
        <f t="shared" si="123"/>
        <v/>
      </c>
      <c r="CF721" s="38" t="str">
        <f t="shared" si="124"/>
        <v/>
      </c>
      <c r="CG721" s="38" t="str">
        <f t="shared" si="125"/>
        <v/>
      </c>
      <c r="CH721" s="38" t="str">
        <f t="shared" si="126"/>
        <v/>
      </c>
      <c r="CI721" s="38" t="str">
        <f t="shared" si="127"/>
        <v/>
      </c>
      <c r="CJ721" s="38" t="str">
        <f t="shared" si="128"/>
        <v/>
      </c>
      <c r="CK721" s="38" t="str">
        <f t="shared" si="129"/>
        <v/>
      </c>
      <c r="CL721" s="38" t="str">
        <f>IF(C721="","",IF(COUNT(G721:AZ721)&lt;46,"",SUMPRODUCT(CC721:CK721,'تنظیمات وزن‌دهی'!$C$5:$C$13)/100))</f>
        <v/>
      </c>
      <c r="CM721" s="38" t="str">
        <f t="shared" si="130"/>
        <v/>
      </c>
      <c r="CN721" s="38">
        <v>9</v>
      </c>
      <c r="CO721" s="28" t="str">
        <f t="shared" si="131"/>
        <v/>
      </c>
      <c r="CP721" s="58"/>
    </row>
    <row r="722" spans="1:94" ht="17.25" hidden="1">
      <c r="A722" s="33">
        <v>718</v>
      </c>
      <c r="B722" s="55" t="s">
        <v>192</v>
      </c>
      <c r="C722" s="55" t="str">
        <f>IF(دانش‌آموزان!E64="","",دانش‌آموزان!B64)</f>
        <v/>
      </c>
      <c r="D722" s="55" t="str">
        <f>IF(دانش‌آموزان!C64="","",دانش‌آموزان!C64)</f>
        <v/>
      </c>
      <c r="E722" s="55" t="str">
        <f>IF(دانش‌آموزان!E64="","",دانش‌آموزان!E64&amp;" "&amp;دانش‌آموزان!F64)</f>
        <v/>
      </c>
      <c r="F722" s="34" t="str">
        <f>IF(دانش‌آموزان!I64="","",دانش‌آموزان!I64)</f>
        <v/>
      </c>
      <c r="G722" s="19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  <c r="BO722" s="20"/>
      <c r="BP722" s="20"/>
      <c r="BQ722" s="20"/>
      <c r="BR722" s="20"/>
      <c r="BS722" s="20"/>
      <c r="BT722" s="20"/>
      <c r="BU722" s="20"/>
      <c r="BV722" s="20"/>
      <c r="BW722" s="20"/>
      <c r="BX722" s="20"/>
      <c r="BY722" s="20"/>
      <c r="BZ722" s="20"/>
      <c r="CA722" s="20"/>
      <c r="CB722" s="21"/>
      <c r="CC722" s="27" t="str">
        <f t="shared" si="121"/>
        <v/>
      </c>
      <c r="CD722" s="38" t="str">
        <f t="shared" si="122"/>
        <v/>
      </c>
      <c r="CE722" s="38" t="str">
        <f t="shared" si="123"/>
        <v/>
      </c>
      <c r="CF722" s="38" t="str">
        <f t="shared" si="124"/>
        <v/>
      </c>
      <c r="CG722" s="38" t="str">
        <f t="shared" si="125"/>
        <v/>
      </c>
      <c r="CH722" s="38" t="str">
        <f t="shared" si="126"/>
        <v/>
      </c>
      <c r="CI722" s="38" t="str">
        <f t="shared" si="127"/>
        <v/>
      </c>
      <c r="CJ722" s="38" t="str">
        <f t="shared" si="128"/>
        <v/>
      </c>
      <c r="CK722" s="38" t="str">
        <f t="shared" si="129"/>
        <v/>
      </c>
      <c r="CL722" s="38" t="str">
        <f>IF(C722="","",IF(COUNT(G722:AZ722)&lt;46,"",SUMPRODUCT(CC722:CK722,'تنظیمات وزن‌دهی'!$C$5:$C$13)/100))</f>
        <v/>
      </c>
      <c r="CM722" s="38" t="str">
        <f t="shared" si="130"/>
        <v/>
      </c>
      <c r="CN722" s="38">
        <v>10</v>
      </c>
      <c r="CO722" s="28" t="str">
        <f t="shared" si="131"/>
        <v/>
      </c>
      <c r="CP722" s="58"/>
    </row>
    <row r="723" spans="1:94" ht="17.25" hidden="1">
      <c r="A723" s="33">
        <v>719</v>
      </c>
      <c r="B723" s="55" t="s">
        <v>193</v>
      </c>
      <c r="C723" s="55" t="str">
        <f>IF(دانش‌آموزان!E64="","",دانش‌آموزان!B64)</f>
        <v/>
      </c>
      <c r="D723" s="55" t="str">
        <f>IF(دانش‌آموزان!C64="","",دانش‌آموزان!C64)</f>
        <v/>
      </c>
      <c r="E723" s="55" t="str">
        <f>IF(دانش‌آموزان!E64="","",دانش‌آموزان!E64&amp;" "&amp;دانش‌آموزان!F64)</f>
        <v/>
      </c>
      <c r="F723" s="34" t="str">
        <f>IF(دانش‌آموزان!I64="","",دانش‌آموزان!I64)</f>
        <v/>
      </c>
      <c r="G723" s="19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  <c r="BO723" s="20"/>
      <c r="BP723" s="20"/>
      <c r="BQ723" s="20"/>
      <c r="BR723" s="20"/>
      <c r="BS723" s="20"/>
      <c r="BT723" s="20"/>
      <c r="BU723" s="20"/>
      <c r="BV723" s="20"/>
      <c r="BW723" s="20"/>
      <c r="BX723" s="20"/>
      <c r="BY723" s="20"/>
      <c r="BZ723" s="20"/>
      <c r="CA723" s="20"/>
      <c r="CB723" s="21"/>
      <c r="CC723" s="27" t="str">
        <f t="shared" si="121"/>
        <v/>
      </c>
      <c r="CD723" s="38" t="str">
        <f t="shared" si="122"/>
        <v/>
      </c>
      <c r="CE723" s="38" t="str">
        <f t="shared" si="123"/>
        <v/>
      </c>
      <c r="CF723" s="38" t="str">
        <f t="shared" si="124"/>
        <v/>
      </c>
      <c r="CG723" s="38" t="str">
        <f t="shared" si="125"/>
        <v/>
      </c>
      <c r="CH723" s="38" t="str">
        <f t="shared" si="126"/>
        <v/>
      </c>
      <c r="CI723" s="38" t="str">
        <f t="shared" si="127"/>
        <v/>
      </c>
      <c r="CJ723" s="38" t="str">
        <f t="shared" si="128"/>
        <v/>
      </c>
      <c r="CK723" s="38" t="str">
        <f t="shared" si="129"/>
        <v/>
      </c>
      <c r="CL723" s="38" t="str">
        <f>IF(C723="","",IF(COUNT(G723:AZ723)&lt;46,"",SUMPRODUCT(CC723:CK723,'تنظیمات وزن‌دهی'!$C$5:$C$13)/100))</f>
        <v/>
      </c>
      <c r="CM723" s="38" t="str">
        <f t="shared" si="130"/>
        <v/>
      </c>
      <c r="CN723" s="38">
        <v>11</v>
      </c>
      <c r="CO723" s="28" t="str">
        <f t="shared" si="131"/>
        <v/>
      </c>
      <c r="CP723" s="58"/>
    </row>
    <row r="724" spans="1:94" ht="17.25" hidden="1">
      <c r="A724" s="33">
        <v>720</v>
      </c>
      <c r="B724" s="55" t="s">
        <v>194</v>
      </c>
      <c r="C724" s="55" t="str">
        <f>IF(دانش‌آموزان!E64="","",دانش‌آموزان!B64)</f>
        <v/>
      </c>
      <c r="D724" s="55" t="str">
        <f>IF(دانش‌آموزان!C64="","",دانش‌آموزان!C64)</f>
        <v/>
      </c>
      <c r="E724" s="55" t="str">
        <f>IF(دانش‌آموزان!E64="","",دانش‌آموزان!E64&amp;" "&amp;دانش‌آموزان!F64)</f>
        <v/>
      </c>
      <c r="F724" s="34" t="str">
        <f>IF(دانش‌آموزان!I64="","",دانش‌آموزان!I64)</f>
        <v/>
      </c>
      <c r="G724" s="19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  <c r="BK724" s="20"/>
      <c r="BL724" s="20"/>
      <c r="BM724" s="20"/>
      <c r="BN724" s="20"/>
      <c r="BO724" s="20"/>
      <c r="BP724" s="20"/>
      <c r="BQ724" s="20"/>
      <c r="BR724" s="20"/>
      <c r="BS724" s="20"/>
      <c r="BT724" s="20"/>
      <c r="BU724" s="20"/>
      <c r="BV724" s="20"/>
      <c r="BW724" s="20"/>
      <c r="BX724" s="20"/>
      <c r="BY724" s="20"/>
      <c r="BZ724" s="20"/>
      <c r="CA724" s="20"/>
      <c r="CB724" s="21"/>
      <c r="CC724" s="27" t="str">
        <f t="shared" si="121"/>
        <v/>
      </c>
      <c r="CD724" s="38" t="str">
        <f t="shared" si="122"/>
        <v/>
      </c>
      <c r="CE724" s="38" t="str">
        <f t="shared" si="123"/>
        <v/>
      </c>
      <c r="CF724" s="38" t="str">
        <f t="shared" si="124"/>
        <v/>
      </c>
      <c r="CG724" s="38" t="str">
        <f t="shared" si="125"/>
        <v/>
      </c>
      <c r="CH724" s="38" t="str">
        <f t="shared" si="126"/>
        <v/>
      </c>
      <c r="CI724" s="38" t="str">
        <f t="shared" si="127"/>
        <v/>
      </c>
      <c r="CJ724" s="38" t="str">
        <f t="shared" si="128"/>
        <v/>
      </c>
      <c r="CK724" s="38" t="str">
        <f t="shared" si="129"/>
        <v/>
      </c>
      <c r="CL724" s="38" t="str">
        <f>IF(C724="","",IF(COUNT(G724:AZ724)&lt;46,"",SUMPRODUCT(CC724:CK724,'تنظیمات وزن‌دهی'!$C$5:$C$13)/100))</f>
        <v/>
      </c>
      <c r="CM724" s="38" t="str">
        <f t="shared" si="130"/>
        <v/>
      </c>
      <c r="CN724" s="38">
        <v>12</v>
      </c>
      <c r="CO724" s="28" t="str">
        <f t="shared" si="131"/>
        <v/>
      </c>
      <c r="CP724" s="58"/>
    </row>
    <row r="725" spans="1:94" ht="17.25" hidden="1">
      <c r="A725" s="33">
        <v>721</v>
      </c>
      <c r="B725" s="55" t="s">
        <v>183</v>
      </c>
      <c r="C725" s="55" t="str">
        <f>IF(دانش‌آموزان!E65="","",دانش‌آموزان!B65)</f>
        <v/>
      </c>
      <c r="D725" s="55" t="str">
        <f>IF(دانش‌آموزان!C65="","",دانش‌آموزان!C65)</f>
        <v/>
      </c>
      <c r="E725" s="55" t="str">
        <f>IF(دانش‌آموزان!E65="","",دانش‌آموزان!E65&amp;" "&amp;دانش‌آموزان!F65)</f>
        <v/>
      </c>
      <c r="F725" s="34" t="str">
        <f>IF(دانش‌آموزان!I65="","",دانش‌آموزان!I65)</f>
        <v/>
      </c>
      <c r="G725" s="19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20"/>
      <c r="BM725" s="20"/>
      <c r="BN725" s="20"/>
      <c r="BO725" s="20"/>
      <c r="BP725" s="20"/>
      <c r="BQ725" s="20"/>
      <c r="BR725" s="20"/>
      <c r="BS725" s="20"/>
      <c r="BT725" s="20"/>
      <c r="BU725" s="20"/>
      <c r="BV725" s="20"/>
      <c r="BW725" s="20"/>
      <c r="BX725" s="20"/>
      <c r="BY725" s="20"/>
      <c r="BZ725" s="20"/>
      <c r="CA725" s="20"/>
      <c r="CB725" s="21"/>
      <c r="CC725" s="27" t="str">
        <f t="shared" si="121"/>
        <v/>
      </c>
      <c r="CD725" s="38" t="str">
        <f t="shared" si="122"/>
        <v/>
      </c>
      <c r="CE725" s="38" t="str">
        <f t="shared" si="123"/>
        <v/>
      </c>
      <c r="CF725" s="38" t="str">
        <f t="shared" si="124"/>
        <v/>
      </c>
      <c r="CG725" s="38" t="str">
        <f t="shared" si="125"/>
        <v/>
      </c>
      <c r="CH725" s="38" t="str">
        <f t="shared" si="126"/>
        <v/>
      </c>
      <c r="CI725" s="38" t="str">
        <f t="shared" si="127"/>
        <v/>
      </c>
      <c r="CJ725" s="38" t="str">
        <f t="shared" si="128"/>
        <v/>
      </c>
      <c r="CK725" s="38" t="str">
        <f t="shared" si="129"/>
        <v/>
      </c>
      <c r="CL725" s="38" t="str">
        <f>IF(C725="","",IF(COUNT(G725:AZ725)&lt;46,"",SUMPRODUCT(CC725:CK725,'تنظیمات وزن‌دهی'!$C$5:$C$13)/100))</f>
        <v/>
      </c>
      <c r="CM725" s="38" t="str">
        <f t="shared" si="130"/>
        <v/>
      </c>
      <c r="CN725" s="38">
        <v>1</v>
      </c>
      <c r="CO725" s="28" t="str">
        <f t="shared" si="131"/>
        <v/>
      </c>
      <c r="CP725" s="58"/>
    </row>
    <row r="726" spans="1:94" ht="17.25" hidden="1">
      <c r="A726" s="33">
        <v>722</v>
      </c>
      <c r="B726" s="55" t="s">
        <v>184</v>
      </c>
      <c r="C726" s="55" t="str">
        <f>IF(دانش‌آموزان!E65="","",دانش‌آموزان!B65)</f>
        <v/>
      </c>
      <c r="D726" s="55" t="str">
        <f>IF(دانش‌آموزان!C65="","",دانش‌آموزان!C65)</f>
        <v/>
      </c>
      <c r="E726" s="55" t="str">
        <f>IF(دانش‌آموزان!E65="","",دانش‌آموزان!E65&amp;" "&amp;دانش‌آموزان!F65)</f>
        <v/>
      </c>
      <c r="F726" s="34" t="str">
        <f>IF(دانش‌آموزان!I65="","",دانش‌آموزان!I65)</f>
        <v/>
      </c>
      <c r="G726" s="19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0"/>
      <c r="BL726" s="20"/>
      <c r="BM726" s="20"/>
      <c r="BN726" s="20"/>
      <c r="BO726" s="20"/>
      <c r="BP726" s="20"/>
      <c r="BQ726" s="20"/>
      <c r="BR726" s="20"/>
      <c r="BS726" s="20"/>
      <c r="BT726" s="20"/>
      <c r="BU726" s="20"/>
      <c r="BV726" s="20"/>
      <c r="BW726" s="20"/>
      <c r="BX726" s="20"/>
      <c r="BY726" s="20"/>
      <c r="BZ726" s="20"/>
      <c r="CA726" s="20"/>
      <c r="CB726" s="21"/>
      <c r="CC726" s="27" t="str">
        <f t="shared" si="121"/>
        <v/>
      </c>
      <c r="CD726" s="38" t="str">
        <f t="shared" si="122"/>
        <v/>
      </c>
      <c r="CE726" s="38" t="str">
        <f t="shared" si="123"/>
        <v/>
      </c>
      <c r="CF726" s="38" t="str">
        <f t="shared" si="124"/>
        <v/>
      </c>
      <c r="CG726" s="38" t="str">
        <f t="shared" si="125"/>
        <v/>
      </c>
      <c r="CH726" s="38" t="str">
        <f t="shared" si="126"/>
        <v/>
      </c>
      <c r="CI726" s="38" t="str">
        <f t="shared" si="127"/>
        <v/>
      </c>
      <c r="CJ726" s="38" t="str">
        <f t="shared" si="128"/>
        <v/>
      </c>
      <c r="CK726" s="38" t="str">
        <f t="shared" si="129"/>
        <v/>
      </c>
      <c r="CL726" s="38" t="str">
        <f>IF(C726="","",IF(COUNT(G726:AZ726)&lt;46,"",SUMPRODUCT(CC726:CK726,'تنظیمات وزن‌دهی'!$C$5:$C$13)/100))</f>
        <v/>
      </c>
      <c r="CM726" s="38" t="str">
        <f t="shared" si="130"/>
        <v/>
      </c>
      <c r="CN726" s="38">
        <v>2</v>
      </c>
      <c r="CO726" s="28" t="str">
        <f t="shared" si="131"/>
        <v/>
      </c>
      <c r="CP726" s="58"/>
    </row>
    <row r="727" spans="1:94" ht="17.25">
      <c r="A727" s="33">
        <v>723</v>
      </c>
      <c r="B727" s="55" t="s">
        <v>185</v>
      </c>
      <c r="C727" s="55" t="str">
        <f>IF(دانش‌آموزان!E65="","",دانش‌آموزان!B65)</f>
        <v/>
      </c>
      <c r="D727" s="55" t="str">
        <f>IF(دانش‌آموزان!C65="","",دانش‌آموزان!C65)</f>
        <v/>
      </c>
      <c r="E727" s="55" t="str">
        <f>IF(دانش‌آموزان!E65="","",دانش‌آموزان!E65&amp;" "&amp;دانش‌آموزان!F65)</f>
        <v/>
      </c>
      <c r="F727" s="34" t="str">
        <f>IF(دانش‌آموزان!I65="","",دانش‌آموزان!I65)</f>
        <v/>
      </c>
      <c r="G727" s="19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  <c r="BJ727" s="20"/>
      <c r="BK727" s="20"/>
      <c r="BL727" s="20"/>
      <c r="BM727" s="20"/>
      <c r="BN727" s="20"/>
      <c r="BO727" s="20"/>
      <c r="BP727" s="20"/>
      <c r="BQ727" s="20"/>
      <c r="BR727" s="20"/>
      <c r="BS727" s="20"/>
      <c r="BT727" s="20"/>
      <c r="BU727" s="20"/>
      <c r="BV727" s="20"/>
      <c r="BW727" s="20"/>
      <c r="BX727" s="20"/>
      <c r="BY727" s="20"/>
      <c r="BZ727" s="20"/>
      <c r="CA727" s="20"/>
      <c r="CB727" s="21"/>
      <c r="CC727" s="27" t="str">
        <f t="shared" si="121"/>
        <v/>
      </c>
      <c r="CD727" s="38" t="str">
        <f t="shared" si="122"/>
        <v/>
      </c>
      <c r="CE727" s="38" t="str">
        <f t="shared" si="123"/>
        <v/>
      </c>
      <c r="CF727" s="38" t="str">
        <f t="shared" si="124"/>
        <v/>
      </c>
      <c r="CG727" s="38" t="str">
        <f t="shared" si="125"/>
        <v/>
      </c>
      <c r="CH727" s="38" t="str">
        <f t="shared" si="126"/>
        <v/>
      </c>
      <c r="CI727" s="38" t="str">
        <f t="shared" si="127"/>
        <v/>
      </c>
      <c r="CJ727" s="38" t="str">
        <f t="shared" si="128"/>
        <v/>
      </c>
      <c r="CK727" s="38" t="str">
        <f t="shared" si="129"/>
        <v/>
      </c>
      <c r="CL727" s="38" t="str">
        <f>IF(C727="","",IF(COUNT(G727:AZ727)&lt;46,"",SUMPRODUCT(CC727:CK727,'تنظیمات وزن‌دهی'!$C$5:$C$13)/100))</f>
        <v/>
      </c>
      <c r="CM727" s="38" t="str">
        <f t="shared" si="130"/>
        <v/>
      </c>
      <c r="CN727" s="38">
        <v>3</v>
      </c>
      <c r="CO727" s="28" t="str">
        <f t="shared" si="131"/>
        <v/>
      </c>
      <c r="CP727" s="58"/>
    </row>
    <row r="728" spans="1:94" ht="17.25" hidden="1">
      <c r="A728" s="33">
        <v>724</v>
      </c>
      <c r="B728" s="55" t="s">
        <v>186</v>
      </c>
      <c r="C728" s="55" t="str">
        <f>IF(دانش‌آموزان!E65="","",دانش‌آموزان!B65)</f>
        <v/>
      </c>
      <c r="D728" s="55" t="str">
        <f>IF(دانش‌آموزان!C65="","",دانش‌آموزان!C65)</f>
        <v/>
      </c>
      <c r="E728" s="55" t="str">
        <f>IF(دانش‌آموزان!E65="","",دانش‌آموزان!E65&amp;" "&amp;دانش‌آموزان!F65)</f>
        <v/>
      </c>
      <c r="F728" s="34" t="str">
        <f>IF(دانش‌آموزان!I65="","",دانش‌آموزان!I65)</f>
        <v/>
      </c>
      <c r="G728" s="19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20"/>
      <c r="BL728" s="20"/>
      <c r="BM728" s="20"/>
      <c r="BN728" s="20"/>
      <c r="BO728" s="20"/>
      <c r="BP728" s="20"/>
      <c r="BQ728" s="20"/>
      <c r="BR728" s="20"/>
      <c r="BS728" s="20"/>
      <c r="BT728" s="20"/>
      <c r="BU728" s="20"/>
      <c r="BV728" s="20"/>
      <c r="BW728" s="20"/>
      <c r="BX728" s="20"/>
      <c r="BY728" s="20"/>
      <c r="BZ728" s="20"/>
      <c r="CA728" s="20"/>
      <c r="CB728" s="21"/>
      <c r="CC728" s="27" t="str">
        <f t="shared" si="121"/>
        <v/>
      </c>
      <c r="CD728" s="38" t="str">
        <f t="shared" si="122"/>
        <v/>
      </c>
      <c r="CE728" s="38" t="str">
        <f t="shared" si="123"/>
        <v/>
      </c>
      <c r="CF728" s="38" t="str">
        <f t="shared" si="124"/>
        <v/>
      </c>
      <c r="CG728" s="38" t="str">
        <f t="shared" si="125"/>
        <v/>
      </c>
      <c r="CH728" s="38" t="str">
        <f t="shared" si="126"/>
        <v/>
      </c>
      <c r="CI728" s="38" t="str">
        <f t="shared" si="127"/>
        <v/>
      </c>
      <c r="CJ728" s="38" t="str">
        <f t="shared" si="128"/>
        <v/>
      </c>
      <c r="CK728" s="38" t="str">
        <f t="shared" si="129"/>
        <v/>
      </c>
      <c r="CL728" s="38" t="str">
        <f>IF(C728="","",IF(COUNT(G728:AZ728)&lt;46,"",SUMPRODUCT(CC728:CK728,'تنظیمات وزن‌دهی'!$C$5:$C$13)/100))</f>
        <v/>
      </c>
      <c r="CM728" s="38" t="str">
        <f t="shared" si="130"/>
        <v/>
      </c>
      <c r="CN728" s="38">
        <v>4</v>
      </c>
      <c r="CO728" s="28" t="str">
        <f t="shared" si="131"/>
        <v/>
      </c>
      <c r="CP728" s="58"/>
    </row>
    <row r="729" spans="1:94" ht="17.25" hidden="1">
      <c r="A729" s="33">
        <v>725</v>
      </c>
      <c r="B729" s="55" t="s">
        <v>187</v>
      </c>
      <c r="C729" s="55" t="str">
        <f>IF(دانش‌آموزان!E65="","",دانش‌آموزان!B65)</f>
        <v/>
      </c>
      <c r="D729" s="55" t="str">
        <f>IF(دانش‌آموزان!C65="","",دانش‌آموزان!C65)</f>
        <v/>
      </c>
      <c r="E729" s="55" t="str">
        <f>IF(دانش‌آموزان!E65="","",دانش‌آموزان!E65&amp;" "&amp;دانش‌آموزان!F65)</f>
        <v/>
      </c>
      <c r="F729" s="34" t="str">
        <f>IF(دانش‌آموزان!I65="","",دانش‌آموزان!I65)</f>
        <v/>
      </c>
      <c r="G729" s="19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20"/>
      <c r="BL729" s="20"/>
      <c r="BM729" s="20"/>
      <c r="BN729" s="20"/>
      <c r="BO729" s="20"/>
      <c r="BP729" s="20"/>
      <c r="BQ729" s="20"/>
      <c r="BR729" s="20"/>
      <c r="BS729" s="20"/>
      <c r="BT729" s="20"/>
      <c r="BU729" s="20"/>
      <c r="BV729" s="20"/>
      <c r="BW729" s="20"/>
      <c r="BX729" s="20"/>
      <c r="BY729" s="20"/>
      <c r="BZ729" s="20"/>
      <c r="CA729" s="20"/>
      <c r="CB729" s="21"/>
      <c r="CC729" s="27" t="str">
        <f t="shared" si="121"/>
        <v/>
      </c>
      <c r="CD729" s="38" t="str">
        <f t="shared" si="122"/>
        <v/>
      </c>
      <c r="CE729" s="38" t="str">
        <f t="shared" si="123"/>
        <v/>
      </c>
      <c r="CF729" s="38" t="str">
        <f t="shared" si="124"/>
        <v/>
      </c>
      <c r="CG729" s="38" t="str">
        <f t="shared" si="125"/>
        <v/>
      </c>
      <c r="CH729" s="38" t="str">
        <f t="shared" si="126"/>
        <v/>
      </c>
      <c r="CI729" s="38" t="str">
        <f t="shared" si="127"/>
        <v/>
      </c>
      <c r="CJ729" s="38" t="str">
        <f t="shared" si="128"/>
        <v/>
      </c>
      <c r="CK729" s="38" t="str">
        <f t="shared" si="129"/>
        <v/>
      </c>
      <c r="CL729" s="38" t="str">
        <f>IF(C729="","",IF(COUNT(G729:AZ729)&lt;46,"",SUMPRODUCT(CC729:CK729,'تنظیمات وزن‌دهی'!$C$5:$C$13)/100))</f>
        <v/>
      </c>
      <c r="CM729" s="38" t="str">
        <f t="shared" si="130"/>
        <v/>
      </c>
      <c r="CN729" s="38">
        <v>5</v>
      </c>
      <c r="CO729" s="28" t="str">
        <f t="shared" si="131"/>
        <v/>
      </c>
      <c r="CP729" s="58"/>
    </row>
    <row r="730" spans="1:94" ht="17.25" hidden="1">
      <c r="A730" s="33">
        <v>726</v>
      </c>
      <c r="B730" s="55" t="s">
        <v>188</v>
      </c>
      <c r="C730" s="55" t="str">
        <f>IF(دانش‌آموزان!E65="","",دانش‌آموزان!B65)</f>
        <v/>
      </c>
      <c r="D730" s="55" t="str">
        <f>IF(دانش‌آموزان!C65="","",دانش‌آموزان!C65)</f>
        <v/>
      </c>
      <c r="E730" s="55" t="str">
        <f>IF(دانش‌آموزان!E65="","",دانش‌آموزان!E65&amp;" "&amp;دانش‌آموزان!F65)</f>
        <v/>
      </c>
      <c r="F730" s="34" t="str">
        <f>IF(دانش‌آموزان!I65="","",دانش‌آموزان!I65)</f>
        <v/>
      </c>
      <c r="G730" s="19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  <c r="BO730" s="20"/>
      <c r="BP730" s="20"/>
      <c r="BQ730" s="20"/>
      <c r="BR730" s="20"/>
      <c r="BS730" s="20"/>
      <c r="BT730" s="20"/>
      <c r="BU730" s="20"/>
      <c r="BV730" s="20"/>
      <c r="BW730" s="20"/>
      <c r="BX730" s="20"/>
      <c r="BY730" s="20"/>
      <c r="BZ730" s="20"/>
      <c r="CA730" s="20"/>
      <c r="CB730" s="21"/>
      <c r="CC730" s="27" t="str">
        <f t="shared" si="121"/>
        <v/>
      </c>
      <c r="CD730" s="38" t="str">
        <f t="shared" si="122"/>
        <v/>
      </c>
      <c r="CE730" s="38" t="str">
        <f t="shared" si="123"/>
        <v/>
      </c>
      <c r="CF730" s="38" t="str">
        <f t="shared" si="124"/>
        <v/>
      </c>
      <c r="CG730" s="38" t="str">
        <f t="shared" si="125"/>
        <v/>
      </c>
      <c r="CH730" s="38" t="str">
        <f t="shared" si="126"/>
        <v/>
      </c>
      <c r="CI730" s="38" t="str">
        <f t="shared" si="127"/>
        <v/>
      </c>
      <c r="CJ730" s="38" t="str">
        <f t="shared" si="128"/>
        <v/>
      </c>
      <c r="CK730" s="38" t="str">
        <f t="shared" si="129"/>
        <v/>
      </c>
      <c r="CL730" s="38" t="str">
        <f>IF(C730="","",IF(COUNT(G730:AZ730)&lt;46,"",SUMPRODUCT(CC730:CK730,'تنظیمات وزن‌دهی'!$C$5:$C$13)/100))</f>
        <v/>
      </c>
      <c r="CM730" s="38" t="str">
        <f t="shared" si="130"/>
        <v/>
      </c>
      <c r="CN730" s="38">
        <v>6</v>
      </c>
      <c r="CO730" s="28" t="str">
        <f t="shared" si="131"/>
        <v/>
      </c>
      <c r="CP730" s="58"/>
    </row>
    <row r="731" spans="1:94" ht="17.25" hidden="1">
      <c r="A731" s="33">
        <v>727</v>
      </c>
      <c r="B731" s="55" t="s">
        <v>189</v>
      </c>
      <c r="C731" s="55" t="str">
        <f>IF(دانش‌آموزان!E65="","",دانش‌آموزان!B65)</f>
        <v/>
      </c>
      <c r="D731" s="55" t="str">
        <f>IF(دانش‌آموزان!C65="","",دانش‌آموزان!C65)</f>
        <v/>
      </c>
      <c r="E731" s="55" t="str">
        <f>IF(دانش‌آموزان!E65="","",دانش‌آموزان!E65&amp;" "&amp;دانش‌آموزان!F65)</f>
        <v/>
      </c>
      <c r="F731" s="34" t="str">
        <f>IF(دانش‌آموزان!I65="","",دانش‌آموزان!I65)</f>
        <v/>
      </c>
      <c r="G731" s="19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  <c r="BQ731" s="20"/>
      <c r="BR731" s="20"/>
      <c r="BS731" s="20"/>
      <c r="BT731" s="20"/>
      <c r="BU731" s="20"/>
      <c r="BV731" s="20"/>
      <c r="BW731" s="20"/>
      <c r="BX731" s="20"/>
      <c r="BY731" s="20"/>
      <c r="BZ731" s="20"/>
      <c r="CA731" s="20"/>
      <c r="CB731" s="21"/>
      <c r="CC731" s="27" t="str">
        <f t="shared" si="121"/>
        <v/>
      </c>
      <c r="CD731" s="38" t="str">
        <f t="shared" si="122"/>
        <v/>
      </c>
      <c r="CE731" s="38" t="str">
        <f t="shared" si="123"/>
        <v/>
      </c>
      <c r="CF731" s="38" t="str">
        <f t="shared" si="124"/>
        <v/>
      </c>
      <c r="CG731" s="38" t="str">
        <f t="shared" si="125"/>
        <v/>
      </c>
      <c r="CH731" s="38" t="str">
        <f t="shared" si="126"/>
        <v/>
      </c>
      <c r="CI731" s="38" t="str">
        <f t="shared" si="127"/>
        <v/>
      </c>
      <c r="CJ731" s="38" t="str">
        <f t="shared" si="128"/>
        <v/>
      </c>
      <c r="CK731" s="38" t="str">
        <f t="shared" si="129"/>
        <v/>
      </c>
      <c r="CL731" s="38" t="str">
        <f>IF(C731="","",IF(COUNT(G731:AZ731)&lt;46,"",SUMPRODUCT(CC731:CK731,'تنظیمات وزن‌دهی'!$C$5:$C$13)/100))</f>
        <v/>
      </c>
      <c r="CM731" s="38" t="str">
        <f t="shared" si="130"/>
        <v/>
      </c>
      <c r="CN731" s="38">
        <v>7</v>
      </c>
      <c r="CO731" s="28" t="str">
        <f t="shared" si="131"/>
        <v/>
      </c>
      <c r="CP731" s="58"/>
    </row>
    <row r="732" spans="1:94" ht="17.25" hidden="1">
      <c r="A732" s="33">
        <v>728</v>
      </c>
      <c r="B732" s="55" t="s">
        <v>190</v>
      </c>
      <c r="C732" s="55" t="str">
        <f>IF(دانش‌آموزان!E65="","",دانش‌آموزان!B65)</f>
        <v/>
      </c>
      <c r="D732" s="55" t="str">
        <f>IF(دانش‌آموزان!C65="","",دانش‌آموزان!C65)</f>
        <v/>
      </c>
      <c r="E732" s="55" t="str">
        <f>IF(دانش‌آموزان!E65="","",دانش‌آموزان!E65&amp;" "&amp;دانش‌آموزان!F65)</f>
        <v/>
      </c>
      <c r="F732" s="34" t="str">
        <f>IF(دانش‌آموزان!I65="","",دانش‌آموزان!I65)</f>
        <v/>
      </c>
      <c r="G732" s="19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0"/>
      <c r="BL732" s="20"/>
      <c r="BM732" s="20"/>
      <c r="BN732" s="20"/>
      <c r="BO732" s="20"/>
      <c r="BP732" s="20"/>
      <c r="BQ732" s="20"/>
      <c r="BR732" s="20"/>
      <c r="BS732" s="20"/>
      <c r="BT732" s="20"/>
      <c r="BU732" s="20"/>
      <c r="BV732" s="20"/>
      <c r="BW732" s="20"/>
      <c r="BX732" s="20"/>
      <c r="BY732" s="20"/>
      <c r="BZ732" s="20"/>
      <c r="CA732" s="20"/>
      <c r="CB732" s="21"/>
      <c r="CC732" s="27" t="str">
        <f t="shared" si="121"/>
        <v/>
      </c>
      <c r="CD732" s="38" t="str">
        <f t="shared" si="122"/>
        <v/>
      </c>
      <c r="CE732" s="38" t="str">
        <f t="shared" si="123"/>
        <v/>
      </c>
      <c r="CF732" s="38" t="str">
        <f t="shared" si="124"/>
        <v/>
      </c>
      <c r="CG732" s="38" t="str">
        <f t="shared" si="125"/>
        <v/>
      </c>
      <c r="CH732" s="38" t="str">
        <f t="shared" si="126"/>
        <v/>
      </c>
      <c r="CI732" s="38" t="str">
        <f t="shared" si="127"/>
        <v/>
      </c>
      <c r="CJ732" s="38" t="str">
        <f t="shared" si="128"/>
        <v/>
      </c>
      <c r="CK732" s="38" t="str">
        <f t="shared" si="129"/>
        <v/>
      </c>
      <c r="CL732" s="38" t="str">
        <f>IF(C732="","",IF(COUNT(G732:AZ732)&lt;46,"",SUMPRODUCT(CC732:CK732,'تنظیمات وزن‌دهی'!$C$5:$C$13)/100))</f>
        <v/>
      </c>
      <c r="CM732" s="38" t="str">
        <f t="shared" si="130"/>
        <v/>
      </c>
      <c r="CN732" s="38">
        <v>8</v>
      </c>
      <c r="CO732" s="28" t="str">
        <f t="shared" si="131"/>
        <v/>
      </c>
      <c r="CP732" s="58"/>
    </row>
    <row r="733" spans="1:94" ht="17.25" hidden="1">
      <c r="A733" s="33">
        <v>729</v>
      </c>
      <c r="B733" s="55" t="s">
        <v>191</v>
      </c>
      <c r="C733" s="55" t="str">
        <f>IF(دانش‌آموزان!E65="","",دانش‌آموزان!B65)</f>
        <v/>
      </c>
      <c r="D733" s="55" t="str">
        <f>IF(دانش‌آموزان!C65="","",دانش‌آموزان!C65)</f>
        <v/>
      </c>
      <c r="E733" s="55" t="str">
        <f>IF(دانش‌آموزان!E65="","",دانش‌آموزان!E65&amp;" "&amp;دانش‌آموزان!F65)</f>
        <v/>
      </c>
      <c r="F733" s="34" t="str">
        <f>IF(دانش‌آموزان!I65="","",دانش‌آموزان!I65)</f>
        <v/>
      </c>
      <c r="G733" s="19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  <c r="BO733" s="20"/>
      <c r="BP733" s="20"/>
      <c r="BQ733" s="20"/>
      <c r="BR733" s="20"/>
      <c r="BS733" s="20"/>
      <c r="BT733" s="20"/>
      <c r="BU733" s="20"/>
      <c r="BV733" s="20"/>
      <c r="BW733" s="20"/>
      <c r="BX733" s="20"/>
      <c r="BY733" s="20"/>
      <c r="BZ733" s="20"/>
      <c r="CA733" s="20"/>
      <c r="CB733" s="21"/>
      <c r="CC733" s="27" t="str">
        <f t="shared" si="121"/>
        <v/>
      </c>
      <c r="CD733" s="38" t="str">
        <f t="shared" si="122"/>
        <v/>
      </c>
      <c r="CE733" s="38" t="str">
        <f t="shared" si="123"/>
        <v/>
      </c>
      <c r="CF733" s="38" t="str">
        <f t="shared" si="124"/>
        <v/>
      </c>
      <c r="CG733" s="38" t="str">
        <f t="shared" si="125"/>
        <v/>
      </c>
      <c r="CH733" s="38" t="str">
        <f t="shared" si="126"/>
        <v/>
      </c>
      <c r="CI733" s="38" t="str">
        <f t="shared" si="127"/>
        <v/>
      </c>
      <c r="CJ733" s="38" t="str">
        <f t="shared" si="128"/>
        <v/>
      </c>
      <c r="CK733" s="38" t="str">
        <f t="shared" si="129"/>
        <v/>
      </c>
      <c r="CL733" s="38" t="str">
        <f>IF(C733="","",IF(COUNT(G733:AZ733)&lt;46,"",SUMPRODUCT(CC733:CK733,'تنظیمات وزن‌دهی'!$C$5:$C$13)/100))</f>
        <v/>
      </c>
      <c r="CM733" s="38" t="str">
        <f t="shared" si="130"/>
        <v/>
      </c>
      <c r="CN733" s="38">
        <v>9</v>
      </c>
      <c r="CO733" s="28" t="str">
        <f t="shared" si="131"/>
        <v/>
      </c>
      <c r="CP733" s="58"/>
    </row>
    <row r="734" spans="1:94" ht="17.25" hidden="1">
      <c r="A734" s="33">
        <v>730</v>
      </c>
      <c r="B734" s="55" t="s">
        <v>192</v>
      </c>
      <c r="C734" s="55" t="str">
        <f>IF(دانش‌آموزان!E65="","",دانش‌آموزان!B65)</f>
        <v/>
      </c>
      <c r="D734" s="55" t="str">
        <f>IF(دانش‌آموزان!C65="","",دانش‌آموزان!C65)</f>
        <v/>
      </c>
      <c r="E734" s="55" t="str">
        <f>IF(دانش‌آموزان!E65="","",دانش‌آموزان!E65&amp;" "&amp;دانش‌آموزان!F65)</f>
        <v/>
      </c>
      <c r="F734" s="34" t="str">
        <f>IF(دانش‌آموزان!I65="","",دانش‌آموزان!I65)</f>
        <v/>
      </c>
      <c r="G734" s="19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  <c r="BJ734" s="20"/>
      <c r="BK734" s="20"/>
      <c r="BL734" s="20"/>
      <c r="BM734" s="20"/>
      <c r="BN734" s="20"/>
      <c r="BO734" s="20"/>
      <c r="BP734" s="20"/>
      <c r="BQ734" s="20"/>
      <c r="BR734" s="20"/>
      <c r="BS734" s="20"/>
      <c r="BT734" s="20"/>
      <c r="BU734" s="20"/>
      <c r="BV734" s="20"/>
      <c r="BW734" s="20"/>
      <c r="BX734" s="20"/>
      <c r="BY734" s="20"/>
      <c r="BZ734" s="20"/>
      <c r="CA734" s="20"/>
      <c r="CB734" s="21"/>
      <c r="CC734" s="27" t="str">
        <f t="shared" si="121"/>
        <v/>
      </c>
      <c r="CD734" s="38" t="str">
        <f t="shared" si="122"/>
        <v/>
      </c>
      <c r="CE734" s="38" t="str">
        <f t="shared" si="123"/>
        <v/>
      </c>
      <c r="CF734" s="38" t="str">
        <f t="shared" si="124"/>
        <v/>
      </c>
      <c r="CG734" s="38" t="str">
        <f t="shared" si="125"/>
        <v/>
      </c>
      <c r="CH734" s="38" t="str">
        <f t="shared" si="126"/>
        <v/>
      </c>
      <c r="CI734" s="38" t="str">
        <f t="shared" si="127"/>
        <v/>
      </c>
      <c r="CJ734" s="38" t="str">
        <f t="shared" si="128"/>
        <v/>
      </c>
      <c r="CK734" s="38" t="str">
        <f t="shared" si="129"/>
        <v/>
      </c>
      <c r="CL734" s="38" t="str">
        <f>IF(C734="","",IF(COUNT(G734:AZ734)&lt;46,"",SUMPRODUCT(CC734:CK734,'تنظیمات وزن‌دهی'!$C$5:$C$13)/100))</f>
        <v/>
      </c>
      <c r="CM734" s="38" t="str">
        <f t="shared" si="130"/>
        <v/>
      </c>
      <c r="CN734" s="38">
        <v>10</v>
      </c>
      <c r="CO734" s="28" t="str">
        <f t="shared" si="131"/>
        <v/>
      </c>
      <c r="CP734" s="58"/>
    </row>
    <row r="735" spans="1:94" ht="17.25" hidden="1">
      <c r="A735" s="33">
        <v>731</v>
      </c>
      <c r="B735" s="55" t="s">
        <v>193</v>
      </c>
      <c r="C735" s="55" t="str">
        <f>IF(دانش‌آموزان!E65="","",دانش‌آموزان!B65)</f>
        <v/>
      </c>
      <c r="D735" s="55" t="str">
        <f>IF(دانش‌آموزان!C65="","",دانش‌آموزان!C65)</f>
        <v/>
      </c>
      <c r="E735" s="55" t="str">
        <f>IF(دانش‌آموزان!E65="","",دانش‌آموزان!E65&amp;" "&amp;دانش‌آموزان!F65)</f>
        <v/>
      </c>
      <c r="F735" s="34" t="str">
        <f>IF(دانش‌آموزان!I65="","",دانش‌آموزان!I65)</f>
        <v/>
      </c>
      <c r="G735" s="19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  <c r="BJ735" s="20"/>
      <c r="BK735" s="20"/>
      <c r="BL735" s="20"/>
      <c r="BM735" s="20"/>
      <c r="BN735" s="20"/>
      <c r="BO735" s="20"/>
      <c r="BP735" s="20"/>
      <c r="BQ735" s="20"/>
      <c r="BR735" s="20"/>
      <c r="BS735" s="20"/>
      <c r="BT735" s="20"/>
      <c r="BU735" s="20"/>
      <c r="BV735" s="20"/>
      <c r="BW735" s="20"/>
      <c r="BX735" s="20"/>
      <c r="BY735" s="20"/>
      <c r="BZ735" s="20"/>
      <c r="CA735" s="20"/>
      <c r="CB735" s="21"/>
      <c r="CC735" s="27" t="str">
        <f t="shared" si="121"/>
        <v/>
      </c>
      <c r="CD735" s="38" t="str">
        <f t="shared" si="122"/>
        <v/>
      </c>
      <c r="CE735" s="38" t="str">
        <f t="shared" si="123"/>
        <v/>
      </c>
      <c r="CF735" s="38" t="str">
        <f t="shared" si="124"/>
        <v/>
      </c>
      <c r="CG735" s="38" t="str">
        <f t="shared" si="125"/>
        <v/>
      </c>
      <c r="CH735" s="38" t="str">
        <f t="shared" si="126"/>
        <v/>
      </c>
      <c r="CI735" s="38" t="str">
        <f t="shared" si="127"/>
        <v/>
      </c>
      <c r="CJ735" s="38" t="str">
        <f t="shared" si="128"/>
        <v/>
      </c>
      <c r="CK735" s="38" t="str">
        <f t="shared" si="129"/>
        <v/>
      </c>
      <c r="CL735" s="38" t="str">
        <f>IF(C735="","",IF(COUNT(G735:AZ735)&lt;46,"",SUMPRODUCT(CC735:CK735,'تنظیمات وزن‌دهی'!$C$5:$C$13)/100))</f>
        <v/>
      </c>
      <c r="CM735" s="38" t="str">
        <f t="shared" si="130"/>
        <v/>
      </c>
      <c r="CN735" s="38">
        <v>11</v>
      </c>
      <c r="CO735" s="28" t="str">
        <f t="shared" si="131"/>
        <v/>
      </c>
      <c r="CP735" s="58"/>
    </row>
    <row r="736" spans="1:94" ht="17.25" hidden="1">
      <c r="A736" s="33">
        <v>732</v>
      </c>
      <c r="B736" s="55" t="s">
        <v>194</v>
      </c>
      <c r="C736" s="55" t="str">
        <f>IF(دانش‌آموزان!E65="","",دانش‌آموزان!B65)</f>
        <v/>
      </c>
      <c r="D736" s="55" t="str">
        <f>IF(دانش‌آموزان!C65="","",دانش‌آموزان!C65)</f>
        <v/>
      </c>
      <c r="E736" s="55" t="str">
        <f>IF(دانش‌آموزان!E65="","",دانش‌آموزان!E65&amp;" "&amp;دانش‌آموزان!F65)</f>
        <v/>
      </c>
      <c r="F736" s="34" t="str">
        <f>IF(دانش‌آموزان!I65="","",دانش‌آموزان!I65)</f>
        <v/>
      </c>
      <c r="G736" s="19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  <c r="BK736" s="20"/>
      <c r="BL736" s="20"/>
      <c r="BM736" s="20"/>
      <c r="BN736" s="20"/>
      <c r="BO736" s="20"/>
      <c r="BP736" s="20"/>
      <c r="BQ736" s="20"/>
      <c r="BR736" s="20"/>
      <c r="BS736" s="20"/>
      <c r="BT736" s="20"/>
      <c r="BU736" s="20"/>
      <c r="BV736" s="20"/>
      <c r="BW736" s="20"/>
      <c r="BX736" s="20"/>
      <c r="BY736" s="20"/>
      <c r="BZ736" s="20"/>
      <c r="CA736" s="20"/>
      <c r="CB736" s="21"/>
      <c r="CC736" s="27" t="str">
        <f t="shared" si="121"/>
        <v/>
      </c>
      <c r="CD736" s="38" t="str">
        <f t="shared" si="122"/>
        <v/>
      </c>
      <c r="CE736" s="38" t="str">
        <f t="shared" si="123"/>
        <v/>
      </c>
      <c r="CF736" s="38" t="str">
        <f t="shared" si="124"/>
        <v/>
      </c>
      <c r="CG736" s="38" t="str">
        <f t="shared" si="125"/>
        <v/>
      </c>
      <c r="CH736" s="38" t="str">
        <f t="shared" si="126"/>
        <v/>
      </c>
      <c r="CI736" s="38" t="str">
        <f t="shared" si="127"/>
        <v/>
      </c>
      <c r="CJ736" s="38" t="str">
        <f t="shared" si="128"/>
        <v/>
      </c>
      <c r="CK736" s="38" t="str">
        <f t="shared" si="129"/>
        <v/>
      </c>
      <c r="CL736" s="38" t="str">
        <f>IF(C736="","",IF(COUNT(G736:AZ736)&lt;46,"",SUMPRODUCT(CC736:CK736,'تنظیمات وزن‌دهی'!$C$5:$C$13)/100))</f>
        <v/>
      </c>
      <c r="CM736" s="38" t="str">
        <f t="shared" si="130"/>
        <v/>
      </c>
      <c r="CN736" s="38">
        <v>12</v>
      </c>
      <c r="CO736" s="28" t="str">
        <f t="shared" si="131"/>
        <v/>
      </c>
      <c r="CP736" s="58"/>
    </row>
    <row r="737" spans="1:94" ht="17.25" hidden="1">
      <c r="A737" s="33">
        <v>733</v>
      </c>
      <c r="B737" s="55" t="s">
        <v>183</v>
      </c>
      <c r="C737" s="55" t="str">
        <f>IF(دانش‌آموزان!E66="","",دانش‌آموزان!B66)</f>
        <v/>
      </c>
      <c r="D737" s="55" t="str">
        <f>IF(دانش‌آموزان!C66="","",دانش‌آموزان!C66)</f>
        <v/>
      </c>
      <c r="E737" s="55" t="str">
        <f>IF(دانش‌آموزان!E66="","",دانش‌آموزان!E66&amp;" "&amp;دانش‌آموزان!F66)</f>
        <v/>
      </c>
      <c r="F737" s="34" t="str">
        <f>IF(دانش‌آموزان!I66="","",دانش‌آموزان!I66)</f>
        <v/>
      </c>
      <c r="G737" s="19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  <c r="BJ737" s="20"/>
      <c r="BK737" s="20"/>
      <c r="BL737" s="20"/>
      <c r="BM737" s="20"/>
      <c r="BN737" s="20"/>
      <c r="BO737" s="20"/>
      <c r="BP737" s="20"/>
      <c r="BQ737" s="20"/>
      <c r="BR737" s="20"/>
      <c r="BS737" s="20"/>
      <c r="BT737" s="20"/>
      <c r="BU737" s="20"/>
      <c r="BV737" s="20"/>
      <c r="BW737" s="20"/>
      <c r="BX737" s="20"/>
      <c r="BY737" s="20"/>
      <c r="BZ737" s="20"/>
      <c r="CA737" s="20"/>
      <c r="CB737" s="21"/>
      <c r="CC737" s="27" t="str">
        <f t="shared" si="121"/>
        <v/>
      </c>
      <c r="CD737" s="38" t="str">
        <f t="shared" si="122"/>
        <v/>
      </c>
      <c r="CE737" s="38" t="str">
        <f t="shared" si="123"/>
        <v/>
      </c>
      <c r="CF737" s="38" t="str">
        <f t="shared" si="124"/>
        <v/>
      </c>
      <c r="CG737" s="38" t="str">
        <f t="shared" si="125"/>
        <v/>
      </c>
      <c r="CH737" s="38" t="str">
        <f t="shared" si="126"/>
        <v/>
      </c>
      <c r="CI737" s="38" t="str">
        <f t="shared" si="127"/>
        <v/>
      </c>
      <c r="CJ737" s="38" t="str">
        <f t="shared" si="128"/>
        <v/>
      </c>
      <c r="CK737" s="38" t="str">
        <f t="shared" si="129"/>
        <v/>
      </c>
      <c r="CL737" s="38" t="str">
        <f>IF(C737="","",IF(COUNT(G737:AZ737)&lt;46,"",SUMPRODUCT(CC737:CK737,'تنظیمات وزن‌دهی'!$C$5:$C$13)/100))</f>
        <v/>
      </c>
      <c r="CM737" s="38" t="str">
        <f t="shared" si="130"/>
        <v/>
      </c>
      <c r="CN737" s="38">
        <v>1</v>
      </c>
      <c r="CO737" s="28" t="str">
        <f t="shared" si="131"/>
        <v/>
      </c>
      <c r="CP737" s="58"/>
    </row>
    <row r="738" spans="1:94" ht="17.25" hidden="1">
      <c r="A738" s="33">
        <v>734</v>
      </c>
      <c r="B738" s="55" t="s">
        <v>184</v>
      </c>
      <c r="C738" s="55" t="str">
        <f>IF(دانش‌آموزان!E66="","",دانش‌آموزان!B66)</f>
        <v/>
      </c>
      <c r="D738" s="55" t="str">
        <f>IF(دانش‌آموزان!C66="","",دانش‌آموزان!C66)</f>
        <v/>
      </c>
      <c r="E738" s="55" t="str">
        <f>IF(دانش‌آموزان!E66="","",دانش‌آموزان!E66&amp;" "&amp;دانش‌آموزان!F66)</f>
        <v/>
      </c>
      <c r="F738" s="34" t="str">
        <f>IF(دانش‌آموزان!I66="","",دانش‌آموزان!I66)</f>
        <v/>
      </c>
      <c r="G738" s="19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  <c r="BK738" s="20"/>
      <c r="BL738" s="20"/>
      <c r="BM738" s="20"/>
      <c r="BN738" s="20"/>
      <c r="BO738" s="20"/>
      <c r="BP738" s="20"/>
      <c r="BQ738" s="20"/>
      <c r="BR738" s="20"/>
      <c r="BS738" s="20"/>
      <c r="BT738" s="20"/>
      <c r="BU738" s="20"/>
      <c r="BV738" s="20"/>
      <c r="BW738" s="20"/>
      <c r="BX738" s="20"/>
      <c r="BY738" s="20"/>
      <c r="BZ738" s="20"/>
      <c r="CA738" s="20"/>
      <c r="CB738" s="21"/>
      <c r="CC738" s="27" t="str">
        <f t="shared" si="121"/>
        <v/>
      </c>
      <c r="CD738" s="38" t="str">
        <f t="shared" si="122"/>
        <v/>
      </c>
      <c r="CE738" s="38" t="str">
        <f t="shared" si="123"/>
        <v/>
      </c>
      <c r="CF738" s="38" t="str">
        <f t="shared" si="124"/>
        <v/>
      </c>
      <c r="CG738" s="38" t="str">
        <f t="shared" si="125"/>
        <v/>
      </c>
      <c r="CH738" s="38" t="str">
        <f t="shared" si="126"/>
        <v/>
      </c>
      <c r="CI738" s="38" t="str">
        <f t="shared" si="127"/>
        <v/>
      </c>
      <c r="CJ738" s="38" t="str">
        <f t="shared" si="128"/>
        <v/>
      </c>
      <c r="CK738" s="38" t="str">
        <f t="shared" si="129"/>
        <v/>
      </c>
      <c r="CL738" s="38" t="str">
        <f>IF(C738="","",IF(COUNT(G738:AZ738)&lt;46,"",SUMPRODUCT(CC738:CK738,'تنظیمات وزن‌دهی'!$C$5:$C$13)/100))</f>
        <v/>
      </c>
      <c r="CM738" s="38" t="str">
        <f t="shared" si="130"/>
        <v/>
      </c>
      <c r="CN738" s="38">
        <v>2</v>
      </c>
      <c r="CO738" s="28" t="str">
        <f t="shared" si="131"/>
        <v/>
      </c>
      <c r="CP738" s="58"/>
    </row>
    <row r="739" spans="1:94" ht="17.25">
      <c r="A739" s="33">
        <v>735</v>
      </c>
      <c r="B739" s="55" t="s">
        <v>185</v>
      </c>
      <c r="C739" s="55" t="str">
        <f>IF(دانش‌آموزان!E66="","",دانش‌آموزان!B66)</f>
        <v/>
      </c>
      <c r="D739" s="55" t="str">
        <f>IF(دانش‌آموزان!C66="","",دانش‌آموزان!C66)</f>
        <v/>
      </c>
      <c r="E739" s="55" t="str">
        <f>IF(دانش‌آموزان!E66="","",دانش‌آموزان!E66&amp;" "&amp;دانش‌آموزان!F66)</f>
        <v/>
      </c>
      <c r="F739" s="34" t="str">
        <f>IF(دانش‌آموزان!I66="","",دانش‌آموزان!I66)</f>
        <v/>
      </c>
      <c r="G739" s="19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  <c r="BO739" s="20"/>
      <c r="BP739" s="20"/>
      <c r="BQ739" s="20"/>
      <c r="BR739" s="20"/>
      <c r="BS739" s="20"/>
      <c r="BT739" s="20"/>
      <c r="BU739" s="20"/>
      <c r="BV739" s="20"/>
      <c r="BW739" s="20"/>
      <c r="BX739" s="20"/>
      <c r="BY739" s="20"/>
      <c r="BZ739" s="20"/>
      <c r="CA739" s="20"/>
      <c r="CB739" s="21"/>
      <c r="CC739" s="27" t="str">
        <f t="shared" si="121"/>
        <v/>
      </c>
      <c r="CD739" s="38" t="str">
        <f t="shared" si="122"/>
        <v/>
      </c>
      <c r="CE739" s="38" t="str">
        <f t="shared" si="123"/>
        <v/>
      </c>
      <c r="CF739" s="38" t="str">
        <f t="shared" si="124"/>
        <v/>
      </c>
      <c r="CG739" s="38" t="str">
        <f t="shared" si="125"/>
        <v/>
      </c>
      <c r="CH739" s="38" t="str">
        <f t="shared" si="126"/>
        <v/>
      </c>
      <c r="CI739" s="38" t="str">
        <f t="shared" si="127"/>
        <v/>
      </c>
      <c r="CJ739" s="38" t="str">
        <f t="shared" si="128"/>
        <v/>
      </c>
      <c r="CK739" s="38" t="str">
        <f t="shared" si="129"/>
        <v/>
      </c>
      <c r="CL739" s="38" t="str">
        <f>IF(C739="","",IF(COUNT(G739:AZ739)&lt;46,"",SUMPRODUCT(CC739:CK739,'تنظیمات وزن‌دهی'!$C$5:$C$13)/100))</f>
        <v/>
      </c>
      <c r="CM739" s="38" t="str">
        <f t="shared" si="130"/>
        <v/>
      </c>
      <c r="CN739" s="38">
        <v>3</v>
      </c>
      <c r="CO739" s="28" t="str">
        <f t="shared" si="131"/>
        <v/>
      </c>
      <c r="CP739" s="58"/>
    </row>
    <row r="740" spans="1:94" ht="17.25" hidden="1">
      <c r="A740" s="33">
        <v>736</v>
      </c>
      <c r="B740" s="55" t="s">
        <v>186</v>
      </c>
      <c r="C740" s="55" t="str">
        <f>IF(دانش‌آموزان!E66="","",دانش‌آموزان!B66)</f>
        <v/>
      </c>
      <c r="D740" s="55" t="str">
        <f>IF(دانش‌آموزان!C66="","",دانش‌آموزان!C66)</f>
        <v/>
      </c>
      <c r="E740" s="55" t="str">
        <f>IF(دانش‌آموزان!E66="","",دانش‌آموزان!E66&amp;" "&amp;دانش‌آموزان!F66)</f>
        <v/>
      </c>
      <c r="F740" s="34" t="str">
        <f>IF(دانش‌آموزان!I66="","",دانش‌آموزان!I66)</f>
        <v/>
      </c>
      <c r="G740" s="19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  <c r="BO740" s="20"/>
      <c r="BP740" s="20"/>
      <c r="BQ740" s="20"/>
      <c r="BR740" s="20"/>
      <c r="BS740" s="20"/>
      <c r="BT740" s="20"/>
      <c r="BU740" s="20"/>
      <c r="BV740" s="20"/>
      <c r="BW740" s="20"/>
      <c r="BX740" s="20"/>
      <c r="BY740" s="20"/>
      <c r="BZ740" s="20"/>
      <c r="CA740" s="20"/>
      <c r="CB740" s="21"/>
      <c r="CC740" s="27" t="str">
        <f t="shared" si="121"/>
        <v/>
      </c>
      <c r="CD740" s="38" t="str">
        <f t="shared" si="122"/>
        <v/>
      </c>
      <c r="CE740" s="38" t="str">
        <f t="shared" si="123"/>
        <v/>
      </c>
      <c r="CF740" s="38" t="str">
        <f t="shared" si="124"/>
        <v/>
      </c>
      <c r="CG740" s="38" t="str">
        <f t="shared" si="125"/>
        <v/>
      </c>
      <c r="CH740" s="38" t="str">
        <f t="shared" si="126"/>
        <v/>
      </c>
      <c r="CI740" s="38" t="str">
        <f t="shared" si="127"/>
        <v/>
      </c>
      <c r="CJ740" s="38" t="str">
        <f t="shared" si="128"/>
        <v/>
      </c>
      <c r="CK740" s="38" t="str">
        <f t="shared" si="129"/>
        <v/>
      </c>
      <c r="CL740" s="38" t="str">
        <f>IF(C740="","",IF(COUNT(G740:AZ740)&lt;46,"",SUMPRODUCT(CC740:CK740,'تنظیمات وزن‌دهی'!$C$5:$C$13)/100))</f>
        <v/>
      </c>
      <c r="CM740" s="38" t="str">
        <f t="shared" si="130"/>
        <v/>
      </c>
      <c r="CN740" s="38">
        <v>4</v>
      </c>
      <c r="CO740" s="28" t="str">
        <f t="shared" si="131"/>
        <v/>
      </c>
      <c r="CP740" s="58"/>
    </row>
    <row r="741" spans="1:94" ht="17.25" hidden="1">
      <c r="A741" s="33">
        <v>737</v>
      </c>
      <c r="B741" s="55" t="s">
        <v>187</v>
      </c>
      <c r="C741" s="55" t="str">
        <f>IF(دانش‌آموزان!E66="","",دانش‌آموزان!B66)</f>
        <v/>
      </c>
      <c r="D741" s="55" t="str">
        <f>IF(دانش‌آموزان!C66="","",دانش‌آموزان!C66)</f>
        <v/>
      </c>
      <c r="E741" s="55" t="str">
        <f>IF(دانش‌آموزان!E66="","",دانش‌آموزان!E66&amp;" "&amp;دانش‌آموزان!F66)</f>
        <v/>
      </c>
      <c r="F741" s="34" t="str">
        <f>IF(دانش‌آموزان!I66="","",دانش‌آموزان!I66)</f>
        <v/>
      </c>
      <c r="G741" s="19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  <c r="BO741" s="20"/>
      <c r="BP741" s="20"/>
      <c r="BQ741" s="20"/>
      <c r="BR741" s="20"/>
      <c r="BS741" s="20"/>
      <c r="BT741" s="20"/>
      <c r="BU741" s="20"/>
      <c r="BV741" s="20"/>
      <c r="BW741" s="20"/>
      <c r="BX741" s="20"/>
      <c r="BY741" s="20"/>
      <c r="BZ741" s="20"/>
      <c r="CA741" s="20"/>
      <c r="CB741" s="21"/>
      <c r="CC741" s="27" t="str">
        <f t="shared" si="121"/>
        <v/>
      </c>
      <c r="CD741" s="38" t="str">
        <f t="shared" si="122"/>
        <v/>
      </c>
      <c r="CE741" s="38" t="str">
        <f t="shared" si="123"/>
        <v/>
      </c>
      <c r="CF741" s="38" t="str">
        <f t="shared" si="124"/>
        <v/>
      </c>
      <c r="CG741" s="38" t="str">
        <f t="shared" si="125"/>
        <v/>
      </c>
      <c r="CH741" s="38" t="str">
        <f t="shared" si="126"/>
        <v/>
      </c>
      <c r="CI741" s="38" t="str">
        <f t="shared" si="127"/>
        <v/>
      </c>
      <c r="CJ741" s="38" t="str">
        <f t="shared" si="128"/>
        <v/>
      </c>
      <c r="CK741" s="38" t="str">
        <f t="shared" si="129"/>
        <v/>
      </c>
      <c r="CL741" s="38" t="str">
        <f>IF(C741="","",IF(COUNT(G741:AZ741)&lt;46,"",SUMPRODUCT(CC741:CK741,'تنظیمات وزن‌دهی'!$C$5:$C$13)/100))</f>
        <v/>
      </c>
      <c r="CM741" s="38" t="str">
        <f t="shared" si="130"/>
        <v/>
      </c>
      <c r="CN741" s="38">
        <v>5</v>
      </c>
      <c r="CO741" s="28" t="str">
        <f t="shared" si="131"/>
        <v/>
      </c>
      <c r="CP741" s="58"/>
    </row>
    <row r="742" spans="1:94" ht="17.25" hidden="1">
      <c r="A742" s="33">
        <v>738</v>
      </c>
      <c r="B742" s="55" t="s">
        <v>188</v>
      </c>
      <c r="C742" s="55" t="str">
        <f>IF(دانش‌آموزان!E66="","",دانش‌آموزان!B66)</f>
        <v/>
      </c>
      <c r="D742" s="55" t="str">
        <f>IF(دانش‌آموزان!C66="","",دانش‌آموزان!C66)</f>
        <v/>
      </c>
      <c r="E742" s="55" t="str">
        <f>IF(دانش‌آموزان!E66="","",دانش‌آموزان!E66&amp;" "&amp;دانش‌آموزان!F66)</f>
        <v/>
      </c>
      <c r="F742" s="34" t="str">
        <f>IF(دانش‌آموزان!I66="","",دانش‌آموزان!I66)</f>
        <v/>
      </c>
      <c r="G742" s="19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20"/>
      <c r="BL742" s="20"/>
      <c r="BM742" s="20"/>
      <c r="BN742" s="20"/>
      <c r="BO742" s="20"/>
      <c r="BP742" s="20"/>
      <c r="BQ742" s="20"/>
      <c r="BR742" s="20"/>
      <c r="BS742" s="20"/>
      <c r="BT742" s="20"/>
      <c r="BU742" s="20"/>
      <c r="BV742" s="20"/>
      <c r="BW742" s="20"/>
      <c r="BX742" s="20"/>
      <c r="BY742" s="20"/>
      <c r="BZ742" s="20"/>
      <c r="CA742" s="20"/>
      <c r="CB742" s="21"/>
      <c r="CC742" s="27" t="str">
        <f t="shared" si="121"/>
        <v/>
      </c>
      <c r="CD742" s="38" t="str">
        <f t="shared" si="122"/>
        <v/>
      </c>
      <c r="CE742" s="38" t="str">
        <f t="shared" si="123"/>
        <v/>
      </c>
      <c r="CF742" s="38" t="str">
        <f t="shared" si="124"/>
        <v/>
      </c>
      <c r="CG742" s="38" t="str">
        <f t="shared" si="125"/>
        <v/>
      </c>
      <c r="CH742" s="38" t="str">
        <f t="shared" si="126"/>
        <v/>
      </c>
      <c r="CI742" s="38" t="str">
        <f t="shared" si="127"/>
        <v/>
      </c>
      <c r="CJ742" s="38" t="str">
        <f t="shared" si="128"/>
        <v/>
      </c>
      <c r="CK742" s="38" t="str">
        <f t="shared" si="129"/>
        <v/>
      </c>
      <c r="CL742" s="38" t="str">
        <f>IF(C742="","",IF(COUNT(G742:AZ742)&lt;46,"",SUMPRODUCT(CC742:CK742,'تنظیمات وزن‌دهی'!$C$5:$C$13)/100))</f>
        <v/>
      </c>
      <c r="CM742" s="38" t="str">
        <f t="shared" si="130"/>
        <v/>
      </c>
      <c r="CN742" s="38">
        <v>6</v>
      </c>
      <c r="CO742" s="28" t="str">
        <f t="shared" si="131"/>
        <v/>
      </c>
      <c r="CP742" s="58"/>
    </row>
    <row r="743" spans="1:94" ht="17.25" hidden="1">
      <c r="A743" s="33">
        <v>739</v>
      </c>
      <c r="B743" s="55" t="s">
        <v>189</v>
      </c>
      <c r="C743" s="55" t="str">
        <f>IF(دانش‌آموزان!E66="","",دانش‌آموزان!B66)</f>
        <v/>
      </c>
      <c r="D743" s="55" t="str">
        <f>IF(دانش‌آموزان!C66="","",دانش‌آموزان!C66)</f>
        <v/>
      </c>
      <c r="E743" s="55" t="str">
        <f>IF(دانش‌آموزان!E66="","",دانش‌آموزان!E66&amp;" "&amp;دانش‌آموزان!F66)</f>
        <v/>
      </c>
      <c r="F743" s="34" t="str">
        <f>IF(دانش‌آموزان!I66="","",دانش‌آموزان!I66)</f>
        <v/>
      </c>
      <c r="G743" s="19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  <c r="BJ743" s="20"/>
      <c r="BK743" s="20"/>
      <c r="BL743" s="20"/>
      <c r="BM743" s="20"/>
      <c r="BN743" s="20"/>
      <c r="BO743" s="20"/>
      <c r="BP743" s="20"/>
      <c r="BQ743" s="20"/>
      <c r="BR743" s="20"/>
      <c r="BS743" s="20"/>
      <c r="BT743" s="20"/>
      <c r="BU743" s="20"/>
      <c r="BV743" s="20"/>
      <c r="BW743" s="20"/>
      <c r="BX743" s="20"/>
      <c r="BY743" s="20"/>
      <c r="BZ743" s="20"/>
      <c r="CA743" s="20"/>
      <c r="CB743" s="21"/>
      <c r="CC743" s="27" t="str">
        <f t="shared" si="121"/>
        <v/>
      </c>
      <c r="CD743" s="38" t="str">
        <f t="shared" si="122"/>
        <v/>
      </c>
      <c r="CE743" s="38" t="str">
        <f t="shared" si="123"/>
        <v/>
      </c>
      <c r="CF743" s="38" t="str">
        <f t="shared" si="124"/>
        <v/>
      </c>
      <c r="CG743" s="38" t="str">
        <f t="shared" si="125"/>
        <v/>
      </c>
      <c r="CH743" s="38" t="str">
        <f t="shared" si="126"/>
        <v/>
      </c>
      <c r="CI743" s="38" t="str">
        <f t="shared" si="127"/>
        <v/>
      </c>
      <c r="CJ743" s="38" t="str">
        <f t="shared" si="128"/>
        <v/>
      </c>
      <c r="CK743" s="38" t="str">
        <f t="shared" si="129"/>
        <v/>
      </c>
      <c r="CL743" s="38" t="str">
        <f>IF(C743="","",IF(COUNT(G743:AZ743)&lt;46,"",SUMPRODUCT(CC743:CK743,'تنظیمات وزن‌دهی'!$C$5:$C$13)/100))</f>
        <v/>
      </c>
      <c r="CM743" s="38" t="str">
        <f t="shared" si="130"/>
        <v/>
      </c>
      <c r="CN743" s="38">
        <v>7</v>
      </c>
      <c r="CO743" s="28" t="str">
        <f t="shared" si="131"/>
        <v/>
      </c>
      <c r="CP743" s="58"/>
    </row>
    <row r="744" spans="1:94" ht="17.25" hidden="1">
      <c r="A744" s="33">
        <v>740</v>
      </c>
      <c r="B744" s="55" t="s">
        <v>190</v>
      </c>
      <c r="C744" s="55" t="str">
        <f>IF(دانش‌آموزان!E66="","",دانش‌آموزان!B66)</f>
        <v/>
      </c>
      <c r="D744" s="55" t="str">
        <f>IF(دانش‌آموزان!C66="","",دانش‌آموزان!C66)</f>
        <v/>
      </c>
      <c r="E744" s="55" t="str">
        <f>IF(دانش‌آموزان!E66="","",دانش‌آموزان!E66&amp;" "&amp;دانش‌آموزان!F66)</f>
        <v/>
      </c>
      <c r="F744" s="34" t="str">
        <f>IF(دانش‌آموزان!I66="","",دانش‌آموزان!I66)</f>
        <v/>
      </c>
      <c r="G744" s="19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20"/>
      <c r="BM744" s="20"/>
      <c r="BN744" s="20"/>
      <c r="BO744" s="20"/>
      <c r="BP744" s="20"/>
      <c r="BQ744" s="20"/>
      <c r="BR744" s="20"/>
      <c r="BS744" s="20"/>
      <c r="BT744" s="20"/>
      <c r="BU744" s="20"/>
      <c r="BV744" s="20"/>
      <c r="BW744" s="20"/>
      <c r="BX744" s="20"/>
      <c r="BY744" s="20"/>
      <c r="BZ744" s="20"/>
      <c r="CA744" s="20"/>
      <c r="CB744" s="21"/>
      <c r="CC744" s="27" t="str">
        <f t="shared" si="121"/>
        <v/>
      </c>
      <c r="CD744" s="38" t="str">
        <f t="shared" si="122"/>
        <v/>
      </c>
      <c r="CE744" s="38" t="str">
        <f t="shared" si="123"/>
        <v/>
      </c>
      <c r="CF744" s="38" t="str">
        <f t="shared" si="124"/>
        <v/>
      </c>
      <c r="CG744" s="38" t="str">
        <f t="shared" si="125"/>
        <v/>
      </c>
      <c r="CH744" s="38" t="str">
        <f t="shared" si="126"/>
        <v/>
      </c>
      <c r="CI744" s="38" t="str">
        <f t="shared" si="127"/>
        <v/>
      </c>
      <c r="CJ744" s="38" t="str">
        <f t="shared" si="128"/>
        <v/>
      </c>
      <c r="CK744" s="38" t="str">
        <f t="shared" si="129"/>
        <v/>
      </c>
      <c r="CL744" s="38" t="str">
        <f>IF(C744="","",IF(COUNT(G744:AZ744)&lt;46,"",SUMPRODUCT(CC744:CK744,'تنظیمات وزن‌دهی'!$C$5:$C$13)/100))</f>
        <v/>
      </c>
      <c r="CM744" s="38" t="str">
        <f t="shared" si="130"/>
        <v/>
      </c>
      <c r="CN744" s="38">
        <v>8</v>
      </c>
      <c r="CO744" s="28" t="str">
        <f t="shared" si="131"/>
        <v/>
      </c>
      <c r="CP744" s="58"/>
    </row>
    <row r="745" spans="1:94" ht="17.25" hidden="1">
      <c r="A745" s="33">
        <v>741</v>
      </c>
      <c r="B745" s="55" t="s">
        <v>191</v>
      </c>
      <c r="C745" s="55" t="str">
        <f>IF(دانش‌آموزان!E66="","",دانش‌آموزان!B66)</f>
        <v/>
      </c>
      <c r="D745" s="55" t="str">
        <f>IF(دانش‌آموزان!C66="","",دانش‌آموزان!C66)</f>
        <v/>
      </c>
      <c r="E745" s="55" t="str">
        <f>IF(دانش‌آموزان!E66="","",دانش‌آموزان!E66&amp;" "&amp;دانش‌آموزان!F66)</f>
        <v/>
      </c>
      <c r="F745" s="34" t="str">
        <f>IF(دانش‌آموزان!I66="","",دانش‌آموزان!I66)</f>
        <v/>
      </c>
      <c r="G745" s="19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20"/>
      <c r="BM745" s="20"/>
      <c r="BN745" s="20"/>
      <c r="BO745" s="20"/>
      <c r="BP745" s="20"/>
      <c r="BQ745" s="20"/>
      <c r="BR745" s="20"/>
      <c r="BS745" s="20"/>
      <c r="BT745" s="20"/>
      <c r="BU745" s="20"/>
      <c r="BV745" s="20"/>
      <c r="BW745" s="20"/>
      <c r="BX745" s="20"/>
      <c r="BY745" s="20"/>
      <c r="BZ745" s="20"/>
      <c r="CA745" s="20"/>
      <c r="CB745" s="21"/>
      <c r="CC745" s="27" t="str">
        <f t="shared" si="121"/>
        <v/>
      </c>
      <c r="CD745" s="38" t="str">
        <f t="shared" si="122"/>
        <v/>
      </c>
      <c r="CE745" s="38" t="str">
        <f t="shared" si="123"/>
        <v/>
      </c>
      <c r="CF745" s="38" t="str">
        <f t="shared" si="124"/>
        <v/>
      </c>
      <c r="CG745" s="38" t="str">
        <f t="shared" si="125"/>
        <v/>
      </c>
      <c r="CH745" s="38" t="str">
        <f t="shared" si="126"/>
        <v/>
      </c>
      <c r="CI745" s="38" t="str">
        <f t="shared" si="127"/>
        <v/>
      </c>
      <c r="CJ745" s="38" t="str">
        <f t="shared" si="128"/>
        <v/>
      </c>
      <c r="CK745" s="38" t="str">
        <f t="shared" si="129"/>
        <v/>
      </c>
      <c r="CL745" s="38" t="str">
        <f>IF(C745="","",IF(COUNT(G745:AZ745)&lt;46,"",SUMPRODUCT(CC745:CK745,'تنظیمات وزن‌دهی'!$C$5:$C$13)/100))</f>
        <v/>
      </c>
      <c r="CM745" s="38" t="str">
        <f t="shared" si="130"/>
        <v/>
      </c>
      <c r="CN745" s="38">
        <v>9</v>
      </c>
      <c r="CO745" s="28" t="str">
        <f t="shared" si="131"/>
        <v/>
      </c>
      <c r="CP745" s="58"/>
    </row>
    <row r="746" spans="1:94" ht="17.25" hidden="1">
      <c r="A746" s="33">
        <v>742</v>
      </c>
      <c r="B746" s="55" t="s">
        <v>192</v>
      </c>
      <c r="C746" s="55" t="str">
        <f>IF(دانش‌آموزان!E66="","",دانش‌آموزان!B66)</f>
        <v/>
      </c>
      <c r="D746" s="55" t="str">
        <f>IF(دانش‌آموزان!C66="","",دانش‌آموزان!C66)</f>
        <v/>
      </c>
      <c r="E746" s="55" t="str">
        <f>IF(دانش‌آموزان!E66="","",دانش‌آموزان!E66&amp;" "&amp;دانش‌آموزان!F66)</f>
        <v/>
      </c>
      <c r="F746" s="34" t="str">
        <f>IF(دانش‌آموزان!I66="","",دانش‌آموزان!I66)</f>
        <v/>
      </c>
      <c r="G746" s="19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0"/>
      <c r="BL746" s="20"/>
      <c r="BM746" s="20"/>
      <c r="BN746" s="20"/>
      <c r="BO746" s="20"/>
      <c r="BP746" s="20"/>
      <c r="BQ746" s="20"/>
      <c r="BR746" s="20"/>
      <c r="BS746" s="20"/>
      <c r="BT746" s="20"/>
      <c r="BU746" s="20"/>
      <c r="BV746" s="20"/>
      <c r="BW746" s="20"/>
      <c r="BX746" s="20"/>
      <c r="BY746" s="20"/>
      <c r="BZ746" s="20"/>
      <c r="CA746" s="20"/>
      <c r="CB746" s="21"/>
      <c r="CC746" s="27" t="str">
        <f t="shared" si="121"/>
        <v/>
      </c>
      <c r="CD746" s="38" t="str">
        <f t="shared" si="122"/>
        <v/>
      </c>
      <c r="CE746" s="38" t="str">
        <f t="shared" si="123"/>
        <v/>
      </c>
      <c r="CF746" s="38" t="str">
        <f t="shared" si="124"/>
        <v/>
      </c>
      <c r="CG746" s="38" t="str">
        <f t="shared" si="125"/>
        <v/>
      </c>
      <c r="CH746" s="38" t="str">
        <f t="shared" si="126"/>
        <v/>
      </c>
      <c r="CI746" s="38" t="str">
        <f t="shared" si="127"/>
        <v/>
      </c>
      <c r="CJ746" s="38" t="str">
        <f t="shared" si="128"/>
        <v/>
      </c>
      <c r="CK746" s="38" t="str">
        <f t="shared" si="129"/>
        <v/>
      </c>
      <c r="CL746" s="38" t="str">
        <f>IF(C746="","",IF(COUNT(G746:AZ746)&lt;46,"",SUMPRODUCT(CC746:CK746,'تنظیمات وزن‌دهی'!$C$5:$C$13)/100))</f>
        <v/>
      </c>
      <c r="CM746" s="38" t="str">
        <f t="shared" si="130"/>
        <v/>
      </c>
      <c r="CN746" s="38">
        <v>10</v>
      </c>
      <c r="CO746" s="28" t="str">
        <f t="shared" si="131"/>
        <v/>
      </c>
      <c r="CP746" s="58"/>
    </row>
    <row r="747" spans="1:94" ht="17.25" hidden="1">
      <c r="A747" s="33">
        <v>743</v>
      </c>
      <c r="B747" s="55" t="s">
        <v>193</v>
      </c>
      <c r="C747" s="55" t="str">
        <f>IF(دانش‌آموزان!E66="","",دانش‌آموزان!B66)</f>
        <v/>
      </c>
      <c r="D747" s="55" t="str">
        <f>IF(دانش‌آموزان!C66="","",دانش‌آموزان!C66)</f>
        <v/>
      </c>
      <c r="E747" s="55" t="str">
        <f>IF(دانش‌آموزان!E66="","",دانش‌آموزان!E66&amp;" "&amp;دانش‌آموزان!F66)</f>
        <v/>
      </c>
      <c r="F747" s="34" t="str">
        <f>IF(دانش‌آموزان!I66="","",دانش‌آموزان!I66)</f>
        <v/>
      </c>
      <c r="G747" s="19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0"/>
      <c r="BL747" s="20"/>
      <c r="BM747" s="20"/>
      <c r="BN747" s="20"/>
      <c r="BO747" s="20"/>
      <c r="BP747" s="20"/>
      <c r="BQ747" s="20"/>
      <c r="BR747" s="20"/>
      <c r="BS747" s="20"/>
      <c r="BT747" s="20"/>
      <c r="BU747" s="20"/>
      <c r="BV747" s="20"/>
      <c r="BW747" s="20"/>
      <c r="BX747" s="20"/>
      <c r="BY747" s="20"/>
      <c r="BZ747" s="20"/>
      <c r="CA747" s="20"/>
      <c r="CB747" s="21"/>
      <c r="CC747" s="27" t="str">
        <f t="shared" si="121"/>
        <v/>
      </c>
      <c r="CD747" s="38" t="str">
        <f t="shared" si="122"/>
        <v/>
      </c>
      <c r="CE747" s="38" t="str">
        <f t="shared" si="123"/>
        <v/>
      </c>
      <c r="CF747" s="38" t="str">
        <f t="shared" si="124"/>
        <v/>
      </c>
      <c r="CG747" s="38" t="str">
        <f t="shared" si="125"/>
        <v/>
      </c>
      <c r="CH747" s="38" t="str">
        <f t="shared" si="126"/>
        <v/>
      </c>
      <c r="CI747" s="38" t="str">
        <f t="shared" si="127"/>
        <v/>
      </c>
      <c r="CJ747" s="38" t="str">
        <f t="shared" si="128"/>
        <v/>
      </c>
      <c r="CK747" s="38" t="str">
        <f t="shared" si="129"/>
        <v/>
      </c>
      <c r="CL747" s="38" t="str">
        <f>IF(C747="","",IF(COUNT(G747:AZ747)&lt;46,"",SUMPRODUCT(CC747:CK747,'تنظیمات وزن‌دهی'!$C$5:$C$13)/100))</f>
        <v/>
      </c>
      <c r="CM747" s="38" t="str">
        <f t="shared" si="130"/>
        <v/>
      </c>
      <c r="CN747" s="38">
        <v>11</v>
      </c>
      <c r="CO747" s="28" t="str">
        <f t="shared" si="131"/>
        <v/>
      </c>
      <c r="CP747" s="58"/>
    </row>
    <row r="748" spans="1:94" ht="17.25" hidden="1">
      <c r="A748" s="33">
        <v>744</v>
      </c>
      <c r="B748" s="55" t="s">
        <v>194</v>
      </c>
      <c r="C748" s="55" t="str">
        <f>IF(دانش‌آموزان!E66="","",دانش‌آموزان!B66)</f>
        <v/>
      </c>
      <c r="D748" s="55" t="str">
        <f>IF(دانش‌آموزان!C66="","",دانش‌آموزان!C66)</f>
        <v/>
      </c>
      <c r="E748" s="55" t="str">
        <f>IF(دانش‌آموزان!E66="","",دانش‌آموزان!E66&amp;" "&amp;دانش‌آموزان!F66)</f>
        <v/>
      </c>
      <c r="F748" s="34" t="str">
        <f>IF(دانش‌آموزان!I66="","",دانش‌آموزان!I66)</f>
        <v/>
      </c>
      <c r="G748" s="19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  <c r="BK748" s="20"/>
      <c r="BL748" s="20"/>
      <c r="BM748" s="20"/>
      <c r="BN748" s="20"/>
      <c r="BO748" s="20"/>
      <c r="BP748" s="20"/>
      <c r="BQ748" s="20"/>
      <c r="BR748" s="20"/>
      <c r="BS748" s="20"/>
      <c r="BT748" s="20"/>
      <c r="BU748" s="20"/>
      <c r="BV748" s="20"/>
      <c r="BW748" s="20"/>
      <c r="BX748" s="20"/>
      <c r="BY748" s="20"/>
      <c r="BZ748" s="20"/>
      <c r="CA748" s="20"/>
      <c r="CB748" s="21"/>
      <c r="CC748" s="27" t="str">
        <f t="shared" si="121"/>
        <v/>
      </c>
      <c r="CD748" s="38" t="str">
        <f t="shared" si="122"/>
        <v/>
      </c>
      <c r="CE748" s="38" t="str">
        <f t="shared" si="123"/>
        <v/>
      </c>
      <c r="CF748" s="38" t="str">
        <f t="shared" si="124"/>
        <v/>
      </c>
      <c r="CG748" s="38" t="str">
        <f t="shared" si="125"/>
        <v/>
      </c>
      <c r="CH748" s="38" t="str">
        <f t="shared" si="126"/>
        <v/>
      </c>
      <c r="CI748" s="38" t="str">
        <f t="shared" si="127"/>
        <v/>
      </c>
      <c r="CJ748" s="38" t="str">
        <f t="shared" si="128"/>
        <v/>
      </c>
      <c r="CK748" s="38" t="str">
        <f t="shared" si="129"/>
        <v/>
      </c>
      <c r="CL748" s="38" t="str">
        <f>IF(C748="","",IF(COUNT(G748:AZ748)&lt;46,"",SUMPRODUCT(CC748:CK748,'تنظیمات وزن‌دهی'!$C$5:$C$13)/100))</f>
        <v/>
      </c>
      <c r="CM748" s="38" t="str">
        <f t="shared" si="130"/>
        <v/>
      </c>
      <c r="CN748" s="38">
        <v>12</v>
      </c>
      <c r="CO748" s="28" t="str">
        <f t="shared" si="131"/>
        <v/>
      </c>
      <c r="CP748" s="58"/>
    </row>
    <row r="749" spans="1:94" ht="17.25" hidden="1">
      <c r="A749" s="33">
        <v>745</v>
      </c>
      <c r="B749" s="55" t="s">
        <v>183</v>
      </c>
      <c r="C749" s="55" t="str">
        <f>IF(دانش‌آموزان!E67="","",دانش‌آموزان!B67)</f>
        <v/>
      </c>
      <c r="D749" s="55" t="str">
        <f>IF(دانش‌آموزان!C67="","",دانش‌آموزان!C67)</f>
        <v/>
      </c>
      <c r="E749" s="55" t="str">
        <f>IF(دانش‌آموزان!E67="","",دانش‌آموزان!E67&amp;" "&amp;دانش‌آموزان!F67)</f>
        <v/>
      </c>
      <c r="F749" s="34" t="str">
        <f>IF(دانش‌آموزان!I67="","",دانش‌آموزان!I67)</f>
        <v/>
      </c>
      <c r="G749" s="19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0"/>
      <c r="BL749" s="20"/>
      <c r="BM749" s="20"/>
      <c r="BN749" s="20"/>
      <c r="BO749" s="20"/>
      <c r="BP749" s="20"/>
      <c r="BQ749" s="20"/>
      <c r="BR749" s="20"/>
      <c r="BS749" s="20"/>
      <c r="BT749" s="20"/>
      <c r="BU749" s="20"/>
      <c r="BV749" s="20"/>
      <c r="BW749" s="20"/>
      <c r="BX749" s="20"/>
      <c r="BY749" s="20"/>
      <c r="BZ749" s="20"/>
      <c r="CA749" s="20"/>
      <c r="CB749" s="21"/>
      <c r="CC749" s="27" t="str">
        <f t="shared" si="121"/>
        <v/>
      </c>
      <c r="CD749" s="38" t="str">
        <f t="shared" si="122"/>
        <v/>
      </c>
      <c r="CE749" s="38" t="str">
        <f t="shared" si="123"/>
        <v/>
      </c>
      <c r="CF749" s="38" t="str">
        <f t="shared" si="124"/>
        <v/>
      </c>
      <c r="CG749" s="38" t="str">
        <f t="shared" si="125"/>
        <v/>
      </c>
      <c r="CH749" s="38" t="str">
        <f t="shared" si="126"/>
        <v/>
      </c>
      <c r="CI749" s="38" t="str">
        <f t="shared" si="127"/>
        <v/>
      </c>
      <c r="CJ749" s="38" t="str">
        <f t="shared" si="128"/>
        <v/>
      </c>
      <c r="CK749" s="38" t="str">
        <f t="shared" si="129"/>
        <v/>
      </c>
      <c r="CL749" s="38" t="str">
        <f>IF(C749="","",IF(COUNT(G749:AZ749)&lt;46,"",SUMPRODUCT(CC749:CK749,'تنظیمات وزن‌دهی'!$C$5:$C$13)/100))</f>
        <v/>
      </c>
      <c r="CM749" s="38" t="str">
        <f t="shared" si="130"/>
        <v/>
      </c>
      <c r="CN749" s="38">
        <v>1</v>
      </c>
      <c r="CO749" s="28" t="str">
        <f t="shared" si="131"/>
        <v/>
      </c>
      <c r="CP749" s="58"/>
    </row>
    <row r="750" spans="1:94" ht="17.25" hidden="1">
      <c r="A750" s="33">
        <v>746</v>
      </c>
      <c r="B750" s="55" t="s">
        <v>184</v>
      </c>
      <c r="C750" s="55" t="str">
        <f>IF(دانش‌آموزان!E67="","",دانش‌آموزان!B67)</f>
        <v/>
      </c>
      <c r="D750" s="55" t="str">
        <f>IF(دانش‌آموزان!C67="","",دانش‌آموزان!C67)</f>
        <v/>
      </c>
      <c r="E750" s="55" t="str">
        <f>IF(دانش‌آموزان!E67="","",دانش‌آموزان!E67&amp;" "&amp;دانش‌آموزان!F67)</f>
        <v/>
      </c>
      <c r="F750" s="34" t="str">
        <f>IF(دانش‌آموزان!I67="","",دانش‌آموزان!I67)</f>
        <v/>
      </c>
      <c r="G750" s="19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0"/>
      <c r="BL750" s="20"/>
      <c r="BM750" s="20"/>
      <c r="BN750" s="20"/>
      <c r="BO750" s="20"/>
      <c r="BP750" s="20"/>
      <c r="BQ750" s="20"/>
      <c r="BR750" s="20"/>
      <c r="BS750" s="20"/>
      <c r="BT750" s="20"/>
      <c r="BU750" s="20"/>
      <c r="BV750" s="20"/>
      <c r="BW750" s="20"/>
      <c r="BX750" s="20"/>
      <c r="BY750" s="20"/>
      <c r="BZ750" s="20"/>
      <c r="CA750" s="20"/>
      <c r="CB750" s="21"/>
      <c r="CC750" s="27" t="str">
        <f t="shared" si="121"/>
        <v/>
      </c>
      <c r="CD750" s="38" t="str">
        <f t="shared" si="122"/>
        <v/>
      </c>
      <c r="CE750" s="38" t="str">
        <f t="shared" si="123"/>
        <v/>
      </c>
      <c r="CF750" s="38" t="str">
        <f t="shared" si="124"/>
        <v/>
      </c>
      <c r="CG750" s="38" t="str">
        <f t="shared" si="125"/>
        <v/>
      </c>
      <c r="CH750" s="38" t="str">
        <f t="shared" si="126"/>
        <v/>
      </c>
      <c r="CI750" s="38" t="str">
        <f t="shared" si="127"/>
        <v/>
      </c>
      <c r="CJ750" s="38" t="str">
        <f t="shared" si="128"/>
        <v/>
      </c>
      <c r="CK750" s="38" t="str">
        <f t="shared" si="129"/>
        <v/>
      </c>
      <c r="CL750" s="38" t="str">
        <f>IF(C750="","",IF(COUNT(G750:AZ750)&lt;46,"",SUMPRODUCT(CC750:CK750,'تنظیمات وزن‌دهی'!$C$5:$C$13)/100))</f>
        <v/>
      </c>
      <c r="CM750" s="38" t="str">
        <f t="shared" si="130"/>
        <v/>
      </c>
      <c r="CN750" s="38">
        <v>2</v>
      </c>
      <c r="CO750" s="28" t="str">
        <f t="shared" si="131"/>
        <v/>
      </c>
      <c r="CP750" s="58"/>
    </row>
    <row r="751" spans="1:94" ht="17.25">
      <c r="A751" s="33">
        <v>747</v>
      </c>
      <c r="B751" s="55" t="s">
        <v>185</v>
      </c>
      <c r="C751" s="55" t="str">
        <f>IF(دانش‌آموزان!E67="","",دانش‌آموزان!B67)</f>
        <v/>
      </c>
      <c r="D751" s="55" t="str">
        <f>IF(دانش‌آموزان!C67="","",دانش‌آموزان!C67)</f>
        <v/>
      </c>
      <c r="E751" s="55" t="str">
        <f>IF(دانش‌آموزان!E67="","",دانش‌آموزان!E67&amp;" "&amp;دانش‌آموزان!F67)</f>
        <v/>
      </c>
      <c r="F751" s="34" t="str">
        <f>IF(دانش‌آموزان!I67="","",دانش‌آموزان!I67)</f>
        <v/>
      </c>
      <c r="G751" s="19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  <c r="BJ751" s="20"/>
      <c r="BK751" s="20"/>
      <c r="BL751" s="20"/>
      <c r="BM751" s="20"/>
      <c r="BN751" s="20"/>
      <c r="BO751" s="20"/>
      <c r="BP751" s="20"/>
      <c r="BQ751" s="20"/>
      <c r="BR751" s="20"/>
      <c r="BS751" s="20"/>
      <c r="BT751" s="20"/>
      <c r="BU751" s="20"/>
      <c r="BV751" s="20"/>
      <c r="BW751" s="20"/>
      <c r="BX751" s="20"/>
      <c r="BY751" s="20"/>
      <c r="BZ751" s="20"/>
      <c r="CA751" s="20"/>
      <c r="CB751" s="21"/>
      <c r="CC751" s="27" t="str">
        <f t="shared" si="121"/>
        <v/>
      </c>
      <c r="CD751" s="38" t="str">
        <f t="shared" si="122"/>
        <v/>
      </c>
      <c r="CE751" s="38" t="str">
        <f t="shared" si="123"/>
        <v/>
      </c>
      <c r="CF751" s="38" t="str">
        <f t="shared" si="124"/>
        <v/>
      </c>
      <c r="CG751" s="38" t="str">
        <f t="shared" si="125"/>
        <v/>
      </c>
      <c r="CH751" s="38" t="str">
        <f t="shared" si="126"/>
        <v/>
      </c>
      <c r="CI751" s="38" t="str">
        <f t="shared" si="127"/>
        <v/>
      </c>
      <c r="CJ751" s="38" t="str">
        <f t="shared" si="128"/>
        <v/>
      </c>
      <c r="CK751" s="38" t="str">
        <f t="shared" si="129"/>
        <v/>
      </c>
      <c r="CL751" s="38" t="str">
        <f>IF(C751="","",IF(COUNT(G751:AZ751)&lt;46,"",SUMPRODUCT(CC751:CK751,'تنظیمات وزن‌دهی'!$C$5:$C$13)/100))</f>
        <v/>
      </c>
      <c r="CM751" s="38" t="str">
        <f t="shared" si="130"/>
        <v/>
      </c>
      <c r="CN751" s="38">
        <v>3</v>
      </c>
      <c r="CO751" s="28" t="str">
        <f t="shared" si="131"/>
        <v/>
      </c>
      <c r="CP751" s="58"/>
    </row>
    <row r="752" spans="1:94" ht="17.25" hidden="1">
      <c r="A752" s="33">
        <v>748</v>
      </c>
      <c r="B752" s="55" t="s">
        <v>186</v>
      </c>
      <c r="C752" s="55" t="str">
        <f>IF(دانش‌آموزان!E67="","",دانش‌آموزان!B67)</f>
        <v/>
      </c>
      <c r="D752" s="55" t="str">
        <f>IF(دانش‌آموزان!C67="","",دانش‌آموزان!C67)</f>
        <v/>
      </c>
      <c r="E752" s="55" t="str">
        <f>IF(دانش‌آموزان!E67="","",دانش‌آموزان!E67&amp;" "&amp;دانش‌آموزان!F67)</f>
        <v/>
      </c>
      <c r="F752" s="34" t="str">
        <f>IF(دانش‌آموزان!I67="","",دانش‌آموزان!I67)</f>
        <v/>
      </c>
      <c r="G752" s="19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20"/>
      <c r="BM752" s="20"/>
      <c r="BN752" s="20"/>
      <c r="BO752" s="20"/>
      <c r="BP752" s="20"/>
      <c r="BQ752" s="20"/>
      <c r="BR752" s="20"/>
      <c r="BS752" s="20"/>
      <c r="BT752" s="20"/>
      <c r="BU752" s="20"/>
      <c r="BV752" s="20"/>
      <c r="BW752" s="20"/>
      <c r="BX752" s="20"/>
      <c r="BY752" s="20"/>
      <c r="BZ752" s="20"/>
      <c r="CA752" s="20"/>
      <c r="CB752" s="21"/>
      <c r="CC752" s="27" t="str">
        <f t="shared" si="121"/>
        <v/>
      </c>
      <c r="CD752" s="38" t="str">
        <f t="shared" si="122"/>
        <v/>
      </c>
      <c r="CE752" s="38" t="str">
        <f t="shared" si="123"/>
        <v/>
      </c>
      <c r="CF752" s="38" t="str">
        <f t="shared" si="124"/>
        <v/>
      </c>
      <c r="CG752" s="38" t="str">
        <f t="shared" si="125"/>
        <v/>
      </c>
      <c r="CH752" s="38" t="str">
        <f t="shared" si="126"/>
        <v/>
      </c>
      <c r="CI752" s="38" t="str">
        <f t="shared" si="127"/>
        <v/>
      </c>
      <c r="CJ752" s="38" t="str">
        <f t="shared" si="128"/>
        <v/>
      </c>
      <c r="CK752" s="38" t="str">
        <f t="shared" si="129"/>
        <v/>
      </c>
      <c r="CL752" s="38" t="str">
        <f>IF(C752="","",IF(COUNT(G752:AZ752)&lt;46,"",SUMPRODUCT(CC752:CK752,'تنظیمات وزن‌دهی'!$C$5:$C$13)/100))</f>
        <v/>
      </c>
      <c r="CM752" s="38" t="str">
        <f t="shared" si="130"/>
        <v/>
      </c>
      <c r="CN752" s="38">
        <v>4</v>
      </c>
      <c r="CO752" s="28" t="str">
        <f t="shared" si="131"/>
        <v/>
      </c>
      <c r="CP752" s="58"/>
    </row>
    <row r="753" spans="1:94" ht="17.25" hidden="1">
      <c r="A753" s="33">
        <v>749</v>
      </c>
      <c r="B753" s="55" t="s">
        <v>187</v>
      </c>
      <c r="C753" s="55" t="str">
        <f>IF(دانش‌آموزان!E67="","",دانش‌آموزان!B67)</f>
        <v/>
      </c>
      <c r="D753" s="55" t="str">
        <f>IF(دانش‌آموزان!C67="","",دانش‌آموزان!C67)</f>
        <v/>
      </c>
      <c r="E753" s="55" t="str">
        <f>IF(دانش‌آموزان!E67="","",دانش‌آموزان!E67&amp;" "&amp;دانش‌آموزان!F67)</f>
        <v/>
      </c>
      <c r="F753" s="34" t="str">
        <f>IF(دانش‌آموزان!I67="","",دانش‌آموزان!I67)</f>
        <v/>
      </c>
      <c r="G753" s="19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20"/>
      <c r="BM753" s="20"/>
      <c r="BN753" s="20"/>
      <c r="BO753" s="20"/>
      <c r="BP753" s="20"/>
      <c r="BQ753" s="20"/>
      <c r="BR753" s="20"/>
      <c r="BS753" s="20"/>
      <c r="BT753" s="20"/>
      <c r="BU753" s="20"/>
      <c r="BV753" s="20"/>
      <c r="BW753" s="20"/>
      <c r="BX753" s="20"/>
      <c r="BY753" s="20"/>
      <c r="BZ753" s="20"/>
      <c r="CA753" s="20"/>
      <c r="CB753" s="21"/>
      <c r="CC753" s="27" t="str">
        <f t="shared" si="121"/>
        <v/>
      </c>
      <c r="CD753" s="38" t="str">
        <f t="shared" si="122"/>
        <v/>
      </c>
      <c r="CE753" s="38" t="str">
        <f t="shared" si="123"/>
        <v/>
      </c>
      <c r="CF753" s="38" t="str">
        <f t="shared" si="124"/>
        <v/>
      </c>
      <c r="CG753" s="38" t="str">
        <f t="shared" si="125"/>
        <v/>
      </c>
      <c r="CH753" s="38" t="str">
        <f t="shared" si="126"/>
        <v/>
      </c>
      <c r="CI753" s="38" t="str">
        <f t="shared" si="127"/>
        <v/>
      </c>
      <c r="CJ753" s="38" t="str">
        <f t="shared" si="128"/>
        <v/>
      </c>
      <c r="CK753" s="38" t="str">
        <f t="shared" si="129"/>
        <v/>
      </c>
      <c r="CL753" s="38" t="str">
        <f>IF(C753="","",IF(COUNT(G753:AZ753)&lt;46,"",SUMPRODUCT(CC753:CK753,'تنظیمات وزن‌دهی'!$C$5:$C$13)/100))</f>
        <v/>
      </c>
      <c r="CM753" s="38" t="str">
        <f t="shared" si="130"/>
        <v/>
      </c>
      <c r="CN753" s="38">
        <v>5</v>
      </c>
      <c r="CO753" s="28" t="str">
        <f t="shared" si="131"/>
        <v/>
      </c>
      <c r="CP753" s="58"/>
    </row>
    <row r="754" spans="1:94" ht="17.25" hidden="1">
      <c r="A754" s="33">
        <v>750</v>
      </c>
      <c r="B754" s="55" t="s">
        <v>188</v>
      </c>
      <c r="C754" s="55" t="str">
        <f>IF(دانش‌آموزان!E67="","",دانش‌آموزان!B67)</f>
        <v/>
      </c>
      <c r="D754" s="55" t="str">
        <f>IF(دانش‌آموزان!C67="","",دانش‌آموزان!C67)</f>
        <v/>
      </c>
      <c r="E754" s="55" t="str">
        <f>IF(دانش‌آموزان!E67="","",دانش‌آموزان!E67&amp;" "&amp;دانش‌آموزان!F67)</f>
        <v/>
      </c>
      <c r="F754" s="34" t="str">
        <f>IF(دانش‌آموزان!I67="","",دانش‌آموزان!I67)</f>
        <v/>
      </c>
      <c r="G754" s="19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20"/>
      <c r="BL754" s="20"/>
      <c r="BM754" s="20"/>
      <c r="BN754" s="20"/>
      <c r="BO754" s="20"/>
      <c r="BP754" s="20"/>
      <c r="BQ754" s="20"/>
      <c r="BR754" s="20"/>
      <c r="BS754" s="20"/>
      <c r="BT754" s="20"/>
      <c r="BU754" s="20"/>
      <c r="BV754" s="20"/>
      <c r="BW754" s="20"/>
      <c r="BX754" s="20"/>
      <c r="BY754" s="20"/>
      <c r="BZ754" s="20"/>
      <c r="CA754" s="20"/>
      <c r="CB754" s="21"/>
      <c r="CC754" s="27" t="str">
        <f t="shared" si="121"/>
        <v/>
      </c>
      <c r="CD754" s="38" t="str">
        <f t="shared" si="122"/>
        <v/>
      </c>
      <c r="CE754" s="38" t="str">
        <f t="shared" si="123"/>
        <v/>
      </c>
      <c r="CF754" s="38" t="str">
        <f t="shared" si="124"/>
        <v/>
      </c>
      <c r="CG754" s="38" t="str">
        <f t="shared" si="125"/>
        <v/>
      </c>
      <c r="CH754" s="38" t="str">
        <f t="shared" si="126"/>
        <v/>
      </c>
      <c r="CI754" s="38" t="str">
        <f t="shared" si="127"/>
        <v/>
      </c>
      <c r="CJ754" s="38" t="str">
        <f t="shared" si="128"/>
        <v/>
      </c>
      <c r="CK754" s="38" t="str">
        <f t="shared" si="129"/>
        <v/>
      </c>
      <c r="CL754" s="38" t="str">
        <f>IF(C754="","",IF(COUNT(G754:AZ754)&lt;46,"",SUMPRODUCT(CC754:CK754,'تنظیمات وزن‌دهی'!$C$5:$C$13)/100))</f>
        <v/>
      </c>
      <c r="CM754" s="38" t="str">
        <f t="shared" si="130"/>
        <v/>
      </c>
      <c r="CN754" s="38">
        <v>6</v>
      </c>
      <c r="CO754" s="28" t="str">
        <f t="shared" si="131"/>
        <v/>
      </c>
      <c r="CP754" s="58"/>
    </row>
    <row r="755" spans="1:94" ht="17.25" hidden="1">
      <c r="A755" s="33">
        <v>751</v>
      </c>
      <c r="B755" s="55" t="s">
        <v>189</v>
      </c>
      <c r="C755" s="55" t="str">
        <f>IF(دانش‌آموزان!E67="","",دانش‌آموزان!B67)</f>
        <v/>
      </c>
      <c r="D755" s="55" t="str">
        <f>IF(دانش‌آموزان!C67="","",دانش‌آموزان!C67)</f>
        <v/>
      </c>
      <c r="E755" s="55" t="str">
        <f>IF(دانش‌آموزان!E67="","",دانش‌آموزان!E67&amp;" "&amp;دانش‌آموزان!F67)</f>
        <v/>
      </c>
      <c r="F755" s="34" t="str">
        <f>IF(دانش‌آموزان!I67="","",دانش‌آموزان!I67)</f>
        <v/>
      </c>
      <c r="G755" s="19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20"/>
      <c r="BL755" s="20"/>
      <c r="BM755" s="20"/>
      <c r="BN755" s="20"/>
      <c r="BO755" s="20"/>
      <c r="BP755" s="20"/>
      <c r="BQ755" s="20"/>
      <c r="BR755" s="20"/>
      <c r="BS755" s="20"/>
      <c r="BT755" s="20"/>
      <c r="BU755" s="20"/>
      <c r="BV755" s="20"/>
      <c r="BW755" s="20"/>
      <c r="BX755" s="20"/>
      <c r="BY755" s="20"/>
      <c r="BZ755" s="20"/>
      <c r="CA755" s="20"/>
      <c r="CB755" s="21"/>
      <c r="CC755" s="27" t="str">
        <f t="shared" si="121"/>
        <v/>
      </c>
      <c r="CD755" s="38" t="str">
        <f t="shared" si="122"/>
        <v/>
      </c>
      <c r="CE755" s="38" t="str">
        <f t="shared" si="123"/>
        <v/>
      </c>
      <c r="CF755" s="38" t="str">
        <f t="shared" si="124"/>
        <v/>
      </c>
      <c r="CG755" s="38" t="str">
        <f t="shared" si="125"/>
        <v/>
      </c>
      <c r="CH755" s="38" t="str">
        <f t="shared" si="126"/>
        <v/>
      </c>
      <c r="CI755" s="38" t="str">
        <f t="shared" si="127"/>
        <v/>
      </c>
      <c r="CJ755" s="38" t="str">
        <f t="shared" si="128"/>
        <v/>
      </c>
      <c r="CK755" s="38" t="str">
        <f t="shared" si="129"/>
        <v/>
      </c>
      <c r="CL755" s="38" t="str">
        <f>IF(C755="","",IF(COUNT(G755:AZ755)&lt;46,"",SUMPRODUCT(CC755:CK755,'تنظیمات وزن‌دهی'!$C$5:$C$13)/100))</f>
        <v/>
      </c>
      <c r="CM755" s="38" t="str">
        <f t="shared" si="130"/>
        <v/>
      </c>
      <c r="CN755" s="38">
        <v>7</v>
      </c>
      <c r="CO755" s="28" t="str">
        <f t="shared" si="131"/>
        <v/>
      </c>
      <c r="CP755" s="58"/>
    </row>
    <row r="756" spans="1:94" ht="17.25" hidden="1">
      <c r="A756" s="33">
        <v>752</v>
      </c>
      <c r="B756" s="55" t="s">
        <v>190</v>
      </c>
      <c r="C756" s="55" t="str">
        <f>IF(دانش‌آموزان!E67="","",دانش‌آموزان!B67)</f>
        <v/>
      </c>
      <c r="D756" s="55" t="str">
        <f>IF(دانش‌آموزان!C67="","",دانش‌آموزان!C67)</f>
        <v/>
      </c>
      <c r="E756" s="55" t="str">
        <f>IF(دانش‌آموزان!E67="","",دانش‌آموزان!E67&amp;" "&amp;دانش‌آموزان!F67)</f>
        <v/>
      </c>
      <c r="F756" s="34" t="str">
        <f>IF(دانش‌آموزان!I67="","",دانش‌آموزان!I67)</f>
        <v/>
      </c>
      <c r="G756" s="19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  <c r="BK756" s="20"/>
      <c r="BL756" s="20"/>
      <c r="BM756" s="20"/>
      <c r="BN756" s="20"/>
      <c r="BO756" s="20"/>
      <c r="BP756" s="20"/>
      <c r="BQ756" s="20"/>
      <c r="BR756" s="20"/>
      <c r="BS756" s="20"/>
      <c r="BT756" s="20"/>
      <c r="BU756" s="20"/>
      <c r="BV756" s="20"/>
      <c r="BW756" s="20"/>
      <c r="BX756" s="20"/>
      <c r="BY756" s="20"/>
      <c r="BZ756" s="20"/>
      <c r="CA756" s="20"/>
      <c r="CB756" s="21"/>
      <c r="CC756" s="27" t="str">
        <f t="shared" si="121"/>
        <v/>
      </c>
      <c r="CD756" s="38" t="str">
        <f t="shared" si="122"/>
        <v/>
      </c>
      <c r="CE756" s="38" t="str">
        <f t="shared" si="123"/>
        <v/>
      </c>
      <c r="CF756" s="38" t="str">
        <f t="shared" si="124"/>
        <v/>
      </c>
      <c r="CG756" s="38" t="str">
        <f t="shared" si="125"/>
        <v/>
      </c>
      <c r="CH756" s="38" t="str">
        <f t="shared" si="126"/>
        <v/>
      </c>
      <c r="CI756" s="38" t="str">
        <f t="shared" si="127"/>
        <v/>
      </c>
      <c r="CJ756" s="38" t="str">
        <f t="shared" si="128"/>
        <v/>
      </c>
      <c r="CK756" s="38" t="str">
        <f t="shared" si="129"/>
        <v/>
      </c>
      <c r="CL756" s="38" t="str">
        <f>IF(C756="","",IF(COUNT(G756:AZ756)&lt;46,"",SUMPRODUCT(CC756:CK756,'تنظیمات وزن‌دهی'!$C$5:$C$13)/100))</f>
        <v/>
      </c>
      <c r="CM756" s="38" t="str">
        <f t="shared" si="130"/>
        <v/>
      </c>
      <c r="CN756" s="38">
        <v>8</v>
      </c>
      <c r="CO756" s="28" t="str">
        <f t="shared" si="131"/>
        <v/>
      </c>
      <c r="CP756" s="58"/>
    </row>
    <row r="757" spans="1:94" ht="17.25" hidden="1">
      <c r="A757" s="33">
        <v>753</v>
      </c>
      <c r="B757" s="55" t="s">
        <v>191</v>
      </c>
      <c r="C757" s="55" t="str">
        <f>IF(دانش‌آموزان!E67="","",دانش‌آموزان!B67)</f>
        <v/>
      </c>
      <c r="D757" s="55" t="str">
        <f>IF(دانش‌آموزان!C67="","",دانش‌آموزان!C67)</f>
        <v/>
      </c>
      <c r="E757" s="55" t="str">
        <f>IF(دانش‌آموزان!E67="","",دانش‌آموزان!E67&amp;" "&amp;دانش‌آموزان!F67)</f>
        <v/>
      </c>
      <c r="F757" s="34" t="str">
        <f>IF(دانش‌آموزان!I67="","",دانش‌آموزان!I67)</f>
        <v/>
      </c>
      <c r="G757" s="19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20"/>
      <c r="BM757" s="20"/>
      <c r="BN757" s="20"/>
      <c r="BO757" s="20"/>
      <c r="BP757" s="20"/>
      <c r="BQ757" s="20"/>
      <c r="BR757" s="20"/>
      <c r="BS757" s="20"/>
      <c r="BT757" s="20"/>
      <c r="BU757" s="20"/>
      <c r="BV757" s="20"/>
      <c r="BW757" s="20"/>
      <c r="BX757" s="20"/>
      <c r="BY757" s="20"/>
      <c r="BZ757" s="20"/>
      <c r="CA757" s="20"/>
      <c r="CB757" s="21"/>
      <c r="CC757" s="27" t="str">
        <f t="shared" si="121"/>
        <v/>
      </c>
      <c r="CD757" s="38" t="str">
        <f t="shared" si="122"/>
        <v/>
      </c>
      <c r="CE757" s="38" t="str">
        <f t="shared" si="123"/>
        <v/>
      </c>
      <c r="CF757" s="38" t="str">
        <f t="shared" si="124"/>
        <v/>
      </c>
      <c r="CG757" s="38" t="str">
        <f t="shared" si="125"/>
        <v/>
      </c>
      <c r="CH757" s="38" t="str">
        <f t="shared" si="126"/>
        <v/>
      </c>
      <c r="CI757" s="38" t="str">
        <f t="shared" si="127"/>
        <v/>
      </c>
      <c r="CJ757" s="38" t="str">
        <f t="shared" si="128"/>
        <v/>
      </c>
      <c r="CK757" s="38" t="str">
        <f t="shared" si="129"/>
        <v/>
      </c>
      <c r="CL757" s="38" t="str">
        <f>IF(C757="","",IF(COUNT(G757:AZ757)&lt;46,"",SUMPRODUCT(CC757:CK757,'تنظیمات وزن‌دهی'!$C$5:$C$13)/100))</f>
        <v/>
      </c>
      <c r="CM757" s="38" t="str">
        <f t="shared" si="130"/>
        <v/>
      </c>
      <c r="CN757" s="38">
        <v>9</v>
      </c>
      <c r="CO757" s="28" t="str">
        <f t="shared" si="131"/>
        <v/>
      </c>
      <c r="CP757" s="58"/>
    </row>
    <row r="758" spans="1:94" ht="17.25" hidden="1">
      <c r="A758" s="33">
        <v>754</v>
      </c>
      <c r="B758" s="55" t="s">
        <v>192</v>
      </c>
      <c r="C758" s="55" t="str">
        <f>IF(دانش‌آموزان!E67="","",دانش‌آموزان!B67)</f>
        <v/>
      </c>
      <c r="D758" s="55" t="str">
        <f>IF(دانش‌آموزان!C67="","",دانش‌آموزان!C67)</f>
        <v/>
      </c>
      <c r="E758" s="55" t="str">
        <f>IF(دانش‌آموزان!E67="","",دانش‌آموزان!E67&amp;" "&amp;دانش‌آموزان!F67)</f>
        <v/>
      </c>
      <c r="F758" s="34" t="str">
        <f>IF(دانش‌آموزان!I67="","",دانش‌آموزان!I67)</f>
        <v/>
      </c>
      <c r="G758" s="19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  <c r="BO758" s="20"/>
      <c r="BP758" s="20"/>
      <c r="BQ758" s="20"/>
      <c r="BR758" s="20"/>
      <c r="BS758" s="20"/>
      <c r="BT758" s="20"/>
      <c r="BU758" s="20"/>
      <c r="BV758" s="20"/>
      <c r="BW758" s="20"/>
      <c r="BX758" s="20"/>
      <c r="BY758" s="20"/>
      <c r="BZ758" s="20"/>
      <c r="CA758" s="20"/>
      <c r="CB758" s="21"/>
      <c r="CC758" s="27" t="str">
        <f t="shared" si="121"/>
        <v/>
      </c>
      <c r="CD758" s="38" t="str">
        <f t="shared" si="122"/>
        <v/>
      </c>
      <c r="CE758" s="38" t="str">
        <f t="shared" si="123"/>
        <v/>
      </c>
      <c r="CF758" s="38" t="str">
        <f t="shared" si="124"/>
        <v/>
      </c>
      <c r="CG758" s="38" t="str">
        <f t="shared" si="125"/>
        <v/>
      </c>
      <c r="CH758" s="38" t="str">
        <f t="shared" si="126"/>
        <v/>
      </c>
      <c r="CI758" s="38" t="str">
        <f t="shared" si="127"/>
        <v/>
      </c>
      <c r="CJ758" s="38" t="str">
        <f t="shared" si="128"/>
        <v/>
      </c>
      <c r="CK758" s="38" t="str">
        <f t="shared" si="129"/>
        <v/>
      </c>
      <c r="CL758" s="38" t="str">
        <f>IF(C758="","",IF(COUNT(G758:AZ758)&lt;46,"",SUMPRODUCT(CC758:CK758,'تنظیمات وزن‌دهی'!$C$5:$C$13)/100))</f>
        <v/>
      </c>
      <c r="CM758" s="38" t="str">
        <f t="shared" si="130"/>
        <v/>
      </c>
      <c r="CN758" s="38">
        <v>10</v>
      </c>
      <c r="CO758" s="28" t="str">
        <f t="shared" si="131"/>
        <v/>
      </c>
      <c r="CP758" s="58"/>
    </row>
    <row r="759" spans="1:94" ht="17.25" hidden="1">
      <c r="A759" s="33">
        <v>755</v>
      </c>
      <c r="B759" s="55" t="s">
        <v>193</v>
      </c>
      <c r="C759" s="55" t="str">
        <f>IF(دانش‌آموزان!E67="","",دانش‌آموزان!B67)</f>
        <v/>
      </c>
      <c r="D759" s="55" t="str">
        <f>IF(دانش‌آموزان!C67="","",دانش‌آموزان!C67)</f>
        <v/>
      </c>
      <c r="E759" s="55" t="str">
        <f>IF(دانش‌آموزان!E67="","",دانش‌آموزان!E67&amp;" "&amp;دانش‌آموزان!F67)</f>
        <v/>
      </c>
      <c r="F759" s="34" t="str">
        <f>IF(دانش‌آموزان!I67="","",دانش‌آموزان!I67)</f>
        <v/>
      </c>
      <c r="G759" s="19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0"/>
      <c r="BL759" s="20"/>
      <c r="BM759" s="20"/>
      <c r="BN759" s="20"/>
      <c r="BO759" s="20"/>
      <c r="BP759" s="20"/>
      <c r="BQ759" s="20"/>
      <c r="BR759" s="20"/>
      <c r="BS759" s="20"/>
      <c r="BT759" s="20"/>
      <c r="BU759" s="20"/>
      <c r="BV759" s="20"/>
      <c r="BW759" s="20"/>
      <c r="BX759" s="20"/>
      <c r="BY759" s="20"/>
      <c r="BZ759" s="20"/>
      <c r="CA759" s="20"/>
      <c r="CB759" s="21"/>
      <c r="CC759" s="27" t="str">
        <f t="shared" si="121"/>
        <v/>
      </c>
      <c r="CD759" s="38" t="str">
        <f t="shared" si="122"/>
        <v/>
      </c>
      <c r="CE759" s="38" t="str">
        <f t="shared" si="123"/>
        <v/>
      </c>
      <c r="CF759" s="38" t="str">
        <f t="shared" si="124"/>
        <v/>
      </c>
      <c r="CG759" s="38" t="str">
        <f t="shared" si="125"/>
        <v/>
      </c>
      <c r="CH759" s="38" t="str">
        <f t="shared" si="126"/>
        <v/>
      </c>
      <c r="CI759" s="38" t="str">
        <f t="shared" si="127"/>
        <v/>
      </c>
      <c r="CJ759" s="38" t="str">
        <f t="shared" si="128"/>
        <v/>
      </c>
      <c r="CK759" s="38" t="str">
        <f t="shared" si="129"/>
        <v/>
      </c>
      <c r="CL759" s="38" t="str">
        <f>IF(C759="","",IF(COUNT(G759:AZ759)&lt;46,"",SUMPRODUCT(CC759:CK759,'تنظیمات وزن‌دهی'!$C$5:$C$13)/100))</f>
        <v/>
      </c>
      <c r="CM759" s="38" t="str">
        <f t="shared" si="130"/>
        <v/>
      </c>
      <c r="CN759" s="38">
        <v>11</v>
      </c>
      <c r="CO759" s="28" t="str">
        <f t="shared" si="131"/>
        <v/>
      </c>
      <c r="CP759" s="58"/>
    </row>
    <row r="760" spans="1:94" ht="17.25" hidden="1">
      <c r="A760" s="33">
        <v>756</v>
      </c>
      <c r="B760" s="55" t="s">
        <v>194</v>
      </c>
      <c r="C760" s="55" t="str">
        <f>IF(دانش‌آموزان!E67="","",دانش‌آموزان!B67)</f>
        <v/>
      </c>
      <c r="D760" s="55" t="str">
        <f>IF(دانش‌آموزان!C67="","",دانش‌آموزان!C67)</f>
        <v/>
      </c>
      <c r="E760" s="55" t="str">
        <f>IF(دانش‌آموزان!E67="","",دانش‌آموزان!E67&amp;" "&amp;دانش‌آموزان!F67)</f>
        <v/>
      </c>
      <c r="F760" s="34" t="str">
        <f>IF(دانش‌آموزان!I67="","",دانش‌آموزان!I67)</f>
        <v/>
      </c>
      <c r="G760" s="19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20"/>
      <c r="BL760" s="20"/>
      <c r="BM760" s="20"/>
      <c r="BN760" s="20"/>
      <c r="BO760" s="20"/>
      <c r="BP760" s="20"/>
      <c r="BQ760" s="20"/>
      <c r="BR760" s="20"/>
      <c r="BS760" s="20"/>
      <c r="BT760" s="20"/>
      <c r="BU760" s="20"/>
      <c r="BV760" s="20"/>
      <c r="BW760" s="20"/>
      <c r="BX760" s="20"/>
      <c r="BY760" s="20"/>
      <c r="BZ760" s="20"/>
      <c r="CA760" s="20"/>
      <c r="CB760" s="21"/>
      <c r="CC760" s="27" t="str">
        <f t="shared" si="121"/>
        <v/>
      </c>
      <c r="CD760" s="38" t="str">
        <f t="shared" si="122"/>
        <v/>
      </c>
      <c r="CE760" s="38" t="str">
        <f t="shared" si="123"/>
        <v/>
      </c>
      <c r="CF760" s="38" t="str">
        <f t="shared" si="124"/>
        <v/>
      </c>
      <c r="CG760" s="38" t="str">
        <f t="shared" si="125"/>
        <v/>
      </c>
      <c r="CH760" s="38" t="str">
        <f t="shared" si="126"/>
        <v/>
      </c>
      <c r="CI760" s="38" t="str">
        <f t="shared" si="127"/>
        <v/>
      </c>
      <c r="CJ760" s="38" t="str">
        <f t="shared" si="128"/>
        <v/>
      </c>
      <c r="CK760" s="38" t="str">
        <f t="shared" si="129"/>
        <v/>
      </c>
      <c r="CL760" s="38" t="str">
        <f>IF(C760="","",IF(COUNT(G760:AZ760)&lt;46,"",SUMPRODUCT(CC760:CK760,'تنظیمات وزن‌دهی'!$C$5:$C$13)/100))</f>
        <v/>
      </c>
      <c r="CM760" s="38" t="str">
        <f t="shared" si="130"/>
        <v/>
      </c>
      <c r="CN760" s="38">
        <v>12</v>
      </c>
      <c r="CO760" s="28" t="str">
        <f t="shared" si="131"/>
        <v/>
      </c>
      <c r="CP760" s="58"/>
    </row>
    <row r="761" spans="1:94" ht="17.25" hidden="1">
      <c r="A761" s="33">
        <v>757</v>
      </c>
      <c r="B761" s="55" t="s">
        <v>183</v>
      </c>
      <c r="C761" s="55" t="str">
        <f>IF(دانش‌آموزان!E68="","",دانش‌آموزان!B68)</f>
        <v/>
      </c>
      <c r="D761" s="55" t="str">
        <f>IF(دانش‌آموزان!C68="","",دانش‌آموزان!C68)</f>
        <v/>
      </c>
      <c r="E761" s="55" t="str">
        <f>IF(دانش‌آموزان!E68="","",دانش‌آموزان!E68&amp;" "&amp;دانش‌آموزان!F68)</f>
        <v/>
      </c>
      <c r="F761" s="34" t="str">
        <f>IF(دانش‌آموزان!I68="","",دانش‌آموزان!I68)</f>
        <v/>
      </c>
      <c r="G761" s="19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  <c r="BK761" s="20"/>
      <c r="BL761" s="20"/>
      <c r="BM761" s="20"/>
      <c r="BN761" s="20"/>
      <c r="BO761" s="20"/>
      <c r="BP761" s="20"/>
      <c r="BQ761" s="20"/>
      <c r="BR761" s="20"/>
      <c r="BS761" s="20"/>
      <c r="BT761" s="20"/>
      <c r="BU761" s="20"/>
      <c r="BV761" s="20"/>
      <c r="BW761" s="20"/>
      <c r="BX761" s="20"/>
      <c r="BY761" s="20"/>
      <c r="BZ761" s="20"/>
      <c r="CA761" s="20"/>
      <c r="CB761" s="21"/>
      <c r="CC761" s="27" t="str">
        <f t="shared" si="121"/>
        <v/>
      </c>
      <c r="CD761" s="38" t="str">
        <f t="shared" si="122"/>
        <v/>
      </c>
      <c r="CE761" s="38" t="str">
        <f t="shared" si="123"/>
        <v/>
      </c>
      <c r="CF761" s="38" t="str">
        <f t="shared" si="124"/>
        <v/>
      </c>
      <c r="CG761" s="38" t="str">
        <f t="shared" si="125"/>
        <v/>
      </c>
      <c r="CH761" s="38" t="str">
        <f t="shared" si="126"/>
        <v/>
      </c>
      <c r="CI761" s="38" t="str">
        <f t="shared" si="127"/>
        <v/>
      </c>
      <c r="CJ761" s="38" t="str">
        <f t="shared" si="128"/>
        <v/>
      </c>
      <c r="CK761" s="38" t="str">
        <f t="shared" si="129"/>
        <v/>
      </c>
      <c r="CL761" s="38" t="str">
        <f>IF(C761="","",IF(COUNT(G761:AZ761)&lt;46,"",SUMPRODUCT(CC761:CK761,'تنظیمات وزن‌دهی'!$C$5:$C$13)/100))</f>
        <v/>
      </c>
      <c r="CM761" s="38" t="str">
        <f t="shared" si="130"/>
        <v/>
      </c>
      <c r="CN761" s="38">
        <v>1</v>
      </c>
      <c r="CO761" s="28" t="str">
        <f t="shared" si="131"/>
        <v/>
      </c>
      <c r="CP761" s="58"/>
    </row>
    <row r="762" spans="1:94" ht="17.25" hidden="1">
      <c r="A762" s="33">
        <v>758</v>
      </c>
      <c r="B762" s="55" t="s">
        <v>184</v>
      </c>
      <c r="C762" s="55" t="str">
        <f>IF(دانش‌آموزان!E68="","",دانش‌آموزان!B68)</f>
        <v/>
      </c>
      <c r="D762" s="55" t="str">
        <f>IF(دانش‌آموزان!C68="","",دانش‌آموزان!C68)</f>
        <v/>
      </c>
      <c r="E762" s="55" t="str">
        <f>IF(دانش‌آموزان!E68="","",دانش‌آموزان!E68&amp;" "&amp;دانش‌آموزان!F68)</f>
        <v/>
      </c>
      <c r="F762" s="34" t="str">
        <f>IF(دانش‌آموزان!I68="","",دانش‌آموزان!I68)</f>
        <v/>
      </c>
      <c r="G762" s="19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  <c r="BK762" s="20"/>
      <c r="BL762" s="20"/>
      <c r="BM762" s="20"/>
      <c r="BN762" s="20"/>
      <c r="BO762" s="20"/>
      <c r="BP762" s="20"/>
      <c r="BQ762" s="20"/>
      <c r="BR762" s="20"/>
      <c r="BS762" s="20"/>
      <c r="BT762" s="20"/>
      <c r="BU762" s="20"/>
      <c r="BV762" s="20"/>
      <c r="BW762" s="20"/>
      <c r="BX762" s="20"/>
      <c r="BY762" s="20"/>
      <c r="BZ762" s="20"/>
      <c r="CA762" s="20"/>
      <c r="CB762" s="21"/>
      <c r="CC762" s="27" t="str">
        <f t="shared" si="121"/>
        <v/>
      </c>
      <c r="CD762" s="38" t="str">
        <f t="shared" si="122"/>
        <v/>
      </c>
      <c r="CE762" s="38" t="str">
        <f t="shared" si="123"/>
        <v/>
      </c>
      <c r="CF762" s="38" t="str">
        <f t="shared" si="124"/>
        <v/>
      </c>
      <c r="CG762" s="38" t="str">
        <f t="shared" si="125"/>
        <v/>
      </c>
      <c r="CH762" s="38" t="str">
        <f t="shared" si="126"/>
        <v/>
      </c>
      <c r="CI762" s="38" t="str">
        <f t="shared" si="127"/>
        <v/>
      </c>
      <c r="CJ762" s="38" t="str">
        <f t="shared" si="128"/>
        <v/>
      </c>
      <c r="CK762" s="38" t="str">
        <f t="shared" si="129"/>
        <v/>
      </c>
      <c r="CL762" s="38" t="str">
        <f>IF(C762="","",IF(COUNT(G762:AZ762)&lt;46,"",SUMPRODUCT(CC762:CK762,'تنظیمات وزن‌دهی'!$C$5:$C$13)/100))</f>
        <v/>
      </c>
      <c r="CM762" s="38" t="str">
        <f t="shared" si="130"/>
        <v/>
      </c>
      <c r="CN762" s="38">
        <v>2</v>
      </c>
      <c r="CO762" s="28" t="str">
        <f t="shared" si="131"/>
        <v/>
      </c>
      <c r="CP762" s="58"/>
    </row>
    <row r="763" spans="1:94" ht="17.25">
      <c r="A763" s="33">
        <v>759</v>
      </c>
      <c r="B763" s="55" t="s">
        <v>185</v>
      </c>
      <c r="C763" s="55" t="str">
        <f>IF(دانش‌آموزان!E68="","",دانش‌آموزان!B68)</f>
        <v/>
      </c>
      <c r="D763" s="55" t="str">
        <f>IF(دانش‌آموزان!C68="","",دانش‌آموزان!C68)</f>
        <v/>
      </c>
      <c r="E763" s="55" t="str">
        <f>IF(دانش‌آموزان!E68="","",دانش‌آموزان!E68&amp;" "&amp;دانش‌آموزان!F68)</f>
        <v/>
      </c>
      <c r="F763" s="34" t="str">
        <f>IF(دانش‌آموزان!I68="","",دانش‌آموزان!I68)</f>
        <v/>
      </c>
      <c r="G763" s="19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  <c r="BJ763" s="20"/>
      <c r="BK763" s="20"/>
      <c r="BL763" s="20"/>
      <c r="BM763" s="20"/>
      <c r="BN763" s="20"/>
      <c r="BO763" s="20"/>
      <c r="BP763" s="20"/>
      <c r="BQ763" s="20"/>
      <c r="BR763" s="20"/>
      <c r="BS763" s="20"/>
      <c r="BT763" s="20"/>
      <c r="BU763" s="20"/>
      <c r="BV763" s="20"/>
      <c r="BW763" s="20"/>
      <c r="BX763" s="20"/>
      <c r="BY763" s="20"/>
      <c r="BZ763" s="20"/>
      <c r="CA763" s="20"/>
      <c r="CB763" s="21"/>
      <c r="CC763" s="27" t="str">
        <f t="shared" si="121"/>
        <v/>
      </c>
      <c r="CD763" s="38" t="str">
        <f t="shared" si="122"/>
        <v/>
      </c>
      <c r="CE763" s="38" t="str">
        <f t="shared" si="123"/>
        <v/>
      </c>
      <c r="CF763" s="38" t="str">
        <f t="shared" si="124"/>
        <v/>
      </c>
      <c r="CG763" s="38" t="str">
        <f t="shared" si="125"/>
        <v/>
      </c>
      <c r="CH763" s="38" t="str">
        <f t="shared" si="126"/>
        <v/>
      </c>
      <c r="CI763" s="38" t="str">
        <f t="shared" si="127"/>
        <v/>
      </c>
      <c r="CJ763" s="38" t="str">
        <f t="shared" si="128"/>
        <v/>
      </c>
      <c r="CK763" s="38" t="str">
        <f t="shared" si="129"/>
        <v/>
      </c>
      <c r="CL763" s="38" t="str">
        <f>IF(C763="","",IF(COUNT(G763:AZ763)&lt;46,"",SUMPRODUCT(CC763:CK763,'تنظیمات وزن‌دهی'!$C$5:$C$13)/100))</f>
        <v/>
      </c>
      <c r="CM763" s="38" t="str">
        <f t="shared" si="130"/>
        <v/>
      </c>
      <c r="CN763" s="38">
        <v>3</v>
      </c>
      <c r="CO763" s="28" t="str">
        <f t="shared" si="131"/>
        <v/>
      </c>
      <c r="CP763" s="58"/>
    </row>
    <row r="764" spans="1:94" ht="17.25" hidden="1">
      <c r="A764" s="33">
        <v>760</v>
      </c>
      <c r="B764" s="55" t="s">
        <v>186</v>
      </c>
      <c r="C764" s="55" t="str">
        <f>IF(دانش‌آموزان!E68="","",دانش‌آموزان!B68)</f>
        <v/>
      </c>
      <c r="D764" s="55" t="str">
        <f>IF(دانش‌آموزان!C68="","",دانش‌آموزان!C68)</f>
        <v/>
      </c>
      <c r="E764" s="55" t="str">
        <f>IF(دانش‌آموزان!E68="","",دانش‌آموزان!E68&amp;" "&amp;دانش‌آموزان!F68)</f>
        <v/>
      </c>
      <c r="F764" s="34" t="str">
        <f>IF(دانش‌آموزان!I68="","",دانش‌آموزان!I68)</f>
        <v/>
      </c>
      <c r="G764" s="19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  <c r="BJ764" s="20"/>
      <c r="BK764" s="20"/>
      <c r="BL764" s="20"/>
      <c r="BM764" s="20"/>
      <c r="BN764" s="20"/>
      <c r="BO764" s="20"/>
      <c r="BP764" s="20"/>
      <c r="BQ764" s="20"/>
      <c r="BR764" s="20"/>
      <c r="BS764" s="20"/>
      <c r="BT764" s="20"/>
      <c r="BU764" s="20"/>
      <c r="BV764" s="20"/>
      <c r="BW764" s="20"/>
      <c r="BX764" s="20"/>
      <c r="BY764" s="20"/>
      <c r="BZ764" s="20"/>
      <c r="CA764" s="20"/>
      <c r="CB764" s="21"/>
      <c r="CC764" s="27" t="str">
        <f t="shared" si="121"/>
        <v/>
      </c>
      <c r="CD764" s="38" t="str">
        <f t="shared" si="122"/>
        <v/>
      </c>
      <c r="CE764" s="38" t="str">
        <f t="shared" si="123"/>
        <v/>
      </c>
      <c r="CF764" s="38" t="str">
        <f t="shared" si="124"/>
        <v/>
      </c>
      <c r="CG764" s="38" t="str">
        <f t="shared" si="125"/>
        <v/>
      </c>
      <c r="CH764" s="38" t="str">
        <f t="shared" si="126"/>
        <v/>
      </c>
      <c r="CI764" s="38" t="str">
        <f t="shared" si="127"/>
        <v/>
      </c>
      <c r="CJ764" s="38" t="str">
        <f t="shared" si="128"/>
        <v/>
      </c>
      <c r="CK764" s="38" t="str">
        <f t="shared" si="129"/>
        <v/>
      </c>
      <c r="CL764" s="38" t="str">
        <f>IF(C764="","",IF(COUNT(G764:AZ764)&lt;46,"",SUMPRODUCT(CC764:CK764,'تنظیمات وزن‌دهی'!$C$5:$C$13)/100))</f>
        <v/>
      </c>
      <c r="CM764" s="38" t="str">
        <f t="shared" si="130"/>
        <v/>
      </c>
      <c r="CN764" s="38">
        <v>4</v>
      </c>
      <c r="CO764" s="28" t="str">
        <f t="shared" si="131"/>
        <v/>
      </c>
      <c r="CP764" s="58"/>
    </row>
    <row r="765" spans="1:94" ht="17.25" hidden="1">
      <c r="A765" s="33">
        <v>761</v>
      </c>
      <c r="B765" s="55" t="s">
        <v>187</v>
      </c>
      <c r="C765" s="55" t="str">
        <f>IF(دانش‌آموزان!E68="","",دانش‌آموزان!B68)</f>
        <v/>
      </c>
      <c r="D765" s="55" t="str">
        <f>IF(دانش‌آموزان!C68="","",دانش‌آموزان!C68)</f>
        <v/>
      </c>
      <c r="E765" s="55" t="str">
        <f>IF(دانش‌آموزان!E68="","",دانش‌آموزان!E68&amp;" "&amp;دانش‌آموزان!F68)</f>
        <v/>
      </c>
      <c r="F765" s="34" t="str">
        <f>IF(دانش‌آموزان!I68="","",دانش‌آموزان!I68)</f>
        <v/>
      </c>
      <c r="G765" s="19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  <c r="BJ765" s="20"/>
      <c r="BK765" s="20"/>
      <c r="BL765" s="20"/>
      <c r="BM765" s="20"/>
      <c r="BN765" s="20"/>
      <c r="BO765" s="20"/>
      <c r="BP765" s="20"/>
      <c r="BQ765" s="20"/>
      <c r="BR765" s="20"/>
      <c r="BS765" s="20"/>
      <c r="BT765" s="20"/>
      <c r="BU765" s="20"/>
      <c r="BV765" s="20"/>
      <c r="BW765" s="20"/>
      <c r="BX765" s="20"/>
      <c r="BY765" s="20"/>
      <c r="BZ765" s="20"/>
      <c r="CA765" s="20"/>
      <c r="CB765" s="21"/>
      <c r="CC765" s="27" t="str">
        <f t="shared" si="121"/>
        <v/>
      </c>
      <c r="CD765" s="38" t="str">
        <f t="shared" si="122"/>
        <v/>
      </c>
      <c r="CE765" s="38" t="str">
        <f t="shared" si="123"/>
        <v/>
      </c>
      <c r="CF765" s="38" t="str">
        <f t="shared" si="124"/>
        <v/>
      </c>
      <c r="CG765" s="38" t="str">
        <f t="shared" si="125"/>
        <v/>
      </c>
      <c r="CH765" s="38" t="str">
        <f t="shared" si="126"/>
        <v/>
      </c>
      <c r="CI765" s="38" t="str">
        <f t="shared" si="127"/>
        <v/>
      </c>
      <c r="CJ765" s="38" t="str">
        <f t="shared" si="128"/>
        <v/>
      </c>
      <c r="CK765" s="38" t="str">
        <f t="shared" si="129"/>
        <v/>
      </c>
      <c r="CL765" s="38" t="str">
        <f>IF(C765="","",IF(COUNT(G765:AZ765)&lt;46,"",SUMPRODUCT(CC765:CK765,'تنظیمات وزن‌دهی'!$C$5:$C$13)/100))</f>
        <v/>
      </c>
      <c r="CM765" s="38" t="str">
        <f t="shared" si="130"/>
        <v/>
      </c>
      <c r="CN765" s="38">
        <v>5</v>
      </c>
      <c r="CO765" s="28" t="str">
        <f t="shared" si="131"/>
        <v/>
      </c>
      <c r="CP765" s="58"/>
    </row>
    <row r="766" spans="1:94" ht="17.25" hidden="1">
      <c r="A766" s="33">
        <v>762</v>
      </c>
      <c r="B766" s="55" t="s">
        <v>188</v>
      </c>
      <c r="C766" s="55" t="str">
        <f>IF(دانش‌آموزان!E68="","",دانش‌آموزان!B68)</f>
        <v/>
      </c>
      <c r="D766" s="55" t="str">
        <f>IF(دانش‌آموزان!C68="","",دانش‌آموزان!C68)</f>
        <v/>
      </c>
      <c r="E766" s="55" t="str">
        <f>IF(دانش‌آموزان!E68="","",دانش‌آموزان!E68&amp;" "&amp;دانش‌آموزان!F68)</f>
        <v/>
      </c>
      <c r="F766" s="34" t="str">
        <f>IF(دانش‌آموزان!I68="","",دانش‌آموزان!I68)</f>
        <v/>
      </c>
      <c r="G766" s="19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  <c r="BJ766" s="20"/>
      <c r="BK766" s="20"/>
      <c r="BL766" s="20"/>
      <c r="BM766" s="20"/>
      <c r="BN766" s="20"/>
      <c r="BO766" s="20"/>
      <c r="BP766" s="20"/>
      <c r="BQ766" s="20"/>
      <c r="BR766" s="20"/>
      <c r="BS766" s="20"/>
      <c r="BT766" s="20"/>
      <c r="BU766" s="20"/>
      <c r="BV766" s="20"/>
      <c r="BW766" s="20"/>
      <c r="BX766" s="20"/>
      <c r="BY766" s="20"/>
      <c r="BZ766" s="20"/>
      <c r="CA766" s="20"/>
      <c r="CB766" s="21"/>
      <c r="CC766" s="27" t="str">
        <f t="shared" si="121"/>
        <v/>
      </c>
      <c r="CD766" s="38" t="str">
        <f t="shared" si="122"/>
        <v/>
      </c>
      <c r="CE766" s="38" t="str">
        <f t="shared" si="123"/>
        <v/>
      </c>
      <c r="CF766" s="38" t="str">
        <f t="shared" si="124"/>
        <v/>
      </c>
      <c r="CG766" s="38" t="str">
        <f t="shared" si="125"/>
        <v/>
      </c>
      <c r="CH766" s="38" t="str">
        <f t="shared" si="126"/>
        <v/>
      </c>
      <c r="CI766" s="38" t="str">
        <f t="shared" si="127"/>
        <v/>
      </c>
      <c r="CJ766" s="38" t="str">
        <f t="shared" si="128"/>
        <v/>
      </c>
      <c r="CK766" s="38" t="str">
        <f t="shared" si="129"/>
        <v/>
      </c>
      <c r="CL766" s="38" t="str">
        <f>IF(C766="","",IF(COUNT(G766:AZ766)&lt;46,"",SUMPRODUCT(CC766:CK766,'تنظیمات وزن‌دهی'!$C$5:$C$13)/100))</f>
        <v/>
      </c>
      <c r="CM766" s="38" t="str">
        <f t="shared" si="130"/>
        <v/>
      </c>
      <c r="CN766" s="38">
        <v>6</v>
      </c>
      <c r="CO766" s="28" t="str">
        <f t="shared" si="131"/>
        <v/>
      </c>
      <c r="CP766" s="58"/>
    </row>
    <row r="767" spans="1:94" ht="17.25" hidden="1">
      <c r="A767" s="33">
        <v>763</v>
      </c>
      <c r="B767" s="55" t="s">
        <v>189</v>
      </c>
      <c r="C767" s="55" t="str">
        <f>IF(دانش‌آموزان!E68="","",دانش‌آموزان!B68)</f>
        <v/>
      </c>
      <c r="D767" s="55" t="str">
        <f>IF(دانش‌آموزان!C68="","",دانش‌آموزان!C68)</f>
        <v/>
      </c>
      <c r="E767" s="55" t="str">
        <f>IF(دانش‌آموزان!E68="","",دانش‌آموزان!E68&amp;" "&amp;دانش‌آموزان!F68)</f>
        <v/>
      </c>
      <c r="F767" s="34" t="str">
        <f>IF(دانش‌آموزان!I68="","",دانش‌آموزان!I68)</f>
        <v/>
      </c>
      <c r="G767" s="19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  <c r="BJ767" s="20"/>
      <c r="BK767" s="20"/>
      <c r="BL767" s="20"/>
      <c r="BM767" s="20"/>
      <c r="BN767" s="20"/>
      <c r="BO767" s="20"/>
      <c r="BP767" s="20"/>
      <c r="BQ767" s="20"/>
      <c r="BR767" s="20"/>
      <c r="BS767" s="20"/>
      <c r="BT767" s="20"/>
      <c r="BU767" s="20"/>
      <c r="BV767" s="20"/>
      <c r="BW767" s="20"/>
      <c r="BX767" s="20"/>
      <c r="BY767" s="20"/>
      <c r="BZ767" s="20"/>
      <c r="CA767" s="20"/>
      <c r="CB767" s="21"/>
      <c r="CC767" s="27" t="str">
        <f t="shared" si="121"/>
        <v/>
      </c>
      <c r="CD767" s="38" t="str">
        <f t="shared" si="122"/>
        <v/>
      </c>
      <c r="CE767" s="38" t="str">
        <f t="shared" si="123"/>
        <v/>
      </c>
      <c r="CF767" s="38" t="str">
        <f t="shared" si="124"/>
        <v/>
      </c>
      <c r="CG767" s="38" t="str">
        <f t="shared" si="125"/>
        <v/>
      </c>
      <c r="CH767" s="38" t="str">
        <f t="shared" si="126"/>
        <v/>
      </c>
      <c r="CI767" s="38" t="str">
        <f t="shared" si="127"/>
        <v/>
      </c>
      <c r="CJ767" s="38" t="str">
        <f t="shared" si="128"/>
        <v/>
      </c>
      <c r="CK767" s="38" t="str">
        <f t="shared" si="129"/>
        <v/>
      </c>
      <c r="CL767" s="38" t="str">
        <f>IF(C767="","",IF(COUNT(G767:AZ767)&lt;46,"",SUMPRODUCT(CC767:CK767,'تنظیمات وزن‌دهی'!$C$5:$C$13)/100))</f>
        <v/>
      </c>
      <c r="CM767" s="38" t="str">
        <f t="shared" si="130"/>
        <v/>
      </c>
      <c r="CN767" s="38">
        <v>7</v>
      </c>
      <c r="CO767" s="28" t="str">
        <f t="shared" si="131"/>
        <v/>
      </c>
      <c r="CP767" s="58"/>
    </row>
    <row r="768" spans="1:94" ht="17.25" hidden="1">
      <c r="A768" s="33">
        <v>764</v>
      </c>
      <c r="B768" s="55" t="s">
        <v>190</v>
      </c>
      <c r="C768" s="55" t="str">
        <f>IF(دانش‌آموزان!E68="","",دانش‌آموزان!B68)</f>
        <v/>
      </c>
      <c r="D768" s="55" t="str">
        <f>IF(دانش‌آموزان!C68="","",دانش‌آموزان!C68)</f>
        <v/>
      </c>
      <c r="E768" s="55" t="str">
        <f>IF(دانش‌آموزان!E68="","",دانش‌آموزان!E68&amp;" "&amp;دانش‌آموزان!F68)</f>
        <v/>
      </c>
      <c r="F768" s="34" t="str">
        <f>IF(دانش‌آموزان!I68="","",دانش‌آموزان!I68)</f>
        <v/>
      </c>
      <c r="G768" s="19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  <c r="BJ768" s="20"/>
      <c r="BK768" s="20"/>
      <c r="BL768" s="20"/>
      <c r="BM768" s="20"/>
      <c r="BN768" s="20"/>
      <c r="BO768" s="20"/>
      <c r="BP768" s="20"/>
      <c r="BQ768" s="20"/>
      <c r="BR768" s="20"/>
      <c r="BS768" s="20"/>
      <c r="BT768" s="20"/>
      <c r="BU768" s="20"/>
      <c r="BV768" s="20"/>
      <c r="BW768" s="20"/>
      <c r="BX768" s="20"/>
      <c r="BY768" s="20"/>
      <c r="BZ768" s="20"/>
      <c r="CA768" s="20"/>
      <c r="CB768" s="21"/>
      <c r="CC768" s="27" t="str">
        <f t="shared" si="121"/>
        <v/>
      </c>
      <c r="CD768" s="38" t="str">
        <f t="shared" si="122"/>
        <v/>
      </c>
      <c r="CE768" s="38" t="str">
        <f t="shared" si="123"/>
        <v/>
      </c>
      <c r="CF768" s="38" t="str">
        <f t="shared" si="124"/>
        <v/>
      </c>
      <c r="CG768" s="38" t="str">
        <f t="shared" si="125"/>
        <v/>
      </c>
      <c r="CH768" s="38" t="str">
        <f t="shared" si="126"/>
        <v/>
      </c>
      <c r="CI768" s="38" t="str">
        <f t="shared" si="127"/>
        <v/>
      </c>
      <c r="CJ768" s="38" t="str">
        <f t="shared" si="128"/>
        <v/>
      </c>
      <c r="CK768" s="38" t="str">
        <f t="shared" si="129"/>
        <v/>
      </c>
      <c r="CL768" s="38" t="str">
        <f>IF(C768="","",IF(COUNT(G768:AZ768)&lt;46,"",SUMPRODUCT(CC768:CK768,'تنظیمات وزن‌دهی'!$C$5:$C$13)/100))</f>
        <v/>
      </c>
      <c r="CM768" s="38" t="str">
        <f t="shared" si="130"/>
        <v/>
      </c>
      <c r="CN768" s="38">
        <v>8</v>
      </c>
      <c r="CO768" s="28" t="str">
        <f t="shared" si="131"/>
        <v/>
      </c>
      <c r="CP768" s="58"/>
    </row>
    <row r="769" spans="1:94" ht="17.25" hidden="1">
      <c r="A769" s="33">
        <v>765</v>
      </c>
      <c r="B769" s="55" t="s">
        <v>191</v>
      </c>
      <c r="C769" s="55" t="str">
        <f>IF(دانش‌آموزان!E68="","",دانش‌آموزان!B68)</f>
        <v/>
      </c>
      <c r="D769" s="55" t="str">
        <f>IF(دانش‌آموزان!C68="","",دانش‌آموزان!C68)</f>
        <v/>
      </c>
      <c r="E769" s="55" t="str">
        <f>IF(دانش‌آموزان!E68="","",دانش‌آموزان!E68&amp;" "&amp;دانش‌آموزان!F68)</f>
        <v/>
      </c>
      <c r="F769" s="34" t="str">
        <f>IF(دانش‌آموزان!I68="","",دانش‌آموزان!I68)</f>
        <v/>
      </c>
      <c r="G769" s="19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  <c r="BJ769" s="20"/>
      <c r="BK769" s="20"/>
      <c r="BL769" s="20"/>
      <c r="BM769" s="20"/>
      <c r="BN769" s="20"/>
      <c r="BO769" s="20"/>
      <c r="BP769" s="20"/>
      <c r="BQ769" s="20"/>
      <c r="BR769" s="20"/>
      <c r="BS769" s="20"/>
      <c r="BT769" s="20"/>
      <c r="BU769" s="20"/>
      <c r="BV769" s="20"/>
      <c r="BW769" s="20"/>
      <c r="BX769" s="20"/>
      <c r="BY769" s="20"/>
      <c r="BZ769" s="20"/>
      <c r="CA769" s="20"/>
      <c r="CB769" s="21"/>
      <c r="CC769" s="27" t="str">
        <f t="shared" si="121"/>
        <v/>
      </c>
      <c r="CD769" s="38" t="str">
        <f t="shared" si="122"/>
        <v/>
      </c>
      <c r="CE769" s="38" t="str">
        <f t="shared" si="123"/>
        <v/>
      </c>
      <c r="CF769" s="38" t="str">
        <f t="shared" si="124"/>
        <v/>
      </c>
      <c r="CG769" s="38" t="str">
        <f t="shared" si="125"/>
        <v/>
      </c>
      <c r="CH769" s="38" t="str">
        <f t="shared" si="126"/>
        <v/>
      </c>
      <c r="CI769" s="38" t="str">
        <f t="shared" si="127"/>
        <v/>
      </c>
      <c r="CJ769" s="38" t="str">
        <f t="shared" si="128"/>
        <v/>
      </c>
      <c r="CK769" s="38" t="str">
        <f t="shared" si="129"/>
        <v/>
      </c>
      <c r="CL769" s="38" t="str">
        <f>IF(C769="","",IF(COUNT(G769:AZ769)&lt;46,"",SUMPRODUCT(CC769:CK769,'تنظیمات وزن‌دهی'!$C$5:$C$13)/100))</f>
        <v/>
      </c>
      <c r="CM769" s="38" t="str">
        <f t="shared" si="130"/>
        <v/>
      </c>
      <c r="CN769" s="38">
        <v>9</v>
      </c>
      <c r="CO769" s="28" t="str">
        <f t="shared" si="131"/>
        <v/>
      </c>
      <c r="CP769" s="58"/>
    </row>
    <row r="770" spans="1:94" ht="17.25" hidden="1">
      <c r="A770" s="33">
        <v>766</v>
      </c>
      <c r="B770" s="55" t="s">
        <v>192</v>
      </c>
      <c r="C770" s="55" t="str">
        <f>IF(دانش‌آموزان!E68="","",دانش‌آموزان!B68)</f>
        <v/>
      </c>
      <c r="D770" s="55" t="str">
        <f>IF(دانش‌آموزان!C68="","",دانش‌آموزان!C68)</f>
        <v/>
      </c>
      <c r="E770" s="55" t="str">
        <f>IF(دانش‌آموزان!E68="","",دانش‌آموزان!E68&amp;" "&amp;دانش‌آموزان!F68)</f>
        <v/>
      </c>
      <c r="F770" s="34" t="str">
        <f>IF(دانش‌آموزان!I68="","",دانش‌آموزان!I68)</f>
        <v/>
      </c>
      <c r="G770" s="19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  <c r="BK770" s="20"/>
      <c r="BL770" s="20"/>
      <c r="BM770" s="20"/>
      <c r="BN770" s="20"/>
      <c r="BO770" s="20"/>
      <c r="BP770" s="20"/>
      <c r="BQ770" s="20"/>
      <c r="BR770" s="20"/>
      <c r="BS770" s="20"/>
      <c r="BT770" s="20"/>
      <c r="BU770" s="20"/>
      <c r="BV770" s="20"/>
      <c r="BW770" s="20"/>
      <c r="BX770" s="20"/>
      <c r="BY770" s="20"/>
      <c r="BZ770" s="20"/>
      <c r="CA770" s="20"/>
      <c r="CB770" s="21"/>
      <c r="CC770" s="27" t="str">
        <f t="shared" si="121"/>
        <v/>
      </c>
      <c r="CD770" s="38" t="str">
        <f t="shared" si="122"/>
        <v/>
      </c>
      <c r="CE770" s="38" t="str">
        <f t="shared" si="123"/>
        <v/>
      </c>
      <c r="CF770" s="38" t="str">
        <f t="shared" si="124"/>
        <v/>
      </c>
      <c r="CG770" s="38" t="str">
        <f t="shared" si="125"/>
        <v/>
      </c>
      <c r="CH770" s="38" t="str">
        <f t="shared" si="126"/>
        <v/>
      </c>
      <c r="CI770" s="38" t="str">
        <f t="shared" si="127"/>
        <v/>
      </c>
      <c r="CJ770" s="38" t="str">
        <f t="shared" si="128"/>
        <v/>
      </c>
      <c r="CK770" s="38" t="str">
        <f t="shared" si="129"/>
        <v/>
      </c>
      <c r="CL770" s="38" t="str">
        <f>IF(C770="","",IF(COUNT(G770:AZ770)&lt;46,"",SUMPRODUCT(CC770:CK770,'تنظیمات وزن‌دهی'!$C$5:$C$13)/100))</f>
        <v/>
      </c>
      <c r="CM770" s="38" t="str">
        <f t="shared" si="130"/>
        <v/>
      </c>
      <c r="CN770" s="38">
        <v>10</v>
      </c>
      <c r="CO770" s="28" t="str">
        <f t="shared" si="131"/>
        <v/>
      </c>
      <c r="CP770" s="58"/>
    </row>
    <row r="771" spans="1:94" ht="17.25" hidden="1">
      <c r="A771" s="33">
        <v>767</v>
      </c>
      <c r="B771" s="55" t="s">
        <v>193</v>
      </c>
      <c r="C771" s="55" t="str">
        <f>IF(دانش‌آموزان!E68="","",دانش‌آموزان!B68)</f>
        <v/>
      </c>
      <c r="D771" s="55" t="str">
        <f>IF(دانش‌آموزان!C68="","",دانش‌آموزان!C68)</f>
        <v/>
      </c>
      <c r="E771" s="55" t="str">
        <f>IF(دانش‌آموزان!E68="","",دانش‌آموزان!E68&amp;" "&amp;دانش‌آموزان!F68)</f>
        <v/>
      </c>
      <c r="F771" s="34" t="str">
        <f>IF(دانش‌آموزان!I68="","",دانش‌آموزان!I68)</f>
        <v/>
      </c>
      <c r="G771" s="19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  <c r="BJ771" s="20"/>
      <c r="BK771" s="20"/>
      <c r="BL771" s="20"/>
      <c r="BM771" s="20"/>
      <c r="BN771" s="20"/>
      <c r="BO771" s="20"/>
      <c r="BP771" s="20"/>
      <c r="BQ771" s="20"/>
      <c r="BR771" s="20"/>
      <c r="BS771" s="20"/>
      <c r="BT771" s="20"/>
      <c r="BU771" s="20"/>
      <c r="BV771" s="20"/>
      <c r="BW771" s="20"/>
      <c r="BX771" s="20"/>
      <c r="BY771" s="20"/>
      <c r="BZ771" s="20"/>
      <c r="CA771" s="20"/>
      <c r="CB771" s="21"/>
      <c r="CC771" s="27" t="str">
        <f t="shared" si="121"/>
        <v/>
      </c>
      <c r="CD771" s="38" t="str">
        <f t="shared" si="122"/>
        <v/>
      </c>
      <c r="CE771" s="38" t="str">
        <f t="shared" si="123"/>
        <v/>
      </c>
      <c r="CF771" s="38" t="str">
        <f t="shared" si="124"/>
        <v/>
      </c>
      <c r="CG771" s="38" t="str">
        <f t="shared" si="125"/>
        <v/>
      </c>
      <c r="CH771" s="38" t="str">
        <f t="shared" si="126"/>
        <v/>
      </c>
      <c r="CI771" s="38" t="str">
        <f t="shared" si="127"/>
        <v/>
      </c>
      <c r="CJ771" s="38" t="str">
        <f t="shared" si="128"/>
        <v/>
      </c>
      <c r="CK771" s="38" t="str">
        <f t="shared" si="129"/>
        <v/>
      </c>
      <c r="CL771" s="38" t="str">
        <f>IF(C771="","",IF(COUNT(G771:AZ771)&lt;46,"",SUMPRODUCT(CC771:CK771,'تنظیمات وزن‌دهی'!$C$5:$C$13)/100))</f>
        <v/>
      </c>
      <c r="CM771" s="38" t="str">
        <f t="shared" si="130"/>
        <v/>
      </c>
      <c r="CN771" s="38">
        <v>11</v>
      </c>
      <c r="CO771" s="28" t="str">
        <f t="shared" si="131"/>
        <v/>
      </c>
      <c r="CP771" s="58"/>
    </row>
    <row r="772" spans="1:94" ht="17.25" hidden="1">
      <c r="A772" s="33">
        <v>768</v>
      </c>
      <c r="B772" s="55" t="s">
        <v>194</v>
      </c>
      <c r="C772" s="55" t="str">
        <f>IF(دانش‌آموزان!E68="","",دانش‌آموزان!B68)</f>
        <v/>
      </c>
      <c r="D772" s="55" t="str">
        <f>IF(دانش‌آموزان!C68="","",دانش‌آموزان!C68)</f>
        <v/>
      </c>
      <c r="E772" s="55" t="str">
        <f>IF(دانش‌آموزان!E68="","",دانش‌آموزان!E68&amp;" "&amp;دانش‌آموزان!F68)</f>
        <v/>
      </c>
      <c r="F772" s="34" t="str">
        <f>IF(دانش‌آموزان!I68="","",دانش‌آموزان!I68)</f>
        <v/>
      </c>
      <c r="G772" s="19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  <c r="BJ772" s="20"/>
      <c r="BK772" s="20"/>
      <c r="BL772" s="20"/>
      <c r="BM772" s="20"/>
      <c r="BN772" s="20"/>
      <c r="BO772" s="20"/>
      <c r="BP772" s="20"/>
      <c r="BQ772" s="20"/>
      <c r="BR772" s="20"/>
      <c r="BS772" s="20"/>
      <c r="BT772" s="20"/>
      <c r="BU772" s="20"/>
      <c r="BV772" s="20"/>
      <c r="BW772" s="20"/>
      <c r="BX772" s="20"/>
      <c r="BY772" s="20"/>
      <c r="BZ772" s="20"/>
      <c r="CA772" s="20"/>
      <c r="CB772" s="21"/>
      <c r="CC772" s="27" t="str">
        <f t="shared" si="121"/>
        <v/>
      </c>
      <c r="CD772" s="38" t="str">
        <f t="shared" si="122"/>
        <v/>
      </c>
      <c r="CE772" s="38" t="str">
        <f t="shared" si="123"/>
        <v/>
      </c>
      <c r="CF772" s="38" t="str">
        <f t="shared" si="124"/>
        <v/>
      </c>
      <c r="CG772" s="38" t="str">
        <f t="shared" si="125"/>
        <v/>
      </c>
      <c r="CH772" s="38" t="str">
        <f t="shared" si="126"/>
        <v/>
      </c>
      <c r="CI772" s="38" t="str">
        <f t="shared" si="127"/>
        <v/>
      </c>
      <c r="CJ772" s="38" t="str">
        <f t="shared" si="128"/>
        <v/>
      </c>
      <c r="CK772" s="38" t="str">
        <f t="shared" si="129"/>
        <v/>
      </c>
      <c r="CL772" s="38" t="str">
        <f>IF(C772="","",IF(COUNT(G772:AZ772)&lt;46,"",SUMPRODUCT(CC772:CK772,'تنظیمات وزن‌دهی'!$C$5:$C$13)/100))</f>
        <v/>
      </c>
      <c r="CM772" s="38" t="str">
        <f t="shared" si="130"/>
        <v/>
      </c>
      <c r="CN772" s="38">
        <v>12</v>
      </c>
      <c r="CO772" s="28" t="str">
        <f t="shared" si="131"/>
        <v/>
      </c>
      <c r="CP772" s="58"/>
    </row>
    <row r="773" spans="1:94" ht="17.25" hidden="1">
      <c r="A773" s="33">
        <v>769</v>
      </c>
      <c r="B773" s="55" t="s">
        <v>183</v>
      </c>
      <c r="C773" s="55" t="str">
        <f>IF(دانش‌آموزان!E69="","",دانش‌آموزان!B69)</f>
        <v/>
      </c>
      <c r="D773" s="55" t="str">
        <f>IF(دانش‌آموزان!C69="","",دانش‌آموزان!C69)</f>
        <v/>
      </c>
      <c r="E773" s="55" t="str">
        <f>IF(دانش‌آموزان!E69="","",دانش‌آموزان!E69&amp;" "&amp;دانش‌آموزان!F69)</f>
        <v/>
      </c>
      <c r="F773" s="34" t="str">
        <f>IF(دانش‌آموزان!I69="","",دانش‌آموزان!I69)</f>
        <v/>
      </c>
      <c r="G773" s="19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0"/>
      <c r="BL773" s="20"/>
      <c r="BM773" s="20"/>
      <c r="BN773" s="20"/>
      <c r="BO773" s="20"/>
      <c r="BP773" s="20"/>
      <c r="BQ773" s="20"/>
      <c r="BR773" s="20"/>
      <c r="BS773" s="20"/>
      <c r="BT773" s="20"/>
      <c r="BU773" s="20"/>
      <c r="BV773" s="20"/>
      <c r="BW773" s="20"/>
      <c r="BX773" s="20"/>
      <c r="BY773" s="20"/>
      <c r="BZ773" s="20"/>
      <c r="CA773" s="20"/>
      <c r="CB773" s="21"/>
      <c r="CC773" s="27" t="str">
        <f t="shared" ref="CC773:CC836" si="132">IF(COUNT(G773:N773)=0,"",AVERAGE(G773:N773)*4)</f>
        <v/>
      </c>
      <c r="CD773" s="38" t="str">
        <f t="shared" ref="CD773:CD836" si="133">IF(COUNT(O773:S773)=0,"",AVERAGE(O773:S773)*4)</f>
        <v/>
      </c>
      <c r="CE773" s="38" t="str">
        <f t="shared" ref="CE773:CE836" si="134">IF(COUNT(T773:U773)=0,"",AVERAGE(T773:U773)*4)</f>
        <v/>
      </c>
      <c r="CF773" s="38" t="str">
        <f t="shared" ref="CF773:CF836" si="135">IF(COUNT(V773:Z773)=0,"",AVERAGE(V773:Z773)*4)</f>
        <v/>
      </c>
      <c r="CG773" s="38" t="str">
        <f t="shared" ref="CG773:CG836" si="136">IF(COUNT(AA773:AC773)=0,"",AVERAGE(AA773:AC773)*4)</f>
        <v/>
      </c>
      <c r="CH773" s="38" t="str">
        <f t="shared" ref="CH773:CH836" si="137">IF(COUNT(AD773:AI773)=0,"",AVERAGE(AD773:AI773)*4)</f>
        <v/>
      </c>
      <c r="CI773" s="38" t="str">
        <f t="shared" ref="CI773:CI836" si="138">IF(COUNT(AJ773:AP773)=0,"",AVERAGE(AJ773:AP773)*4)</f>
        <v/>
      </c>
      <c r="CJ773" s="38" t="str">
        <f t="shared" ref="CJ773:CJ836" si="139">IF(COUNT(AQ773:AW773)=0,"",AVERAGE(AQ773:AW773)*4)</f>
        <v/>
      </c>
      <c r="CK773" s="38" t="str">
        <f t="shared" ref="CK773:CK836" si="140">IF(COUNT(AX773:AZ773)=0,"",AVERAGE(AX773:AZ773)*4)</f>
        <v/>
      </c>
      <c r="CL773" s="38" t="str">
        <f>IF(C773="","",IF(COUNT(G773:AZ773)&lt;46,"",SUMPRODUCT(CC773:CK773,'تنظیمات وزن‌دهی'!$C$5:$C$13)/100))</f>
        <v/>
      </c>
      <c r="CM773" s="38" t="str">
        <f t="shared" ref="CM773:CM836" si="141">IF(C773="","",IF(COUNT(G773:AZ773)=0,"",IF(COUNT(G773:AZ773)&lt;46,"موقت - اطلاعات ناقص",IF(CL773&gt;=17,"عالی",IF(CL773&gt;=14,"خوب",IF(CL773&gt;=10,"متوسط","ضعیف"))))))</f>
        <v/>
      </c>
      <c r="CN773" s="38">
        <v>1</v>
      </c>
      <c r="CO773" s="28" t="str">
        <f t="shared" ref="CO773:CO836" si="142">IF(C773="","",COUNT(G773:AZ773)/46)</f>
        <v/>
      </c>
      <c r="CP773" s="58"/>
    </row>
    <row r="774" spans="1:94" ht="17.25" hidden="1">
      <c r="A774" s="33">
        <v>770</v>
      </c>
      <c r="B774" s="55" t="s">
        <v>184</v>
      </c>
      <c r="C774" s="55" t="str">
        <f>IF(دانش‌آموزان!E69="","",دانش‌آموزان!B69)</f>
        <v/>
      </c>
      <c r="D774" s="55" t="str">
        <f>IF(دانش‌آموزان!C69="","",دانش‌آموزان!C69)</f>
        <v/>
      </c>
      <c r="E774" s="55" t="str">
        <f>IF(دانش‌آموزان!E69="","",دانش‌آموزان!E69&amp;" "&amp;دانش‌آموزان!F69)</f>
        <v/>
      </c>
      <c r="F774" s="34" t="str">
        <f>IF(دانش‌آموزان!I69="","",دانش‌آموزان!I69)</f>
        <v/>
      </c>
      <c r="G774" s="19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  <c r="BJ774" s="20"/>
      <c r="BK774" s="20"/>
      <c r="BL774" s="20"/>
      <c r="BM774" s="20"/>
      <c r="BN774" s="20"/>
      <c r="BO774" s="20"/>
      <c r="BP774" s="20"/>
      <c r="BQ774" s="20"/>
      <c r="BR774" s="20"/>
      <c r="BS774" s="20"/>
      <c r="BT774" s="20"/>
      <c r="BU774" s="20"/>
      <c r="BV774" s="20"/>
      <c r="BW774" s="20"/>
      <c r="BX774" s="20"/>
      <c r="BY774" s="20"/>
      <c r="BZ774" s="20"/>
      <c r="CA774" s="20"/>
      <c r="CB774" s="21"/>
      <c r="CC774" s="27" t="str">
        <f t="shared" si="132"/>
        <v/>
      </c>
      <c r="CD774" s="38" t="str">
        <f t="shared" si="133"/>
        <v/>
      </c>
      <c r="CE774" s="38" t="str">
        <f t="shared" si="134"/>
        <v/>
      </c>
      <c r="CF774" s="38" t="str">
        <f t="shared" si="135"/>
        <v/>
      </c>
      <c r="CG774" s="38" t="str">
        <f t="shared" si="136"/>
        <v/>
      </c>
      <c r="CH774" s="38" t="str">
        <f t="shared" si="137"/>
        <v/>
      </c>
      <c r="CI774" s="38" t="str">
        <f t="shared" si="138"/>
        <v/>
      </c>
      <c r="CJ774" s="38" t="str">
        <f t="shared" si="139"/>
        <v/>
      </c>
      <c r="CK774" s="38" t="str">
        <f t="shared" si="140"/>
        <v/>
      </c>
      <c r="CL774" s="38" t="str">
        <f>IF(C774="","",IF(COUNT(G774:AZ774)&lt;46,"",SUMPRODUCT(CC774:CK774,'تنظیمات وزن‌دهی'!$C$5:$C$13)/100))</f>
        <v/>
      </c>
      <c r="CM774" s="38" t="str">
        <f t="shared" si="141"/>
        <v/>
      </c>
      <c r="CN774" s="38">
        <v>2</v>
      </c>
      <c r="CO774" s="28" t="str">
        <f t="shared" si="142"/>
        <v/>
      </c>
      <c r="CP774" s="58"/>
    </row>
    <row r="775" spans="1:94" ht="17.25">
      <c r="A775" s="33">
        <v>771</v>
      </c>
      <c r="B775" s="55" t="s">
        <v>185</v>
      </c>
      <c r="C775" s="55" t="str">
        <f>IF(دانش‌آموزان!E69="","",دانش‌آموزان!B69)</f>
        <v/>
      </c>
      <c r="D775" s="55" t="str">
        <f>IF(دانش‌آموزان!C69="","",دانش‌آموزان!C69)</f>
        <v/>
      </c>
      <c r="E775" s="55" t="str">
        <f>IF(دانش‌آموزان!E69="","",دانش‌آموزان!E69&amp;" "&amp;دانش‌آموزان!F69)</f>
        <v/>
      </c>
      <c r="F775" s="34" t="str">
        <f>IF(دانش‌آموزان!I69="","",دانش‌آموزان!I69)</f>
        <v/>
      </c>
      <c r="G775" s="19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  <c r="BJ775" s="20"/>
      <c r="BK775" s="20"/>
      <c r="BL775" s="20"/>
      <c r="BM775" s="20"/>
      <c r="BN775" s="20"/>
      <c r="BO775" s="20"/>
      <c r="BP775" s="20"/>
      <c r="BQ775" s="20"/>
      <c r="BR775" s="20"/>
      <c r="BS775" s="20"/>
      <c r="BT775" s="20"/>
      <c r="BU775" s="20"/>
      <c r="BV775" s="20"/>
      <c r="BW775" s="20"/>
      <c r="BX775" s="20"/>
      <c r="BY775" s="20"/>
      <c r="BZ775" s="20"/>
      <c r="CA775" s="20"/>
      <c r="CB775" s="21"/>
      <c r="CC775" s="27" t="str">
        <f t="shared" si="132"/>
        <v/>
      </c>
      <c r="CD775" s="38" t="str">
        <f t="shared" si="133"/>
        <v/>
      </c>
      <c r="CE775" s="38" t="str">
        <f t="shared" si="134"/>
        <v/>
      </c>
      <c r="CF775" s="38" t="str">
        <f t="shared" si="135"/>
        <v/>
      </c>
      <c r="CG775" s="38" t="str">
        <f t="shared" si="136"/>
        <v/>
      </c>
      <c r="CH775" s="38" t="str">
        <f t="shared" si="137"/>
        <v/>
      </c>
      <c r="CI775" s="38" t="str">
        <f t="shared" si="138"/>
        <v/>
      </c>
      <c r="CJ775" s="38" t="str">
        <f t="shared" si="139"/>
        <v/>
      </c>
      <c r="CK775" s="38" t="str">
        <f t="shared" si="140"/>
        <v/>
      </c>
      <c r="CL775" s="38" t="str">
        <f>IF(C775="","",IF(COUNT(G775:AZ775)&lt;46,"",SUMPRODUCT(CC775:CK775,'تنظیمات وزن‌دهی'!$C$5:$C$13)/100))</f>
        <v/>
      </c>
      <c r="CM775" s="38" t="str">
        <f t="shared" si="141"/>
        <v/>
      </c>
      <c r="CN775" s="38">
        <v>3</v>
      </c>
      <c r="CO775" s="28" t="str">
        <f t="shared" si="142"/>
        <v/>
      </c>
      <c r="CP775" s="58"/>
    </row>
    <row r="776" spans="1:94" ht="17.25" hidden="1">
      <c r="A776" s="33">
        <v>772</v>
      </c>
      <c r="B776" s="55" t="s">
        <v>186</v>
      </c>
      <c r="C776" s="55" t="str">
        <f>IF(دانش‌آموزان!E69="","",دانش‌آموزان!B69)</f>
        <v/>
      </c>
      <c r="D776" s="55" t="str">
        <f>IF(دانش‌آموزان!C69="","",دانش‌آموزان!C69)</f>
        <v/>
      </c>
      <c r="E776" s="55" t="str">
        <f>IF(دانش‌آموزان!E69="","",دانش‌آموزان!E69&amp;" "&amp;دانش‌آموزان!F69)</f>
        <v/>
      </c>
      <c r="F776" s="34" t="str">
        <f>IF(دانش‌آموزان!I69="","",دانش‌آموزان!I69)</f>
        <v/>
      </c>
      <c r="G776" s="19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20"/>
      <c r="BL776" s="20"/>
      <c r="BM776" s="20"/>
      <c r="BN776" s="20"/>
      <c r="BO776" s="20"/>
      <c r="BP776" s="20"/>
      <c r="BQ776" s="20"/>
      <c r="BR776" s="20"/>
      <c r="BS776" s="20"/>
      <c r="BT776" s="20"/>
      <c r="BU776" s="20"/>
      <c r="BV776" s="20"/>
      <c r="BW776" s="20"/>
      <c r="BX776" s="20"/>
      <c r="BY776" s="20"/>
      <c r="BZ776" s="20"/>
      <c r="CA776" s="20"/>
      <c r="CB776" s="21"/>
      <c r="CC776" s="27" t="str">
        <f t="shared" si="132"/>
        <v/>
      </c>
      <c r="CD776" s="38" t="str">
        <f t="shared" si="133"/>
        <v/>
      </c>
      <c r="CE776" s="38" t="str">
        <f t="shared" si="134"/>
        <v/>
      </c>
      <c r="CF776" s="38" t="str">
        <f t="shared" si="135"/>
        <v/>
      </c>
      <c r="CG776" s="38" t="str">
        <f t="shared" si="136"/>
        <v/>
      </c>
      <c r="CH776" s="38" t="str">
        <f t="shared" si="137"/>
        <v/>
      </c>
      <c r="CI776" s="38" t="str">
        <f t="shared" si="138"/>
        <v/>
      </c>
      <c r="CJ776" s="38" t="str">
        <f t="shared" si="139"/>
        <v/>
      </c>
      <c r="CK776" s="38" t="str">
        <f t="shared" si="140"/>
        <v/>
      </c>
      <c r="CL776" s="38" t="str">
        <f>IF(C776="","",IF(COUNT(G776:AZ776)&lt;46,"",SUMPRODUCT(CC776:CK776,'تنظیمات وزن‌دهی'!$C$5:$C$13)/100))</f>
        <v/>
      </c>
      <c r="CM776" s="38" t="str">
        <f t="shared" si="141"/>
        <v/>
      </c>
      <c r="CN776" s="38">
        <v>4</v>
      </c>
      <c r="CO776" s="28" t="str">
        <f t="shared" si="142"/>
        <v/>
      </c>
      <c r="CP776" s="58"/>
    </row>
    <row r="777" spans="1:94" ht="17.25" hidden="1">
      <c r="A777" s="33">
        <v>773</v>
      </c>
      <c r="B777" s="55" t="s">
        <v>187</v>
      </c>
      <c r="C777" s="55" t="str">
        <f>IF(دانش‌آموزان!E69="","",دانش‌آموزان!B69)</f>
        <v/>
      </c>
      <c r="D777" s="55" t="str">
        <f>IF(دانش‌آموزان!C69="","",دانش‌آموزان!C69)</f>
        <v/>
      </c>
      <c r="E777" s="55" t="str">
        <f>IF(دانش‌آموزان!E69="","",دانش‌آموزان!E69&amp;" "&amp;دانش‌آموزان!F69)</f>
        <v/>
      </c>
      <c r="F777" s="34" t="str">
        <f>IF(دانش‌آموزان!I69="","",دانش‌آموزان!I69)</f>
        <v/>
      </c>
      <c r="G777" s="19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0"/>
      <c r="BL777" s="20"/>
      <c r="BM777" s="20"/>
      <c r="BN777" s="20"/>
      <c r="BO777" s="20"/>
      <c r="BP777" s="20"/>
      <c r="BQ777" s="20"/>
      <c r="BR777" s="20"/>
      <c r="BS777" s="20"/>
      <c r="BT777" s="20"/>
      <c r="BU777" s="20"/>
      <c r="BV777" s="20"/>
      <c r="BW777" s="20"/>
      <c r="BX777" s="20"/>
      <c r="BY777" s="20"/>
      <c r="BZ777" s="20"/>
      <c r="CA777" s="20"/>
      <c r="CB777" s="21"/>
      <c r="CC777" s="27" t="str">
        <f t="shared" si="132"/>
        <v/>
      </c>
      <c r="CD777" s="38" t="str">
        <f t="shared" si="133"/>
        <v/>
      </c>
      <c r="CE777" s="38" t="str">
        <f t="shared" si="134"/>
        <v/>
      </c>
      <c r="CF777" s="38" t="str">
        <f t="shared" si="135"/>
        <v/>
      </c>
      <c r="CG777" s="38" t="str">
        <f t="shared" si="136"/>
        <v/>
      </c>
      <c r="CH777" s="38" t="str">
        <f t="shared" si="137"/>
        <v/>
      </c>
      <c r="CI777" s="38" t="str">
        <f t="shared" si="138"/>
        <v/>
      </c>
      <c r="CJ777" s="38" t="str">
        <f t="shared" si="139"/>
        <v/>
      </c>
      <c r="CK777" s="38" t="str">
        <f t="shared" si="140"/>
        <v/>
      </c>
      <c r="CL777" s="38" t="str">
        <f>IF(C777="","",IF(COUNT(G777:AZ777)&lt;46,"",SUMPRODUCT(CC777:CK777,'تنظیمات وزن‌دهی'!$C$5:$C$13)/100))</f>
        <v/>
      </c>
      <c r="CM777" s="38" t="str">
        <f t="shared" si="141"/>
        <v/>
      </c>
      <c r="CN777" s="38">
        <v>5</v>
      </c>
      <c r="CO777" s="28" t="str">
        <f t="shared" si="142"/>
        <v/>
      </c>
      <c r="CP777" s="58"/>
    </row>
    <row r="778" spans="1:94" ht="17.25" hidden="1">
      <c r="A778" s="33">
        <v>774</v>
      </c>
      <c r="B778" s="55" t="s">
        <v>188</v>
      </c>
      <c r="C778" s="55" t="str">
        <f>IF(دانش‌آموزان!E69="","",دانش‌آموزان!B69)</f>
        <v/>
      </c>
      <c r="D778" s="55" t="str">
        <f>IF(دانش‌آموزان!C69="","",دانش‌آموزان!C69)</f>
        <v/>
      </c>
      <c r="E778" s="55" t="str">
        <f>IF(دانش‌آموزان!E69="","",دانش‌آموزان!E69&amp;" "&amp;دانش‌آموزان!F69)</f>
        <v/>
      </c>
      <c r="F778" s="34" t="str">
        <f>IF(دانش‌آموزان!I69="","",دانش‌آموزان!I69)</f>
        <v/>
      </c>
      <c r="G778" s="19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20"/>
      <c r="BL778" s="20"/>
      <c r="BM778" s="20"/>
      <c r="BN778" s="20"/>
      <c r="BO778" s="20"/>
      <c r="BP778" s="20"/>
      <c r="BQ778" s="20"/>
      <c r="BR778" s="20"/>
      <c r="BS778" s="20"/>
      <c r="BT778" s="20"/>
      <c r="BU778" s="20"/>
      <c r="BV778" s="20"/>
      <c r="BW778" s="20"/>
      <c r="BX778" s="20"/>
      <c r="BY778" s="20"/>
      <c r="BZ778" s="20"/>
      <c r="CA778" s="20"/>
      <c r="CB778" s="21"/>
      <c r="CC778" s="27" t="str">
        <f t="shared" si="132"/>
        <v/>
      </c>
      <c r="CD778" s="38" t="str">
        <f t="shared" si="133"/>
        <v/>
      </c>
      <c r="CE778" s="38" t="str">
        <f t="shared" si="134"/>
        <v/>
      </c>
      <c r="CF778" s="38" t="str">
        <f t="shared" si="135"/>
        <v/>
      </c>
      <c r="CG778" s="38" t="str">
        <f t="shared" si="136"/>
        <v/>
      </c>
      <c r="CH778" s="38" t="str">
        <f t="shared" si="137"/>
        <v/>
      </c>
      <c r="CI778" s="38" t="str">
        <f t="shared" si="138"/>
        <v/>
      </c>
      <c r="CJ778" s="38" t="str">
        <f t="shared" si="139"/>
        <v/>
      </c>
      <c r="CK778" s="38" t="str">
        <f t="shared" si="140"/>
        <v/>
      </c>
      <c r="CL778" s="38" t="str">
        <f>IF(C778="","",IF(COUNT(G778:AZ778)&lt;46,"",SUMPRODUCT(CC778:CK778,'تنظیمات وزن‌دهی'!$C$5:$C$13)/100))</f>
        <v/>
      </c>
      <c r="CM778" s="38" t="str">
        <f t="shared" si="141"/>
        <v/>
      </c>
      <c r="CN778" s="38">
        <v>6</v>
      </c>
      <c r="CO778" s="28" t="str">
        <f t="shared" si="142"/>
        <v/>
      </c>
      <c r="CP778" s="58"/>
    </row>
    <row r="779" spans="1:94" ht="17.25" hidden="1">
      <c r="A779" s="33">
        <v>775</v>
      </c>
      <c r="B779" s="55" t="s">
        <v>189</v>
      </c>
      <c r="C779" s="55" t="str">
        <f>IF(دانش‌آموزان!E69="","",دانش‌آموزان!B69)</f>
        <v/>
      </c>
      <c r="D779" s="55" t="str">
        <f>IF(دانش‌آموزان!C69="","",دانش‌آموزان!C69)</f>
        <v/>
      </c>
      <c r="E779" s="55" t="str">
        <f>IF(دانش‌آموزان!E69="","",دانش‌آموزان!E69&amp;" "&amp;دانش‌آموزان!F69)</f>
        <v/>
      </c>
      <c r="F779" s="34" t="str">
        <f>IF(دانش‌آموزان!I69="","",دانش‌آموزان!I69)</f>
        <v/>
      </c>
      <c r="G779" s="19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20"/>
      <c r="BL779" s="20"/>
      <c r="BM779" s="20"/>
      <c r="BN779" s="20"/>
      <c r="BO779" s="20"/>
      <c r="BP779" s="20"/>
      <c r="BQ779" s="20"/>
      <c r="BR779" s="20"/>
      <c r="BS779" s="20"/>
      <c r="BT779" s="20"/>
      <c r="BU779" s="20"/>
      <c r="BV779" s="20"/>
      <c r="BW779" s="20"/>
      <c r="BX779" s="20"/>
      <c r="BY779" s="20"/>
      <c r="BZ779" s="20"/>
      <c r="CA779" s="20"/>
      <c r="CB779" s="21"/>
      <c r="CC779" s="27" t="str">
        <f t="shared" si="132"/>
        <v/>
      </c>
      <c r="CD779" s="38" t="str">
        <f t="shared" si="133"/>
        <v/>
      </c>
      <c r="CE779" s="38" t="str">
        <f t="shared" si="134"/>
        <v/>
      </c>
      <c r="CF779" s="38" t="str">
        <f t="shared" si="135"/>
        <v/>
      </c>
      <c r="CG779" s="38" t="str">
        <f t="shared" si="136"/>
        <v/>
      </c>
      <c r="CH779" s="38" t="str">
        <f t="shared" si="137"/>
        <v/>
      </c>
      <c r="CI779" s="38" t="str">
        <f t="shared" si="138"/>
        <v/>
      </c>
      <c r="CJ779" s="38" t="str">
        <f t="shared" si="139"/>
        <v/>
      </c>
      <c r="CK779" s="38" t="str">
        <f t="shared" si="140"/>
        <v/>
      </c>
      <c r="CL779" s="38" t="str">
        <f>IF(C779="","",IF(COUNT(G779:AZ779)&lt;46,"",SUMPRODUCT(CC779:CK779,'تنظیمات وزن‌دهی'!$C$5:$C$13)/100))</f>
        <v/>
      </c>
      <c r="CM779" s="38" t="str">
        <f t="shared" si="141"/>
        <v/>
      </c>
      <c r="CN779" s="38">
        <v>7</v>
      </c>
      <c r="CO779" s="28" t="str">
        <f t="shared" si="142"/>
        <v/>
      </c>
      <c r="CP779" s="58"/>
    </row>
    <row r="780" spans="1:94" ht="17.25" hidden="1">
      <c r="A780" s="33">
        <v>776</v>
      </c>
      <c r="B780" s="55" t="s">
        <v>190</v>
      </c>
      <c r="C780" s="55" t="str">
        <f>IF(دانش‌آموزان!E69="","",دانش‌آموزان!B69)</f>
        <v/>
      </c>
      <c r="D780" s="55" t="str">
        <f>IF(دانش‌آموزان!C69="","",دانش‌آموزان!C69)</f>
        <v/>
      </c>
      <c r="E780" s="55" t="str">
        <f>IF(دانش‌آموزان!E69="","",دانش‌آموزان!E69&amp;" "&amp;دانش‌آموزان!F69)</f>
        <v/>
      </c>
      <c r="F780" s="34" t="str">
        <f>IF(دانش‌آموزان!I69="","",دانش‌آموزان!I69)</f>
        <v/>
      </c>
      <c r="G780" s="19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20"/>
      <c r="BL780" s="20"/>
      <c r="BM780" s="20"/>
      <c r="BN780" s="20"/>
      <c r="BO780" s="20"/>
      <c r="BP780" s="20"/>
      <c r="BQ780" s="20"/>
      <c r="BR780" s="20"/>
      <c r="BS780" s="20"/>
      <c r="BT780" s="20"/>
      <c r="BU780" s="20"/>
      <c r="BV780" s="20"/>
      <c r="BW780" s="20"/>
      <c r="BX780" s="20"/>
      <c r="BY780" s="20"/>
      <c r="BZ780" s="20"/>
      <c r="CA780" s="20"/>
      <c r="CB780" s="21"/>
      <c r="CC780" s="27" t="str">
        <f t="shared" si="132"/>
        <v/>
      </c>
      <c r="CD780" s="38" t="str">
        <f t="shared" si="133"/>
        <v/>
      </c>
      <c r="CE780" s="38" t="str">
        <f t="shared" si="134"/>
        <v/>
      </c>
      <c r="CF780" s="38" t="str">
        <f t="shared" si="135"/>
        <v/>
      </c>
      <c r="CG780" s="38" t="str">
        <f t="shared" si="136"/>
        <v/>
      </c>
      <c r="CH780" s="38" t="str">
        <f t="shared" si="137"/>
        <v/>
      </c>
      <c r="CI780" s="38" t="str">
        <f t="shared" si="138"/>
        <v/>
      </c>
      <c r="CJ780" s="38" t="str">
        <f t="shared" si="139"/>
        <v/>
      </c>
      <c r="CK780" s="38" t="str">
        <f t="shared" si="140"/>
        <v/>
      </c>
      <c r="CL780" s="38" t="str">
        <f>IF(C780="","",IF(COUNT(G780:AZ780)&lt;46,"",SUMPRODUCT(CC780:CK780,'تنظیمات وزن‌دهی'!$C$5:$C$13)/100))</f>
        <v/>
      </c>
      <c r="CM780" s="38" t="str">
        <f t="shared" si="141"/>
        <v/>
      </c>
      <c r="CN780" s="38">
        <v>8</v>
      </c>
      <c r="CO780" s="28" t="str">
        <f t="shared" si="142"/>
        <v/>
      </c>
      <c r="CP780" s="58"/>
    </row>
    <row r="781" spans="1:94" ht="17.25" hidden="1">
      <c r="A781" s="33">
        <v>777</v>
      </c>
      <c r="B781" s="55" t="s">
        <v>191</v>
      </c>
      <c r="C781" s="55" t="str">
        <f>IF(دانش‌آموزان!E69="","",دانش‌آموزان!B69)</f>
        <v/>
      </c>
      <c r="D781" s="55" t="str">
        <f>IF(دانش‌آموزان!C69="","",دانش‌آموزان!C69)</f>
        <v/>
      </c>
      <c r="E781" s="55" t="str">
        <f>IF(دانش‌آموزان!E69="","",دانش‌آموزان!E69&amp;" "&amp;دانش‌آموزان!F69)</f>
        <v/>
      </c>
      <c r="F781" s="34" t="str">
        <f>IF(دانش‌آموزان!I69="","",دانش‌آموزان!I69)</f>
        <v/>
      </c>
      <c r="G781" s="19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20"/>
      <c r="BL781" s="20"/>
      <c r="BM781" s="20"/>
      <c r="BN781" s="20"/>
      <c r="BO781" s="20"/>
      <c r="BP781" s="20"/>
      <c r="BQ781" s="20"/>
      <c r="BR781" s="20"/>
      <c r="BS781" s="20"/>
      <c r="BT781" s="20"/>
      <c r="BU781" s="20"/>
      <c r="BV781" s="20"/>
      <c r="BW781" s="20"/>
      <c r="BX781" s="20"/>
      <c r="BY781" s="20"/>
      <c r="BZ781" s="20"/>
      <c r="CA781" s="20"/>
      <c r="CB781" s="21"/>
      <c r="CC781" s="27" t="str">
        <f t="shared" si="132"/>
        <v/>
      </c>
      <c r="CD781" s="38" t="str">
        <f t="shared" si="133"/>
        <v/>
      </c>
      <c r="CE781" s="38" t="str">
        <f t="shared" si="134"/>
        <v/>
      </c>
      <c r="CF781" s="38" t="str">
        <f t="shared" si="135"/>
        <v/>
      </c>
      <c r="CG781" s="38" t="str">
        <f t="shared" si="136"/>
        <v/>
      </c>
      <c r="CH781" s="38" t="str">
        <f t="shared" si="137"/>
        <v/>
      </c>
      <c r="CI781" s="38" t="str">
        <f t="shared" si="138"/>
        <v/>
      </c>
      <c r="CJ781" s="38" t="str">
        <f t="shared" si="139"/>
        <v/>
      </c>
      <c r="CK781" s="38" t="str">
        <f t="shared" si="140"/>
        <v/>
      </c>
      <c r="CL781" s="38" t="str">
        <f>IF(C781="","",IF(COUNT(G781:AZ781)&lt;46,"",SUMPRODUCT(CC781:CK781,'تنظیمات وزن‌دهی'!$C$5:$C$13)/100))</f>
        <v/>
      </c>
      <c r="CM781" s="38" t="str">
        <f t="shared" si="141"/>
        <v/>
      </c>
      <c r="CN781" s="38">
        <v>9</v>
      </c>
      <c r="CO781" s="28" t="str">
        <f t="shared" si="142"/>
        <v/>
      </c>
      <c r="CP781" s="58"/>
    </row>
    <row r="782" spans="1:94" ht="17.25" hidden="1">
      <c r="A782" s="33">
        <v>778</v>
      </c>
      <c r="B782" s="55" t="s">
        <v>192</v>
      </c>
      <c r="C782" s="55" t="str">
        <f>IF(دانش‌آموزان!E69="","",دانش‌آموزان!B69)</f>
        <v/>
      </c>
      <c r="D782" s="55" t="str">
        <f>IF(دانش‌آموزان!C69="","",دانش‌آموزان!C69)</f>
        <v/>
      </c>
      <c r="E782" s="55" t="str">
        <f>IF(دانش‌آموزان!E69="","",دانش‌آموزان!E69&amp;" "&amp;دانش‌آموزان!F69)</f>
        <v/>
      </c>
      <c r="F782" s="34" t="str">
        <f>IF(دانش‌آموزان!I69="","",دانش‌آموزان!I69)</f>
        <v/>
      </c>
      <c r="G782" s="19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  <c r="BJ782" s="20"/>
      <c r="BK782" s="20"/>
      <c r="BL782" s="20"/>
      <c r="BM782" s="20"/>
      <c r="BN782" s="20"/>
      <c r="BO782" s="20"/>
      <c r="BP782" s="20"/>
      <c r="BQ782" s="20"/>
      <c r="BR782" s="20"/>
      <c r="BS782" s="20"/>
      <c r="BT782" s="20"/>
      <c r="BU782" s="20"/>
      <c r="BV782" s="20"/>
      <c r="BW782" s="20"/>
      <c r="BX782" s="20"/>
      <c r="BY782" s="20"/>
      <c r="BZ782" s="20"/>
      <c r="CA782" s="20"/>
      <c r="CB782" s="21"/>
      <c r="CC782" s="27" t="str">
        <f t="shared" si="132"/>
        <v/>
      </c>
      <c r="CD782" s="38" t="str">
        <f t="shared" si="133"/>
        <v/>
      </c>
      <c r="CE782" s="38" t="str">
        <f t="shared" si="134"/>
        <v/>
      </c>
      <c r="CF782" s="38" t="str">
        <f t="shared" si="135"/>
        <v/>
      </c>
      <c r="CG782" s="38" t="str">
        <f t="shared" si="136"/>
        <v/>
      </c>
      <c r="CH782" s="38" t="str">
        <f t="shared" si="137"/>
        <v/>
      </c>
      <c r="CI782" s="38" t="str">
        <f t="shared" si="138"/>
        <v/>
      </c>
      <c r="CJ782" s="38" t="str">
        <f t="shared" si="139"/>
        <v/>
      </c>
      <c r="CK782" s="38" t="str">
        <f t="shared" si="140"/>
        <v/>
      </c>
      <c r="CL782" s="38" t="str">
        <f>IF(C782="","",IF(COUNT(G782:AZ782)&lt;46,"",SUMPRODUCT(CC782:CK782,'تنظیمات وزن‌دهی'!$C$5:$C$13)/100))</f>
        <v/>
      </c>
      <c r="CM782" s="38" t="str">
        <f t="shared" si="141"/>
        <v/>
      </c>
      <c r="CN782" s="38">
        <v>10</v>
      </c>
      <c r="CO782" s="28" t="str">
        <f t="shared" si="142"/>
        <v/>
      </c>
      <c r="CP782" s="58"/>
    </row>
    <row r="783" spans="1:94" ht="17.25" hidden="1">
      <c r="A783" s="33">
        <v>779</v>
      </c>
      <c r="B783" s="55" t="s">
        <v>193</v>
      </c>
      <c r="C783" s="55" t="str">
        <f>IF(دانش‌آموزان!E69="","",دانش‌آموزان!B69)</f>
        <v/>
      </c>
      <c r="D783" s="55" t="str">
        <f>IF(دانش‌آموزان!C69="","",دانش‌آموزان!C69)</f>
        <v/>
      </c>
      <c r="E783" s="55" t="str">
        <f>IF(دانش‌آموزان!E69="","",دانش‌آموزان!E69&amp;" "&amp;دانش‌آموزان!F69)</f>
        <v/>
      </c>
      <c r="F783" s="34" t="str">
        <f>IF(دانش‌آموزان!I69="","",دانش‌آموزان!I69)</f>
        <v/>
      </c>
      <c r="G783" s="19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  <c r="BJ783" s="20"/>
      <c r="BK783" s="20"/>
      <c r="BL783" s="20"/>
      <c r="BM783" s="20"/>
      <c r="BN783" s="20"/>
      <c r="BO783" s="20"/>
      <c r="BP783" s="20"/>
      <c r="BQ783" s="20"/>
      <c r="BR783" s="20"/>
      <c r="BS783" s="20"/>
      <c r="BT783" s="20"/>
      <c r="BU783" s="20"/>
      <c r="BV783" s="20"/>
      <c r="BW783" s="20"/>
      <c r="BX783" s="20"/>
      <c r="BY783" s="20"/>
      <c r="BZ783" s="20"/>
      <c r="CA783" s="20"/>
      <c r="CB783" s="21"/>
      <c r="CC783" s="27" t="str">
        <f t="shared" si="132"/>
        <v/>
      </c>
      <c r="CD783" s="38" t="str">
        <f t="shared" si="133"/>
        <v/>
      </c>
      <c r="CE783" s="38" t="str">
        <f t="shared" si="134"/>
        <v/>
      </c>
      <c r="CF783" s="38" t="str">
        <f t="shared" si="135"/>
        <v/>
      </c>
      <c r="CG783" s="38" t="str">
        <f t="shared" si="136"/>
        <v/>
      </c>
      <c r="CH783" s="38" t="str">
        <f t="shared" si="137"/>
        <v/>
      </c>
      <c r="CI783" s="38" t="str">
        <f t="shared" si="138"/>
        <v/>
      </c>
      <c r="CJ783" s="38" t="str">
        <f t="shared" si="139"/>
        <v/>
      </c>
      <c r="CK783" s="38" t="str">
        <f t="shared" si="140"/>
        <v/>
      </c>
      <c r="CL783" s="38" t="str">
        <f>IF(C783="","",IF(COUNT(G783:AZ783)&lt;46,"",SUMPRODUCT(CC783:CK783,'تنظیمات وزن‌دهی'!$C$5:$C$13)/100))</f>
        <v/>
      </c>
      <c r="CM783" s="38" t="str">
        <f t="shared" si="141"/>
        <v/>
      </c>
      <c r="CN783" s="38">
        <v>11</v>
      </c>
      <c r="CO783" s="28" t="str">
        <f t="shared" si="142"/>
        <v/>
      </c>
      <c r="CP783" s="58"/>
    </row>
    <row r="784" spans="1:94" ht="17.25" hidden="1">
      <c r="A784" s="33">
        <v>780</v>
      </c>
      <c r="B784" s="55" t="s">
        <v>194</v>
      </c>
      <c r="C784" s="55" t="str">
        <f>IF(دانش‌آموزان!E69="","",دانش‌آموزان!B69)</f>
        <v/>
      </c>
      <c r="D784" s="55" t="str">
        <f>IF(دانش‌آموزان!C69="","",دانش‌آموزان!C69)</f>
        <v/>
      </c>
      <c r="E784" s="55" t="str">
        <f>IF(دانش‌آموزان!E69="","",دانش‌آموزان!E69&amp;" "&amp;دانش‌آموزان!F69)</f>
        <v/>
      </c>
      <c r="F784" s="34" t="str">
        <f>IF(دانش‌آموزان!I69="","",دانش‌آموزان!I69)</f>
        <v/>
      </c>
      <c r="G784" s="19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  <c r="BJ784" s="20"/>
      <c r="BK784" s="20"/>
      <c r="BL784" s="20"/>
      <c r="BM784" s="20"/>
      <c r="BN784" s="20"/>
      <c r="BO784" s="20"/>
      <c r="BP784" s="20"/>
      <c r="BQ784" s="20"/>
      <c r="BR784" s="20"/>
      <c r="BS784" s="20"/>
      <c r="BT784" s="20"/>
      <c r="BU784" s="20"/>
      <c r="BV784" s="20"/>
      <c r="BW784" s="20"/>
      <c r="BX784" s="20"/>
      <c r="BY784" s="20"/>
      <c r="BZ784" s="20"/>
      <c r="CA784" s="20"/>
      <c r="CB784" s="21"/>
      <c r="CC784" s="27" t="str">
        <f t="shared" si="132"/>
        <v/>
      </c>
      <c r="CD784" s="38" t="str">
        <f t="shared" si="133"/>
        <v/>
      </c>
      <c r="CE784" s="38" t="str">
        <f t="shared" si="134"/>
        <v/>
      </c>
      <c r="CF784" s="38" t="str">
        <f t="shared" si="135"/>
        <v/>
      </c>
      <c r="CG784" s="38" t="str">
        <f t="shared" si="136"/>
        <v/>
      </c>
      <c r="CH784" s="38" t="str">
        <f t="shared" si="137"/>
        <v/>
      </c>
      <c r="CI784" s="38" t="str">
        <f t="shared" si="138"/>
        <v/>
      </c>
      <c r="CJ784" s="38" t="str">
        <f t="shared" si="139"/>
        <v/>
      </c>
      <c r="CK784" s="38" t="str">
        <f t="shared" si="140"/>
        <v/>
      </c>
      <c r="CL784" s="38" t="str">
        <f>IF(C784="","",IF(COUNT(G784:AZ784)&lt;46,"",SUMPRODUCT(CC784:CK784,'تنظیمات وزن‌دهی'!$C$5:$C$13)/100))</f>
        <v/>
      </c>
      <c r="CM784" s="38" t="str">
        <f t="shared" si="141"/>
        <v/>
      </c>
      <c r="CN784" s="38">
        <v>12</v>
      </c>
      <c r="CO784" s="28" t="str">
        <f t="shared" si="142"/>
        <v/>
      </c>
      <c r="CP784" s="58"/>
    </row>
    <row r="785" spans="1:94" ht="17.25" hidden="1">
      <c r="A785" s="33">
        <v>781</v>
      </c>
      <c r="B785" s="55" t="s">
        <v>183</v>
      </c>
      <c r="C785" s="55" t="str">
        <f>IF(دانش‌آموزان!E70="","",دانش‌آموزان!B70)</f>
        <v/>
      </c>
      <c r="D785" s="55" t="str">
        <f>IF(دانش‌آموزان!C70="","",دانش‌آموزان!C70)</f>
        <v/>
      </c>
      <c r="E785" s="55" t="str">
        <f>IF(دانش‌آموزان!E70="","",دانش‌آموزان!E70&amp;" "&amp;دانش‌آموزان!F70)</f>
        <v/>
      </c>
      <c r="F785" s="34" t="str">
        <f>IF(دانش‌آموزان!I70="","",دانش‌آموزان!I70)</f>
        <v/>
      </c>
      <c r="G785" s="19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  <c r="BJ785" s="20"/>
      <c r="BK785" s="20"/>
      <c r="BL785" s="20"/>
      <c r="BM785" s="20"/>
      <c r="BN785" s="20"/>
      <c r="BO785" s="20"/>
      <c r="BP785" s="20"/>
      <c r="BQ785" s="20"/>
      <c r="BR785" s="20"/>
      <c r="BS785" s="20"/>
      <c r="BT785" s="20"/>
      <c r="BU785" s="20"/>
      <c r="BV785" s="20"/>
      <c r="BW785" s="20"/>
      <c r="BX785" s="20"/>
      <c r="BY785" s="20"/>
      <c r="BZ785" s="20"/>
      <c r="CA785" s="20"/>
      <c r="CB785" s="21"/>
      <c r="CC785" s="27" t="str">
        <f t="shared" si="132"/>
        <v/>
      </c>
      <c r="CD785" s="38" t="str">
        <f t="shared" si="133"/>
        <v/>
      </c>
      <c r="CE785" s="38" t="str">
        <f t="shared" si="134"/>
        <v/>
      </c>
      <c r="CF785" s="38" t="str">
        <f t="shared" si="135"/>
        <v/>
      </c>
      <c r="CG785" s="38" t="str">
        <f t="shared" si="136"/>
        <v/>
      </c>
      <c r="CH785" s="38" t="str">
        <f t="shared" si="137"/>
        <v/>
      </c>
      <c r="CI785" s="38" t="str">
        <f t="shared" si="138"/>
        <v/>
      </c>
      <c r="CJ785" s="38" t="str">
        <f t="shared" si="139"/>
        <v/>
      </c>
      <c r="CK785" s="38" t="str">
        <f t="shared" si="140"/>
        <v/>
      </c>
      <c r="CL785" s="38" t="str">
        <f>IF(C785="","",IF(COUNT(G785:AZ785)&lt;46,"",SUMPRODUCT(CC785:CK785,'تنظیمات وزن‌دهی'!$C$5:$C$13)/100))</f>
        <v/>
      </c>
      <c r="CM785" s="38" t="str">
        <f t="shared" si="141"/>
        <v/>
      </c>
      <c r="CN785" s="38">
        <v>1</v>
      </c>
      <c r="CO785" s="28" t="str">
        <f t="shared" si="142"/>
        <v/>
      </c>
      <c r="CP785" s="58"/>
    </row>
    <row r="786" spans="1:94" ht="17.25" hidden="1">
      <c r="A786" s="33">
        <v>782</v>
      </c>
      <c r="B786" s="55" t="s">
        <v>184</v>
      </c>
      <c r="C786" s="55" t="str">
        <f>IF(دانش‌آموزان!E70="","",دانش‌آموزان!B70)</f>
        <v/>
      </c>
      <c r="D786" s="55" t="str">
        <f>IF(دانش‌آموزان!C70="","",دانش‌آموزان!C70)</f>
        <v/>
      </c>
      <c r="E786" s="55" t="str">
        <f>IF(دانش‌آموزان!E70="","",دانش‌آموزان!E70&amp;" "&amp;دانش‌آموزان!F70)</f>
        <v/>
      </c>
      <c r="F786" s="34" t="str">
        <f>IF(دانش‌آموزان!I70="","",دانش‌آموزان!I70)</f>
        <v/>
      </c>
      <c r="G786" s="19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  <c r="BJ786" s="20"/>
      <c r="BK786" s="20"/>
      <c r="BL786" s="20"/>
      <c r="BM786" s="20"/>
      <c r="BN786" s="20"/>
      <c r="BO786" s="20"/>
      <c r="BP786" s="20"/>
      <c r="BQ786" s="20"/>
      <c r="BR786" s="20"/>
      <c r="BS786" s="20"/>
      <c r="BT786" s="20"/>
      <c r="BU786" s="20"/>
      <c r="BV786" s="20"/>
      <c r="BW786" s="20"/>
      <c r="BX786" s="20"/>
      <c r="BY786" s="20"/>
      <c r="BZ786" s="20"/>
      <c r="CA786" s="20"/>
      <c r="CB786" s="21"/>
      <c r="CC786" s="27" t="str">
        <f t="shared" si="132"/>
        <v/>
      </c>
      <c r="CD786" s="38" t="str">
        <f t="shared" si="133"/>
        <v/>
      </c>
      <c r="CE786" s="38" t="str">
        <f t="shared" si="134"/>
        <v/>
      </c>
      <c r="CF786" s="38" t="str">
        <f t="shared" si="135"/>
        <v/>
      </c>
      <c r="CG786" s="38" t="str">
        <f t="shared" si="136"/>
        <v/>
      </c>
      <c r="CH786" s="38" t="str">
        <f t="shared" si="137"/>
        <v/>
      </c>
      <c r="CI786" s="38" t="str">
        <f t="shared" si="138"/>
        <v/>
      </c>
      <c r="CJ786" s="38" t="str">
        <f t="shared" si="139"/>
        <v/>
      </c>
      <c r="CK786" s="38" t="str">
        <f t="shared" si="140"/>
        <v/>
      </c>
      <c r="CL786" s="38" t="str">
        <f>IF(C786="","",IF(COUNT(G786:AZ786)&lt;46,"",SUMPRODUCT(CC786:CK786,'تنظیمات وزن‌دهی'!$C$5:$C$13)/100))</f>
        <v/>
      </c>
      <c r="CM786" s="38" t="str">
        <f t="shared" si="141"/>
        <v/>
      </c>
      <c r="CN786" s="38">
        <v>2</v>
      </c>
      <c r="CO786" s="28" t="str">
        <f t="shared" si="142"/>
        <v/>
      </c>
      <c r="CP786" s="58"/>
    </row>
    <row r="787" spans="1:94" ht="17.25">
      <c r="A787" s="33">
        <v>783</v>
      </c>
      <c r="B787" s="55" t="s">
        <v>185</v>
      </c>
      <c r="C787" s="55" t="str">
        <f>IF(دانش‌آموزان!E70="","",دانش‌آموزان!B70)</f>
        <v/>
      </c>
      <c r="D787" s="55" t="str">
        <f>IF(دانش‌آموزان!C70="","",دانش‌آموزان!C70)</f>
        <v/>
      </c>
      <c r="E787" s="55" t="str">
        <f>IF(دانش‌آموزان!E70="","",دانش‌آموزان!E70&amp;" "&amp;دانش‌آموزان!F70)</f>
        <v/>
      </c>
      <c r="F787" s="34" t="str">
        <f>IF(دانش‌آموزان!I70="","",دانش‌آموزان!I70)</f>
        <v/>
      </c>
      <c r="G787" s="19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  <c r="BJ787" s="20"/>
      <c r="BK787" s="20"/>
      <c r="BL787" s="20"/>
      <c r="BM787" s="20"/>
      <c r="BN787" s="20"/>
      <c r="BO787" s="20"/>
      <c r="BP787" s="20"/>
      <c r="BQ787" s="20"/>
      <c r="BR787" s="20"/>
      <c r="BS787" s="20"/>
      <c r="BT787" s="20"/>
      <c r="BU787" s="20"/>
      <c r="BV787" s="20"/>
      <c r="BW787" s="20"/>
      <c r="BX787" s="20"/>
      <c r="BY787" s="20"/>
      <c r="BZ787" s="20"/>
      <c r="CA787" s="20"/>
      <c r="CB787" s="21"/>
      <c r="CC787" s="27" t="str">
        <f t="shared" si="132"/>
        <v/>
      </c>
      <c r="CD787" s="38" t="str">
        <f t="shared" si="133"/>
        <v/>
      </c>
      <c r="CE787" s="38" t="str">
        <f t="shared" si="134"/>
        <v/>
      </c>
      <c r="CF787" s="38" t="str">
        <f t="shared" si="135"/>
        <v/>
      </c>
      <c r="CG787" s="38" t="str">
        <f t="shared" si="136"/>
        <v/>
      </c>
      <c r="CH787" s="38" t="str">
        <f t="shared" si="137"/>
        <v/>
      </c>
      <c r="CI787" s="38" t="str">
        <f t="shared" si="138"/>
        <v/>
      </c>
      <c r="CJ787" s="38" t="str">
        <f t="shared" si="139"/>
        <v/>
      </c>
      <c r="CK787" s="38" t="str">
        <f t="shared" si="140"/>
        <v/>
      </c>
      <c r="CL787" s="38" t="str">
        <f>IF(C787="","",IF(COUNT(G787:AZ787)&lt;46,"",SUMPRODUCT(CC787:CK787,'تنظیمات وزن‌دهی'!$C$5:$C$13)/100))</f>
        <v/>
      </c>
      <c r="CM787" s="38" t="str">
        <f t="shared" si="141"/>
        <v/>
      </c>
      <c r="CN787" s="38">
        <v>3</v>
      </c>
      <c r="CO787" s="28" t="str">
        <f t="shared" si="142"/>
        <v/>
      </c>
      <c r="CP787" s="58"/>
    </row>
    <row r="788" spans="1:94" ht="17.25" hidden="1">
      <c r="A788" s="33">
        <v>784</v>
      </c>
      <c r="B788" s="55" t="s">
        <v>186</v>
      </c>
      <c r="C788" s="55" t="str">
        <f>IF(دانش‌آموزان!E70="","",دانش‌آموزان!B70)</f>
        <v/>
      </c>
      <c r="D788" s="55" t="str">
        <f>IF(دانش‌آموزان!C70="","",دانش‌آموزان!C70)</f>
        <v/>
      </c>
      <c r="E788" s="55" t="str">
        <f>IF(دانش‌آموزان!E70="","",دانش‌آموزان!E70&amp;" "&amp;دانش‌آموزان!F70)</f>
        <v/>
      </c>
      <c r="F788" s="34" t="str">
        <f>IF(دانش‌آموزان!I70="","",دانش‌آموزان!I70)</f>
        <v/>
      </c>
      <c r="G788" s="19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  <c r="BK788" s="20"/>
      <c r="BL788" s="20"/>
      <c r="BM788" s="20"/>
      <c r="BN788" s="20"/>
      <c r="BO788" s="20"/>
      <c r="BP788" s="20"/>
      <c r="BQ788" s="20"/>
      <c r="BR788" s="20"/>
      <c r="BS788" s="20"/>
      <c r="BT788" s="20"/>
      <c r="BU788" s="20"/>
      <c r="BV788" s="20"/>
      <c r="BW788" s="20"/>
      <c r="BX788" s="20"/>
      <c r="BY788" s="20"/>
      <c r="BZ788" s="20"/>
      <c r="CA788" s="20"/>
      <c r="CB788" s="21"/>
      <c r="CC788" s="27" t="str">
        <f t="shared" si="132"/>
        <v/>
      </c>
      <c r="CD788" s="38" t="str">
        <f t="shared" si="133"/>
        <v/>
      </c>
      <c r="CE788" s="38" t="str">
        <f t="shared" si="134"/>
        <v/>
      </c>
      <c r="CF788" s="38" t="str">
        <f t="shared" si="135"/>
        <v/>
      </c>
      <c r="CG788" s="38" t="str">
        <f t="shared" si="136"/>
        <v/>
      </c>
      <c r="CH788" s="38" t="str">
        <f t="shared" si="137"/>
        <v/>
      </c>
      <c r="CI788" s="38" t="str">
        <f t="shared" si="138"/>
        <v/>
      </c>
      <c r="CJ788" s="38" t="str">
        <f t="shared" si="139"/>
        <v/>
      </c>
      <c r="CK788" s="38" t="str">
        <f t="shared" si="140"/>
        <v/>
      </c>
      <c r="CL788" s="38" t="str">
        <f>IF(C788="","",IF(COUNT(G788:AZ788)&lt;46,"",SUMPRODUCT(CC788:CK788,'تنظیمات وزن‌دهی'!$C$5:$C$13)/100))</f>
        <v/>
      </c>
      <c r="CM788" s="38" t="str">
        <f t="shared" si="141"/>
        <v/>
      </c>
      <c r="CN788" s="38">
        <v>4</v>
      </c>
      <c r="CO788" s="28" t="str">
        <f t="shared" si="142"/>
        <v/>
      </c>
      <c r="CP788" s="58"/>
    </row>
    <row r="789" spans="1:94" ht="17.25" hidden="1">
      <c r="A789" s="33">
        <v>785</v>
      </c>
      <c r="B789" s="55" t="s">
        <v>187</v>
      </c>
      <c r="C789" s="55" t="str">
        <f>IF(دانش‌آموزان!E70="","",دانش‌آموزان!B70)</f>
        <v/>
      </c>
      <c r="D789" s="55" t="str">
        <f>IF(دانش‌آموزان!C70="","",دانش‌آموزان!C70)</f>
        <v/>
      </c>
      <c r="E789" s="55" t="str">
        <f>IF(دانش‌آموزان!E70="","",دانش‌آموزان!E70&amp;" "&amp;دانش‌آموزان!F70)</f>
        <v/>
      </c>
      <c r="F789" s="34" t="str">
        <f>IF(دانش‌آموزان!I70="","",دانش‌آموزان!I70)</f>
        <v/>
      </c>
      <c r="G789" s="19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0"/>
      <c r="BL789" s="20"/>
      <c r="BM789" s="20"/>
      <c r="BN789" s="20"/>
      <c r="BO789" s="20"/>
      <c r="BP789" s="20"/>
      <c r="BQ789" s="20"/>
      <c r="BR789" s="20"/>
      <c r="BS789" s="20"/>
      <c r="BT789" s="20"/>
      <c r="BU789" s="20"/>
      <c r="BV789" s="20"/>
      <c r="BW789" s="20"/>
      <c r="BX789" s="20"/>
      <c r="BY789" s="20"/>
      <c r="BZ789" s="20"/>
      <c r="CA789" s="20"/>
      <c r="CB789" s="21"/>
      <c r="CC789" s="27" t="str">
        <f t="shared" si="132"/>
        <v/>
      </c>
      <c r="CD789" s="38" t="str">
        <f t="shared" si="133"/>
        <v/>
      </c>
      <c r="CE789" s="38" t="str">
        <f t="shared" si="134"/>
        <v/>
      </c>
      <c r="CF789" s="38" t="str">
        <f t="shared" si="135"/>
        <v/>
      </c>
      <c r="CG789" s="38" t="str">
        <f t="shared" si="136"/>
        <v/>
      </c>
      <c r="CH789" s="38" t="str">
        <f t="shared" si="137"/>
        <v/>
      </c>
      <c r="CI789" s="38" t="str">
        <f t="shared" si="138"/>
        <v/>
      </c>
      <c r="CJ789" s="38" t="str">
        <f t="shared" si="139"/>
        <v/>
      </c>
      <c r="CK789" s="38" t="str">
        <f t="shared" si="140"/>
        <v/>
      </c>
      <c r="CL789" s="38" t="str">
        <f>IF(C789="","",IF(COUNT(G789:AZ789)&lt;46,"",SUMPRODUCT(CC789:CK789,'تنظیمات وزن‌دهی'!$C$5:$C$13)/100))</f>
        <v/>
      </c>
      <c r="CM789" s="38" t="str">
        <f t="shared" si="141"/>
        <v/>
      </c>
      <c r="CN789" s="38">
        <v>5</v>
      </c>
      <c r="CO789" s="28" t="str">
        <f t="shared" si="142"/>
        <v/>
      </c>
      <c r="CP789" s="58"/>
    </row>
    <row r="790" spans="1:94" ht="17.25" hidden="1">
      <c r="A790" s="33">
        <v>786</v>
      </c>
      <c r="B790" s="55" t="s">
        <v>188</v>
      </c>
      <c r="C790" s="55" t="str">
        <f>IF(دانش‌آموزان!E70="","",دانش‌آموزان!B70)</f>
        <v/>
      </c>
      <c r="D790" s="55" t="str">
        <f>IF(دانش‌آموزان!C70="","",دانش‌آموزان!C70)</f>
        <v/>
      </c>
      <c r="E790" s="55" t="str">
        <f>IF(دانش‌آموزان!E70="","",دانش‌آموزان!E70&amp;" "&amp;دانش‌آموزان!F70)</f>
        <v/>
      </c>
      <c r="F790" s="34" t="str">
        <f>IF(دانش‌آموزان!I70="","",دانش‌آموزان!I70)</f>
        <v/>
      </c>
      <c r="G790" s="19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20"/>
      <c r="BL790" s="20"/>
      <c r="BM790" s="20"/>
      <c r="BN790" s="20"/>
      <c r="BO790" s="20"/>
      <c r="BP790" s="20"/>
      <c r="BQ790" s="20"/>
      <c r="BR790" s="20"/>
      <c r="BS790" s="20"/>
      <c r="BT790" s="20"/>
      <c r="BU790" s="20"/>
      <c r="BV790" s="20"/>
      <c r="BW790" s="20"/>
      <c r="BX790" s="20"/>
      <c r="BY790" s="20"/>
      <c r="BZ790" s="20"/>
      <c r="CA790" s="20"/>
      <c r="CB790" s="21"/>
      <c r="CC790" s="27" t="str">
        <f t="shared" si="132"/>
        <v/>
      </c>
      <c r="CD790" s="38" t="str">
        <f t="shared" si="133"/>
        <v/>
      </c>
      <c r="CE790" s="38" t="str">
        <f t="shared" si="134"/>
        <v/>
      </c>
      <c r="CF790" s="38" t="str">
        <f t="shared" si="135"/>
        <v/>
      </c>
      <c r="CG790" s="38" t="str">
        <f t="shared" si="136"/>
        <v/>
      </c>
      <c r="CH790" s="38" t="str">
        <f t="shared" si="137"/>
        <v/>
      </c>
      <c r="CI790" s="38" t="str">
        <f t="shared" si="138"/>
        <v/>
      </c>
      <c r="CJ790" s="38" t="str">
        <f t="shared" si="139"/>
        <v/>
      </c>
      <c r="CK790" s="38" t="str">
        <f t="shared" si="140"/>
        <v/>
      </c>
      <c r="CL790" s="38" t="str">
        <f>IF(C790="","",IF(COUNT(G790:AZ790)&lt;46,"",SUMPRODUCT(CC790:CK790,'تنظیمات وزن‌دهی'!$C$5:$C$13)/100))</f>
        <v/>
      </c>
      <c r="CM790" s="38" t="str">
        <f t="shared" si="141"/>
        <v/>
      </c>
      <c r="CN790" s="38">
        <v>6</v>
      </c>
      <c r="CO790" s="28" t="str">
        <f t="shared" si="142"/>
        <v/>
      </c>
      <c r="CP790" s="58"/>
    </row>
    <row r="791" spans="1:94" ht="17.25" hidden="1">
      <c r="A791" s="33">
        <v>787</v>
      </c>
      <c r="B791" s="55" t="s">
        <v>189</v>
      </c>
      <c r="C791" s="55" t="str">
        <f>IF(دانش‌آموزان!E70="","",دانش‌آموزان!B70)</f>
        <v/>
      </c>
      <c r="D791" s="55" t="str">
        <f>IF(دانش‌آموزان!C70="","",دانش‌آموزان!C70)</f>
        <v/>
      </c>
      <c r="E791" s="55" t="str">
        <f>IF(دانش‌آموزان!E70="","",دانش‌آموزان!E70&amp;" "&amp;دانش‌آموزان!F70)</f>
        <v/>
      </c>
      <c r="F791" s="34" t="str">
        <f>IF(دانش‌آموزان!I70="","",دانش‌آموزان!I70)</f>
        <v/>
      </c>
      <c r="G791" s="19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  <c r="BJ791" s="20"/>
      <c r="BK791" s="20"/>
      <c r="BL791" s="20"/>
      <c r="BM791" s="20"/>
      <c r="BN791" s="20"/>
      <c r="BO791" s="20"/>
      <c r="BP791" s="20"/>
      <c r="BQ791" s="20"/>
      <c r="BR791" s="20"/>
      <c r="BS791" s="20"/>
      <c r="BT791" s="20"/>
      <c r="BU791" s="20"/>
      <c r="BV791" s="20"/>
      <c r="BW791" s="20"/>
      <c r="BX791" s="20"/>
      <c r="BY791" s="20"/>
      <c r="BZ791" s="20"/>
      <c r="CA791" s="20"/>
      <c r="CB791" s="21"/>
      <c r="CC791" s="27" t="str">
        <f t="shared" si="132"/>
        <v/>
      </c>
      <c r="CD791" s="38" t="str">
        <f t="shared" si="133"/>
        <v/>
      </c>
      <c r="CE791" s="38" t="str">
        <f t="shared" si="134"/>
        <v/>
      </c>
      <c r="CF791" s="38" t="str">
        <f t="shared" si="135"/>
        <v/>
      </c>
      <c r="CG791" s="38" t="str">
        <f t="shared" si="136"/>
        <v/>
      </c>
      <c r="CH791" s="38" t="str">
        <f t="shared" si="137"/>
        <v/>
      </c>
      <c r="CI791" s="38" t="str">
        <f t="shared" si="138"/>
        <v/>
      </c>
      <c r="CJ791" s="38" t="str">
        <f t="shared" si="139"/>
        <v/>
      </c>
      <c r="CK791" s="38" t="str">
        <f t="shared" si="140"/>
        <v/>
      </c>
      <c r="CL791" s="38" t="str">
        <f>IF(C791="","",IF(COUNT(G791:AZ791)&lt;46,"",SUMPRODUCT(CC791:CK791,'تنظیمات وزن‌دهی'!$C$5:$C$13)/100))</f>
        <v/>
      </c>
      <c r="CM791" s="38" t="str">
        <f t="shared" si="141"/>
        <v/>
      </c>
      <c r="CN791" s="38">
        <v>7</v>
      </c>
      <c r="CO791" s="28" t="str">
        <f t="shared" si="142"/>
        <v/>
      </c>
      <c r="CP791" s="58"/>
    </row>
    <row r="792" spans="1:94" ht="17.25" hidden="1">
      <c r="A792" s="33">
        <v>788</v>
      </c>
      <c r="B792" s="55" t="s">
        <v>190</v>
      </c>
      <c r="C792" s="55" t="str">
        <f>IF(دانش‌آموزان!E70="","",دانش‌آموزان!B70)</f>
        <v/>
      </c>
      <c r="D792" s="55" t="str">
        <f>IF(دانش‌آموزان!C70="","",دانش‌آموزان!C70)</f>
        <v/>
      </c>
      <c r="E792" s="55" t="str">
        <f>IF(دانش‌آموزان!E70="","",دانش‌آموزان!E70&amp;" "&amp;دانش‌آموزان!F70)</f>
        <v/>
      </c>
      <c r="F792" s="34" t="str">
        <f>IF(دانش‌آموزان!I70="","",دانش‌آموزان!I70)</f>
        <v/>
      </c>
      <c r="G792" s="19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  <c r="BJ792" s="20"/>
      <c r="BK792" s="20"/>
      <c r="BL792" s="20"/>
      <c r="BM792" s="20"/>
      <c r="BN792" s="20"/>
      <c r="BO792" s="20"/>
      <c r="BP792" s="20"/>
      <c r="BQ792" s="20"/>
      <c r="BR792" s="20"/>
      <c r="BS792" s="20"/>
      <c r="BT792" s="20"/>
      <c r="BU792" s="20"/>
      <c r="BV792" s="20"/>
      <c r="BW792" s="20"/>
      <c r="BX792" s="20"/>
      <c r="BY792" s="20"/>
      <c r="BZ792" s="20"/>
      <c r="CA792" s="20"/>
      <c r="CB792" s="21"/>
      <c r="CC792" s="27" t="str">
        <f t="shared" si="132"/>
        <v/>
      </c>
      <c r="CD792" s="38" t="str">
        <f t="shared" si="133"/>
        <v/>
      </c>
      <c r="CE792" s="38" t="str">
        <f t="shared" si="134"/>
        <v/>
      </c>
      <c r="CF792" s="38" t="str">
        <f t="shared" si="135"/>
        <v/>
      </c>
      <c r="CG792" s="38" t="str">
        <f t="shared" si="136"/>
        <v/>
      </c>
      <c r="CH792" s="38" t="str">
        <f t="shared" si="137"/>
        <v/>
      </c>
      <c r="CI792" s="38" t="str">
        <f t="shared" si="138"/>
        <v/>
      </c>
      <c r="CJ792" s="38" t="str">
        <f t="shared" si="139"/>
        <v/>
      </c>
      <c r="CK792" s="38" t="str">
        <f t="shared" si="140"/>
        <v/>
      </c>
      <c r="CL792" s="38" t="str">
        <f>IF(C792="","",IF(COUNT(G792:AZ792)&lt;46,"",SUMPRODUCT(CC792:CK792,'تنظیمات وزن‌دهی'!$C$5:$C$13)/100))</f>
        <v/>
      </c>
      <c r="CM792" s="38" t="str">
        <f t="shared" si="141"/>
        <v/>
      </c>
      <c r="CN792" s="38">
        <v>8</v>
      </c>
      <c r="CO792" s="28" t="str">
        <f t="shared" si="142"/>
        <v/>
      </c>
      <c r="CP792" s="58"/>
    </row>
    <row r="793" spans="1:94" ht="17.25" hidden="1">
      <c r="A793" s="33">
        <v>789</v>
      </c>
      <c r="B793" s="55" t="s">
        <v>191</v>
      </c>
      <c r="C793" s="55" t="str">
        <f>IF(دانش‌آموزان!E70="","",دانش‌آموزان!B70)</f>
        <v/>
      </c>
      <c r="D793" s="55" t="str">
        <f>IF(دانش‌آموزان!C70="","",دانش‌آموزان!C70)</f>
        <v/>
      </c>
      <c r="E793" s="55" t="str">
        <f>IF(دانش‌آموزان!E70="","",دانش‌آموزان!E70&amp;" "&amp;دانش‌آموزان!F70)</f>
        <v/>
      </c>
      <c r="F793" s="34" t="str">
        <f>IF(دانش‌آموزان!I70="","",دانش‌آموزان!I70)</f>
        <v/>
      </c>
      <c r="G793" s="19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  <c r="BK793" s="20"/>
      <c r="BL793" s="20"/>
      <c r="BM793" s="20"/>
      <c r="BN793" s="20"/>
      <c r="BO793" s="20"/>
      <c r="BP793" s="20"/>
      <c r="BQ793" s="20"/>
      <c r="BR793" s="20"/>
      <c r="BS793" s="20"/>
      <c r="BT793" s="20"/>
      <c r="BU793" s="20"/>
      <c r="BV793" s="20"/>
      <c r="BW793" s="20"/>
      <c r="BX793" s="20"/>
      <c r="BY793" s="20"/>
      <c r="BZ793" s="20"/>
      <c r="CA793" s="20"/>
      <c r="CB793" s="21"/>
      <c r="CC793" s="27" t="str">
        <f t="shared" si="132"/>
        <v/>
      </c>
      <c r="CD793" s="38" t="str">
        <f t="shared" si="133"/>
        <v/>
      </c>
      <c r="CE793" s="38" t="str">
        <f t="shared" si="134"/>
        <v/>
      </c>
      <c r="CF793" s="38" t="str">
        <f t="shared" si="135"/>
        <v/>
      </c>
      <c r="CG793" s="38" t="str">
        <f t="shared" si="136"/>
        <v/>
      </c>
      <c r="CH793" s="38" t="str">
        <f t="shared" si="137"/>
        <v/>
      </c>
      <c r="CI793" s="38" t="str">
        <f t="shared" si="138"/>
        <v/>
      </c>
      <c r="CJ793" s="38" t="str">
        <f t="shared" si="139"/>
        <v/>
      </c>
      <c r="CK793" s="38" t="str">
        <f t="shared" si="140"/>
        <v/>
      </c>
      <c r="CL793" s="38" t="str">
        <f>IF(C793="","",IF(COUNT(G793:AZ793)&lt;46,"",SUMPRODUCT(CC793:CK793,'تنظیمات وزن‌دهی'!$C$5:$C$13)/100))</f>
        <v/>
      </c>
      <c r="CM793" s="38" t="str">
        <f t="shared" si="141"/>
        <v/>
      </c>
      <c r="CN793" s="38">
        <v>9</v>
      </c>
      <c r="CO793" s="28" t="str">
        <f t="shared" si="142"/>
        <v/>
      </c>
      <c r="CP793" s="58"/>
    </row>
    <row r="794" spans="1:94" ht="17.25" hidden="1">
      <c r="A794" s="33">
        <v>790</v>
      </c>
      <c r="B794" s="55" t="s">
        <v>192</v>
      </c>
      <c r="C794" s="55" t="str">
        <f>IF(دانش‌آموزان!E70="","",دانش‌آموزان!B70)</f>
        <v/>
      </c>
      <c r="D794" s="55" t="str">
        <f>IF(دانش‌آموزان!C70="","",دانش‌آموزان!C70)</f>
        <v/>
      </c>
      <c r="E794" s="55" t="str">
        <f>IF(دانش‌آموزان!E70="","",دانش‌آموزان!E70&amp;" "&amp;دانش‌آموزان!F70)</f>
        <v/>
      </c>
      <c r="F794" s="34" t="str">
        <f>IF(دانش‌آموزان!I70="","",دانش‌آموزان!I70)</f>
        <v/>
      </c>
      <c r="G794" s="19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20"/>
      <c r="BL794" s="20"/>
      <c r="BM794" s="20"/>
      <c r="BN794" s="20"/>
      <c r="BO794" s="20"/>
      <c r="BP794" s="20"/>
      <c r="BQ794" s="20"/>
      <c r="BR794" s="20"/>
      <c r="BS794" s="20"/>
      <c r="BT794" s="20"/>
      <c r="BU794" s="20"/>
      <c r="BV794" s="20"/>
      <c r="BW794" s="20"/>
      <c r="BX794" s="20"/>
      <c r="BY794" s="20"/>
      <c r="BZ794" s="20"/>
      <c r="CA794" s="20"/>
      <c r="CB794" s="21"/>
      <c r="CC794" s="27" t="str">
        <f t="shared" si="132"/>
        <v/>
      </c>
      <c r="CD794" s="38" t="str">
        <f t="shared" si="133"/>
        <v/>
      </c>
      <c r="CE794" s="38" t="str">
        <f t="shared" si="134"/>
        <v/>
      </c>
      <c r="CF794" s="38" t="str">
        <f t="shared" si="135"/>
        <v/>
      </c>
      <c r="CG794" s="38" t="str">
        <f t="shared" si="136"/>
        <v/>
      </c>
      <c r="CH794" s="38" t="str">
        <f t="shared" si="137"/>
        <v/>
      </c>
      <c r="CI794" s="38" t="str">
        <f t="shared" si="138"/>
        <v/>
      </c>
      <c r="CJ794" s="38" t="str">
        <f t="shared" si="139"/>
        <v/>
      </c>
      <c r="CK794" s="38" t="str">
        <f t="shared" si="140"/>
        <v/>
      </c>
      <c r="CL794" s="38" t="str">
        <f>IF(C794="","",IF(COUNT(G794:AZ794)&lt;46,"",SUMPRODUCT(CC794:CK794,'تنظیمات وزن‌دهی'!$C$5:$C$13)/100))</f>
        <v/>
      </c>
      <c r="CM794" s="38" t="str">
        <f t="shared" si="141"/>
        <v/>
      </c>
      <c r="CN794" s="38">
        <v>10</v>
      </c>
      <c r="CO794" s="28" t="str">
        <f t="shared" si="142"/>
        <v/>
      </c>
      <c r="CP794" s="58"/>
    </row>
    <row r="795" spans="1:94" ht="17.25" hidden="1">
      <c r="A795" s="33">
        <v>791</v>
      </c>
      <c r="B795" s="55" t="s">
        <v>193</v>
      </c>
      <c r="C795" s="55" t="str">
        <f>IF(دانش‌آموزان!E70="","",دانش‌آموزان!B70)</f>
        <v/>
      </c>
      <c r="D795" s="55" t="str">
        <f>IF(دانش‌آموزان!C70="","",دانش‌آموزان!C70)</f>
        <v/>
      </c>
      <c r="E795" s="55" t="str">
        <f>IF(دانش‌آموزان!E70="","",دانش‌آموزان!E70&amp;" "&amp;دانش‌آموزان!F70)</f>
        <v/>
      </c>
      <c r="F795" s="34" t="str">
        <f>IF(دانش‌آموزان!I70="","",دانش‌آموزان!I70)</f>
        <v/>
      </c>
      <c r="G795" s="19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20"/>
      <c r="BL795" s="20"/>
      <c r="BM795" s="20"/>
      <c r="BN795" s="20"/>
      <c r="BO795" s="20"/>
      <c r="BP795" s="20"/>
      <c r="BQ795" s="20"/>
      <c r="BR795" s="20"/>
      <c r="BS795" s="20"/>
      <c r="BT795" s="20"/>
      <c r="BU795" s="20"/>
      <c r="BV795" s="20"/>
      <c r="BW795" s="20"/>
      <c r="BX795" s="20"/>
      <c r="BY795" s="20"/>
      <c r="BZ795" s="20"/>
      <c r="CA795" s="20"/>
      <c r="CB795" s="21"/>
      <c r="CC795" s="27" t="str">
        <f t="shared" si="132"/>
        <v/>
      </c>
      <c r="CD795" s="38" t="str">
        <f t="shared" si="133"/>
        <v/>
      </c>
      <c r="CE795" s="38" t="str">
        <f t="shared" si="134"/>
        <v/>
      </c>
      <c r="CF795" s="38" t="str">
        <f t="shared" si="135"/>
        <v/>
      </c>
      <c r="CG795" s="38" t="str">
        <f t="shared" si="136"/>
        <v/>
      </c>
      <c r="CH795" s="38" t="str">
        <f t="shared" si="137"/>
        <v/>
      </c>
      <c r="CI795" s="38" t="str">
        <f t="shared" si="138"/>
        <v/>
      </c>
      <c r="CJ795" s="38" t="str">
        <f t="shared" si="139"/>
        <v/>
      </c>
      <c r="CK795" s="38" t="str">
        <f t="shared" si="140"/>
        <v/>
      </c>
      <c r="CL795" s="38" t="str">
        <f>IF(C795="","",IF(COUNT(G795:AZ795)&lt;46,"",SUMPRODUCT(CC795:CK795,'تنظیمات وزن‌دهی'!$C$5:$C$13)/100))</f>
        <v/>
      </c>
      <c r="CM795" s="38" t="str">
        <f t="shared" si="141"/>
        <v/>
      </c>
      <c r="CN795" s="38">
        <v>11</v>
      </c>
      <c r="CO795" s="28" t="str">
        <f t="shared" si="142"/>
        <v/>
      </c>
      <c r="CP795" s="58"/>
    </row>
    <row r="796" spans="1:94" ht="17.25" hidden="1">
      <c r="A796" s="33">
        <v>792</v>
      </c>
      <c r="B796" s="55" t="s">
        <v>194</v>
      </c>
      <c r="C796" s="55" t="str">
        <f>IF(دانش‌آموزان!E70="","",دانش‌آموزان!B70)</f>
        <v/>
      </c>
      <c r="D796" s="55" t="str">
        <f>IF(دانش‌آموزان!C70="","",دانش‌آموزان!C70)</f>
        <v/>
      </c>
      <c r="E796" s="55" t="str">
        <f>IF(دانش‌آموزان!E70="","",دانش‌آموزان!E70&amp;" "&amp;دانش‌آموزان!F70)</f>
        <v/>
      </c>
      <c r="F796" s="34" t="str">
        <f>IF(دانش‌آموزان!I70="","",دانش‌آموزان!I70)</f>
        <v/>
      </c>
      <c r="G796" s="19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20"/>
      <c r="BL796" s="20"/>
      <c r="BM796" s="20"/>
      <c r="BN796" s="20"/>
      <c r="BO796" s="20"/>
      <c r="BP796" s="20"/>
      <c r="BQ796" s="20"/>
      <c r="BR796" s="20"/>
      <c r="BS796" s="20"/>
      <c r="BT796" s="20"/>
      <c r="BU796" s="20"/>
      <c r="BV796" s="20"/>
      <c r="BW796" s="20"/>
      <c r="BX796" s="20"/>
      <c r="BY796" s="20"/>
      <c r="BZ796" s="20"/>
      <c r="CA796" s="20"/>
      <c r="CB796" s="21"/>
      <c r="CC796" s="27" t="str">
        <f t="shared" si="132"/>
        <v/>
      </c>
      <c r="CD796" s="38" t="str">
        <f t="shared" si="133"/>
        <v/>
      </c>
      <c r="CE796" s="38" t="str">
        <f t="shared" si="134"/>
        <v/>
      </c>
      <c r="CF796" s="38" t="str">
        <f t="shared" si="135"/>
        <v/>
      </c>
      <c r="CG796" s="38" t="str">
        <f t="shared" si="136"/>
        <v/>
      </c>
      <c r="CH796" s="38" t="str">
        <f t="shared" si="137"/>
        <v/>
      </c>
      <c r="CI796" s="38" t="str">
        <f t="shared" si="138"/>
        <v/>
      </c>
      <c r="CJ796" s="38" t="str">
        <f t="shared" si="139"/>
        <v/>
      </c>
      <c r="CK796" s="38" t="str">
        <f t="shared" si="140"/>
        <v/>
      </c>
      <c r="CL796" s="38" t="str">
        <f>IF(C796="","",IF(COUNT(G796:AZ796)&lt;46,"",SUMPRODUCT(CC796:CK796,'تنظیمات وزن‌دهی'!$C$5:$C$13)/100))</f>
        <v/>
      </c>
      <c r="CM796" s="38" t="str">
        <f t="shared" si="141"/>
        <v/>
      </c>
      <c r="CN796" s="38">
        <v>12</v>
      </c>
      <c r="CO796" s="28" t="str">
        <f t="shared" si="142"/>
        <v/>
      </c>
      <c r="CP796" s="58"/>
    </row>
    <row r="797" spans="1:94" ht="17.25" hidden="1">
      <c r="A797" s="33">
        <v>793</v>
      </c>
      <c r="B797" s="55" t="s">
        <v>183</v>
      </c>
      <c r="C797" s="55" t="str">
        <f>IF(دانش‌آموزان!E71="","",دانش‌آموزان!B71)</f>
        <v/>
      </c>
      <c r="D797" s="55" t="str">
        <f>IF(دانش‌آموزان!C71="","",دانش‌آموزان!C71)</f>
        <v/>
      </c>
      <c r="E797" s="55" t="str">
        <f>IF(دانش‌آموزان!E71="","",دانش‌آموزان!E71&amp;" "&amp;دانش‌آموزان!F71)</f>
        <v/>
      </c>
      <c r="F797" s="34" t="str">
        <f>IF(دانش‌آموزان!I71="","",دانش‌آموزان!I71)</f>
        <v/>
      </c>
      <c r="G797" s="19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20"/>
      <c r="BL797" s="20"/>
      <c r="BM797" s="20"/>
      <c r="BN797" s="20"/>
      <c r="BO797" s="20"/>
      <c r="BP797" s="20"/>
      <c r="BQ797" s="20"/>
      <c r="BR797" s="20"/>
      <c r="BS797" s="20"/>
      <c r="BT797" s="20"/>
      <c r="BU797" s="20"/>
      <c r="BV797" s="20"/>
      <c r="BW797" s="20"/>
      <c r="BX797" s="20"/>
      <c r="BY797" s="20"/>
      <c r="BZ797" s="20"/>
      <c r="CA797" s="20"/>
      <c r="CB797" s="21"/>
      <c r="CC797" s="27" t="str">
        <f t="shared" si="132"/>
        <v/>
      </c>
      <c r="CD797" s="38" t="str">
        <f t="shared" si="133"/>
        <v/>
      </c>
      <c r="CE797" s="38" t="str">
        <f t="shared" si="134"/>
        <v/>
      </c>
      <c r="CF797" s="38" t="str">
        <f t="shared" si="135"/>
        <v/>
      </c>
      <c r="CG797" s="38" t="str">
        <f t="shared" si="136"/>
        <v/>
      </c>
      <c r="CH797" s="38" t="str">
        <f t="shared" si="137"/>
        <v/>
      </c>
      <c r="CI797" s="38" t="str">
        <f t="shared" si="138"/>
        <v/>
      </c>
      <c r="CJ797" s="38" t="str">
        <f t="shared" si="139"/>
        <v/>
      </c>
      <c r="CK797" s="38" t="str">
        <f t="shared" si="140"/>
        <v/>
      </c>
      <c r="CL797" s="38" t="str">
        <f>IF(C797="","",IF(COUNT(G797:AZ797)&lt;46,"",SUMPRODUCT(CC797:CK797,'تنظیمات وزن‌دهی'!$C$5:$C$13)/100))</f>
        <v/>
      </c>
      <c r="CM797" s="38" t="str">
        <f t="shared" si="141"/>
        <v/>
      </c>
      <c r="CN797" s="38">
        <v>1</v>
      </c>
      <c r="CO797" s="28" t="str">
        <f t="shared" si="142"/>
        <v/>
      </c>
      <c r="CP797" s="58"/>
    </row>
    <row r="798" spans="1:94" ht="17.25" hidden="1">
      <c r="A798" s="33">
        <v>794</v>
      </c>
      <c r="B798" s="55" t="s">
        <v>184</v>
      </c>
      <c r="C798" s="55" t="str">
        <f>IF(دانش‌آموزان!E71="","",دانش‌آموزان!B71)</f>
        <v/>
      </c>
      <c r="D798" s="55" t="str">
        <f>IF(دانش‌آموزان!C71="","",دانش‌آموزان!C71)</f>
        <v/>
      </c>
      <c r="E798" s="55" t="str">
        <f>IF(دانش‌آموزان!E71="","",دانش‌آموزان!E71&amp;" "&amp;دانش‌آموزان!F71)</f>
        <v/>
      </c>
      <c r="F798" s="34" t="str">
        <f>IF(دانش‌آموزان!I71="","",دانش‌آموزان!I71)</f>
        <v/>
      </c>
      <c r="G798" s="19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  <c r="BJ798" s="20"/>
      <c r="BK798" s="20"/>
      <c r="BL798" s="20"/>
      <c r="BM798" s="20"/>
      <c r="BN798" s="20"/>
      <c r="BO798" s="20"/>
      <c r="BP798" s="20"/>
      <c r="BQ798" s="20"/>
      <c r="BR798" s="20"/>
      <c r="BS798" s="20"/>
      <c r="BT798" s="20"/>
      <c r="BU798" s="20"/>
      <c r="BV798" s="20"/>
      <c r="BW798" s="20"/>
      <c r="BX798" s="20"/>
      <c r="BY798" s="20"/>
      <c r="BZ798" s="20"/>
      <c r="CA798" s="20"/>
      <c r="CB798" s="21"/>
      <c r="CC798" s="27" t="str">
        <f t="shared" si="132"/>
        <v/>
      </c>
      <c r="CD798" s="38" t="str">
        <f t="shared" si="133"/>
        <v/>
      </c>
      <c r="CE798" s="38" t="str">
        <f t="shared" si="134"/>
        <v/>
      </c>
      <c r="CF798" s="38" t="str">
        <f t="shared" si="135"/>
        <v/>
      </c>
      <c r="CG798" s="38" t="str">
        <f t="shared" si="136"/>
        <v/>
      </c>
      <c r="CH798" s="38" t="str">
        <f t="shared" si="137"/>
        <v/>
      </c>
      <c r="CI798" s="38" t="str">
        <f t="shared" si="138"/>
        <v/>
      </c>
      <c r="CJ798" s="38" t="str">
        <f t="shared" si="139"/>
        <v/>
      </c>
      <c r="CK798" s="38" t="str">
        <f t="shared" si="140"/>
        <v/>
      </c>
      <c r="CL798" s="38" t="str">
        <f>IF(C798="","",IF(COUNT(G798:AZ798)&lt;46,"",SUMPRODUCT(CC798:CK798,'تنظیمات وزن‌دهی'!$C$5:$C$13)/100))</f>
        <v/>
      </c>
      <c r="CM798" s="38" t="str">
        <f t="shared" si="141"/>
        <v/>
      </c>
      <c r="CN798" s="38">
        <v>2</v>
      </c>
      <c r="CO798" s="28" t="str">
        <f t="shared" si="142"/>
        <v/>
      </c>
      <c r="CP798" s="58"/>
    </row>
    <row r="799" spans="1:94" ht="17.25">
      <c r="A799" s="33">
        <v>795</v>
      </c>
      <c r="B799" s="55" t="s">
        <v>185</v>
      </c>
      <c r="C799" s="55" t="str">
        <f>IF(دانش‌آموزان!E71="","",دانش‌آموزان!B71)</f>
        <v/>
      </c>
      <c r="D799" s="55" t="str">
        <f>IF(دانش‌آموزان!C71="","",دانش‌آموزان!C71)</f>
        <v/>
      </c>
      <c r="E799" s="55" t="str">
        <f>IF(دانش‌آموزان!E71="","",دانش‌آموزان!E71&amp;" "&amp;دانش‌آموزان!F71)</f>
        <v/>
      </c>
      <c r="F799" s="34" t="str">
        <f>IF(دانش‌آموزان!I71="","",دانش‌آموزان!I71)</f>
        <v/>
      </c>
      <c r="G799" s="19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  <c r="BJ799" s="20"/>
      <c r="BK799" s="20"/>
      <c r="BL799" s="20"/>
      <c r="BM799" s="20"/>
      <c r="BN799" s="20"/>
      <c r="BO799" s="20"/>
      <c r="BP799" s="20"/>
      <c r="BQ799" s="20"/>
      <c r="BR799" s="20"/>
      <c r="BS799" s="20"/>
      <c r="BT799" s="20"/>
      <c r="BU799" s="20"/>
      <c r="BV799" s="20"/>
      <c r="BW799" s="20"/>
      <c r="BX799" s="20"/>
      <c r="BY799" s="20"/>
      <c r="BZ799" s="20"/>
      <c r="CA799" s="20"/>
      <c r="CB799" s="21"/>
      <c r="CC799" s="27" t="str">
        <f t="shared" si="132"/>
        <v/>
      </c>
      <c r="CD799" s="38" t="str">
        <f t="shared" si="133"/>
        <v/>
      </c>
      <c r="CE799" s="38" t="str">
        <f t="shared" si="134"/>
        <v/>
      </c>
      <c r="CF799" s="38" t="str">
        <f t="shared" si="135"/>
        <v/>
      </c>
      <c r="CG799" s="38" t="str">
        <f t="shared" si="136"/>
        <v/>
      </c>
      <c r="CH799" s="38" t="str">
        <f t="shared" si="137"/>
        <v/>
      </c>
      <c r="CI799" s="38" t="str">
        <f t="shared" si="138"/>
        <v/>
      </c>
      <c r="CJ799" s="38" t="str">
        <f t="shared" si="139"/>
        <v/>
      </c>
      <c r="CK799" s="38" t="str">
        <f t="shared" si="140"/>
        <v/>
      </c>
      <c r="CL799" s="38" t="str">
        <f>IF(C799="","",IF(COUNT(G799:AZ799)&lt;46,"",SUMPRODUCT(CC799:CK799,'تنظیمات وزن‌دهی'!$C$5:$C$13)/100))</f>
        <v/>
      </c>
      <c r="CM799" s="38" t="str">
        <f t="shared" si="141"/>
        <v/>
      </c>
      <c r="CN799" s="38">
        <v>3</v>
      </c>
      <c r="CO799" s="28" t="str">
        <f t="shared" si="142"/>
        <v/>
      </c>
      <c r="CP799" s="58"/>
    </row>
    <row r="800" spans="1:94" ht="17.25" hidden="1">
      <c r="A800" s="33">
        <v>796</v>
      </c>
      <c r="B800" s="55" t="s">
        <v>186</v>
      </c>
      <c r="C800" s="55" t="str">
        <f>IF(دانش‌آموزان!E71="","",دانش‌آموزان!B71)</f>
        <v/>
      </c>
      <c r="D800" s="55" t="str">
        <f>IF(دانش‌آموزان!C71="","",دانش‌آموزان!C71)</f>
        <v/>
      </c>
      <c r="E800" s="55" t="str">
        <f>IF(دانش‌آموزان!E71="","",دانش‌آموزان!E71&amp;" "&amp;دانش‌آموزان!F71)</f>
        <v/>
      </c>
      <c r="F800" s="34" t="str">
        <f>IF(دانش‌آموزان!I71="","",دانش‌آموزان!I71)</f>
        <v/>
      </c>
      <c r="G800" s="19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  <c r="BJ800" s="20"/>
      <c r="BK800" s="20"/>
      <c r="BL800" s="20"/>
      <c r="BM800" s="20"/>
      <c r="BN800" s="20"/>
      <c r="BO800" s="20"/>
      <c r="BP800" s="20"/>
      <c r="BQ800" s="20"/>
      <c r="BR800" s="20"/>
      <c r="BS800" s="20"/>
      <c r="BT800" s="20"/>
      <c r="BU800" s="20"/>
      <c r="BV800" s="20"/>
      <c r="BW800" s="20"/>
      <c r="BX800" s="20"/>
      <c r="BY800" s="20"/>
      <c r="BZ800" s="20"/>
      <c r="CA800" s="20"/>
      <c r="CB800" s="21"/>
      <c r="CC800" s="27" t="str">
        <f t="shared" si="132"/>
        <v/>
      </c>
      <c r="CD800" s="38" t="str">
        <f t="shared" si="133"/>
        <v/>
      </c>
      <c r="CE800" s="38" t="str">
        <f t="shared" si="134"/>
        <v/>
      </c>
      <c r="CF800" s="38" t="str">
        <f t="shared" si="135"/>
        <v/>
      </c>
      <c r="CG800" s="38" t="str">
        <f t="shared" si="136"/>
        <v/>
      </c>
      <c r="CH800" s="38" t="str">
        <f t="shared" si="137"/>
        <v/>
      </c>
      <c r="CI800" s="38" t="str">
        <f t="shared" si="138"/>
        <v/>
      </c>
      <c r="CJ800" s="38" t="str">
        <f t="shared" si="139"/>
        <v/>
      </c>
      <c r="CK800" s="38" t="str">
        <f t="shared" si="140"/>
        <v/>
      </c>
      <c r="CL800" s="38" t="str">
        <f>IF(C800="","",IF(COUNT(G800:AZ800)&lt;46,"",SUMPRODUCT(CC800:CK800,'تنظیمات وزن‌دهی'!$C$5:$C$13)/100))</f>
        <v/>
      </c>
      <c r="CM800" s="38" t="str">
        <f t="shared" si="141"/>
        <v/>
      </c>
      <c r="CN800" s="38">
        <v>4</v>
      </c>
      <c r="CO800" s="28" t="str">
        <f t="shared" si="142"/>
        <v/>
      </c>
      <c r="CP800" s="58"/>
    </row>
    <row r="801" spans="1:94" ht="17.25" hidden="1">
      <c r="A801" s="33">
        <v>797</v>
      </c>
      <c r="B801" s="55" t="s">
        <v>187</v>
      </c>
      <c r="C801" s="55" t="str">
        <f>IF(دانش‌آموزان!E71="","",دانش‌آموزان!B71)</f>
        <v/>
      </c>
      <c r="D801" s="55" t="str">
        <f>IF(دانش‌آموزان!C71="","",دانش‌آموزان!C71)</f>
        <v/>
      </c>
      <c r="E801" s="55" t="str">
        <f>IF(دانش‌آموزان!E71="","",دانش‌آموزان!E71&amp;" "&amp;دانش‌آموزان!F71)</f>
        <v/>
      </c>
      <c r="F801" s="34" t="str">
        <f>IF(دانش‌آموزان!I71="","",دانش‌آموزان!I71)</f>
        <v/>
      </c>
      <c r="G801" s="19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  <c r="BK801" s="20"/>
      <c r="BL801" s="20"/>
      <c r="BM801" s="20"/>
      <c r="BN801" s="20"/>
      <c r="BO801" s="20"/>
      <c r="BP801" s="20"/>
      <c r="BQ801" s="20"/>
      <c r="BR801" s="20"/>
      <c r="BS801" s="20"/>
      <c r="BT801" s="20"/>
      <c r="BU801" s="20"/>
      <c r="BV801" s="20"/>
      <c r="BW801" s="20"/>
      <c r="BX801" s="20"/>
      <c r="BY801" s="20"/>
      <c r="BZ801" s="20"/>
      <c r="CA801" s="20"/>
      <c r="CB801" s="21"/>
      <c r="CC801" s="27" t="str">
        <f t="shared" si="132"/>
        <v/>
      </c>
      <c r="CD801" s="38" t="str">
        <f t="shared" si="133"/>
        <v/>
      </c>
      <c r="CE801" s="38" t="str">
        <f t="shared" si="134"/>
        <v/>
      </c>
      <c r="CF801" s="38" t="str">
        <f t="shared" si="135"/>
        <v/>
      </c>
      <c r="CG801" s="38" t="str">
        <f t="shared" si="136"/>
        <v/>
      </c>
      <c r="CH801" s="38" t="str">
        <f t="shared" si="137"/>
        <v/>
      </c>
      <c r="CI801" s="38" t="str">
        <f t="shared" si="138"/>
        <v/>
      </c>
      <c r="CJ801" s="38" t="str">
        <f t="shared" si="139"/>
        <v/>
      </c>
      <c r="CK801" s="38" t="str">
        <f t="shared" si="140"/>
        <v/>
      </c>
      <c r="CL801" s="38" t="str">
        <f>IF(C801="","",IF(COUNT(G801:AZ801)&lt;46,"",SUMPRODUCT(CC801:CK801,'تنظیمات وزن‌دهی'!$C$5:$C$13)/100))</f>
        <v/>
      </c>
      <c r="CM801" s="38" t="str">
        <f t="shared" si="141"/>
        <v/>
      </c>
      <c r="CN801" s="38">
        <v>5</v>
      </c>
      <c r="CO801" s="28" t="str">
        <f t="shared" si="142"/>
        <v/>
      </c>
      <c r="CP801" s="58"/>
    </row>
    <row r="802" spans="1:94" ht="17.25" hidden="1">
      <c r="A802" s="33">
        <v>798</v>
      </c>
      <c r="B802" s="55" t="s">
        <v>188</v>
      </c>
      <c r="C802" s="55" t="str">
        <f>IF(دانش‌آموزان!E71="","",دانش‌آموزان!B71)</f>
        <v/>
      </c>
      <c r="D802" s="55" t="str">
        <f>IF(دانش‌آموزان!C71="","",دانش‌آموزان!C71)</f>
        <v/>
      </c>
      <c r="E802" s="55" t="str">
        <f>IF(دانش‌آموزان!E71="","",دانش‌آموزان!E71&amp;" "&amp;دانش‌آموزان!F71)</f>
        <v/>
      </c>
      <c r="F802" s="34" t="str">
        <f>IF(دانش‌آموزان!I71="","",دانش‌آموزان!I71)</f>
        <v/>
      </c>
      <c r="G802" s="19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20"/>
      <c r="BL802" s="20"/>
      <c r="BM802" s="20"/>
      <c r="BN802" s="20"/>
      <c r="BO802" s="20"/>
      <c r="BP802" s="20"/>
      <c r="BQ802" s="20"/>
      <c r="BR802" s="20"/>
      <c r="BS802" s="20"/>
      <c r="BT802" s="20"/>
      <c r="BU802" s="20"/>
      <c r="BV802" s="20"/>
      <c r="BW802" s="20"/>
      <c r="BX802" s="20"/>
      <c r="BY802" s="20"/>
      <c r="BZ802" s="20"/>
      <c r="CA802" s="20"/>
      <c r="CB802" s="21"/>
      <c r="CC802" s="27" t="str">
        <f t="shared" si="132"/>
        <v/>
      </c>
      <c r="CD802" s="38" t="str">
        <f t="shared" si="133"/>
        <v/>
      </c>
      <c r="CE802" s="38" t="str">
        <f t="shared" si="134"/>
        <v/>
      </c>
      <c r="CF802" s="38" t="str">
        <f t="shared" si="135"/>
        <v/>
      </c>
      <c r="CG802" s="38" t="str">
        <f t="shared" si="136"/>
        <v/>
      </c>
      <c r="CH802" s="38" t="str">
        <f t="shared" si="137"/>
        <v/>
      </c>
      <c r="CI802" s="38" t="str">
        <f t="shared" si="138"/>
        <v/>
      </c>
      <c r="CJ802" s="38" t="str">
        <f t="shared" si="139"/>
        <v/>
      </c>
      <c r="CK802" s="38" t="str">
        <f t="shared" si="140"/>
        <v/>
      </c>
      <c r="CL802" s="38" t="str">
        <f>IF(C802="","",IF(COUNT(G802:AZ802)&lt;46,"",SUMPRODUCT(CC802:CK802,'تنظیمات وزن‌دهی'!$C$5:$C$13)/100))</f>
        <v/>
      </c>
      <c r="CM802" s="38" t="str">
        <f t="shared" si="141"/>
        <v/>
      </c>
      <c r="CN802" s="38">
        <v>6</v>
      </c>
      <c r="CO802" s="28" t="str">
        <f t="shared" si="142"/>
        <v/>
      </c>
      <c r="CP802" s="58"/>
    </row>
    <row r="803" spans="1:94" ht="17.25" hidden="1">
      <c r="A803" s="33">
        <v>799</v>
      </c>
      <c r="B803" s="55" t="s">
        <v>189</v>
      </c>
      <c r="C803" s="55" t="str">
        <f>IF(دانش‌آموزان!E71="","",دانش‌آموزان!B71)</f>
        <v/>
      </c>
      <c r="D803" s="55" t="str">
        <f>IF(دانش‌آموزان!C71="","",دانش‌آموزان!C71)</f>
        <v/>
      </c>
      <c r="E803" s="55" t="str">
        <f>IF(دانش‌آموزان!E71="","",دانش‌آموزان!E71&amp;" "&amp;دانش‌آموزان!F71)</f>
        <v/>
      </c>
      <c r="F803" s="34" t="str">
        <f>IF(دانش‌آموزان!I71="","",دانش‌آموزان!I71)</f>
        <v/>
      </c>
      <c r="G803" s="19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20"/>
      <c r="BL803" s="20"/>
      <c r="BM803" s="20"/>
      <c r="BN803" s="20"/>
      <c r="BO803" s="20"/>
      <c r="BP803" s="20"/>
      <c r="BQ803" s="20"/>
      <c r="BR803" s="20"/>
      <c r="BS803" s="20"/>
      <c r="BT803" s="20"/>
      <c r="BU803" s="20"/>
      <c r="BV803" s="20"/>
      <c r="BW803" s="20"/>
      <c r="BX803" s="20"/>
      <c r="BY803" s="20"/>
      <c r="BZ803" s="20"/>
      <c r="CA803" s="20"/>
      <c r="CB803" s="21"/>
      <c r="CC803" s="27" t="str">
        <f t="shared" si="132"/>
        <v/>
      </c>
      <c r="CD803" s="38" t="str">
        <f t="shared" si="133"/>
        <v/>
      </c>
      <c r="CE803" s="38" t="str">
        <f t="shared" si="134"/>
        <v/>
      </c>
      <c r="CF803" s="38" t="str">
        <f t="shared" si="135"/>
        <v/>
      </c>
      <c r="CG803" s="38" t="str">
        <f t="shared" si="136"/>
        <v/>
      </c>
      <c r="CH803" s="38" t="str">
        <f t="shared" si="137"/>
        <v/>
      </c>
      <c r="CI803" s="38" t="str">
        <f t="shared" si="138"/>
        <v/>
      </c>
      <c r="CJ803" s="38" t="str">
        <f t="shared" si="139"/>
        <v/>
      </c>
      <c r="CK803" s="38" t="str">
        <f t="shared" si="140"/>
        <v/>
      </c>
      <c r="CL803" s="38" t="str">
        <f>IF(C803="","",IF(COUNT(G803:AZ803)&lt;46,"",SUMPRODUCT(CC803:CK803,'تنظیمات وزن‌دهی'!$C$5:$C$13)/100))</f>
        <v/>
      </c>
      <c r="CM803" s="38" t="str">
        <f t="shared" si="141"/>
        <v/>
      </c>
      <c r="CN803" s="38">
        <v>7</v>
      </c>
      <c r="CO803" s="28" t="str">
        <f t="shared" si="142"/>
        <v/>
      </c>
      <c r="CP803" s="58"/>
    </row>
    <row r="804" spans="1:94" ht="17.25" hidden="1">
      <c r="A804" s="33">
        <v>800</v>
      </c>
      <c r="B804" s="55" t="s">
        <v>190</v>
      </c>
      <c r="C804" s="55" t="str">
        <f>IF(دانش‌آموزان!E71="","",دانش‌آموزان!B71)</f>
        <v/>
      </c>
      <c r="D804" s="55" t="str">
        <f>IF(دانش‌آموزان!C71="","",دانش‌آموزان!C71)</f>
        <v/>
      </c>
      <c r="E804" s="55" t="str">
        <f>IF(دانش‌آموزان!E71="","",دانش‌آموزان!E71&amp;" "&amp;دانش‌آموزان!F71)</f>
        <v/>
      </c>
      <c r="F804" s="34" t="str">
        <f>IF(دانش‌آموزان!I71="","",دانش‌آموزان!I71)</f>
        <v/>
      </c>
      <c r="G804" s="19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  <c r="BK804" s="20"/>
      <c r="BL804" s="20"/>
      <c r="BM804" s="20"/>
      <c r="BN804" s="20"/>
      <c r="BO804" s="20"/>
      <c r="BP804" s="20"/>
      <c r="BQ804" s="20"/>
      <c r="BR804" s="20"/>
      <c r="BS804" s="20"/>
      <c r="BT804" s="20"/>
      <c r="BU804" s="20"/>
      <c r="BV804" s="20"/>
      <c r="BW804" s="20"/>
      <c r="BX804" s="20"/>
      <c r="BY804" s="20"/>
      <c r="BZ804" s="20"/>
      <c r="CA804" s="20"/>
      <c r="CB804" s="21"/>
      <c r="CC804" s="27" t="str">
        <f t="shared" si="132"/>
        <v/>
      </c>
      <c r="CD804" s="38" t="str">
        <f t="shared" si="133"/>
        <v/>
      </c>
      <c r="CE804" s="38" t="str">
        <f t="shared" si="134"/>
        <v/>
      </c>
      <c r="CF804" s="38" t="str">
        <f t="shared" si="135"/>
        <v/>
      </c>
      <c r="CG804" s="38" t="str">
        <f t="shared" si="136"/>
        <v/>
      </c>
      <c r="CH804" s="38" t="str">
        <f t="shared" si="137"/>
        <v/>
      </c>
      <c r="CI804" s="38" t="str">
        <f t="shared" si="138"/>
        <v/>
      </c>
      <c r="CJ804" s="38" t="str">
        <f t="shared" si="139"/>
        <v/>
      </c>
      <c r="CK804" s="38" t="str">
        <f t="shared" si="140"/>
        <v/>
      </c>
      <c r="CL804" s="38" t="str">
        <f>IF(C804="","",IF(COUNT(G804:AZ804)&lt;46,"",SUMPRODUCT(CC804:CK804,'تنظیمات وزن‌دهی'!$C$5:$C$13)/100))</f>
        <v/>
      </c>
      <c r="CM804" s="38" t="str">
        <f t="shared" si="141"/>
        <v/>
      </c>
      <c r="CN804" s="38">
        <v>8</v>
      </c>
      <c r="CO804" s="28" t="str">
        <f t="shared" si="142"/>
        <v/>
      </c>
      <c r="CP804" s="58"/>
    </row>
    <row r="805" spans="1:94" ht="17.25" hidden="1">
      <c r="A805" s="33">
        <v>801</v>
      </c>
      <c r="B805" s="55" t="s">
        <v>191</v>
      </c>
      <c r="C805" s="55" t="str">
        <f>IF(دانش‌آموزان!E71="","",دانش‌آموزان!B71)</f>
        <v/>
      </c>
      <c r="D805" s="55" t="str">
        <f>IF(دانش‌آموزان!C71="","",دانش‌آموزان!C71)</f>
        <v/>
      </c>
      <c r="E805" s="55" t="str">
        <f>IF(دانش‌آموزان!E71="","",دانش‌آموزان!E71&amp;" "&amp;دانش‌آموزان!F71)</f>
        <v/>
      </c>
      <c r="F805" s="34" t="str">
        <f>IF(دانش‌آموزان!I71="","",دانش‌آموزان!I71)</f>
        <v/>
      </c>
      <c r="G805" s="19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20"/>
      <c r="BL805" s="20"/>
      <c r="BM805" s="20"/>
      <c r="BN805" s="20"/>
      <c r="BO805" s="20"/>
      <c r="BP805" s="20"/>
      <c r="BQ805" s="20"/>
      <c r="BR805" s="20"/>
      <c r="BS805" s="20"/>
      <c r="BT805" s="20"/>
      <c r="BU805" s="20"/>
      <c r="BV805" s="20"/>
      <c r="BW805" s="20"/>
      <c r="BX805" s="20"/>
      <c r="BY805" s="20"/>
      <c r="BZ805" s="20"/>
      <c r="CA805" s="20"/>
      <c r="CB805" s="21"/>
      <c r="CC805" s="27" t="str">
        <f t="shared" si="132"/>
        <v/>
      </c>
      <c r="CD805" s="38" t="str">
        <f t="shared" si="133"/>
        <v/>
      </c>
      <c r="CE805" s="38" t="str">
        <f t="shared" si="134"/>
        <v/>
      </c>
      <c r="CF805" s="38" t="str">
        <f t="shared" si="135"/>
        <v/>
      </c>
      <c r="CG805" s="38" t="str">
        <f t="shared" si="136"/>
        <v/>
      </c>
      <c r="CH805" s="38" t="str">
        <f t="shared" si="137"/>
        <v/>
      </c>
      <c r="CI805" s="38" t="str">
        <f t="shared" si="138"/>
        <v/>
      </c>
      <c r="CJ805" s="38" t="str">
        <f t="shared" si="139"/>
        <v/>
      </c>
      <c r="CK805" s="38" t="str">
        <f t="shared" si="140"/>
        <v/>
      </c>
      <c r="CL805" s="38" t="str">
        <f>IF(C805="","",IF(COUNT(G805:AZ805)&lt;46,"",SUMPRODUCT(CC805:CK805,'تنظیمات وزن‌دهی'!$C$5:$C$13)/100))</f>
        <v/>
      </c>
      <c r="CM805" s="38" t="str">
        <f t="shared" si="141"/>
        <v/>
      </c>
      <c r="CN805" s="38">
        <v>9</v>
      </c>
      <c r="CO805" s="28" t="str">
        <f t="shared" si="142"/>
        <v/>
      </c>
      <c r="CP805" s="58"/>
    </row>
    <row r="806" spans="1:94" ht="17.25" hidden="1">
      <c r="A806" s="33">
        <v>802</v>
      </c>
      <c r="B806" s="55" t="s">
        <v>192</v>
      </c>
      <c r="C806" s="55" t="str">
        <f>IF(دانش‌آموزان!E71="","",دانش‌آموزان!B71)</f>
        <v/>
      </c>
      <c r="D806" s="55" t="str">
        <f>IF(دانش‌آموزان!C71="","",دانش‌آموزان!C71)</f>
        <v/>
      </c>
      <c r="E806" s="55" t="str">
        <f>IF(دانش‌آموزان!E71="","",دانش‌آموزان!E71&amp;" "&amp;دانش‌آموزان!F71)</f>
        <v/>
      </c>
      <c r="F806" s="34" t="str">
        <f>IF(دانش‌آموزان!I71="","",دانش‌آموزان!I71)</f>
        <v/>
      </c>
      <c r="G806" s="19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20"/>
      <c r="BL806" s="20"/>
      <c r="BM806" s="20"/>
      <c r="BN806" s="20"/>
      <c r="BO806" s="20"/>
      <c r="BP806" s="20"/>
      <c r="BQ806" s="20"/>
      <c r="BR806" s="20"/>
      <c r="BS806" s="20"/>
      <c r="BT806" s="20"/>
      <c r="BU806" s="20"/>
      <c r="BV806" s="20"/>
      <c r="BW806" s="20"/>
      <c r="BX806" s="20"/>
      <c r="BY806" s="20"/>
      <c r="BZ806" s="20"/>
      <c r="CA806" s="20"/>
      <c r="CB806" s="21"/>
      <c r="CC806" s="27" t="str">
        <f t="shared" si="132"/>
        <v/>
      </c>
      <c r="CD806" s="38" t="str">
        <f t="shared" si="133"/>
        <v/>
      </c>
      <c r="CE806" s="38" t="str">
        <f t="shared" si="134"/>
        <v/>
      </c>
      <c r="CF806" s="38" t="str">
        <f t="shared" si="135"/>
        <v/>
      </c>
      <c r="CG806" s="38" t="str">
        <f t="shared" si="136"/>
        <v/>
      </c>
      <c r="CH806" s="38" t="str">
        <f t="shared" si="137"/>
        <v/>
      </c>
      <c r="CI806" s="38" t="str">
        <f t="shared" si="138"/>
        <v/>
      </c>
      <c r="CJ806" s="38" t="str">
        <f t="shared" si="139"/>
        <v/>
      </c>
      <c r="CK806" s="38" t="str">
        <f t="shared" si="140"/>
        <v/>
      </c>
      <c r="CL806" s="38" t="str">
        <f>IF(C806="","",IF(COUNT(G806:AZ806)&lt;46,"",SUMPRODUCT(CC806:CK806,'تنظیمات وزن‌دهی'!$C$5:$C$13)/100))</f>
        <v/>
      </c>
      <c r="CM806" s="38" t="str">
        <f t="shared" si="141"/>
        <v/>
      </c>
      <c r="CN806" s="38">
        <v>10</v>
      </c>
      <c r="CO806" s="28" t="str">
        <f t="shared" si="142"/>
        <v/>
      </c>
      <c r="CP806" s="58"/>
    </row>
    <row r="807" spans="1:94" ht="17.25" hidden="1">
      <c r="A807" s="33">
        <v>803</v>
      </c>
      <c r="B807" s="55" t="s">
        <v>193</v>
      </c>
      <c r="C807" s="55" t="str">
        <f>IF(دانش‌آموزان!E71="","",دانش‌آموزان!B71)</f>
        <v/>
      </c>
      <c r="D807" s="55" t="str">
        <f>IF(دانش‌آموزان!C71="","",دانش‌آموزان!C71)</f>
        <v/>
      </c>
      <c r="E807" s="55" t="str">
        <f>IF(دانش‌آموزان!E71="","",دانش‌آموزان!E71&amp;" "&amp;دانش‌آموزان!F71)</f>
        <v/>
      </c>
      <c r="F807" s="34" t="str">
        <f>IF(دانش‌آموزان!I71="","",دانش‌آموزان!I71)</f>
        <v/>
      </c>
      <c r="G807" s="19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  <c r="BJ807" s="20"/>
      <c r="BK807" s="20"/>
      <c r="BL807" s="20"/>
      <c r="BM807" s="20"/>
      <c r="BN807" s="20"/>
      <c r="BO807" s="20"/>
      <c r="BP807" s="20"/>
      <c r="BQ807" s="20"/>
      <c r="BR807" s="20"/>
      <c r="BS807" s="20"/>
      <c r="BT807" s="20"/>
      <c r="BU807" s="20"/>
      <c r="BV807" s="20"/>
      <c r="BW807" s="20"/>
      <c r="BX807" s="20"/>
      <c r="BY807" s="20"/>
      <c r="BZ807" s="20"/>
      <c r="CA807" s="20"/>
      <c r="CB807" s="21"/>
      <c r="CC807" s="27" t="str">
        <f t="shared" si="132"/>
        <v/>
      </c>
      <c r="CD807" s="38" t="str">
        <f t="shared" si="133"/>
        <v/>
      </c>
      <c r="CE807" s="38" t="str">
        <f t="shared" si="134"/>
        <v/>
      </c>
      <c r="CF807" s="38" t="str">
        <f t="shared" si="135"/>
        <v/>
      </c>
      <c r="CG807" s="38" t="str">
        <f t="shared" si="136"/>
        <v/>
      </c>
      <c r="CH807" s="38" t="str">
        <f t="shared" si="137"/>
        <v/>
      </c>
      <c r="CI807" s="38" t="str">
        <f t="shared" si="138"/>
        <v/>
      </c>
      <c r="CJ807" s="38" t="str">
        <f t="shared" si="139"/>
        <v/>
      </c>
      <c r="CK807" s="38" t="str">
        <f t="shared" si="140"/>
        <v/>
      </c>
      <c r="CL807" s="38" t="str">
        <f>IF(C807="","",IF(COUNT(G807:AZ807)&lt;46,"",SUMPRODUCT(CC807:CK807,'تنظیمات وزن‌دهی'!$C$5:$C$13)/100))</f>
        <v/>
      </c>
      <c r="CM807" s="38" t="str">
        <f t="shared" si="141"/>
        <v/>
      </c>
      <c r="CN807" s="38">
        <v>11</v>
      </c>
      <c r="CO807" s="28" t="str">
        <f t="shared" si="142"/>
        <v/>
      </c>
      <c r="CP807" s="58"/>
    </row>
    <row r="808" spans="1:94" ht="17.25" hidden="1">
      <c r="A808" s="33">
        <v>804</v>
      </c>
      <c r="B808" s="55" t="s">
        <v>194</v>
      </c>
      <c r="C808" s="55" t="str">
        <f>IF(دانش‌آموزان!E71="","",دانش‌آموزان!B71)</f>
        <v/>
      </c>
      <c r="D808" s="55" t="str">
        <f>IF(دانش‌آموزان!C71="","",دانش‌آموزان!C71)</f>
        <v/>
      </c>
      <c r="E808" s="55" t="str">
        <f>IF(دانش‌آموزان!E71="","",دانش‌آموزان!E71&amp;" "&amp;دانش‌آموزان!F71)</f>
        <v/>
      </c>
      <c r="F808" s="34" t="str">
        <f>IF(دانش‌آموزان!I71="","",دانش‌آموزان!I71)</f>
        <v/>
      </c>
      <c r="G808" s="19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  <c r="BJ808" s="20"/>
      <c r="BK808" s="20"/>
      <c r="BL808" s="20"/>
      <c r="BM808" s="20"/>
      <c r="BN808" s="20"/>
      <c r="BO808" s="20"/>
      <c r="BP808" s="20"/>
      <c r="BQ808" s="20"/>
      <c r="BR808" s="20"/>
      <c r="BS808" s="20"/>
      <c r="BT808" s="20"/>
      <c r="BU808" s="20"/>
      <c r="BV808" s="20"/>
      <c r="BW808" s="20"/>
      <c r="BX808" s="20"/>
      <c r="BY808" s="20"/>
      <c r="BZ808" s="20"/>
      <c r="CA808" s="20"/>
      <c r="CB808" s="21"/>
      <c r="CC808" s="27" t="str">
        <f t="shared" si="132"/>
        <v/>
      </c>
      <c r="CD808" s="38" t="str">
        <f t="shared" si="133"/>
        <v/>
      </c>
      <c r="CE808" s="38" t="str">
        <f t="shared" si="134"/>
        <v/>
      </c>
      <c r="CF808" s="38" t="str">
        <f t="shared" si="135"/>
        <v/>
      </c>
      <c r="CG808" s="38" t="str">
        <f t="shared" si="136"/>
        <v/>
      </c>
      <c r="CH808" s="38" t="str">
        <f t="shared" si="137"/>
        <v/>
      </c>
      <c r="CI808" s="38" t="str">
        <f t="shared" si="138"/>
        <v/>
      </c>
      <c r="CJ808" s="38" t="str">
        <f t="shared" si="139"/>
        <v/>
      </c>
      <c r="CK808" s="38" t="str">
        <f t="shared" si="140"/>
        <v/>
      </c>
      <c r="CL808" s="38" t="str">
        <f>IF(C808="","",IF(COUNT(G808:AZ808)&lt;46,"",SUMPRODUCT(CC808:CK808,'تنظیمات وزن‌دهی'!$C$5:$C$13)/100))</f>
        <v/>
      </c>
      <c r="CM808" s="38" t="str">
        <f t="shared" si="141"/>
        <v/>
      </c>
      <c r="CN808" s="38">
        <v>12</v>
      </c>
      <c r="CO808" s="28" t="str">
        <f t="shared" si="142"/>
        <v/>
      </c>
      <c r="CP808" s="58"/>
    </row>
    <row r="809" spans="1:94" ht="17.25" hidden="1">
      <c r="A809" s="33">
        <v>805</v>
      </c>
      <c r="B809" s="55" t="s">
        <v>183</v>
      </c>
      <c r="C809" s="55" t="str">
        <f>IF(دانش‌آموزان!E72="","",دانش‌آموزان!B72)</f>
        <v/>
      </c>
      <c r="D809" s="55" t="str">
        <f>IF(دانش‌آموزان!C72="","",دانش‌آموزان!C72)</f>
        <v/>
      </c>
      <c r="E809" s="55" t="str">
        <f>IF(دانش‌آموزان!E72="","",دانش‌آموزان!E72&amp;" "&amp;دانش‌آموزان!F72)</f>
        <v/>
      </c>
      <c r="F809" s="34" t="str">
        <f>IF(دانش‌آموزان!I72="","",دانش‌آموزان!I72)</f>
        <v/>
      </c>
      <c r="G809" s="19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  <c r="BJ809" s="20"/>
      <c r="BK809" s="20"/>
      <c r="BL809" s="20"/>
      <c r="BM809" s="20"/>
      <c r="BN809" s="20"/>
      <c r="BO809" s="20"/>
      <c r="BP809" s="20"/>
      <c r="BQ809" s="20"/>
      <c r="BR809" s="20"/>
      <c r="BS809" s="20"/>
      <c r="BT809" s="20"/>
      <c r="BU809" s="20"/>
      <c r="BV809" s="20"/>
      <c r="BW809" s="20"/>
      <c r="BX809" s="20"/>
      <c r="BY809" s="20"/>
      <c r="BZ809" s="20"/>
      <c r="CA809" s="20"/>
      <c r="CB809" s="21"/>
      <c r="CC809" s="27" t="str">
        <f t="shared" si="132"/>
        <v/>
      </c>
      <c r="CD809" s="38" t="str">
        <f t="shared" si="133"/>
        <v/>
      </c>
      <c r="CE809" s="38" t="str">
        <f t="shared" si="134"/>
        <v/>
      </c>
      <c r="CF809" s="38" t="str">
        <f t="shared" si="135"/>
        <v/>
      </c>
      <c r="CG809" s="38" t="str">
        <f t="shared" si="136"/>
        <v/>
      </c>
      <c r="CH809" s="38" t="str">
        <f t="shared" si="137"/>
        <v/>
      </c>
      <c r="CI809" s="38" t="str">
        <f t="shared" si="138"/>
        <v/>
      </c>
      <c r="CJ809" s="38" t="str">
        <f t="shared" si="139"/>
        <v/>
      </c>
      <c r="CK809" s="38" t="str">
        <f t="shared" si="140"/>
        <v/>
      </c>
      <c r="CL809" s="38" t="str">
        <f>IF(C809="","",IF(COUNT(G809:AZ809)&lt;46,"",SUMPRODUCT(CC809:CK809,'تنظیمات وزن‌دهی'!$C$5:$C$13)/100))</f>
        <v/>
      </c>
      <c r="CM809" s="38" t="str">
        <f t="shared" si="141"/>
        <v/>
      </c>
      <c r="CN809" s="38">
        <v>1</v>
      </c>
      <c r="CO809" s="28" t="str">
        <f t="shared" si="142"/>
        <v/>
      </c>
      <c r="CP809" s="58"/>
    </row>
    <row r="810" spans="1:94" ht="17.25" hidden="1">
      <c r="A810" s="33">
        <v>806</v>
      </c>
      <c r="B810" s="55" t="s">
        <v>184</v>
      </c>
      <c r="C810" s="55" t="str">
        <f>IF(دانش‌آموزان!E72="","",دانش‌آموزان!B72)</f>
        <v/>
      </c>
      <c r="D810" s="55" t="str">
        <f>IF(دانش‌آموزان!C72="","",دانش‌آموزان!C72)</f>
        <v/>
      </c>
      <c r="E810" s="55" t="str">
        <f>IF(دانش‌آموزان!E72="","",دانش‌آموزان!E72&amp;" "&amp;دانش‌آموزان!F72)</f>
        <v/>
      </c>
      <c r="F810" s="34" t="str">
        <f>IF(دانش‌آموزان!I72="","",دانش‌آموزان!I72)</f>
        <v/>
      </c>
      <c r="G810" s="19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  <c r="BJ810" s="20"/>
      <c r="BK810" s="20"/>
      <c r="BL810" s="20"/>
      <c r="BM810" s="20"/>
      <c r="BN810" s="20"/>
      <c r="BO810" s="20"/>
      <c r="BP810" s="20"/>
      <c r="BQ810" s="20"/>
      <c r="BR810" s="20"/>
      <c r="BS810" s="20"/>
      <c r="BT810" s="20"/>
      <c r="BU810" s="20"/>
      <c r="BV810" s="20"/>
      <c r="BW810" s="20"/>
      <c r="BX810" s="20"/>
      <c r="BY810" s="20"/>
      <c r="BZ810" s="20"/>
      <c r="CA810" s="20"/>
      <c r="CB810" s="21"/>
      <c r="CC810" s="27" t="str">
        <f t="shared" si="132"/>
        <v/>
      </c>
      <c r="CD810" s="38" t="str">
        <f t="shared" si="133"/>
        <v/>
      </c>
      <c r="CE810" s="38" t="str">
        <f t="shared" si="134"/>
        <v/>
      </c>
      <c r="CF810" s="38" t="str">
        <f t="shared" si="135"/>
        <v/>
      </c>
      <c r="CG810" s="38" t="str">
        <f t="shared" si="136"/>
        <v/>
      </c>
      <c r="CH810" s="38" t="str">
        <f t="shared" si="137"/>
        <v/>
      </c>
      <c r="CI810" s="38" t="str">
        <f t="shared" si="138"/>
        <v/>
      </c>
      <c r="CJ810" s="38" t="str">
        <f t="shared" si="139"/>
        <v/>
      </c>
      <c r="CK810" s="38" t="str">
        <f t="shared" si="140"/>
        <v/>
      </c>
      <c r="CL810" s="38" t="str">
        <f>IF(C810="","",IF(COUNT(G810:AZ810)&lt;46,"",SUMPRODUCT(CC810:CK810,'تنظیمات وزن‌دهی'!$C$5:$C$13)/100))</f>
        <v/>
      </c>
      <c r="CM810" s="38" t="str">
        <f t="shared" si="141"/>
        <v/>
      </c>
      <c r="CN810" s="38">
        <v>2</v>
      </c>
      <c r="CO810" s="28" t="str">
        <f t="shared" si="142"/>
        <v/>
      </c>
      <c r="CP810" s="58"/>
    </row>
    <row r="811" spans="1:94" ht="17.25">
      <c r="A811" s="33">
        <v>807</v>
      </c>
      <c r="B811" s="55" t="s">
        <v>185</v>
      </c>
      <c r="C811" s="55" t="str">
        <f>IF(دانش‌آموزان!E72="","",دانش‌آموزان!B72)</f>
        <v/>
      </c>
      <c r="D811" s="55" t="str">
        <f>IF(دانش‌آموزان!C72="","",دانش‌آموزان!C72)</f>
        <v/>
      </c>
      <c r="E811" s="55" t="str">
        <f>IF(دانش‌آموزان!E72="","",دانش‌آموزان!E72&amp;" "&amp;دانش‌آموزان!F72)</f>
        <v/>
      </c>
      <c r="F811" s="34" t="str">
        <f>IF(دانش‌آموزان!I72="","",دانش‌آموزان!I72)</f>
        <v/>
      </c>
      <c r="G811" s="19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  <c r="BK811" s="20"/>
      <c r="BL811" s="20"/>
      <c r="BM811" s="20"/>
      <c r="BN811" s="20"/>
      <c r="BO811" s="20"/>
      <c r="BP811" s="20"/>
      <c r="BQ811" s="20"/>
      <c r="BR811" s="20"/>
      <c r="BS811" s="20"/>
      <c r="BT811" s="20"/>
      <c r="BU811" s="20"/>
      <c r="BV811" s="20"/>
      <c r="BW811" s="20"/>
      <c r="BX811" s="20"/>
      <c r="BY811" s="20"/>
      <c r="BZ811" s="20"/>
      <c r="CA811" s="20"/>
      <c r="CB811" s="21"/>
      <c r="CC811" s="27" t="str">
        <f t="shared" si="132"/>
        <v/>
      </c>
      <c r="CD811" s="38" t="str">
        <f t="shared" si="133"/>
        <v/>
      </c>
      <c r="CE811" s="38" t="str">
        <f t="shared" si="134"/>
        <v/>
      </c>
      <c r="CF811" s="38" t="str">
        <f t="shared" si="135"/>
        <v/>
      </c>
      <c r="CG811" s="38" t="str">
        <f t="shared" si="136"/>
        <v/>
      </c>
      <c r="CH811" s="38" t="str">
        <f t="shared" si="137"/>
        <v/>
      </c>
      <c r="CI811" s="38" t="str">
        <f t="shared" si="138"/>
        <v/>
      </c>
      <c r="CJ811" s="38" t="str">
        <f t="shared" si="139"/>
        <v/>
      </c>
      <c r="CK811" s="38" t="str">
        <f t="shared" si="140"/>
        <v/>
      </c>
      <c r="CL811" s="38" t="str">
        <f>IF(C811="","",IF(COUNT(G811:AZ811)&lt;46,"",SUMPRODUCT(CC811:CK811,'تنظیمات وزن‌دهی'!$C$5:$C$13)/100))</f>
        <v/>
      </c>
      <c r="CM811" s="38" t="str">
        <f t="shared" si="141"/>
        <v/>
      </c>
      <c r="CN811" s="38">
        <v>3</v>
      </c>
      <c r="CO811" s="28" t="str">
        <f t="shared" si="142"/>
        <v/>
      </c>
      <c r="CP811" s="58"/>
    </row>
    <row r="812" spans="1:94" ht="17.25" hidden="1">
      <c r="A812" s="33">
        <v>808</v>
      </c>
      <c r="B812" s="55" t="s">
        <v>186</v>
      </c>
      <c r="C812" s="55" t="str">
        <f>IF(دانش‌آموزان!E72="","",دانش‌آموزان!B72)</f>
        <v/>
      </c>
      <c r="D812" s="55" t="str">
        <f>IF(دانش‌آموزان!C72="","",دانش‌آموزان!C72)</f>
        <v/>
      </c>
      <c r="E812" s="55" t="str">
        <f>IF(دانش‌آموزان!E72="","",دانش‌آموزان!E72&amp;" "&amp;دانش‌آموزان!F72)</f>
        <v/>
      </c>
      <c r="F812" s="34" t="str">
        <f>IF(دانش‌آموزان!I72="","",دانش‌آموزان!I72)</f>
        <v/>
      </c>
      <c r="G812" s="19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0"/>
      <c r="BL812" s="20"/>
      <c r="BM812" s="20"/>
      <c r="BN812" s="20"/>
      <c r="BO812" s="20"/>
      <c r="BP812" s="20"/>
      <c r="BQ812" s="20"/>
      <c r="BR812" s="20"/>
      <c r="BS812" s="20"/>
      <c r="BT812" s="20"/>
      <c r="BU812" s="20"/>
      <c r="BV812" s="20"/>
      <c r="BW812" s="20"/>
      <c r="BX812" s="20"/>
      <c r="BY812" s="20"/>
      <c r="BZ812" s="20"/>
      <c r="CA812" s="20"/>
      <c r="CB812" s="21"/>
      <c r="CC812" s="27" t="str">
        <f t="shared" si="132"/>
        <v/>
      </c>
      <c r="CD812" s="38" t="str">
        <f t="shared" si="133"/>
        <v/>
      </c>
      <c r="CE812" s="38" t="str">
        <f t="shared" si="134"/>
        <v/>
      </c>
      <c r="CF812" s="38" t="str">
        <f t="shared" si="135"/>
        <v/>
      </c>
      <c r="CG812" s="38" t="str">
        <f t="shared" si="136"/>
        <v/>
      </c>
      <c r="CH812" s="38" t="str">
        <f t="shared" si="137"/>
        <v/>
      </c>
      <c r="CI812" s="38" t="str">
        <f t="shared" si="138"/>
        <v/>
      </c>
      <c r="CJ812" s="38" t="str">
        <f t="shared" si="139"/>
        <v/>
      </c>
      <c r="CK812" s="38" t="str">
        <f t="shared" si="140"/>
        <v/>
      </c>
      <c r="CL812" s="38" t="str">
        <f>IF(C812="","",IF(COUNT(G812:AZ812)&lt;46,"",SUMPRODUCT(CC812:CK812,'تنظیمات وزن‌دهی'!$C$5:$C$13)/100))</f>
        <v/>
      </c>
      <c r="CM812" s="38" t="str">
        <f t="shared" si="141"/>
        <v/>
      </c>
      <c r="CN812" s="38">
        <v>4</v>
      </c>
      <c r="CO812" s="28" t="str">
        <f t="shared" si="142"/>
        <v/>
      </c>
      <c r="CP812" s="58"/>
    </row>
    <row r="813" spans="1:94" ht="17.25" hidden="1">
      <c r="A813" s="33">
        <v>809</v>
      </c>
      <c r="B813" s="55" t="s">
        <v>187</v>
      </c>
      <c r="C813" s="55" t="str">
        <f>IF(دانش‌آموزان!E72="","",دانش‌آموزان!B72)</f>
        <v/>
      </c>
      <c r="D813" s="55" t="str">
        <f>IF(دانش‌آموزان!C72="","",دانش‌آموزان!C72)</f>
        <v/>
      </c>
      <c r="E813" s="55" t="str">
        <f>IF(دانش‌آموزان!E72="","",دانش‌آموزان!E72&amp;" "&amp;دانش‌آموزان!F72)</f>
        <v/>
      </c>
      <c r="F813" s="34" t="str">
        <f>IF(دانش‌آموزان!I72="","",دانش‌آموزان!I72)</f>
        <v/>
      </c>
      <c r="G813" s="19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0"/>
      <c r="BL813" s="20"/>
      <c r="BM813" s="20"/>
      <c r="BN813" s="20"/>
      <c r="BO813" s="20"/>
      <c r="BP813" s="20"/>
      <c r="BQ813" s="20"/>
      <c r="BR813" s="20"/>
      <c r="BS813" s="20"/>
      <c r="BT813" s="20"/>
      <c r="BU813" s="20"/>
      <c r="BV813" s="20"/>
      <c r="BW813" s="20"/>
      <c r="BX813" s="20"/>
      <c r="BY813" s="20"/>
      <c r="BZ813" s="20"/>
      <c r="CA813" s="20"/>
      <c r="CB813" s="21"/>
      <c r="CC813" s="27" t="str">
        <f t="shared" si="132"/>
        <v/>
      </c>
      <c r="CD813" s="38" t="str">
        <f t="shared" si="133"/>
        <v/>
      </c>
      <c r="CE813" s="38" t="str">
        <f t="shared" si="134"/>
        <v/>
      </c>
      <c r="CF813" s="38" t="str">
        <f t="shared" si="135"/>
        <v/>
      </c>
      <c r="CG813" s="38" t="str">
        <f t="shared" si="136"/>
        <v/>
      </c>
      <c r="CH813" s="38" t="str">
        <f t="shared" si="137"/>
        <v/>
      </c>
      <c r="CI813" s="38" t="str">
        <f t="shared" si="138"/>
        <v/>
      </c>
      <c r="CJ813" s="38" t="str">
        <f t="shared" si="139"/>
        <v/>
      </c>
      <c r="CK813" s="38" t="str">
        <f t="shared" si="140"/>
        <v/>
      </c>
      <c r="CL813" s="38" t="str">
        <f>IF(C813="","",IF(COUNT(G813:AZ813)&lt;46,"",SUMPRODUCT(CC813:CK813,'تنظیمات وزن‌دهی'!$C$5:$C$13)/100))</f>
        <v/>
      </c>
      <c r="CM813" s="38" t="str">
        <f t="shared" si="141"/>
        <v/>
      </c>
      <c r="CN813" s="38">
        <v>5</v>
      </c>
      <c r="CO813" s="28" t="str">
        <f t="shared" si="142"/>
        <v/>
      </c>
      <c r="CP813" s="58"/>
    </row>
    <row r="814" spans="1:94" ht="17.25" hidden="1">
      <c r="A814" s="33">
        <v>810</v>
      </c>
      <c r="B814" s="55" t="s">
        <v>188</v>
      </c>
      <c r="C814" s="55" t="str">
        <f>IF(دانش‌آموزان!E72="","",دانش‌آموزان!B72)</f>
        <v/>
      </c>
      <c r="D814" s="55" t="str">
        <f>IF(دانش‌آموزان!C72="","",دانش‌آموزان!C72)</f>
        <v/>
      </c>
      <c r="E814" s="55" t="str">
        <f>IF(دانش‌آموزان!E72="","",دانش‌آموزان!E72&amp;" "&amp;دانش‌آموزان!F72)</f>
        <v/>
      </c>
      <c r="F814" s="34" t="str">
        <f>IF(دانش‌آموزان!I72="","",دانش‌آموزان!I72)</f>
        <v/>
      </c>
      <c r="G814" s="19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  <c r="BJ814" s="20"/>
      <c r="BK814" s="20"/>
      <c r="BL814" s="20"/>
      <c r="BM814" s="20"/>
      <c r="BN814" s="20"/>
      <c r="BO814" s="20"/>
      <c r="BP814" s="20"/>
      <c r="BQ814" s="20"/>
      <c r="BR814" s="20"/>
      <c r="BS814" s="20"/>
      <c r="BT814" s="20"/>
      <c r="BU814" s="20"/>
      <c r="BV814" s="20"/>
      <c r="BW814" s="20"/>
      <c r="BX814" s="20"/>
      <c r="BY814" s="20"/>
      <c r="BZ814" s="20"/>
      <c r="CA814" s="20"/>
      <c r="CB814" s="21"/>
      <c r="CC814" s="27" t="str">
        <f t="shared" si="132"/>
        <v/>
      </c>
      <c r="CD814" s="38" t="str">
        <f t="shared" si="133"/>
        <v/>
      </c>
      <c r="CE814" s="38" t="str">
        <f t="shared" si="134"/>
        <v/>
      </c>
      <c r="CF814" s="38" t="str">
        <f t="shared" si="135"/>
        <v/>
      </c>
      <c r="CG814" s="38" t="str">
        <f t="shared" si="136"/>
        <v/>
      </c>
      <c r="CH814" s="38" t="str">
        <f t="shared" si="137"/>
        <v/>
      </c>
      <c r="CI814" s="38" t="str">
        <f t="shared" si="138"/>
        <v/>
      </c>
      <c r="CJ814" s="38" t="str">
        <f t="shared" si="139"/>
        <v/>
      </c>
      <c r="CK814" s="38" t="str">
        <f t="shared" si="140"/>
        <v/>
      </c>
      <c r="CL814" s="38" t="str">
        <f>IF(C814="","",IF(COUNT(G814:AZ814)&lt;46,"",SUMPRODUCT(CC814:CK814,'تنظیمات وزن‌دهی'!$C$5:$C$13)/100))</f>
        <v/>
      </c>
      <c r="CM814" s="38" t="str">
        <f t="shared" si="141"/>
        <v/>
      </c>
      <c r="CN814" s="38">
        <v>6</v>
      </c>
      <c r="CO814" s="28" t="str">
        <f t="shared" si="142"/>
        <v/>
      </c>
      <c r="CP814" s="58"/>
    </row>
    <row r="815" spans="1:94" ht="17.25" hidden="1">
      <c r="A815" s="33">
        <v>811</v>
      </c>
      <c r="B815" s="55" t="s">
        <v>189</v>
      </c>
      <c r="C815" s="55" t="str">
        <f>IF(دانش‌آموزان!E72="","",دانش‌آموزان!B72)</f>
        <v/>
      </c>
      <c r="D815" s="55" t="str">
        <f>IF(دانش‌آموزان!C72="","",دانش‌آموزان!C72)</f>
        <v/>
      </c>
      <c r="E815" s="55" t="str">
        <f>IF(دانش‌آموزان!E72="","",دانش‌آموزان!E72&amp;" "&amp;دانش‌آموزان!F72)</f>
        <v/>
      </c>
      <c r="F815" s="34" t="str">
        <f>IF(دانش‌آموزان!I72="","",دانش‌آموزان!I72)</f>
        <v/>
      </c>
      <c r="G815" s="19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  <c r="BJ815" s="20"/>
      <c r="BK815" s="20"/>
      <c r="BL815" s="20"/>
      <c r="BM815" s="20"/>
      <c r="BN815" s="20"/>
      <c r="BO815" s="20"/>
      <c r="BP815" s="20"/>
      <c r="BQ815" s="20"/>
      <c r="BR815" s="20"/>
      <c r="BS815" s="20"/>
      <c r="BT815" s="20"/>
      <c r="BU815" s="20"/>
      <c r="BV815" s="20"/>
      <c r="BW815" s="20"/>
      <c r="BX815" s="20"/>
      <c r="BY815" s="20"/>
      <c r="BZ815" s="20"/>
      <c r="CA815" s="20"/>
      <c r="CB815" s="21"/>
      <c r="CC815" s="27" t="str">
        <f t="shared" si="132"/>
        <v/>
      </c>
      <c r="CD815" s="38" t="str">
        <f t="shared" si="133"/>
        <v/>
      </c>
      <c r="CE815" s="38" t="str">
        <f t="shared" si="134"/>
        <v/>
      </c>
      <c r="CF815" s="38" t="str">
        <f t="shared" si="135"/>
        <v/>
      </c>
      <c r="CG815" s="38" t="str">
        <f t="shared" si="136"/>
        <v/>
      </c>
      <c r="CH815" s="38" t="str">
        <f t="shared" si="137"/>
        <v/>
      </c>
      <c r="CI815" s="38" t="str">
        <f t="shared" si="138"/>
        <v/>
      </c>
      <c r="CJ815" s="38" t="str">
        <f t="shared" si="139"/>
        <v/>
      </c>
      <c r="CK815" s="38" t="str">
        <f t="shared" si="140"/>
        <v/>
      </c>
      <c r="CL815" s="38" t="str">
        <f>IF(C815="","",IF(COUNT(G815:AZ815)&lt;46,"",SUMPRODUCT(CC815:CK815,'تنظیمات وزن‌دهی'!$C$5:$C$13)/100))</f>
        <v/>
      </c>
      <c r="CM815" s="38" t="str">
        <f t="shared" si="141"/>
        <v/>
      </c>
      <c r="CN815" s="38">
        <v>7</v>
      </c>
      <c r="CO815" s="28" t="str">
        <f t="shared" si="142"/>
        <v/>
      </c>
      <c r="CP815" s="58"/>
    </row>
    <row r="816" spans="1:94" ht="17.25" hidden="1">
      <c r="A816" s="33">
        <v>812</v>
      </c>
      <c r="B816" s="55" t="s">
        <v>190</v>
      </c>
      <c r="C816" s="55" t="str">
        <f>IF(دانش‌آموزان!E72="","",دانش‌آموزان!B72)</f>
        <v/>
      </c>
      <c r="D816" s="55" t="str">
        <f>IF(دانش‌آموزان!C72="","",دانش‌آموزان!C72)</f>
        <v/>
      </c>
      <c r="E816" s="55" t="str">
        <f>IF(دانش‌آموزان!E72="","",دانش‌آموزان!E72&amp;" "&amp;دانش‌آموزان!F72)</f>
        <v/>
      </c>
      <c r="F816" s="34" t="str">
        <f>IF(دانش‌آموزان!I72="","",دانش‌آموزان!I72)</f>
        <v/>
      </c>
      <c r="G816" s="19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  <c r="BJ816" s="20"/>
      <c r="BK816" s="20"/>
      <c r="BL816" s="20"/>
      <c r="BM816" s="20"/>
      <c r="BN816" s="20"/>
      <c r="BO816" s="20"/>
      <c r="BP816" s="20"/>
      <c r="BQ816" s="20"/>
      <c r="BR816" s="20"/>
      <c r="BS816" s="20"/>
      <c r="BT816" s="20"/>
      <c r="BU816" s="20"/>
      <c r="BV816" s="20"/>
      <c r="BW816" s="20"/>
      <c r="BX816" s="20"/>
      <c r="BY816" s="20"/>
      <c r="BZ816" s="20"/>
      <c r="CA816" s="20"/>
      <c r="CB816" s="21"/>
      <c r="CC816" s="27" t="str">
        <f t="shared" si="132"/>
        <v/>
      </c>
      <c r="CD816" s="38" t="str">
        <f t="shared" si="133"/>
        <v/>
      </c>
      <c r="CE816" s="38" t="str">
        <f t="shared" si="134"/>
        <v/>
      </c>
      <c r="CF816" s="38" t="str">
        <f t="shared" si="135"/>
        <v/>
      </c>
      <c r="CG816" s="38" t="str">
        <f t="shared" si="136"/>
        <v/>
      </c>
      <c r="CH816" s="38" t="str">
        <f t="shared" si="137"/>
        <v/>
      </c>
      <c r="CI816" s="38" t="str">
        <f t="shared" si="138"/>
        <v/>
      </c>
      <c r="CJ816" s="38" t="str">
        <f t="shared" si="139"/>
        <v/>
      </c>
      <c r="CK816" s="38" t="str">
        <f t="shared" si="140"/>
        <v/>
      </c>
      <c r="CL816" s="38" t="str">
        <f>IF(C816="","",IF(COUNT(G816:AZ816)&lt;46,"",SUMPRODUCT(CC816:CK816,'تنظیمات وزن‌دهی'!$C$5:$C$13)/100))</f>
        <v/>
      </c>
      <c r="CM816" s="38" t="str">
        <f t="shared" si="141"/>
        <v/>
      </c>
      <c r="CN816" s="38">
        <v>8</v>
      </c>
      <c r="CO816" s="28" t="str">
        <f t="shared" si="142"/>
        <v/>
      </c>
      <c r="CP816" s="58"/>
    </row>
    <row r="817" spans="1:94" ht="17.25" hidden="1">
      <c r="A817" s="33">
        <v>813</v>
      </c>
      <c r="B817" s="55" t="s">
        <v>191</v>
      </c>
      <c r="C817" s="55" t="str">
        <f>IF(دانش‌آموزان!E72="","",دانش‌آموزان!B72)</f>
        <v/>
      </c>
      <c r="D817" s="55" t="str">
        <f>IF(دانش‌آموزان!C72="","",دانش‌آموزان!C72)</f>
        <v/>
      </c>
      <c r="E817" s="55" t="str">
        <f>IF(دانش‌آموزان!E72="","",دانش‌آموزان!E72&amp;" "&amp;دانش‌آموزان!F72)</f>
        <v/>
      </c>
      <c r="F817" s="34" t="str">
        <f>IF(دانش‌آموزان!I72="","",دانش‌آموزان!I72)</f>
        <v/>
      </c>
      <c r="G817" s="19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  <c r="BJ817" s="20"/>
      <c r="BK817" s="20"/>
      <c r="BL817" s="20"/>
      <c r="BM817" s="20"/>
      <c r="BN817" s="20"/>
      <c r="BO817" s="20"/>
      <c r="BP817" s="20"/>
      <c r="BQ817" s="20"/>
      <c r="BR817" s="20"/>
      <c r="BS817" s="20"/>
      <c r="BT817" s="20"/>
      <c r="BU817" s="20"/>
      <c r="BV817" s="20"/>
      <c r="BW817" s="20"/>
      <c r="BX817" s="20"/>
      <c r="BY817" s="20"/>
      <c r="BZ817" s="20"/>
      <c r="CA817" s="20"/>
      <c r="CB817" s="21"/>
      <c r="CC817" s="27" t="str">
        <f t="shared" si="132"/>
        <v/>
      </c>
      <c r="CD817" s="38" t="str">
        <f t="shared" si="133"/>
        <v/>
      </c>
      <c r="CE817" s="38" t="str">
        <f t="shared" si="134"/>
        <v/>
      </c>
      <c r="CF817" s="38" t="str">
        <f t="shared" si="135"/>
        <v/>
      </c>
      <c r="CG817" s="38" t="str">
        <f t="shared" si="136"/>
        <v/>
      </c>
      <c r="CH817" s="38" t="str">
        <f t="shared" si="137"/>
        <v/>
      </c>
      <c r="CI817" s="38" t="str">
        <f t="shared" si="138"/>
        <v/>
      </c>
      <c r="CJ817" s="38" t="str">
        <f t="shared" si="139"/>
        <v/>
      </c>
      <c r="CK817" s="38" t="str">
        <f t="shared" si="140"/>
        <v/>
      </c>
      <c r="CL817" s="38" t="str">
        <f>IF(C817="","",IF(COUNT(G817:AZ817)&lt;46,"",SUMPRODUCT(CC817:CK817,'تنظیمات وزن‌دهی'!$C$5:$C$13)/100))</f>
        <v/>
      </c>
      <c r="CM817" s="38" t="str">
        <f t="shared" si="141"/>
        <v/>
      </c>
      <c r="CN817" s="38">
        <v>9</v>
      </c>
      <c r="CO817" s="28" t="str">
        <f t="shared" si="142"/>
        <v/>
      </c>
      <c r="CP817" s="58"/>
    </row>
    <row r="818" spans="1:94" ht="17.25" hidden="1">
      <c r="A818" s="33">
        <v>814</v>
      </c>
      <c r="B818" s="55" t="s">
        <v>192</v>
      </c>
      <c r="C818" s="55" t="str">
        <f>IF(دانش‌آموزان!E72="","",دانش‌آموزان!B72)</f>
        <v/>
      </c>
      <c r="D818" s="55" t="str">
        <f>IF(دانش‌آموزان!C72="","",دانش‌آموزان!C72)</f>
        <v/>
      </c>
      <c r="E818" s="55" t="str">
        <f>IF(دانش‌آموزان!E72="","",دانش‌آموزان!E72&amp;" "&amp;دانش‌آموزان!F72)</f>
        <v/>
      </c>
      <c r="F818" s="34" t="str">
        <f>IF(دانش‌آموزان!I72="","",دانش‌آموزان!I72)</f>
        <v/>
      </c>
      <c r="G818" s="19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  <c r="BJ818" s="20"/>
      <c r="BK818" s="20"/>
      <c r="BL818" s="20"/>
      <c r="BM818" s="20"/>
      <c r="BN818" s="20"/>
      <c r="BO818" s="20"/>
      <c r="BP818" s="20"/>
      <c r="BQ818" s="20"/>
      <c r="BR818" s="20"/>
      <c r="BS818" s="20"/>
      <c r="BT818" s="20"/>
      <c r="BU818" s="20"/>
      <c r="BV818" s="20"/>
      <c r="BW818" s="20"/>
      <c r="BX818" s="20"/>
      <c r="BY818" s="20"/>
      <c r="BZ818" s="20"/>
      <c r="CA818" s="20"/>
      <c r="CB818" s="21"/>
      <c r="CC818" s="27" t="str">
        <f t="shared" si="132"/>
        <v/>
      </c>
      <c r="CD818" s="38" t="str">
        <f t="shared" si="133"/>
        <v/>
      </c>
      <c r="CE818" s="38" t="str">
        <f t="shared" si="134"/>
        <v/>
      </c>
      <c r="CF818" s="38" t="str">
        <f t="shared" si="135"/>
        <v/>
      </c>
      <c r="CG818" s="38" t="str">
        <f t="shared" si="136"/>
        <v/>
      </c>
      <c r="CH818" s="38" t="str">
        <f t="shared" si="137"/>
        <v/>
      </c>
      <c r="CI818" s="38" t="str">
        <f t="shared" si="138"/>
        <v/>
      </c>
      <c r="CJ818" s="38" t="str">
        <f t="shared" si="139"/>
        <v/>
      </c>
      <c r="CK818" s="38" t="str">
        <f t="shared" si="140"/>
        <v/>
      </c>
      <c r="CL818" s="38" t="str">
        <f>IF(C818="","",IF(COUNT(G818:AZ818)&lt;46,"",SUMPRODUCT(CC818:CK818,'تنظیمات وزن‌دهی'!$C$5:$C$13)/100))</f>
        <v/>
      </c>
      <c r="CM818" s="38" t="str">
        <f t="shared" si="141"/>
        <v/>
      </c>
      <c r="CN818" s="38">
        <v>10</v>
      </c>
      <c r="CO818" s="28" t="str">
        <f t="shared" si="142"/>
        <v/>
      </c>
      <c r="CP818" s="58"/>
    </row>
    <row r="819" spans="1:94" ht="17.25" hidden="1">
      <c r="A819" s="33">
        <v>815</v>
      </c>
      <c r="B819" s="55" t="s">
        <v>193</v>
      </c>
      <c r="C819" s="55" t="str">
        <f>IF(دانش‌آموزان!E72="","",دانش‌آموزان!B72)</f>
        <v/>
      </c>
      <c r="D819" s="55" t="str">
        <f>IF(دانش‌آموزان!C72="","",دانش‌آموزان!C72)</f>
        <v/>
      </c>
      <c r="E819" s="55" t="str">
        <f>IF(دانش‌آموزان!E72="","",دانش‌آموزان!E72&amp;" "&amp;دانش‌آموزان!F72)</f>
        <v/>
      </c>
      <c r="F819" s="34" t="str">
        <f>IF(دانش‌آموزان!I72="","",دانش‌آموزان!I72)</f>
        <v/>
      </c>
      <c r="G819" s="19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  <c r="BJ819" s="20"/>
      <c r="BK819" s="20"/>
      <c r="BL819" s="20"/>
      <c r="BM819" s="20"/>
      <c r="BN819" s="20"/>
      <c r="BO819" s="20"/>
      <c r="BP819" s="20"/>
      <c r="BQ819" s="20"/>
      <c r="BR819" s="20"/>
      <c r="BS819" s="20"/>
      <c r="BT819" s="20"/>
      <c r="BU819" s="20"/>
      <c r="BV819" s="20"/>
      <c r="BW819" s="20"/>
      <c r="BX819" s="20"/>
      <c r="BY819" s="20"/>
      <c r="BZ819" s="20"/>
      <c r="CA819" s="20"/>
      <c r="CB819" s="21"/>
      <c r="CC819" s="27" t="str">
        <f t="shared" si="132"/>
        <v/>
      </c>
      <c r="CD819" s="38" t="str">
        <f t="shared" si="133"/>
        <v/>
      </c>
      <c r="CE819" s="38" t="str">
        <f t="shared" si="134"/>
        <v/>
      </c>
      <c r="CF819" s="38" t="str">
        <f t="shared" si="135"/>
        <v/>
      </c>
      <c r="CG819" s="38" t="str">
        <f t="shared" si="136"/>
        <v/>
      </c>
      <c r="CH819" s="38" t="str">
        <f t="shared" si="137"/>
        <v/>
      </c>
      <c r="CI819" s="38" t="str">
        <f t="shared" si="138"/>
        <v/>
      </c>
      <c r="CJ819" s="38" t="str">
        <f t="shared" si="139"/>
        <v/>
      </c>
      <c r="CK819" s="38" t="str">
        <f t="shared" si="140"/>
        <v/>
      </c>
      <c r="CL819" s="38" t="str">
        <f>IF(C819="","",IF(COUNT(G819:AZ819)&lt;46,"",SUMPRODUCT(CC819:CK819,'تنظیمات وزن‌دهی'!$C$5:$C$13)/100))</f>
        <v/>
      </c>
      <c r="CM819" s="38" t="str">
        <f t="shared" si="141"/>
        <v/>
      </c>
      <c r="CN819" s="38">
        <v>11</v>
      </c>
      <c r="CO819" s="28" t="str">
        <f t="shared" si="142"/>
        <v/>
      </c>
      <c r="CP819" s="58"/>
    </row>
    <row r="820" spans="1:94" ht="17.25" hidden="1">
      <c r="A820" s="33">
        <v>816</v>
      </c>
      <c r="B820" s="55" t="s">
        <v>194</v>
      </c>
      <c r="C820" s="55" t="str">
        <f>IF(دانش‌آموزان!E72="","",دانش‌آموزان!B72)</f>
        <v/>
      </c>
      <c r="D820" s="55" t="str">
        <f>IF(دانش‌آموزان!C72="","",دانش‌آموزان!C72)</f>
        <v/>
      </c>
      <c r="E820" s="55" t="str">
        <f>IF(دانش‌آموزان!E72="","",دانش‌آموزان!E72&amp;" "&amp;دانش‌آموزان!F72)</f>
        <v/>
      </c>
      <c r="F820" s="34" t="str">
        <f>IF(دانش‌آموزان!I72="","",دانش‌آموزان!I72)</f>
        <v/>
      </c>
      <c r="G820" s="19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  <c r="BJ820" s="20"/>
      <c r="BK820" s="20"/>
      <c r="BL820" s="20"/>
      <c r="BM820" s="20"/>
      <c r="BN820" s="20"/>
      <c r="BO820" s="20"/>
      <c r="BP820" s="20"/>
      <c r="BQ820" s="20"/>
      <c r="BR820" s="20"/>
      <c r="BS820" s="20"/>
      <c r="BT820" s="20"/>
      <c r="BU820" s="20"/>
      <c r="BV820" s="20"/>
      <c r="BW820" s="20"/>
      <c r="BX820" s="20"/>
      <c r="BY820" s="20"/>
      <c r="BZ820" s="20"/>
      <c r="CA820" s="20"/>
      <c r="CB820" s="21"/>
      <c r="CC820" s="27" t="str">
        <f t="shared" si="132"/>
        <v/>
      </c>
      <c r="CD820" s="38" t="str">
        <f t="shared" si="133"/>
        <v/>
      </c>
      <c r="CE820" s="38" t="str">
        <f t="shared" si="134"/>
        <v/>
      </c>
      <c r="CF820" s="38" t="str">
        <f t="shared" si="135"/>
        <v/>
      </c>
      <c r="CG820" s="38" t="str">
        <f t="shared" si="136"/>
        <v/>
      </c>
      <c r="CH820" s="38" t="str">
        <f t="shared" si="137"/>
        <v/>
      </c>
      <c r="CI820" s="38" t="str">
        <f t="shared" si="138"/>
        <v/>
      </c>
      <c r="CJ820" s="38" t="str">
        <f t="shared" si="139"/>
        <v/>
      </c>
      <c r="CK820" s="38" t="str">
        <f t="shared" si="140"/>
        <v/>
      </c>
      <c r="CL820" s="38" t="str">
        <f>IF(C820="","",IF(COUNT(G820:AZ820)&lt;46,"",SUMPRODUCT(CC820:CK820,'تنظیمات وزن‌دهی'!$C$5:$C$13)/100))</f>
        <v/>
      </c>
      <c r="CM820" s="38" t="str">
        <f t="shared" si="141"/>
        <v/>
      </c>
      <c r="CN820" s="38">
        <v>12</v>
      </c>
      <c r="CO820" s="28" t="str">
        <f t="shared" si="142"/>
        <v/>
      </c>
      <c r="CP820" s="58"/>
    </row>
    <row r="821" spans="1:94" ht="17.25" hidden="1">
      <c r="A821" s="33">
        <v>817</v>
      </c>
      <c r="B821" s="55" t="s">
        <v>183</v>
      </c>
      <c r="C821" s="55" t="str">
        <f>IF(دانش‌آموزان!E73="","",دانش‌آموزان!B73)</f>
        <v/>
      </c>
      <c r="D821" s="55" t="str">
        <f>IF(دانش‌آموزان!C73="","",دانش‌آموزان!C73)</f>
        <v/>
      </c>
      <c r="E821" s="55" t="str">
        <f>IF(دانش‌آموزان!E73="","",دانش‌آموزان!E73&amp;" "&amp;دانش‌آموزان!F73)</f>
        <v/>
      </c>
      <c r="F821" s="34" t="str">
        <f>IF(دانش‌آموزان!I73="","",دانش‌آموزان!I73)</f>
        <v/>
      </c>
      <c r="G821" s="19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  <c r="BJ821" s="20"/>
      <c r="BK821" s="20"/>
      <c r="BL821" s="20"/>
      <c r="BM821" s="20"/>
      <c r="BN821" s="20"/>
      <c r="BO821" s="20"/>
      <c r="BP821" s="20"/>
      <c r="BQ821" s="20"/>
      <c r="BR821" s="20"/>
      <c r="BS821" s="20"/>
      <c r="BT821" s="20"/>
      <c r="BU821" s="20"/>
      <c r="BV821" s="20"/>
      <c r="BW821" s="20"/>
      <c r="BX821" s="20"/>
      <c r="BY821" s="20"/>
      <c r="BZ821" s="20"/>
      <c r="CA821" s="20"/>
      <c r="CB821" s="21"/>
      <c r="CC821" s="27" t="str">
        <f t="shared" si="132"/>
        <v/>
      </c>
      <c r="CD821" s="38" t="str">
        <f t="shared" si="133"/>
        <v/>
      </c>
      <c r="CE821" s="38" t="str">
        <f t="shared" si="134"/>
        <v/>
      </c>
      <c r="CF821" s="38" t="str">
        <f t="shared" si="135"/>
        <v/>
      </c>
      <c r="CG821" s="38" t="str">
        <f t="shared" si="136"/>
        <v/>
      </c>
      <c r="CH821" s="38" t="str">
        <f t="shared" si="137"/>
        <v/>
      </c>
      <c r="CI821" s="38" t="str">
        <f t="shared" si="138"/>
        <v/>
      </c>
      <c r="CJ821" s="38" t="str">
        <f t="shared" si="139"/>
        <v/>
      </c>
      <c r="CK821" s="38" t="str">
        <f t="shared" si="140"/>
        <v/>
      </c>
      <c r="CL821" s="38" t="str">
        <f>IF(C821="","",IF(COUNT(G821:AZ821)&lt;46,"",SUMPRODUCT(CC821:CK821,'تنظیمات وزن‌دهی'!$C$5:$C$13)/100))</f>
        <v/>
      </c>
      <c r="CM821" s="38" t="str">
        <f t="shared" si="141"/>
        <v/>
      </c>
      <c r="CN821" s="38">
        <v>1</v>
      </c>
      <c r="CO821" s="28" t="str">
        <f t="shared" si="142"/>
        <v/>
      </c>
      <c r="CP821" s="58"/>
    </row>
    <row r="822" spans="1:94" ht="17.25" hidden="1">
      <c r="A822" s="33">
        <v>818</v>
      </c>
      <c r="B822" s="55" t="s">
        <v>184</v>
      </c>
      <c r="C822" s="55" t="str">
        <f>IF(دانش‌آموزان!E73="","",دانش‌آموزان!B73)</f>
        <v/>
      </c>
      <c r="D822" s="55" t="str">
        <f>IF(دانش‌آموزان!C73="","",دانش‌آموزان!C73)</f>
        <v/>
      </c>
      <c r="E822" s="55" t="str">
        <f>IF(دانش‌آموزان!E73="","",دانش‌آموزان!E73&amp;" "&amp;دانش‌آموزان!F73)</f>
        <v/>
      </c>
      <c r="F822" s="34" t="str">
        <f>IF(دانش‌آموزان!I73="","",دانش‌آموزان!I73)</f>
        <v/>
      </c>
      <c r="G822" s="19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  <c r="BJ822" s="20"/>
      <c r="BK822" s="20"/>
      <c r="BL822" s="20"/>
      <c r="BM822" s="20"/>
      <c r="BN822" s="20"/>
      <c r="BO822" s="20"/>
      <c r="BP822" s="20"/>
      <c r="BQ822" s="20"/>
      <c r="BR822" s="20"/>
      <c r="BS822" s="20"/>
      <c r="BT822" s="20"/>
      <c r="BU822" s="20"/>
      <c r="BV822" s="20"/>
      <c r="BW822" s="20"/>
      <c r="BX822" s="20"/>
      <c r="BY822" s="20"/>
      <c r="BZ822" s="20"/>
      <c r="CA822" s="20"/>
      <c r="CB822" s="21"/>
      <c r="CC822" s="27" t="str">
        <f t="shared" si="132"/>
        <v/>
      </c>
      <c r="CD822" s="38" t="str">
        <f t="shared" si="133"/>
        <v/>
      </c>
      <c r="CE822" s="38" t="str">
        <f t="shared" si="134"/>
        <v/>
      </c>
      <c r="CF822" s="38" t="str">
        <f t="shared" si="135"/>
        <v/>
      </c>
      <c r="CG822" s="38" t="str">
        <f t="shared" si="136"/>
        <v/>
      </c>
      <c r="CH822" s="38" t="str">
        <f t="shared" si="137"/>
        <v/>
      </c>
      <c r="CI822" s="38" t="str">
        <f t="shared" si="138"/>
        <v/>
      </c>
      <c r="CJ822" s="38" t="str">
        <f t="shared" si="139"/>
        <v/>
      </c>
      <c r="CK822" s="38" t="str">
        <f t="shared" si="140"/>
        <v/>
      </c>
      <c r="CL822" s="38" t="str">
        <f>IF(C822="","",IF(COUNT(G822:AZ822)&lt;46,"",SUMPRODUCT(CC822:CK822,'تنظیمات وزن‌دهی'!$C$5:$C$13)/100))</f>
        <v/>
      </c>
      <c r="CM822" s="38" t="str">
        <f t="shared" si="141"/>
        <v/>
      </c>
      <c r="CN822" s="38">
        <v>2</v>
      </c>
      <c r="CO822" s="28" t="str">
        <f t="shared" si="142"/>
        <v/>
      </c>
      <c r="CP822" s="58"/>
    </row>
    <row r="823" spans="1:94" ht="17.25">
      <c r="A823" s="33">
        <v>819</v>
      </c>
      <c r="B823" s="55" t="s">
        <v>185</v>
      </c>
      <c r="C823" s="55" t="str">
        <f>IF(دانش‌آموزان!E73="","",دانش‌آموزان!B73)</f>
        <v/>
      </c>
      <c r="D823" s="55" t="str">
        <f>IF(دانش‌آموزان!C73="","",دانش‌آموزان!C73)</f>
        <v/>
      </c>
      <c r="E823" s="55" t="str">
        <f>IF(دانش‌آموزان!E73="","",دانش‌آموزان!E73&amp;" "&amp;دانش‌آموزان!F73)</f>
        <v/>
      </c>
      <c r="F823" s="34" t="str">
        <f>IF(دانش‌آموزان!I73="","",دانش‌آموزان!I73)</f>
        <v/>
      </c>
      <c r="G823" s="19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  <c r="BJ823" s="20"/>
      <c r="BK823" s="20"/>
      <c r="BL823" s="20"/>
      <c r="BM823" s="20"/>
      <c r="BN823" s="20"/>
      <c r="BO823" s="20"/>
      <c r="BP823" s="20"/>
      <c r="BQ823" s="20"/>
      <c r="BR823" s="20"/>
      <c r="BS823" s="20"/>
      <c r="BT823" s="20"/>
      <c r="BU823" s="20"/>
      <c r="BV823" s="20"/>
      <c r="BW823" s="20"/>
      <c r="BX823" s="20"/>
      <c r="BY823" s="20"/>
      <c r="BZ823" s="20"/>
      <c r="CA823" s="20"/>
      <c r="CB823" s="21"/>
      <c r="CC823" s="27" t="str">
        <f t="shared" si="132"/>
        <v/>
      </c>
      <c r="CD823" s="38" t="str">
        <f t="shared" si="133"/>
        <v/>
      </c>
      <c r="CE823" s="38" t="str">
        <f t="shared" si="134"/>
        <v/>
      </c>
      <c r="CF823" s="38" t="str">
        <f t="shared" si="135"/>
        <v/>
      </c>
      <c r="CG823" s="38" t="str">
        <f t="shared" si="136"/>
        <v/>
      </c>
      <c r="CH823" s="38" t="str">
        <f t="shared" si="137"/>
        <v/>
      </c>
      <c r="CI823" s="38" t="str">
        <f t="shared" si="138"/>
        <v/>
      </c>
      <c r="CJ823" s="38" t="str">
        <f t="shared" si="139"/>
        <v/>
      </c>
      <c r="CK823" s="38" t="str">
        <f t="shared" si="140"/>
        <v/>
      </c>
      <c r="CL823" s="38" t="str">
        <f>IF(C823="","",IF(COUNT(G823:AZ823)&lt;46,"",SUMPRODUCT(CC823:CK823,'تنظیمات وزن‌دهی'!$C$5:$C$13)/100))</f>
        <v/>
      </c>
      <c r="CM823" s="38" t="str">
        <f t="shared" si="141"/>
        <v/>
      </c>
      <c r="CN823" s="38">
        <v>3</v>
      </c>
      <c r="CO823" s="28" t="str">
        <f t="shared" si="142"/>
        <v/>
      </c>
      <c r="CP823" s="58"/>
    </row>
    <row r="824" spans="1:94" ht="17.25" hidden="1">
      <c r="A824" s="33">
        <v>820</v>
      </c>
      <c r="B824" s="55" t="s">
        <v>186</v>
      </c>
      <c r="C824" s="55" t="str">
        <f>IF(دانش‌آموزان!E73="","",دانش‌آموزان!B73)</f>
        <v/>
      </c>
      <c r="D824" s="55" t="str">
        <f>IF(دانش‌آموزان!C73="","",دانش‌آموزان!C73)</f>
        <v/>
      </c>
      <c r="E824" s="55" t="str">
        <f>IF(دانش‌آموزان!E73="","",دانش‌آموزان!E73&amp;" "&amp;دانش‌آموزان!F73)</f>
        <v/>
      </c>
      <c r="F824" s="34" t="str">
        <f>IF(دانش‌آموزان!I73="","",دانش‌آموزان!I73)</f>
        <v/>
      </c>
      <c r="G824" s="19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  <c r="BJ824" s="20"/>
      <c r="BK824" s="20"/>
      <c r="BL824" s="20"/>
      <c r="BM824" s="20"/>
      <c r="BN824" s="20"/>
      <c r="BO824" s="20"/>
      <c r="BP824" s="20"/>
      <c r="BQ824" s="20"/>
      <c r="BR824" s="20"/>
      <c r="BS824" s="20"/>
      <c r="BT824" s="20"/>
      <c r="BU824" s="20"/>
      <c r="BV824" s="20"/>
      <c r="BW824" s="20"/>
      <c r="BX824" s="20"/>
      <c r="BY824" s="20"/>
      <c r="BZ824" s="20"/>
      <c r="CA824" s="20"/>
      <c r="CB824" s="21"/>
      <c r="CC824" s="27" t="str">
        <f t="shared" si="132"/>
        <v/>
      </c>
      <c r="CD824" s="38" t="str">
        <f t="shared" si="133"/>
        <v/>
      </c>
      <c r="CE824" s="38" t="str">
        <f t="shared" si="134"/>
        <v/>
      </c>
      <c r="CF824" s="38" t="str">
        <f t="shared" si="135"/>
        <v/>
      </c>
      <c r="CG824" s="38" t="str">
        <f t="shared" si="136"/>
        <v/>
      </c>
      <c r="CH824" s="38" t="str">
        <f t="shared" si="137"/>
        <v/>
      </c>
      <c r="CI824" s="38" t="str">
        <f t="shared" si="138"/>
        <v/>
      </c>
      <c r="CJ824" s="38" t="str">
        <f t="shared" si="139"/>
        <v/>
      </c>
      <c r="CK824" s="38" t="str">
        <f t="shared" si="140"/>
        <v/>
      </c>
      <c r="CL824" s="38" t="str">
        <f>IF(C824="","",IF(COUNT(G824:AZ824)&lt;46,"",SUMPRODUCT(CC824:CK824,'تنظیمات وزن‌دهی'!$C$5:$C$13)/100))</f>
        <v/>
      </c>
      <c r="CM824" s="38" t="str">
        <f t="shared" si="141"/>
        <v/>
      </c>
      <c r="CN824" s="38">
        <v>4</v>
      </c>
      <c r="CO824" s="28" t="str">
        <f t="shared" si="142"/>
        <v/>
      </c>
      <c r="CP824" s="58"/>
    </row>
    <row r="825" spans="1:94" ht="17.25" hidden="1">
      <c r="A825" s="33">
        <v>821</v>
      </c>
      <c r="B825" s="55" t="s">
        <v>187</v>
      </c>
      <c r="C825" s="55" t="str">
        <f>IF(دانش‌آموزان!E73="","",دانش‌آموزان!B73)</f>
        <v/>
      </c>
      <c r="D825" s="55" t="str">
        <f>IF(دانش‌آموزان!C73="","",دانش‌آموزان!C73)</f>
        <v/>
      </c>
      <c r="E825" s="55" t="str">
        <f>IF(دانش‌آموزان!E73="","",دانش‌آموزان!E73&amp;" "&amp;دانش‌آموزان!F73)</f>
        <v/>
      </c>
      <c r="F825" s="34" t="str">
        <f>IF(دانش‌آموزان!I73="","",دانش‌آموزان!I73)</f>
        <v/>
      </c>
      <c r="G825" s="19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  <c r="BJ825" s="20"/>
      <c r="BK825" s="20"/>
      <c r="BL825" s="20"/>
      <c r="BM825" s="20"/>
      <c r="BN825" s="20"/>
      <c r="BO825" s="20"/>
      <c r="BP825" s="20"/>
      <c r="BQ825" s="20"/>
      <c r="BR825" s="20"/>
      <c r="BS825" s="20"/>
      <c r="BT825" s="20"/>
      <c r="BU825" s="20"/>
      <c r="BV825" s="20"/>
      <c r="BW825" s="20"/>
      <c r="BX825" s="20"/>
      <c r="BY825" s="20"/>
      <c r="BZ825" s="20"/>
      <c r="CA825" s="20"/>
      <c r="CB825" s="21"/>
      <c r="CC825" s="27" t="str">
        <f t="shared" si="132"/>
        <v/>
      </c>
      <c r="CD825" s="38" t="str">
        <f t="shared" si="133"/>
        <v/>
      </c>
      <c r="CE825" s="38" t="str">
        <f t="shared" si="134"/>
        <v/>
      </c>
      <c r="CF825" s="38" t="str">
        <f t="shared" si="135"/>
        <v/>
      </c>
      <c r="CG825" s="38" t="str">
        <f t="shared" si="136"/>
        <v/>
      </c>
      <c r="CH825" s="38" t="str">
        <f t="shared" si="137"/>
        <v/>
      </c>
      <c r="CI825" s="38" t="str">
        <f t="shared" si="138"/>
        <v/>
      </c>
      <c r="CJ825" s="38" t="str">
        <f t="shared" si="139"/>
        <v/>
      </c>
      <c r="CK825" s="38" t="str">
        <f t="shared" si="140"/>
        <v/>
      </c>
      <c r="CL825" s="38" t="str">
        <f>IF(C825="","",IF(COUNT(G825:AZ825)&lt;46,"",SUMPRODUCT(CC825:CK825,'تنظیمات وزن‌دهی'!$C$5:$C$13)/100))</f>
        <v/>
      </c>
      <c r="CM825" s="38" t="str">
        <f t="shared" si="141"/>
        <v/>
      </c>
      <c r="CN825" s="38">
        <v>5</v>
      </c>
      <c r="CO825" s="28" t="str">
        <f t="shared" si="142"/>
        <v/>
      </c>
      <c r="CP825" s="58"/>
    </row>
    <row r="826" spans="1:94" ht="17.25" hidden="1">
      <c r="A826" s="33">
        <v>822</v>
      </c>
      <c r="B826" s="55" t="s">
        <v>188</v>
      </c>
      <c r="C826" s="55" t="str">
        <f>IF(دانش‌آموزان!E73="","",دانش‌آموزان!B73)</f>
        <v/>
      </c>
      <c r="D826" s="55" t="str">
        <f>IF(دانش‌آموزان!C73="","",دانش‌آموزان!C73)</f>
        <v/>
      </c>
      <c r="E826" s="55" t="str">
        <f>IF(دانش‌آموزان!E73="","",دانش‌آموزان!E73&amp;" "&amp;دانش‌آموزان!F73)</f>
        <v/>
      </c>
      <c r="F826" s="34" t="str">
        <f>IF(دانش‌آموزان!I73="","",دانش‌آموزان!I73)</f>
        <v/>
      </c>
      <c r="G826" s="19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  <c r="BK826" s="20"/>
      <c r="BL826" s="20"/>
      <c r="BM826" s="20"/>
      <c r="BN826" s="20"/>
      <c r="BO826" s="20"/>
      <c r="BP826" s="20"/>
      <c r="BQ826" s="20"/>
      <c r="BR826" s="20"/>
      <c r="BS826" s="20"/>
      <c r="BT826" s="20"/>
      <c r="BU826" s="20"/>
      <c r="BV826" s="20"/>
      <c r="BW826" s="20"/>
      <c r="BX826" s="20"/>
      <c r="BY826" s="20"/>
      <c r="BZ826" s="20"/>
      <c r="CA826" s="20"/>
      <c r="CB826" s="21"/>
      <c r="CC826" s="27" t="str">
        <f t="shared" si="132"/>
        <v/>
      </c>
      <c r="CD826" s="38" t="str">
        <f t="shared" si="133"/>
        <v/>
      </c>
      <c r="CE826" s="38" t="str">
        <f t="shared" si="134"/>
        <v/>
      </c>
      <c r="CF826" s="38" t="str">
        <f t="shared" si="135"/>
        <v/>
      </c>
      <c r="CG826" s="38" t="str">
        <f t="shared" si="136"/>
        <v/>
      </c>
      <c r="CH826" s="38" t="str">
        <f t="shared" si="137"/>
        <v/>
      </c>
      <c r="CI826" s="38" t="str">
        <f t="shared" si="138"/>
        <v/>
      </c>
      <c r="CJ826" s="38" t="str">
        <f t="shared" si="139"/>
        <v/>
      </c>
      <c r="CK826" s="38" t="str">
        <f t="shared" si="140"/>
        <v/>
      </c>
      <c r="CL826" s="38" t="str">
        <f>IF(C826="","",IF(COUNT(G826:AZ826)&lt;46,"",SUMPRODUCT(CC826:CK826,'تنظیمات وزن‌دهی'!$C$5:$C$13)/100))</f>
        <v/>
      </c>
      <c r="CM826" s="38" t="str">
        <f t="shared" si="141"/>
        <v/>
      </c>
      <c r="CN826" s="38">
        <v>6</v>
      </c>
      <c r="CO826" s="28" t="str">
        <f t="shared" si="142"/>
        <v/>
      </c>
      <c r="CP826" s="58"/>
    </row>
    <row r="827" spans="1:94" ht="17.25" hidden="1">
      <c r="A827" s="33">
        <v>823</v>
      </c>
      <c r="B827" s="55" t="s">
        <v>189</v>
      </c>
      <c r="C827" s="55" t="str">
        <f>IF(دانش‌آموزان!E73="","",دانش‌آموزان!B73)</f>
        <v/>
      </c>
      <c r="D827" s="55" t="str">
        <f>IF(دانش‌آموزان!C73="","",دانش‌آموزان!C73)</f>
        <v/>
      </c>
      <c r="E827" s="55" t="str">
        <f>IF(دانش‌آموزان!E73="","",دانش‌آموزان!E73&amp;" "&amp;دانش‌آموزان!F73)</f>
        <v/>
      </c>
      <c r="F827" s="34" t="str">
        <f>IF(دانش‌آموزان!I73="","",دانش‌آموزان!I73)</f>
        <v/>
      </c>
      <c r="G827" s="19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  <c r="BJ827" s="20"/>
      <c r="BK827" s="20"/>
      <c r="BL827" s="20"/>
      <c r="BM827" s="20"/>
      <c r="BN827" s="20"/>
      <c r="BO827" s="20"/>
      <c r="BP827" s="20"/>
      <c r="BQ827" s="20"/>
      <c r="BR827" s="20"/>
      <c r="BS827" s="20"/>
      <c r="BT827" s="20"/>
      <c r="BU827" s="20"/>
      <c r="BV827" s="20"/>
      <c r="BW827" s="20"/>
      <c r="BX827" s="20"/>
      <c r="BY827" s="20"/>
      <c r="BZ827" s="20"/>
      <c r="CA827" s="20"/>
      <c r="CB827" s="21"/>
      <c r="CC827" s="27" t="str">
        <f t="shared" si="132"/>
        <v/>
      </c>
      <c r="CD827" s="38" t="str">
        <f t="shared" si="133"/>
        <v/>
      </c>
      <c r="CE827" s="38" t="str">
        <f t="shared" si="134"/>
        <v/>
      </c>
      <c r="CF827" s="38" t="str">
        <f t="shared" si="135"/>
        <v/>
      </c>
      <c r="CG827" s="38" t="str">
        <f t="shared" si="136"/>
        <v/>
      </c>
      <c r="CH827" s="38" t="str">
        <f t="shared" si="137"/>
        <v/>
      </c>
      <c r="CI827" s="38" t="str">
        <f t="shared" si="138"/>
        <v/>
      </c>
      <c r="CJ827" s="38" t="str">
        <f t="shared" si="139"/>
        <v/>
      </c>
      <c r="CK827" s="38" t="str">
        <f t="shared" si="140"/>
        <v/>
      </c>
      <c r="CL827" s="38" t="str">
        <f>IF(C827="","",IF(COUNT(G827:AZ827)&lt;46,"",SUMPRODUCT(CC827:CK827,'تنظیمات وزن‌دهی'!$C$5:$C$13)/100))</f>
        <v/>
      </c>
      <c r="CM827" s="38" t="str">
        <f t="shared" si="141"/>
        <v/>
      </c>
      <c r="CN827" s="38">
        <v>7</v>
      </c>
      <c r="CO827" s="28" t="str">
        <f t="shared" si="142"/>
        <v/>
      </c>
      <c r="CP827" s="58"/>
    </row>
    <row r="828" spans="1:94" ht="17.25" hidden="1">
      <c r="A828" s="33">
        <v>824</v>
      </c>
      <c r="B828" s="55" t="s">
        <v>190</v>
      </c>
      <c r="C828" s="55" t="str">
        <f>IF(دانش‌آموزان!E73="","",دانش‌آموزان!B73)</f>
        <v/>
      </c>
      <c r="D828" s="55" t="str">
        <f>IF(دانش‌آموزان!C73="","",دانش‌آموزان!C73)</f>
        <v/>
      </c>
      <c r="E828" s="55" t="str">
        <f>IF(دانش‌آموزان!E73="","",دانش‌آموزان!E73&amp;" "&amp;دانش‌آموزان!F73)</f>
        <v/>
      </c>
      <c r="F828" s="34" t="str">
        <f>IF(دانش‌آموزان!I73="","",دانش‌آموزان!I73)</f>
        <v/>
      </c>
      <c r="G828" s="19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  <c r="BJ828" s="20"/>
      <c r="BK828" s="20"/>
      <c r="BL828" s="20"/>
      <c r="BM828" s="20"/>
      <c r="BN828" s="20"/>
      <c r="BO828" s="20"/>
      <c r="BP828" s="20"/>
      <c r="BQ828" s="20"/>
      <c r="BR828" s="20"/>
      <c r="BS828" s="20"/>
      <c r="BT828" s="20"/>
      <c r="BU828" s="20"/>
      <c r="BV828" s="20"/>
      <c r="BW828" s="20"/>
      <c r="BX828" s="20"/>
      <c r="BY828" s="20"/>
      <c r="BZ828" s="20"/>
      <c r="CA828" s="20"/>
      <c r="CB828" s="21"/>
      <c r="CC828" s="27" t="str">
        <f t="shared" si="132"/>
        <v/>
      </c>
      <c r="CD828" s="38" t="str">
        <f t="shared" si="133"/>
        <v/>
      </c>
      <c r="CE828" s="38" t="str">
        <f t="shared" si="134"/>
        <v/>
      </c>
      <c r="CF828" s="38" t="str">
        <f t="shared" si="135"/>
        <v/>
      </c>
      <c r="CG828" s="38" t="str">
        <f t="shared" si="136"/>
        <v/>
      </c>
      <c r="CH828" s="38" t="str">
        <f t="shared" si="137"/>
        <v/>
      </c>
      <c r="CI828" s="38" t="str">
        <f t="shared" si="138"/>
        <v/>
      </c>
      <c r="CJ828" s="38" t="str">
        <f t="shared" si="139"/>
        <v/>
      </c>
      <c r="CK828" s="38" t="str">
        <f t="shared" si="140"/>
        <v/>
      </c>
      <c r="CL828" s="38" t="str">
        <f>IF(C828="","",IF(COUNT(G828:AZ828)&lt;46,"",SUMPRODUCT(CC828:CK828,'تنظیمات وزن‌دهی'!$C$5:$C$13)/100))</f>
        <v/>
      </c>
      <c r="CM828" s="38" t="str">
        <f t="shared" si="141"/>
        <v/>
      </c>
      <c r="CN828" s="38">
        <v>8</v>
      </c>
      <c r="CO828" s="28" t="str">
        <f t="shared" si="142"/>
        <v/>
      </c>
      <c r="CP828" s="58"/>
    </row>
    <row r="829" spans="1:94" ht="17.25" hidden="1">
      <c r="A829" s="33">
        <v>825</v>
      </c>
      <c r="B829" s="55" t="s">
        <v>191</v>
      </c>
      <c r="C829" s="55" t="str">
        <f>IF(دانش‌آموزان!E73="","",دانش‌آموزان!B73)</f>
        <v/>
      </c>
      <c r="D829" s="55" t="str">
        <f>IF(دانش‌آموزان!C73="","",دانش‌آموزان!C73)</f>
        <v/>
      </c>
      <c r="E829" s="55" t="str">
        <f>IF(دانش‌آموزان!E73="","",دانش‌آموزان!E73&amp;" "&amp;دانش‌آموزان!F73)</f>
        <v/>
      </c>
      <c r="F829" s="34" t="str">
        <f>IF(دانش‌آموزان!I73="","",دانش‌آموزان!I73)</f>
        <v/>
      </c>
      <c r="G829" s="19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20"/>
      <c r="BL829" s="20"/>
      <c r="BM829" s="20"/>
      <c r="BN829" s="20"/>
      <c r="BO829" s="20"/>
      <c r="BP829" s="20"/>
      <c r="BQ829" s="20"/>
      <c r="BR829" s="20"/>
      <c r="BS829" s="20"/>
      <c r="BT829" s="20"/>
      <c r="BU829" s="20"/>
      <c r="BV829" s="20"/>
      <c r="BW829" s="20"/>
      <c r="BX829" s="20"/>
      <c r="BY829" s="20"/>
      <c r="BZ829" s="20"/>
      <c r="CA829" s="20"/>
      <c r="CB829" s="21"/>
      <c r="CC829" s="27" t="str">
        <f t="shared" si="132"/>
        <v/>
      </c>
      <c r="CD829" s="38" t="str">
        <f t="shared" si="133"/>
        <v/>
      </c>
      <c r="CE829" s="38" t="str">
        <f t="shared" si="134"/>
        <v/>
      </c>
      <c r="CF829" s="38" t="str">
        <f t="shared" si="135"/>
        <v/>
      </c>
      <c r="CG829" s="38" t="str">
        <f t="shared" si="136"/>
        <v/>
      </c>
      <c r="CH829" s="38" t="str">
        <f t="shared" si="137"/>
        <v/>
      </c>
      <c r="CI829" s="38" t="str">
        <f t="shared" si="138"/>
        <v/>
      </c>
      <c r="CJ829" s="38" t="str">
        <f t="shared" si="139"/>
        <v/>
      </c>
      <c r="CK829" s="38" t="str">
        <f t="shared" si="140"/>
        <v/>
      </c>
      <c r="CL829" s="38" t="str">
        <f>IF(C829="","",IF(COUNT(G829:AZ829)&lt;46,"",SUMPRODUCT(CC829:CK829,'تنظیمات وزن‌دهی'!$C$5:$C$13)/100))</f>
        <v/>
      </c>
      <c r="CM829" s="38" t="str">
        <f t="shared" si="141"/>
        <v/>
      </c>
      <c r="CN829" s="38">
        <v>9</v>
      </c>
      <c r="CO829" s="28" t="str">
        <f t="shared" si="142"/>
        <v/>
      </c>
      <c r="CP829" s="58"/>
    </row>
    <row r="830" spans="1:94" ht="17.25" hidden="1">
      <c r="A830" s="33">
        <v>826</v>
      </c>
      <c r="B830" s="55" t="s">
        <v>192</v>
      </c>
      <c r="C830" s="55" t="str">
        <f>IF(دانش‌آموزان!E73="","",دانش‌آموزان!B73)</f>
        <v/>
      </c>
      <c r="D830" s="55" t="str">
        <f>IF(دانش‌آموزان!C73="","",دانش‌آموزان!C73)</f>
        <v/>
      </c>
      <c r="E830" s="55" t="str">
        <f>IF(دانش‌آموزان!E73="","",دانش‌آموزان!E73&amp;" "&amp;دانش‌آموزان!F73)</f>
        <v/>
      </c>
      <c r="F830" s="34" t="str">
        <f>IF(دانش‌آموزان!I73="","",دانش‌آموزان!I73)</f>
        <v/>
      </c>
      <c r="G830" s="19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20"/>
      <c r="BL830" s="20"/>
      <c r="BM830" s="20"/>
      <c r="BN830" s="20"/>
      <c r="BO830" s="20"/>
      <c r="BP830" s="20"/>
      <c r="BQ830" s="20"/>
      <c r="BR830" s="20"/>
      <c r="BS830" s="20"/>
      <c r="BT830" s="20"/>
      <c r="BU830" s="20"/>
      <c r="BV830" s="20"/>
      <c r="BW830" s="20"/>
      <c r="BX830" s="20"/>
      <c r="BY830" s="20"/>
      <c r="BZ830" s="20"/>
      <c r="CA830" s="20"/>
      <c r="CB830" s="21"/>
      <c r="CC830" s="27" t="str">
        <f t="shared" si="132"/>
        <v/>
      </c>
      <c r="CD830" s="38" t="str">
        <f t="shared" si="133"/>
        <v/>
      </c>
      <c r="CE830" s="38" t="str">
        <f t="shared" si="134"/>
        <v/>
      </c>
      <c r="CF830" s="38" t="str">
        <f t="shared" si="135"/>
        <v/>
      </c>
      <c r="CG830" s="38" t="str">
        <f t="shared" si="136"/>
        <v/>
      </c>
      <c r="CH830" s="38" t="str">
        <f t="shared" si="137"/>
        <v/>
      </c>
      <c r="CI830" s="38" t="str">
        <f t="shared" si="138"/>
        <v/>
      </c>
      <c r="CJ830" s="38" t="str">
        <f t="shared" si="139"/>
        <v/>
      </c>
      <c r="CK830" s="38" t="str">
        <f t="shared" si="140"/>
        <v/>
      </c>
      <c r="CL830" s="38" t="str">
        <f>IF(C830="","",IF(COUNT(G830:AZ830)&lt;46,"",SUMPRODUCT(CC830:CK830,'تنظیمات وزن‌دهی'!$C$5:$C$13)/100))</f>
        <v/>
      </c>
      <c r="CM830" s="38" t="str">
        <f t="shared" si="141"/>
        <v/>
      </c>
      <c r="CN830" s="38">
        <v>10</v>
      </c>
      <c r="CO830" s="28" t="str">
        <f t="shared" si="142"/>
        <v/>
      </c>
      <c r="CP830" s="58"/>
    </row>
    <row r="831" spans="1:94" ht="17.25" hidden="1">
      <c r="A831" s="33">
        <v>827</v>
      </c>
      <c r="B831" s="55" t="s">
        <v>193</v>
      </c>
      <c r="C831" s="55" t="str">
        <f>IF(دانش‌آموزان!E73="","",دانش‌آموزان!B73)</f>
        <v/>
      </c>
      <c r="D831" s="55" t="str">
        <f>IF(دانش‌آموزان!C73="","",دانش‌آموزان!C73)</f>
        <v/>
      </c>
      <c r="E831" s="55" t="str">
        <f>IF(دانش‌آموزان!E73="","",دانش‌آموزان!E73&amp;" "&amp;دانش‌آموزان!F73)</f>
        <v/>
      </c>
      <c r="F831" s="34" t="str">
        <f>IF(دانش‌آموزان!I73="","",دانش‌آموزان!I73)</f>
        <v/>
      </c>
      <c r="G831" s="19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  <c r="BK831" s="20"/>
      <c r="BL831" s="20"/>
      <c r="BM831" s="20"/>
      <c r="BN831" s="20"/>
      <c r="BO831" s="20"/>
      <c r="BP831" s="20"/>
      <c r="BQ831" s="20"/>
      <c r="BR831" s="20"/>
      <c r="BS831" s="20"/>
      <c r="BT831" s="20"/>
      <c r="BU831" s="20"/>
      <c r="BV831" s="20"/>
      <c r="BW831" s="20"/>
      <c r="BX831" s="20"/>
      <c r="BY831" s="20"/>
      <c r="BZ831" s="20"/>
      <c r="CA831" s="20"/>
      <c r="CB831" s="21"/>
      <c r="CC831" s="27" t="str">
        <f t="shared" si="132"/>
        <v/>
      </c>
      <c r="CD831" s="38" t="str">
        <f t="shared" si="133"/>
        <v/>
      </c>
      <c r="CE831" s="38" t="str">
        <f t="shared" si="134"/>
        <v/>
      </c>
      <c r="CF831" s="38" t="str">
        <f t="shared" si="135"/>
        <v/>
      </c>
      <c r="CG831" s="38" t="str">
        <f t="shared" si="136"/>
        <v/>
      </c>
      <c r="CH831" s="38" t="str">
        <f t="shared" si="137"/>
        <v/>
      </c>
      <c r="CI831" s="38" t="str">
        <f t="shared" si="138"/>
        <v/>
      </c>
      <c r="CJ831" s="38" t="str">
        <f t="shared" si="139"/>
        <v/>
      </c>
      <c r="CK831" s="38" t="str">
        <f t="shared" si="140"/>
        <v/>
      </c>
      <c r="CL831" s="38" t="str">
        <f>IF(C831="","",IF(COUNT(G831:AZ831)&lt;46,"",SUMPRODUCT(CC831:CK831,'تنظیمات وزن‌دهی'!$C$5:$C$13)/100))</f>
        <v/>
      </c>
      <c r="CM831" s="38" t="str">
        <f t="shared" si="141"/>
        <v/>
      </c>
      <c r="CN831" s="38">
        <v>11</v>
      </c>
      <c r="CO831" s="28" t="str">
        <f t="shared" si="142"/>
        <v/>
      </c>
      <c r="CP831" s="58"/>
    </row>
    <row r="832" spans="1:94" ht="17.25" hidden="1">
      <c r="A832" s="33">
        <v>828</v>
      </c>
      <c r="B832" s="55" t="s">
        <v>194</v>
      </c>
      <c r="C832" s="55" t="str">
        <f>IF(دانش‌آموزان!E73="","",دانش‌آموزان!B73)</f>
        <v/>
      </c>
      <c r="D832" s="55" t="str">
        <f>IF(دانش‌آموزان!C73="","",دانش‌آموزان!C73)</f>
        <v/>
      </c>
      <c r="E832" s="55" t="str">
        <f>IF(دانش‌آموزان!E73="","",دانش‌آموزان!E73&amp;" "&amp;دانش‌آموزان!F73)</f>
        <v/>
      </c>
      <c r="F832" s="34" t="str">
        <f>IF(دانش‌آموزان!I73="","",دانش‌آموزان!I73)</f>
        <v/>
      </c>
      <c r="G832" s="19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  <c r="BJ832" s="20"/>
      <c r="BK832" s="20"/>
      <c r="BL832" s="20"/>
      <c r="BM832" s="20"/>
      <c r="BN832" s="20"/>
      <c r="BO832" s="20"/>
      <c r="BP832" s="20"/>
      <c r="BQ832" s="20"/>
      <c r="BR832" s="20"/>
      <c r="BS832" s="20"/>
      <c r="BT832" s="20"/>
      <c r="BU832" s="20"/>
      <c r="BV832" s="20"/>
      <c r="BW832" s="20"/>
      <c r="BX832" s="20"/>
      <c r="BY832" s="20"/>
      <c r="BZ832" s="20"/>
      <c r="CA832" s="20"/>
      <c r="CB832" s="21"/>
      <c r="CC832" s="27" t="str">
        <f t="shared" si="132"/>
        <v/>
      </c>
      <c r="CD832" s="38" t="str">
        <f t="shared" si="133"/>
        <v/>
      </c>
      <c r="CE832" s="38" t="str">
        <f t="shared" si="134"/>
        <v/>
      </c>
      <c r="CF832" s="38" t="str">
        <f t="shared" si="135"/>
        <v/>
      </c>
      <c r="CG832" s="38" t="str">
        <f t="shared" si="136"/>
        <v/>
      </c>
      <c r="CH832" s="38" t="str">
        <f t="shared" si="137"/>
        <v/>
      </c>
      <c r="CI832" s="38" t="str">
        <f t="shared" si="138"/>
        <v/>
      </c>
      <c r="CJ832" s="38" t="str">
        <f t="shared" si="139"/>
        <v/>
      </c>
      <c r="CK832" s="38" t="str">
        <f t="shared" si="140"/>
        <v/>
      </c>
      <c r="CL832" s="38" t="str">
        <f>IF(C832="","",IF(COUNT(G832:AZ832)&lt;46,"",SUMPRODUCT(CC832:CK832,'تنظیمات وزن‌دهی'!$C$5:$C$13)/100))</f>
        <v/>
      </c>
      <c r="CM832" s="38" t="str">
        <f t="shared" si="141"/>
        <v/>
      </c>
      <c r="CN832" s="38">
        <v>12</v>
      </c>
      <c r="CO832" s="28" t="str">
        <f t="shared" si="142"/>
        <v/>
      </c>
      <c r="CP832" s="58"/>
    </row>
    <row r="833" spans="1:94" ht="17.25" hidden="1">
      <c r="A833" s="33">
        <v>829</v>
      </c>
      <c r="B833" s="55" t="s">
        <v>183</v>
      </c>
      <c r="C833" s="55" t="str">
        <f>IF(دانش‌آموزان!E74="","",دانش‌آموزان!B74)</f>
        <v/>
      </c>
      <c r="D833" s="55" t="str">
        <f>IF(دانش‌آموزان!C74="","",دانش‌آموزان!C74)</f>
        <v/>
      </c>
      <c r="E833" s="55" t="str">
        <f>IF(دانش‌آموزان!E74="","",دانش‌آموزان!E74&amp;" "&amp;دانش‌آموزان!F74)</f>
        <v/>
      </c>
      <c r="F833" s="34" t="str">
        <f>IF(دانش‌آموزان!I74="","",دانش‌آموزان!I74)</f>
        <v/>
      </c>
      <c r="G833" s="19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  <c r="BJ833" s="20"/>
      <c r="BK833" s="20"/>
      <c r="BL833" s="20"/>
      <c r="BM833" s="20"/>
      <c r="BN833" s="20"/>
      <c r="BO833" s="20"/>
      <c r="BP833" s="20"/>
      <c r="BQ833" s="20"/>
      <c r="BR833" s="20"/>
      <c r="BS833" s="20"/>
      <c r="BT833" s="20"/>
      <c r="BU833" s="20"/>
      <c r="BV833" s="20"/>
      <c r="BW833" s="20"/>
      <c r="BX833" s="20"/>
      <c r="BY833" s="20"/>
      <c r="BZ833" s="20"/>
      <c r="CA833" s="20"/>
      <c r="CB833" s="21"/>
      <c r="CC833" s="27" t="str">
        <f t="shared" si="132"/>
        <v/>
      </c>
      <c r="CD833" s="38" t="str">
        <f t="shared" si="133"/>
        <v/>
      </c>
      <c r="CE833" s="38" t="str">
        <f t="shared" si="134"/>
        <v/>
      </c>
      <c r="CF833" s="38" t="str">
        <f t="shared" si="135"/>
        <v/>
      </c>
      <c r="CG833" s="38" t="str">
        <f t="shared" si="136"/>
        <v/>
      </c>
      <c r="CH833" s="38" t="str">
        <f t="shared" si="137"/>
        <v/>
      </c>
      <c r="CI833" s="38" t="str">
        <f t="shared" si="138"/>
        <v/>
      </c>
      <c r="CJ833" s="38" t="str">
        <f t="shared" si="139"/>
        <v/>
      </c>
      <c r="CK833" s="38" t="str">
        <f t="shared" si="140"/>
        <v/>
      </c>
      <c r="CL833" s="38" t="str">
        <f>IF(C833="","",IF(COUNT(G833:AZ833)&lt;46,"",SUMPRODUCT(CC833:CK833,'تنظیمات وزن‌دهی'!$C$5:$C$13)/100))</f>
        <v/>
      </c>
      <c r="CM833" s="38" t="str">
        <f t="shared" si="141"/>
        <v/>
      </c>
      <c r="CN833" s="38">
        <v>1</v>
      </c>
      <c r="CO833" s="28" t="str">
        <f t="shared" si="142"/>
        <v/>
      </c>
      <c r="CP833" s="58"/>
    </row>
    <row r="834" spans="1:94" ht="17.25" hidden="1">
      <c r="A834" s="33">
        <v>830</v>
      </c>
      <c r="B834" s="55" t="s">
        <v>184</v>
      </c>
      <c r="C834" s="55" t="str">
        <f>IF(دانش‌آموزان!E74="","",دانش‌آموزان!B74)</f>
        <v/>
      </c>
      <c r="D834" s="55" t="str">
        <f>IF(دانش‌آموزان!C74="","",دانش‌آموزان!C74)</f>
        <v/>
      </c>
      <c r="E834" s="55" t="str">
        <f>IF(دانش‌آموزان!E74="","",دانش‌آموزان!E74&amp;" "&amp;دانش‌آموزان!F74)</f>
        <v/>
      </c>
      <c r="F834" s="34" t="str">
        <f>IF(دانش‌آموزان!I74="","",دانش‌آموزان!I74)</f>
        <v/>
      </c>
      <c r="G834" s="19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0"/>
      <c r="BL834" s="20"/>
      <c r="BM834" s="20"/>
      <c r="BN834" s="20"/>
      <c r="BO834" s="20"/>
      <c r="BP834" s="20"/>
      <c r="BQ834" s="20"/>
      <c r="BR834" s="20"/>
      <c r="BS834" s="20"/>
      <c r="BT834" s="20"/>
      <c r="BU834" s="20"/>
      <c r="BV834" s="20"/>
      <c r="BW834" s="20"/>
      <c r="BX834" s="20"/>
      <c r="BY834" s="20"/>
      <c r="BZ834" s="20"/>
      <c r="CA834" s="20"/>
      <c r="CB834" s="21"/>
      <c r="CC834" s="27" t="str">
        <f t="shared" si="132"/>
        <v/>
      </c>
      <c r="CD834" s="38" t="str">
        <f t="shared" si="133"/>
        <v/>
      </c>
      <c r="CE834" s="38" t="str">
        <f t="shared" si="134"/>
        <v/>
      </c>
      <c r="CF834" s="38" t="str">
        <f t="shared" si="135"/>
        <v/>
      </c>
      <c r="CG834" s="38" t="str">
        <f t="shared" si="136"/>
        <v/>
      </c>
      <c r="CH834" s="38" t="str">
        <f t="shared" si="137"/>
        <v/>
      </c>
      <c r="CI834" s="38" t="str">
        <f t="shared" si="138"/>
        <v/>
      </c>
      <c r="CJ834" s="38" t="str">
        <f t="shared" si="139"/>
        <v/>
      </c>
      <c r="CK834" s="38" t="str">
        <f t="shared" si="140"/>
        <v/>
      </c>
      <c r="CL834" s="38" t="str">
        <f>IF(C834="","",IF(COUNT(G834:AZ834)&lt;46,"",SUMPRODUCT(CC834:CK834,'تنظیمات وزن‌دهی'!$C$5:$C$13)/100))</f>
        <v/>
      </c>
      <c r="CM834" s="38" t="str">
        <f t="shared" si="141"/>
        <v/>
      </c>
      <c r="CN834" s="38">
        <v>2</v>
      </c>
      <c r="CO834" s="28" t="str">
        <f t="shared" si="142"/>
        <v/>
      </c>
      <c r="CP834" s="58"/>
    </row>
    <row r="835" spans="1:94" ht="17.25">
      <c r="A835" s="33">
        <v>831</v>
      </c>
      <c r="B835" s="55" t="s">
        <v>185</v>
      </c>
      <c r="C835" s="55" t="str">
        <f>IF(دانش‌آموزان!E74="","",دانش‌آموزان!B74)</f>
        <v/>
      </c>
      <c r="D835" s="55" t="str">
        <f>IF(دانش‌آموزان!C74="","",دانش‌آموزان!C74)</f>
        <v/>
      </c>
      <c r="E835" s="55" t="str">
        <f>IF(دانش‌آموزان!E74="","",دانش‌آموزان!E74&amp;" "&amp;دانش‌آموزان!F74)</f>
        <v/>
      </c>
      <c r="F835" s="34" t="str">
        <f>IF(دانش‌آموزان!I74="","",دانش‌آموزان!I74)</f>
        <v/>
      </c>
      <c r="G835" s="19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20"/>
      <c r="BL835" s="20"/>
      <c r="BM835" s="20"/>
      <c r="BN835" s="20"/>
      <c r="BO835" s="20"/>
      <c r="BP835" s="20"/>
      <c r="BQ835" s="20"/>
      <c r="BR835" s="20"/>
      <c r="BS835" s="20"/>
      <c r="BT835" s="20"/>
      <c r="BU835" s="20"/>
      <c r="BV835" s="20"/>
      <c r="BW835" s="20"/>
      <c r="BX835" s="20"/>
      <c r="BY835" s="20"/>
      <c r="BZ835" s="20"/>
      <c r="CA835" s="20"/>
      <c r="CB835" s="21"/>
      <c r="CC835" s="27" t="str">
        <f t="shared" si="132"/>
        <v/>
      </c>
      <c r="CD835" s="38" t="str">
        <f t="shared" si="133"/>
        <v/>
      </c>
      <c r="CE835" s="38" t="str">
        <f t="shared" si="134"/>
        <v/>
      </c>
      <c r="CF835" s="38" t="str">
        <f t="shared" si="135"/>
        <v/>
      </c>
      <c r="CG835" s="38" t="str">
        <f t="shared" si="136"/>
        <v/>
      </c>
      <c r="CH835" s="38" t="str">
        <f t="shared" si="137"/>
        <v/>
      </c>
      <c r="CI835" s="38" t="str">
        <f t="shared" si="138"/>
        <v/>
      </c>
      <c r="CJ835" s="38" t="str">
        <f t="shared" si="139"/>
        <v/>
      </c>
      <c r="CK835" s="38" t="str">
        <f t="shared" si="140"/>
        <v/>
      </c>
      <c r="CL835" s="38" t="str">
        <f>IF(C835="","",IF(COUNT(G835:AZ835)&lt;46,"",SUMPRODUCT(CC835:CK835,'تنظیمات وزن‌دهی'!$C$5:$C$13)/100))</f>
        <v/>
      </c>
      <c r="CM835" s="38" t="str">
        <f t="shared" si="141"/>
        <v/>
      </c>
      <c r="CN835" s="38">
        <v>3</v>
      </c>
      <c r="CO835" s="28" t="str">
        <f t="shared" si="142"/>
        <v/>
      </c>
      <c r="CP835" s="58"/>
    </row>
    <row r="836" spans="1:94" ht="17.25" hidden="1">
      <c r="A836" s="33">
        <v>832</v>
      </c>
      <c r="B836" s="55" t="s">
        <v>186</v>
      </c>
      <c r="C836" s="55" t="str">
        <f>IF(دانش‌آموزان!E74="","",دانش‌آموزان!B74)</f>
        <v/>
      </c>
      <c r="D836" s="55" t="str">
        <f>IF(دانش‌آموزان!C74="","",دانش‌آموزان!C74)</f>
        <v/>
      </c>
      <c r="E836" s="55" t="str">
        <f>IF(دانش‌آموزان!E74="","",دانش‌آموزان!E74&amp;" "&amp;دانش‌آموزان!F74)</f>
        <v/>
      </c>
      <c r="F836" s="34" t="str">
        <f>IF(دانش‌آموزان!I74="","",دانش‌آموزان!I74)</f>
        <v/>
      </c>
      <c r="G836" s="19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  <c r="BO836" s="20"/>
      <c r="BP836" s="20"/>
      <c r="BQ836" s="20"/>
      <c r="BR836" s="20"/>
      <c r="BS836" s="20"/>
      <c r="BT836" s="20"/>
      <c r="BU836" s="20"/>
      <c r="BV836" s="20"/>
      <c r="BW836" s="20"/>
      <c r="BX836" s="20"/>
      <c r="BY836" s="20"/>
      <c r="BZ836" s="20"/>
      <c r="CA836" s="20"/>
      <c r="CB836" s="21"/>
      <c r="CC836" s="27" t="str">
        <f t="shared" si="132"/>
        <v/>
      </c>
      <c r="CD836" s="38" t="str">
        <f t="shared" si="133"/>
        <v/>
      </c>
      <c r="CE836" s="38" t="str">
        <f t="shared" si="134"/>
        <v/>
      </c>
      <c r="CF836" s="38" t="str">
        <f t="shared" si="135"/>
        <v/>
      </c>
      <c r="CG836" s="38" t="str">
        <f t="shared" si="136"/>
        <v/>
      </c>
      <c r="CH836" s="38" t="str">
        <f t="shared" si="137"/>
        <v/>
      </c>
      <c r="CI836" s="38" t="str">
        <f t="shared" si="138"/>
        <v/>
      </c>
      <c r="CJ836" s="38" t="str">
        <f t="shared" si="139"/>
        <v/>
      </c>
      <c r="CK836" s="38" t="str">
        <f t="shared" si="140"/>
        <v/>
      </c>
      <c r="CL836" s="38" t="str">
        <f>IF(C836="","",IF(COUNT(G836:AZ836)&lt;46,"",SUMPRODUCT(CC836:CK836,'تنظیمات وزن‌دهی'!$C$5:$C$13)/100))</f>
        <v/>
      </c>
      <c r="CM836" s="38" t="str">
        <f t="shared" si="141"/>
        <v/>
      </c>
      <c r="CN836" s="38">
        <v>4</v>
      </c>
      <c r="CO836" s="28" t="str">
        <f t="shared" si="142"/>
        <v/>
      </c>
      <c r="CP836" s="58"/>
    </row>
    <row r="837" spans="1:94" ht="17.25" hidden="1">
      <c r="A837" s="33">
        <v>833</v>
      </c>
      <c r="B837" s="55" t="s">
        <v>187</v>
      </c>
      <c r="C837" s="55" t="str">
        <f>IF(دانش‌آموزان!E74="","",دانش‌آموزان!B74)</f>
        <v/>
      </c>
      <c r="D837" s="55" t="str">
        <f>IF(دانش‌آموزان!C74="","",دانش‌آموزان!C74)</f>
        <v/>
      </c>
      <c r="E837" s="55" t="str">
        <f>IF(دانش‌آموزان!E74="","",دانش‌آموزان!E74&amp;" "&amp;دانش‌آموزان!F74)</f>
        <v/>
      </c>
      <c r="F837" s="34" t="str">
        <f>IF(دانش‌آموزان!I74="","",دانش‌آموزان!I74)</f>
        <v/>
      </c>
      <c r="G837" s="19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  <c r="BJ837" s="20"/>
      <c r="BK837" s="20"/>
      <c r="BL837" s="20"/>
      <c r="BM837" s="20"/>
      <c r="BN837" s="20"/>
      <c r="BO837" s="20"/>
      <c r="BP837" s="20"/>
      <c r="BQ837" s="20"/>
      <c r="BR837" s="20"/>
      <c r="BS837" s="20"/>
      <c r="BT837" s="20"/>
      <c r="BU837" s="20"/>
      <c r="BV837" s="20"/>
      <c r="BW837" s="20"/>
      <c r="BX837" s="20"/>
      <c r="BY837" s="20"/>
      <c r="BZ837" s="20"/>
      <c r="CA837" s="20"/>
      <c r="CB837" s="21"/>
      <c r="CC837" s="27" t="str">
        <f t="shared" ref="CC837:CC900" si="143">IF(COUNT(G837:N837)=0,"",AVERAGE(G837:N837)*4)</f>
        <v/>
      </c>
      <c r="CD837" s="38" t="str">
        <f t="shared" ref="CD837:CD900" si="144">IF(COUNT(O837:S837)=0,"",AVERAGE(O837:S837)*4)</f>
        <v/>
      </c>
      <c r="CE837" s="38" t="str">
        <f t="shared" ref="CE837:CE900" si="145">IF(COUNT(T837:U837)=0,"",AVERAGE(T837:U837)*4)</f>
        <v/>
      </c>
      <c r="CF837" s="38" t="str">
        <f t="shared" ref="CF837:CF900" si="146">IF(COUNT(V837:Z837)=0,"",AVERAGE(V837:Z837)*4)</f>
        <v/>
      </c>
      <c r="CG837" s="38" t="str">
        <f t="shared" ref="CG837:CG900" si="147">IF(COUNT(AA837:AC837)=0,"",AVERAGE(AA837:AC837)*4)</f>
        <v/>
      </c>
      <c r="CH837" s="38" t="str">
        <f t="shared" ref="CH837:CH900" si="148">IF(COUNT(AD837:AI837)=0,"",AVERAGE(AD837:AI837)*4)</f>
        <v/>
      </c>
      <c r="CI837" s="38" t="str">
        <f t="shared" ref="CI837:CI900" si="149">IF(COUNT(AJ837:AP837)=0,"",AVERAGE(AJ837:AP837)*4)</f>
        <v/>
      </c>
      <c r="CJ837" s="38" t="str">
        <f t="shared" ref="CJ837:CJ900" si="150">IF(COUNT(AQ837:AW837)=0,"",AVERAGE(AQ837:AW837)*4)</f>
        <v/>
      </c>
      <c r="CK837" s="38" t="str">
        <f t="shared" ref="CK837:CK900" si="151">IF(COUNT(AX837:AZ837)=0,"",AVERAGE(AX837:AZ837)*4)</f>
        <v/>
      </c>
      <c r="CL837" s="38" t="str">
        <f>IF(C837="","",IF(COUNT(G837:AZ837)&lt;46,"",SUMPRODUCT(CC837:CK837,'تنظیمات وزن‌دهی'!$C$5:$C$13)/100))</f>
        <v/>
      </c>
      <c r="CM837" s="38" t="str">
        <f t="shared" ref="CM837:CM900" si="152">IF(C837="","",IF(COUNT(G837:AZ837)=0,"",IF(COUNT(G837:AZ837)&lt;46,"موقت - اطلاعات ناقص",IF(CL837&gt;=17,"عالی",IF(CL837&gt;=14,"خوب",IF(CL837&gt;=10,"متوسط","ضعیف"))))))</f>
        <v/>
      </c>
      <c r="CN837" s="38">
        <v>5</v>
      </c>
      <c r="CO837" s="28" t="str">
        <f t="shared" ref="CO837:CO900" si="153">IF(C837="","",COUNT(G837:AZ837)/46)</f>
        <v/>
      </c>
      <c r="CP837" s="58"/>
    </row>
    <row r="838" spans="1:94" ht="17.25" hidden="1">
      <c r="A838" s="33">
        <v>834</v>
      </c>
      <c r="B838" s="55" t="s">
        <v>188</v>
      </c>
      <c r="C838" s="55" t="str">
        <f>IF(دانش‌آموزان!E74="","",دانش‌آموزان!B74)</f>
        <v/>
      </c>
      <c r="D838" s="55" t="str">
        <f>IF(دانش‌آموزان!C74="","",دانش‌آموزان!C74)</f>
        <v/>
      </c>
      <c r="E838" s="55" t="str">
        <f>IF(دانش‌آموزان!E74="","",دانش‌آموزان!E74&amp;" "&amp;دانش‌آموزان!F74)</f>
        <v/>
      </c>
      <c r="F838" s="34" t="str">
        <f>IF(دانش‌آموزان!I74="","",دانش‌آموزان!I74)</f>
        <v/>
      </c>
      <c r="G838" s="19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  <c r="BJ838" s="20"/>
      <c r="BK838" s="20"/>
      <c r="BL838" s="20"/>
      <c r="BM838" s="20"/>
      <c r="BN838" s="20"/>
      <c r="BO838" s="20"/>
      <c r="BP838" s="20"/>
      <c r="BQ838" s="20"/>
      <c r="BR838" s="20"/>
      <c r="BS838" s="20"/>
      <c r="BT838" s="20"/>
      <c r="BU838" s="20"/>
      <c r="BV838" s="20"/>
      <c r="BW838" s="20"/>
      <c r="BX838" s="20"/>
      <c r="BY838" s="20"/>
      <c r="BZ838" s="20"/>
      <c r="CA838" s="20"/>
      <c r="CB838" s="21"/>
      <c r="CC838" s="27" t="str">
        <f t="shared" si="143"/>
        <v/>
      </c>
      <c r="CD838" s="38" t="str">
        <f t="shared" si="144"/>
        <v/>
      </c>
      <c r="CE838" s="38" t="str">
        <f t="shared" si="145"/>
        <v/>
      </c>
      <c r="CF838" s="38" t="str">
        <f t="shared" si="146"/>
        <v/>
      </c>
      <c r="CG838" s="38" t="str">
        <f t="shared" si="147"/>
        <v/>
      </c>
      <c r="CH838" s="38" t="str">
        <f t="shared" si="148"/>
        <v/>
      </c>
      <c r="CI838" s="38" t="str">
        <f t="shared" si="149"/>
        <v/>
      </c>
      <c r="CJ838" s="38" t="str">
        <f t="shared" si="150"/>
        <v/>
      </c>
      <c r="CK838" s="38" t="str">
        <f t="shared" si="151"/>
        <v/>
      </c>
      <c r="CL838" s="38" t="str">
        <f>IF(C838="","",IF(COUNT(G838:AZ838)&lt;46,"",SUMPRODUCT(CC838:CK838,'تنظیمات وزن‌دهی'!$C$5:$C$13)/100))</f>
        <v/>
      </c>
      <c r="CM838" s="38" t="str">
        <f t="shared" si="152"/>
        <v/>
      </c>
      <c r="CN838" s="38">
        <v>6</v>
      </c>
      <c r="CO838" s="28" t="str">
        <f t="shared" si="153"/>
        <v/>
      </c>
      <c r="CP838" s="58"/>
    </row>
    <row r="839" spans="1:94" ht="17.25" hidden="1">
      <c r="A839" s="33">
        <v>835</v>
      </c>
      <c r="B839" s="55" t="s">
        <v>189</v>
      </c>
      <c r="C839" s="55" t="str">
        <f>IF(دانش‌آموزان!E74="","",دانش‌آموزان!B74)</f>
        <v/>
      </c>
      <c r="D839" s="55" t="str">
        <f>IF(دانش‌آموزان!C74="","",دانش‌آموزان!C74)</f>
        <v/>
      </c>
      <c r="E839" s="55" t="str">
        <f>IF(دانش‌آموزان!E74="","",دانش‌آموزان!E74&amp;" "&amp;دانش‌آموزان!F74)</f>
        <v/>
      </c>
      <c r="F839" s="34" t="str">
        <f>IF(دانش‌آموزان!I74="","",دانش‌آموزان!I74)</f>
        <v/>
      </c>
      <c r="G839" s="19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  <c r="BJ839" s="20"/>
      <c r="BK839" s="20"/>
      <c r="BL839" s="20"/>
      <c r="BM839" s="20"/>
      <c r="BN839" s="20"/>
      <c r="BO839" s="20"/>
      <c r="BP839" s="20"/>
      <c r="BQ839" s="20"/>
      <c r="BR839" s="20"/>
      <c r="BS839" s="20"/>
      <c r="BT839" s="20"/>
      <c r="BU839" s="20"/>
      <c r="BV839" s="20"/>
      <c r="BW839" s="20"/>
      <c r="BX839" s="20"/>
      <c r="BY839" s="20"/>
      <c r="BZ839" s="20"/>
      <c r="CA839" s="20"/>
      <c r="CB839" s="21"/>
      <c r="CC839" s="27" t="str">
        <f t="shared" si="143"/>
        <v/>
      </c>
      <c r="CD839" s="38" t="str">
        <f t="shared" si="144"/>
        <v/>
      </c>
      <c r="CE839" s="38" t="str">
        <f t="shared" si="145"/>
        <v/>
      </c>
      <c r="CF839" s="38" t="str">
        <f t="shared" si="146"/>
        <v/>
      </c>
      <c r="CG839" s="38" t="str">
        <f t="shared" si="147"/>
        <v/>
      </c>
      <c r="CH839" s="38" t="str">
        <f t="shared" si="148"/>
        <v/>
      </c>
      <c r="CI839" s="38" t="str">
        <f t="shared" si="149"/>
        <v/>
      </c>
      <c r="CJ839" s="38" t="str">
        <f t="shared" si="150"/>
        <v/>
      </c>
      <c r="CK839" s="38" t="str">
        <f t="shared" si="151"/>
        <v/>
      </c>
      <c r="CL839" s="38" t="str">
        <f>IF(C839="","",IF(COUNT(G839:AZ839)&lt;46,"",SUMPRODUCT(CC839:CK839,'تنظیمات وزن‌دهی'!$C$5:$C$13)/100))</f>
        <v/>
      </c>
      <c r="CM839" s="38" t="str">
        <f t="shared" si="152"/>
        <v/>
      </c>
      <c r="CN839" s="38">
        <v>7</v>
      </c>
      <c r="CO839" s="28" t="str">
        <f t="shared" si="153"/>
        <v/>
      </c>
      <c r="CP839" s="58"/>
    </row>
    <row r="840" spans="1:94" ht="17.25" hidden="1">
      <c r="A840" s="33">
        <v>836</v>
      </c>
      <c r="B840" s="55" t="s">
        <v>190</v>
      </c>
      <c r="C840" s="55" t="str">
        <f>IF(دانش‌آموزان!E74="","",دانش‌آموزان!B74)</f>
        <v/>
      </c>
      <c r="D840" s="55" t="str">
        <f>IF(دانش‌آموزان!C74="","",دانش‌آموزان!C74)</f>
        <v/>
      </c>
      <c r="E840" s="55" t="str">
        <f>IF(دانش‌آموزان!E74="","",دانش‌آموزان!E74&amp;" "&amp;دانش‌آموزان!F74)</f>
        <v/>
      </c>
      <c r="F840" s="34" t="str">
        <f>IF(دانش‌آموزان!I74="","",دانش‌آموزان!I74)</f>
        <v/>
      </c>
      <c r="G840" s="19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  <c r="BJ840" s="20"/>
      <c r="BK840" s="20"/>
      <c r="BL840" s="20"/>
      <c r="BM840" s="20"/>
      <c r="BN840" s="20"/>
      <c r="BO840" s="20"/>
      <c r="BP840" s="20"/>
      <c r="BQ840" s="20"/>
      <c r="BR840" s="20"/>
      <c r="BS840" s="20"/>
      <c r="BT840" s="20"/>
      <c r="BU840" s="20"/>
      <c r="BV840" s="20"/>
      <c r="BW840" s="20"/>
      <c r="BX840" s="20"/>
      <c r="BY840" s="20"/>
      <c r="BZ840" s="20"/>
      <c r="CA840" s="20"/>
      <c r="CB840" s="21"/>
      <c r="CC840" s="27" t="str">
        <f t="shared" si="143"/>
        <v/>
      </c>
      <c r="CD840" s="38" t="str">
        <f t="shared" si="144"/>
        <v/>
      </c>
      <c r="CE840" s="38" t="str">
        <f t="shared" si="145"/>
        <v/>
      </c>
      <c r="CF840" s="38" t="str">
        <f t="shared" si="146"/>
        <v/>
      </c>
      <c r="CG840" s="38" t="str">
        <f t="shared" si="147"/>
        <v/>
      </c>
      <c r="CH840" s="38" t="str">
        <f t="shared" si="148"/>
        <v/>
      </c>
      <c r="CI840" s="38" t="str">
        <f t="shared" si="149"/>
        <v/>
      </c>
      <c r="CJ840" s="38" t="str">
        <f t="shared" si="150"/>
        <v/>
      </c>
      <c r="CK840" s="38" t="str">
        <f t="shared" si="151"/>
        <v/>
      </c>
      <c r="CL840" s="38" t="str">
        <f>IF(C840="","",IF(COUNT(G840:AZ840)&lt;46,"",SUMPRODUCT(CC840:CK840,'تنظیمات وزن‌دهی'!$C$5:$C$13)/100))</f>
        <v/>
      </c>
      <c r="CM840" s="38" t="str">
        <f t="shared" si="152"/>
        <v/>
      </c>
      <c r="CN840" s="38">
        <v>8</v>
      </c>
      <c r="CO840" s="28" t="str">
        <f t="shared" si="153"/>
        <v/>
      </c>
      <c r="CP840" s="58"/>
    </row>
    <row r="841" spans="1:94" ht="17.25" hidden="1">
      <c r="A841" s="33">
        <v>837</v>
      </c>
      <c r="B841" s="55" t="s">
        <v>191</v>
      </c>
      <c r="C841" s="55" t="str">
        <f>IF(دانش‌آموزان!E74="","",دانش‌آموزان!B74)</f>
        <v/>
      </c>
      <c r="D841" s="55" t="str">
        <f>IF(دانش‌آموزان!C74="","",دانش‌آموزان!C74)</f>
        <v/>
      </c>
      <c r="E841" s="55" t="str">
        <f>IF(دانش‌آموزان!E74="","",دانش‌آموزان!E74&amp;" "&amp;دانش‌آموزان!F74)</f>
        <v/>
      </c>
      <c r="F841" s="34" t="str">
        <f>IF(دانش‌آموزان!I74="","",دانش‌آموزان!I74)</f>
        <v/>
      </c>
      <c r="G841" s="19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  <c r="BJ841" s="20"/>
      <c r="BK841" s="20"/>
      <c r="BL841" s="20"/>
      <c r="BM841" s="20"/>
      <c r="BN841" s="20"/>
      <c r="BO841" s="20"/>
      <c r="BP841" s="20"/>
      <c r="BQ841" s="20"/>
      <c r="BR841" s="20"/>
      <c r="BS841" s="20"/>
      <c r="BT841" s="20"/>
      <c r="BU841" s="20"/>
      <c r="BV841" s="20"/>
      <c r="BW841" s="20"/>
      <c r="BX841" s="20"/>
      <c r="BY841" s="20"/>
      <c r="BZ841" s="20"/>
      <c r="CA841" s="20"/>
      <c r="CB841" s="21"/>
      <c r="CC841" s="27" t="str">
        <f t="shared" si="143"/>
        <v/>
      </c>
      <c r="CD841" s="38" t="str">
        <f t="shared" si="144"/>
        <v/>
      </c>
      <c r="CE841" s="38" t="str">
        <f t="shared" si="145"/>
        <v/>
      </c>
      <c r="CF841" s="38" t="str">
        <f t="shared" si="146"/>
        <v/>
      </c>
      <c r="CG841" s="38" t="str">
        <f t="shared" si="147"/>
        <v/>
      </c>
      <c r="CH841" s="38" t="str">
        <f t="shared" si="148"/>
        <v/>
      </c>
      <c r="CI841" s="38" t="str">
        <f t="shared" si="149"/>
        <v/>
      </c>
      <c r="CJ841" s="38" t="str">
        <f t="shared" si="150"/>
        <v/>
      </c>
      <c r="CK841" s="38" t="str">
        <f t="shared" si="151"/>
        <v/>
      </c>
      <c r="CL841" s="38" t="str">
        <f>IF(C841="","",IF(COUNT(G841:AZ841)&lt;46,"",SUMPRODUCT(CC841:CK841,'تنظیمات وزن‌دهی'!$C$5:$C$13)/100))</f>
        <v/>
      </c>
      <c r="CM841" s="38" t="str">
        <f t="shared" si="152"/>
        <v/>
      </c>
      <c r="CN841" s="38">
        <v>9</v>
      </c>
      <c r="CO841" s="28" t="str">
        <f t="shared" si="153"/>
        <v/>
      </c>
      <c r="CP841" s="58"/>
    </row>
    <row r="842" spans="1:94" ht="17.25" hidden="1">
      <c r="A842" s="33">
        <v>838</v>
      </c>
      <c r="B842" s="55" t="s">
        <v>192</v>
      </c>
      <c r="C842" s="55" t="str">
        <f>IF(دانش‌آموزان!E74="","",دانش‌آموزان!B74)</f>
        <v/>
      </c>
      <c r="D842" s="55" t="str">
        <f>IF(دانش‌آموزان!C74="","",دانش‌آموزان!C74)</f>
        <v/>
      </c>
      <c r="E842" s="55" t="str">
        <f>IF(دانش‌آموزان!E74="","",دانش‌آموزان!E74&amp;" "&amp;دانش‌آموزان!F74)</f>
        <v/>
      </c>
      <c r="F842" s="34" t="str">
        <f>IF(دانش‌آموزان!I74="","",دانش‌آموزان!I74)</f>
        <v/>
      </c>
      <c r="G842" s="19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  <c r="BJ842" s="20"/>
      <c r="BK842" s="20"/>
      <c r="BL842" s="20"/>
      <c r="BM842" s="20"/>
      <c r="BN842" s="20"/>
      <c r="BO842" s="20"/>
      <c r="BP842" s="20"/>
      <c r="BQ842" s="20"/>
      <c r="BR842" s="20"/>
      <c r="BS842" s="20"/>
      <c r="BT842" s="20"/>
      <c r="BU842" s="20"/>
      <c r="BV842" s="20"/>
      <c r="BW842" s="20"/>
      <c r="BX842" s="20"/>
      <c r="BY842" s="20"/>
      <c r="BZ842" s="20"/>
      <c r="CA842" s="20"/>
      <c r="CB842" s="21"/>
      <c r="CC842" s="27" t="str">
        <f t="shared" si="143"/>
        <v/>
      </c>
      <c r="CD842" s="38" t="str">
        <f t="shared" si="144"/>
        <v/>
      </c>
      <c r="CE842" s="38" t="str">
        <f t="shared" si="145"/>
        <v/>
      </c>
      <c r="CF842" s="38" t="str">
        <f t="shared" si="146"/>
        <v/>
      </c>
      <c r="CG842" s="38" t="str">
        <f t="shared" si="147"/>
        <v/>
      </c>
      <c r="CH842" s="38" t="str">
        <f t="shared" si="148"/>
        <v/>
      </c>
      <c r="CI842" s="38" t="str">
        <f t="shared" si="149"/>
        <v/>
      </c>
      <c r="CJ842" s="38" t="str">
        <f t="shared" si="150"/>
        <v/>
      </c>
      <c r="CK842" s="38" t="str">
        <f t="shared" si="151"/>
        <v/>
      </c>
      <c r="CL842" s="38" t="str">
        <f>IF(C842="","",IF(COUNT(G842:AZ842)&lt;46,"",SUMPRODUCT(CC842:CK842,'تنظیمات وزن‌دهی'!$C$5:$C$13)/100))</f>
        <v/>
      </c>
      <c r="CM842" s="38" t="str">
        <f t="shared" si="152"/>
        <v/>
      </c>
      <c r="CN842" s="38">
        <v>10</v>
      </c>
      <c r="CO842" s="28" t="str">
        <f t="shared" si="153"/>
        <v/>
      </c>
      <c r="CP842" s="58"/>
    </row>
    <row r="843" spans="1:94" ht="17.25" hidden="1">
      <c r="A843" s="33">
        <v>839</v>
      </c>
      <c r="B843" s="55" t="s">
        <v>193</v>
      </c>
      <c r="C843" s="55" t="str">
        <f>IF(دانش‌آموزان!E74="","",دانش‌آموزان!B74)</f>
        <v/>
      </c>
      <c r="D843" s="55" t="str">
        <f>IF(دانش‌آموزان!C74="","",دانش‌آموزان!C74)</f>
        <v/>
      </c>
      <c r="E843" s="55" t="str">
        <f>IF(دانش‌آموزان!E74="","",دانش‌آموزان!E74&amp;" "&amp;دانش‌آموزان!F74)</f>
        <v/>
      </c>
      <c r="F843" s="34" t="str">
        <f>IF(دانش‌آموزان!I74="","",دانش‌آموزان!I74)</f>
        <v/>
      </c>
      <c r="G843" s="19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  <c r="BJ843" s="20"/>
      <c r="BK843" s="20"/>
      <c r="BL843" s="20"/>
      <c r="BM843" s="20"/>
      <c r="BN843" s="20"/>
      <c r="BO843" s="20"/>
      <c r="BP843" s="20"/>
      <c r="BQ843" s="20"/>
      <c r="BR843" s="20"/>
      <c r="BS843" s="20"/>
      <c r="BT843" s="20"/>
      <c r="BU843" s="20"/>
      <c r="BV843" s="20"/>
      <c r="BW843" s="20"/>
      <c r="BX843" s="20"/>
      <c r="BY843" s="20"/>
      <c r="BZ843" s="20"/>
      <c r="CA843" s="20"/>
      <c r="CB843" s="21"/>
      <c r="CC843" s="27" t="str">
        <f t="shared" si="143"/>
        <v/>
      </c>
      <c r="CD843" s="38" t="str">
        <f t="shared" si="144"/>
        <v/>
      </c>
      <c r="CE843" s="38" t="str">
        <f t="shared" si="145"/>
        <v/>
      </c>
      <c r="CF843" s="38" t="str">
        <f t="shared" si="146"/>
        <v/>
      </c>
      <c r="CG843" s="38" t="str">
        <f t="shared" si="147"/>
        <v/>
      </c>
      <c r="CH843" s="38" t="str">
        <f t="shared" si="148"/>
        <v/>
      </c>
      <c r="CI843" s="38" t="str">
        <f t="shared" si="149"/>
        <v/>
      </c>
      <c r="CJ843" s="38" t="str">
        <f t="shared" si="150"/>
        <v/>
      </c>
      <c r="CK843" s="38" t="str">
        <f t="shared" si="151"/>
        <v/>
      </c>
      <c r="CL843" s="38" t="str">
        <f>IF(C843="","",IF(COUNT(G843:AZ843)&lt;46,"",SUMPRODUCT(CC843:CK843,'تنظیمات وزن‌دهی'!$C$5:$C$13)/100))</f>
        <v/>
      </c>
      <c r="CM843" s="38" t="str">
        <f t="shared" si="152"/>
        <v/>
      </c>
      <c r="CN843" s="38">
        <v>11</v>
      </c>
      <c r="CO843" s="28" t="str">
        <f t="shared" si="153"/>
        <v/>
      </c>
      <c r="CP843" s="58"/>
    </row>
    <row r="844" spans="1:94" ht="17.25" hidden="1">
      <c r="A844" s="33">
        <v>840</v>
      </c>
      <c r="B844" s="55" t="s">
        <v>194</v>
      </c>
      <c r="C844" s="55" t="str">
        <f>IF(دانش‌آموزان!E74="","",دانش‌آموزان!B74)</f>
        <v/>
      </c>
      <c r="D844" s="55" t="str">
        <f>IF(دانش‌آموزان!C74="","",دانش‌آموزان!C74)</f>
        <v/>
      </c>
      <c r="E844" s="55" t="str">
        <f>IF(دانش‌آموزان!E74="","",دانش‌آموزان!E74&amp;" "&amp;دانش‌آموزان!F74)</f>
        <v/>
      </c>
      <c r="F844" s="34" t="str">
        <f>IF(دانش‌آموزان!I74="","",دانش‌آموزان!I74)</f>
        <v/>
      </c>
      <c r="G844" s="19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  <c r="BJ844" s="20"/>
      <c r="BK844" s="20"/>
      <c r="BL844" s="20"/>
      <c r="BM844" s="20"/>
      <c r="BN844" s="20"/>
      <c r="BO844" s="20"/>
      <c r="BP844" s="20"/>
      <c r="BQ844" s="20"/>
      <c r="BR844" s="20"/>
      <c r="BS844" s="20"/>
      <c r="BT844" s="20"/>
      <c r="BU844" s="20"/>
      <c r="BV844" s="20"/>
      <c r="BW844" s="20"/>
      <c r="BX844" s="20"/>
      <c r="BY844" s="20"/>
      <c r="BZ844" s="20"/>
      <c r="CA844" s="20"/>
      <c r="CB844" s="21"/>
      <c r="CC844" s="27" t="str">
        <f t="shared" si="143"/>
        <v/>
      </c>
      <c r="CD844" s="38" t="str">
        <f t="shared" si="144"/>
        <v/>
      </c>
      <c r="CE844" s="38" t="str">
        <f t="shared" si="145"/>
        <v/>
      </c>
      <c r="CF844" s="38" t="str">
        <f t="shared" si="146"/>
        <v/>
      </c>
      <c r="CG844" s="38" t="str">
        <f t="shared" si="147"/>
        <v/>
      </c>
      <c r="CH844" s="38" t="str">
        <f t="shared" si="148"/>
        <v/>
      </c>
      <c r="CI844" s="38" t="str">
        <f t="shared" si="149"/>
        <v/>
      </c>
      <c r="CJ844" s="38" t="str">
        <f t="shared" si="150"/>
        <v/>
      </c>
      <c r="CK844" s="38" t="str">
        <f t="shared" si="151"/>
        <v/>
      </c>
      <c r="CL844" s="38" t="str">
        <f>IF(C844="","",IF(COUNT(G844:AZ844)&lt;46,"",SUMPRODUCT(CC844:CK844,'تنظیمات وزن‌دهی'!$C$5:$C$13)/100))</f>
        <v/>
      </c>
      <c r="CM844" s="38" t="str">
        <f t="shared" si="152"/>
        <v/>
      </c>
      <c r="CN844" s="38">
        <v>12</v>
      </c>
      <c r="CO844" s="28" t="str">
        <f t="shared" si="153"/>
        <v/>
      </c>
      <c r="CP844" s="58"/>
    </row>
    <row r="845" spans="1:94" ht="17.25" hidden="1">
      <c r="A845" s="33">
        <v>841</v>
      </c>
      <c r="B845" s="55" t="s">
        <v>183</v>
      </c>
      <c r="C845" s="55" t="str">
        <f>IF(دانش‌آموزان!E75="","",دانش‌آموزان!B75)</f>
        <v/>
      </c>
      <c r="D845" s="55" t="str">
        <f>IF(دانش‌آموزان!C75="","",دانش‌آموزان!C75)</f>
        <v/>
      </c>
      <c r="E845" s="55" t="str">
        <f>IF(دانش‌آموزان!E75="","",دانش‌آموزان!E75&amp;" "&amp;دانش‌آموزان!F75)</f>
        <v/>
      </c>
      <c r="F845" s="34" t="str">
        <f>IF(دانش‌آموزان!I75="","",دانش‌آموزان!I75)</f>
        <v/>
      </c>
      <c r="G845" s="19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  <c r="BJ845" s="20"/>
      <c r="BK845" s="20"/>
      <c r="BL845" s="20"/>
      <c r="BM845" s="20"/>
      <c r="BN845" s="20"/>
      <c r="BO845" s="20"/>
      <c r="BP845" s="20"/>
      <c r="BQ845" s="20"/>
      <c r="BR845" s="20"/>
      <c r="BS845" s="20"/>
      <c r="BT845" s="20"/>
      <c r="BU845" s="20"/>
      <c r="BV845" s="20"/>
      <c r="BW845" s="20"/>
      <c r="BX845" s="20"/>
      <c r="BY845" s="20"/>
      <c r="BZ845" s="20"/>
      <c r="CA845" s="20"/>
      <c r="CB845" s="21"/>
      <c r="CC845" s="27" t="str">
        <f t="shared" si="143"/>
        <v/>
      </c>
      <c r="CD845" s="38" t="str">
        <f t="shared" si="144"/>
        <v/>
      </c>
      <c r="CE845" s="38" t="str">
        <f t="shared" si="145"/>
        <v/>
      </c>
      <c r="CF845" s="38" t="str">
        <f t="shared" si="146"/>
        <v/>
      </c>
      <c r="CG845" s="38" t="str">
        <f t="shared" si="147"/>
        <v/>
      </c>
      <c r="CH845" s="38" t="str">
        <f t="shared" si="148"/>
        <v/>
      </c>
      <c r="CI845" s="38" t="str">
        <f t="shared" si="149"/>
        <v/>
      </c>
      <c r="CJ845" s="38" t="str">
        <f t="shared" si="150"/>
        <v/>
      </c>
      <c r="CK845" s="38" t="str">
        <f t="shared" si="151"/>
        <v/>
      </c>
      <c r="CL845" s="38" t="str">
        <f>IF(C845="","",IF(COUNT(G845:AZ845)&lt;46,"",SUMPRODUCT(CC845:CK845,'تنظیمات وزن‌دهی'!$C$5:$C$13)/100))</f>
        <v/>
      </c>
      <c r="CM845" s="38" t="str">
        <f t="shared" si="152"/>
        <v/>
      </c>
      <c r="CN845" s="38">
        <v>1</v>
      </c>
      <c r="CO845" s="28" t="str">
        <f t="shared" si="153"/>
        <v/>
      </c>
      <c r="CP845" s="58"/>
    </row>
    <row r="846" spans="1:94" ht="17.25" hidden="1">
      <c r="A846" s="33">
        <v>842</v>
      </c>
      <c r="B846" s="55" t="s">
        <v>184</v>
      </c>
      <c r="C846" s="55" t="str">
        <f>IF(دانش‌آموزان!E75="","",دانش‌آموزان!B75)</f>
        <v/>
      </c>
      <c r="D846" s="55" t="str">
        <f>IF(دانش‌آموزان!C75="","",دانش‌آموزان!C75)</f>
        <v/>
      </c>
      <c r="E846" s="55" t="str">
        <f>IF(دانش‌آموزان!E75="","",دانش‌آموزان!E75&amp;" "&amp;دانش‌آموزان!F75)</f>
        <v/>
      </c>
      <c r="F846" s="34" t="str">
        <f>IF(دانش‌آموزان!I75="","",دانش‌آموزان!I75)</f>
        <v/>
      </c>
      <c r="G846" s="19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  <c r="BJ846" s="20"/>
      <c r="BK846" s="20"/>
      <c r="BL846" s="20"/>
      <c r="BM846" s="20"/>
      <c r="BN846" s="20"/>
      <c r="BO846" s="20"/>
      <c r="BP846" s="20"/>
      <c r="BQ846" s="20"/>
      <c r="BR846" s="20"/>
      <c r="BS846" s="20"/>
      <c r="BT846" s="20"/>
      <c r="BU846" s="20"/>
      <c r="BV846" s="20"/>
      <c r="BW846" s="20"/>
      <c r="BX846" s="20"/>
      <c r="BY846" s="20"/>
      <c r="BZ846" s="20"/>
      <c r="CA846" s="20"/>
      <c r="CB846" s="21"/>
      <c r="CC846" s="27" t="str">
        <f t="shared" si="143"/>
        <v/>
      </c>
      <c r="CD846" s="38" t="str">
        <f t="shared" si="144"/>
        <v/>
      </c>
      <c r="CE846" s="38" t="str">
        <f t="shared" si="145"/>
        <v/>
      </c>
      <c r="CF846" s="38" t="str">
        <f t="shared" si="146"/>
        <v/>
      </c>
      <c r="CG846" s="38" t="str">
        <f t="shared" si="147"/>
        <v/>
      </c>
      <c r="CH846" s="38" t="str">
        <f t="shared" si="148"/>
        <v/>
      </c>
      <c r="CI846" s="38" t="str">
        <f t="shared" si="149"/>
        <v/>
      </c>
      <c r="CJ846" s="38" t="str">
        <f t="shared" si="150"/>
        <v/>
      </c>
      <c r="CK846" s="38" t="str">
        <f t="shared" si="151"/>
        <v/>
      </c>
      <c r="CL846" s="38" t="str">
        <f>IF(C846="","",IF(COUNT(G846:AZ846)&lt;46,"",SUMPRODUCT(CC846:CK846,'تنظیمات وزن‌دهی'!$C$5:$C$13)/100))</f>
        <v/>
      </c>
      <c r="CM846" s="38" t="str">
        <f t="shared" si="152"/>
        <v/>
      </c>
      <c r="CN846" s="38">
        <v>2</v>
      </c>
      <c r="CO846" s="28" t="str">
        <f t="shared" si="153"/>
        <v/>
      </c>
      <c r="CP846" s="58"/>
    </row>
    <row r="847" spans="1:94" ht="17.25">
      <c r="A847" s="33">
        <v>843</v>
      </c>
      <c r="B847" s="55" t="s">
        <v>185</v>
      </c>
      <c r="C847" s="55" t="str">
        <f>IF(دانش‌آموزان!E75="","",دانش‌آموزان!B75)</f>
        <v/>
      </c>
      <c r="D847" s="55" t="str">
        <f>IF(دانش‌آموزان!C75="","",دانش‌آموزان!C75)</f>
        <v/>
      </c>
      <c r="E847" s="55" t="str">
        <f>IF(دانش‌آموزان!E75="","",دانش‌آموزان!E75&amp;" "&amp;دانش‌آموزان!F75)</f>
        <v/>
      </c>
      <c r="F847" s="34" t="str">
        <f>IF(دانش‌آموزان!I75="","",دانش‌آموزان!I75)</f>
        <v/>
      </c>
      <c r="G847" s="19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0"/>
      <c r="BJ847" s="20"/>
      <c r="BK847" s="20"/>
      <c r="BL847" s="20"/>
      <c r="BM847" s="20"/>
      <c r="BN847" s="20"/>
      <c r="BO847" s="20"/>
      <c r="BP847" s="20"/>
      <c r="BQ847" s="20"/>
      <c r="BR847" s="20"/>
      <c r="BS847" s="20"/>
      <c r="BT847" s="20"/>
      <c r="BU847" s="20"/>
      <c r="BV847" s="20"/>
      <c r="BW847" s="20"/>
      <c r="BX847" s="20"/>
      <c r="BY847" s="20"/>
      <c r="BZ847" s="20"/>
      <c r="CA847" s="20"/>
      <c r="CB847" s="21"/>
      <c r="CC847" s="27" t="str">
        <f t="shared" si="143"/>
        <v/>
      </c>
      <c r="CD847" s="38" t="str">
        <f t="shared" si="144"/>
        <v/>
      </c>
      <c r="CE847" s="38" t="str">
        <f t="shared" si="145"/>
        <v/>
      </c>
      <c r="CF847" s="38" t="str">
        <f t="shared" si="146"/>
        <v/>
      </c>
      <c r="CG847" s="38" t="str">
        <f t="shared" si="147"/>
        <v/>
      </c>
      <c r="CH847" s="38" t="str">
        <f t="shared" si="148"/>
        <v/>
      </c>
      <c r="CI847" s="38" t="str">
        <f t="shared" si="149"/>
        <v/>
      </c>
      <c r="CJ847" s="38" t="str">
        <f t="shared" si="150"/>
        <v/>
      </c>
      <c r="CK847" s="38" t="str">
        <f t="shared" si="151"/>
        <v/>
      </c>
      <c r="CL847" s="38" t="str">
        <f>IF(C847="","",IF(COUNT(G847:AZ847)&lt;46,"",SUMPRODUCT(CC847:CK847,'تنظیمات وزن‌دهی'!$C$5:$C$13)/100))</f>
        <v/>
      </c>
      <c r="CM847" s="38" t="str">
        <f t="shared" si="152"/>
        <v/>
      </c>
      <c r="CN847" s="38">
        <v>3</v>
      </c>
      <c r="CO847" s="28" t="str">
        <f t="shared" si="153"/>
        <v/>
      </c>
      <c r="CP847" s="58"/>
    </row>
    <row r="848" spans="1:94" ht="17.25" hidden="1">
      <c r="A848" s="33">
        <v>844</v>
      </c>
      <c r="B848" s="55" t="s">
        <v>186</v>
      </c>
      <c r="C848" s="55" t="str">
        <f>IF(دانش‌آموزان!E75="","",دانش‌آموزان!B75)</f>
        <v/>
      </c>
      <c r="D848" s="55" t="str">
        <f>IF(دانش‌آموزان!C75="","",دانش‌آموزان!C75)</f>
        <v/>
      </c>
      <c r="E848" s="55" t="str">
        <f>IF(دانش‌آموزان!E75="","",دانش‌آموزان!E75&amp;" "&amp;دانش‌آموزان!F75)</f>
        <v/>
      </c>
      <c r="F848" s="34" t="str">
        <f>IF(دانش‌آموزان!I75="","",دانش‌آموزان!I75)</f>
        <v/>
      </c>
      <c r="G848" s="19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  <c r="BJ848" s="20"/>
      <c r="BK848" s="20"/>
      <c r="BL848" s="20"/>
      <c r="BM848" s="20"/>
      <c r="BN848" s="20"/>
      <c r="BO848" s="20"/>
      <c r="BP848" s="20"/>
      <c r="BQ848" s="20"/>
      <c r="BR848" s="20"/>
      <c r="BS848" s="20"/>
      <c r="BT848" s="20"/>
      <c r="BU848" s="20"/>
      <c r="BV848" s="20"/>
      <c r="BW848" s="20"/>
      <c r="BX848" s="20"/>
      <c r="BY848" s="20"/>
      <c r="BZ848" s="20"/>
      <c r="CA848" s="20"/>
      <c r="CB848" s="21"/>
      <c r="CC848" s="27" t="str">
        <f t="shared" si="143"/>
        <v/>
      </c>
      <c r="CD848" s="38" t="str">
        <f t="shared" si="144"/>
        <v/>
      </c>
      <c r="CE848" s="38" t="str">
        <f t="shared" si="145"/>
        <v/>
      </c>
      <c r="CF848" s="38" t="str">
        <f t="shared" si="146"/>
        <v/>
      </c>
      <c r="CG848" s="38" t="str">
        <f t="shared" si="147"/>
        <v/>
      </c>
      <c r="CH848" s="38" t="str">
        <f t="shared" si="148"/>
        <v/>
      </c>
      <c r="CI848" s="38" t="str">
        <f t="shared" si="149"/>
        <v/>
      </c>
      <c r="CJ848" s="38" t="str">
        <f t="shared" si="150"/>
        <v/>
      </c>
      <c r="CK848" s="38" t="str">
        <f t="shared" si="151"/>
        <v/>
      </c>
      <c r="CL848" s="38" t="str">
        <f>IF(C848="","",IF(COUNT(G848:AZ848)&lt;46,"",SUMPRODUCT(CC848:CK848,'تنظیمات وزن‌دهی'!$C$5:$C$13)/100))</f>
        <v/>
      </c>
      <c r="CM848" s="38" t="str">
        <f t="shared" si="152"/>
        <v/>
      </c>
      <c r="CN848" s="38">
        <v>4</v>
      </c>
      <c r="CO848" s="28" t="str">
        <f t="shared" si="153"/>
        <v/>
      </c>
      <c r="CP848" s="58"/>
    </row>
    <row r="849" spans="1:94" ht="17.25" hidden="1">
      <c r="A849" s="33">
        <v>845</v>
      </c>
      <c r="B849" s="55" t="s">
        <v>187</v>
      </c>
      <c r="C849" s="55" t="str">
        <f>IF(دانش‌آموزان!E75="","",دانش‌آموزان!B75)</f>
        <v/>
      </c>
      <c r="D849" s="55" t="str">
        <f>IF(دانش‌آموزان!C75="","",دانش‌آموزان!C75)</f>
        <v/>
      </c>
      <c r="E849" s="55" t="str">
        <f>IF(دانش‌آموزان!E75="","",دانش‌آموزان!E75&amp;" "&amp;دانش‌آموزان!F75)</f>
        <v/>
      </c>
      <c r="F849" s="34" t="str">
        <f>IF(دانش‌آموزان!I75="","",دانش‌آموزان!I75)</f>
        <v/>
      </c>
      <c r="G849" s="19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  <c r="BJ849" s="20"/>
      <c r="BK849" s="20"/>
      <c r="BL849" s="20"/>
      <c r="BM849" s="20"/>
      <c r="BN849" s="20"/>
      <c r="BO849" s="20"/>
      <c r="BP849" s="20"/>
      <c r="BQ849" s="20"/>
      <c r="BR849" s="20"/>
      <c r="BS849" s="20"/>
      <c r="BT849" s="20"/>
      <c r="BU849" s="20"/>
      <c r="BV849" s="20"/>
      <c r="BW849" s="20"/>
      <c r="BX849" s="20"/>
      <c r="BY849" s="20"/>
      <c r="BZ849" s="20"/>
      <c r="CA849" s="20"/>
      <c r="CB849" s="21"/>
      <c r="CC849" s="27" t="str">
        <f t="shared" si="143"/>
        <v/>
      </c>
      <c r="CD849" s="38" t="str">
        <f t="shared" si="144"/>
        <v/>
      </c>
      <c r="CE849" s="38" t="str">
        <f t="shared" si="145"/>
        <v/>
      </c>
      <c r="CF849" s="38" t="str">
        <f t="shared" si="146"/>
        <v/>
      </c>
      <c r="CG849" s="38" t="str">
        <f t="shared" si="147"/>
        <v/>
      </c>
      <c r="CH849" s="38" t="str">
        <f t="shared" si="148"/>
        <v/>
      </c>
      <c r="CI849" s="38" t="str">
        <f t="shared" si="149"/>
        <v/>
      </c>
      <c r="CJ849" s="38" t="str">
        <f t="shared" si="150"/>
        <v/>
      </c>
      <c r="CK849" s="38" t="str">
        <f t="shared" si="151"/>
        <v/>
      </c>
      <c r="CL849" s="38" t="str">
        <f>IF(C849="","",IF(COUNT(G849:AZ849)&lt;46,"",SUMPRODUCT(CC849:CK849,'تنظیمات وزن‌دهی'!$C$5:$C$13)/100))</f>
        <v/>
      </c>
      <c r="CM849" s="38" t="str">
        <f t="shared" si="152"/>
        <v/>
      </c>
      <c r="CN849" s="38">
        <v>5</v>
      </c>
      <c r="CO849" s="28" t="str">
        <f t="shared" si="153"/>
        <v/>
      </c>
      <c r="CP849" s="58"/>
    </row>
    <row r="850" spans="1:94" ht="17.25" hidden="1">
      <c r="A850" s="33">
        <v>846</v>
      </c>
      <c r="B850" s="55" t="s">
        <v>188</v>
      </c>
      <c r="C850" s="55" t="str">
        <f>IF(دانش‌آموزان!E75="","",دانش‌آموزان!B75)</f>
        <v/>
      </c>
      <c r="D850" s="55" t="str">
        <f>IF(دانش‌آموزان!C75="","",دانش‌آموزان!C75)</f>
        <v/>
      </c>
      <c r="E850" s="55" t="str">
        <f>IF(دانش‌آموزان!E75="","",دانش‌آموزان!E75&amp;" "&amp;دانش‌آموزان!F75)</f>
        <v/>
      </c>
      <c r="F850" s="34" t="str">
        <f>IF(دانش‌آموزان!I75="","",دانش‌آموزان!I75)</f>
        <v/>
      </c>
      <c r="G850" s="19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  <c r="BJ850" s="20"/>
      <c r="BK850" s="20"/>
      <c r="BL850" s="20"/>
      <c r="BM850" s="20"/>
      <c r="BN850" s="20"/>
      <c r="BO850" s="20"/>
      <c r="BP850" s="20"/>
      <c r="BQ850" s="20"/>
      <c r="BR850" s="20"/>
      <c r="BS850" s="20"/>
      <c r="BT850" s="20"/>
      <c r="BU850" s="20"/>
      <c r="BV850" s="20"/>
      <c r="BW850" s="20"/>
      <c r="BX850" s="20"/>
      <c r="BY850" s="20"/>
      <c r="BZ850" s="20"/>
      <c r="CA850" s="20"/>
      <c r="CB850" s="21"/>
      <c r="CC850" s="27" t="str">
        <f t="shared" si="143"/>
        <v/>
      </c>
      <c r="CD850" s="38" t="str">
        <f t="shared" si="144"/>
        <v/>
      </c>
      <c r="CE850" s="38" t="str">
        <f t="shared" si="145"/>
        <v/>
      </c>
      <c r="CF850" s="38" t="str">
        <f t="shared" si="146"/>
        <v/>
      </c>
      <c r="CG850" s="38" t="str">
        <f t="shared" si="147"/>
        <v/>
      </c>
      <c r="CH850" s="38" t="str">
        <f t="shared" si="148"/>
        <v/>
      </c>
      <c r="CI850" s="38" t="str">
        <f t="shared" si="149"/>
        <v/>
      </c>
      <c r="CJ850" s="38" t="str">
        <f t="shared" si="150"/>
        <v/>
      </c>
      <c r="CK850" s="38" t="str">
        <f t="shared" si="151"/>
        <v/>
      </c>
      <c r="CL850" s="38" t="str">
        <f>IF(C850="","",IF(COUNT(G850:AZ850)&lt;46,"",SUMPRODUCT(CC850:CK850,'تنظیمات وزن‌دهی'!$C$5:$C$13)/100))</f>
        <v/>
      </c>
      <c r="CM850" s="38" t="str">
        <f t="shared" si="152"/>
        <v/>
      </c>
      <c r="CN850" s="38">
        <v>6</v>
      </c>
      <c r="CO850" s="28" t="str">
        <f t="shared" si="153"/>
        <v/>
      </c>
      <c r="CP850" s="58"/>
    </row>
    <row r="851" spans="1:94" ht="17.25" hidden="1">
      <c r="A851" s="33">
        <v>847</v>
      </c>
      <c r="B851" s="55" t="s">
        <v>189</v>
      </c>
      <c r="C851" s="55" t="str">
        <f>IF(دانش‌آموزان!E75="","",دانش‌آموزان!B75)</f>
        <v/>
      </c>
      <c r="D851" s="55" t="str">
        <f>IF(دانش‌آموزان!C75="","",دانش‌آموزان!C75)</f>
        <v/>
      </c>
      <c r="E851" s="55" t="str">
        <f>IF(دانش‌آموزان!E75="","",دانش‌آموزان!E75&amp;" "&amp;دانش‌آموزان!F75)</f>
        <v/>
      </c>
      <c r="F851" s="34" t="str">
        <f>IF(دانش‌آموزان!I75="","",دانش‌آموزان!I75)</f>
        <v/>
      </c>
      <c r="G851" s="19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  <c r="BJ851" s="20"/>
      <c r="BK851" s="20"/>
      <c r="BL851" s="20"/>
      <c r="BM851" s="20"/>
      <c r="BN851" s="20"/>
      <c r="BO851" s="20"/>
      <c r="BP851" s="20"/>
      <c r="BQ851" s="20"/>
      <c r="BR851" s="20"/>
      <c r="BS851" s="20"/>
      <c r="BT851" s="20"/>
      <c r="BU851" s="20"/>
      <c r="BV851" s="20"/>
      <c r="BW851" s="20"/>
      <c r="BX851" s="20"/>
      <c r="BY851" s="20"/>
      <c r="BZ851" s="20"/>
      <c r="CA851" s="20"/>
      <c r="CB851" s="21"/>
      <c r="CC851" s="27" t="str">
        <f t="shared" si="143"/>
        <v/>
      </c>
      <c r="CD851" s="38" t="str">
        <f t="shared" si="144"/>
        <v/>
      </c>
      <c r="CE851" s="38" t="str">
        <f t="shared" si="145"/>
        <v/>
      </c>
      <c r="CF851" s="38" t="str">
        <f t="shared" si="146"/>
        <v/>
      </c>
      <c r="CG851" s="38" t="str">
        <f t="shared" si="147"/>
        <v/>
      </c>
      <c r="CH851" s="38" t="str">
        <f t="shared" si="148"/>
        <v/>
      </c>
      <c r="CI851" s="38" t="str">
        <f t="shared" si="149"/>
        <v/>
      </c>
      <c r="CJ851" s="38" t="str">
        <f t="shared" si="150"/>
        <v/>
      </c>
      <c r="CK851" s="38" t="str">
        <f t="shared" si="151"/>
        <v/>
      </c>
      <c r="CL851" s="38" t="str">
        <f>IF(C851="","",IF(COUNT(G851:AZ851)&lt;46,"",SUMPRODUCT(CC851:CK851,'تنظیمات وزن‌دهی'!$C$5:$C$13)/100))</f>
        <v/>
      </c>
      <c r="CM851" s="38" t="str">
        <f t="shared" si="152"/>
        <v/>
      </c>
      <c r="CN851" s="38">
        <v>7</v>
      </c>
      <c r="CO851" s="28" t="str">
        <f t="shared" si="153"/>
        <v/>
      </c>
      <c r="CP851" s="58"/>
    </row>
    <row r="852" spans="1:94" ht="17.25" hidden="1">
      <c r="A852" s="33">
        <v>848</v>
      </c>
      <c r="B852" s="55" t="s">
        <v>190</v>
      </c>
      <c r="C852" s="55" t="str">
        <f>IF(دانش‌آموزان!E75="","",دانش‌آموزان!B75)</f>
        <v/>
      </c>
      <c r="D852" s="55" t="str">
        <f>IF(دانش‌آموزان!C75="","",دانش‌آموزان!C75)</f>
        <v/>
      </c>
      <c r="E852" s="55" t="str">
        <f>IF(دانش‌آموزان!E75="","",دانش‌آموزان!E75&amp;" "&amp;دانش‌آموزان!F75)</f>
        <v/>
      </c>
      <c r="F852" s="34" t="str">
        <f>IF(دانش‌آموزان!I75="","",دانش‌آموزان!I75)</f>
        <v/>
      </c>
      <c r="G852" s="19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  <c r="BJ852" s="20"/>
      <c r="BK852" s="20"/>
      <c r="BL852" s="20"/>
      <c r="BM852" s="20"/>
      <c r="BN852" s="20"/>
      <c r="BO852" s="20"/>
      <c r="BP852" s="20"/>
      <c r="BQ852" s="20"/>
      <c r="BR852" s="20"/>
      <c r="BS852" s="20"/>
      <c r="BT852" s="20"/>
      <c r="BU852" s="20"/>
      <c r="BV852" s="20"/>
      <c r="BW852" s="20"/>
      <c r="BX852" s="20"/>
      <c r="BY852" s="20"/>
      <c r="BZ852" s="20"/>
      <c r="CA852" s="20"/>
      <c r="CB852" s="21"/>
      <c r="CC852" s="27" t="str">
        <f t="shared" si="143"/>
        <v/>
      </c>
      <c r="CD852" s="38" t="str">
        <f t="shared" si="144"/>
        <v/>
      </c>
      <c r="CE852" s="38" t="str">
        <f t="shared" si="145"/>
        <v/>
      </c>
      <c r="CF852" s="38" t="str">
        <f t="shared" si="146"/>
        <v/>
      </c>
      <c r="CG852" s="38" t="str">
        <f t="shared" si="147"/>
        <v/>
      </c>
      <c r="CH852" s="38" t="str">
        <f t="shared" si="148"/>
        <v/>
      </c>
      <c r="CI852" s="38" t="str">
        <f t="shared" si="149"/>
        <v/>
      </c>
      <c r="CJ852" s="38" t="str">
        <f t="shared" si="150"/>
        <v/>
      </c>
      <c r="CK852" s="38" t="str">
        <f t="shared" si="151"/>
        <v/>
      </c>
      <c r="CL852" s="38" t="str">
        <f>IF(C852="","",IF(COUNT(G852:AZ852)&lt;46,"",SUMPRODUCT(CC852:CK852,'تنظیمات وزن‌دهی'!$C$5:$C$13)/100))</f>
        <v/>
      </c>
      <c r="CM852" s="38" t="str">
        <f t="shared" si="152"/>
        <v/>
      </c>
      <c r="CN852" s="38">
        <v>8</v>
      </c>
      <c r="CO852" s="28" t="str">
        <f t="shared" si="153"/>
        <v/>
      </c>
      <c r="CP852" s="58"/>
    </row>
    <row r="853" spans="1:94" ht="17.25" hidden="1">
      <c r="A853" s="33">
        <v>849</v>
      </c>
      <c r="B853" s="55" t="s">
        <v>191</v>
      </c>
      <c r="C853" s="55" t="str">
        <f>IF(دانش‌آموزان!E75="","",دانش‌آموزان!B75)</f>
        <v/>
      </c>
      <c r="D853" s="55" t="str">
        <f>IF(دانش‌آموزان!C75="","",دانش‌آموزان!C75)</f>
        <v/>
      </c>
      <c r="E853" s="55" t="str">
        <f>IF(دانش‌آموزان!E75="","",دانش‌آموزان!E75&amp;" "&amp;دانش‌آموزان!F75)</f>
        <v/>
      </c>
      <c r="F853" s="34" t="str">
        <f>IF(دانش‌آموزان!I75="","",دانش‌آموزان!I75)</f>
        <v/>
      </c>
      <c r="G853" s="19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  <c r="BJ853" s="20"/>
      <c r="BK853" s="20"/>
      <c r="BL853" s="20"/>
      <c r="BM853" s="20"/>
      <c r="BN853" s="20"/>
      <c r="BO853" s="20"/>
      <c r="BP853" s="20"/>
      <c r="BQ853" s="20"/>
      <c r="BR853" s="20"/>
      <c r="BS853" s="20"/>
      <c r="BT853" s="20"/>
      <c r="BU853" s="20"/>
      <c r="BV853" s="20"/>
      <c r="BW853" s="20"/>
      <c r="BX853" s="20"/>
      <c r="BY853" s="20"/>
      <c r="BZ853" s="20"/>
      <c r="CA853" s="20"/>
      <c r="CB853" s="21"/>
      <c r="CC853" s="27" t="str">
        <f t="shared" si="143"/>
        <v/>
      </c>
      <c r="CD853" s="38" t="str">
        <f t="shared" si="144"/>
        <v/>
      </c>
      <c r="CE853" s="38" t="str">
        <f t="shared" si="145"/>
        <v/>
      </c>
      <c r="CF853" s="38" t="str">
        <f t="shared" si="146"/>
        <v/>
      </c>
      <c r="CG853" s="38" t="str">
        <f t="shared" si="147"/>
        <v/>
      </c>
      <c r="CH853" s="38" t="str">
        <f t="shared" si="148"/>
        <v/>
      </c>
      <c r="CI853" s="38" t="str">
        <f t="shared" si="149"/>
        <v/>
      </c>
      <c r="CJ853" s="38" t="str">
        <f t="shared" si="150"/>
        <v/>
      </c>
      <c r="CK853" s="38" t="str">
        <f t="shared" si="151"/>
        <v/>
      </c>
      <c r="CL853" s="38" t="str">
        <f>IF(C853="","",IF(COUNT(G853:AZ853)&lt;46,"",SUMPRODUCT(CC853:CK853,'تنظیمات وزن‌دهی'!$C$5:$C$13)/100))</f>
        <v/>
      </c>
      <c r="CM853" s="38" t="str">
        <f t="shared" si="152"/>
        <v/>
      </c>
      <c r="CN853" s="38">
        <v>9</v>
      </c>
      <c r="CO853" s="28" t="str">
        <f t="shared" si="153"/>
        <v/>
      </c>
      <c r="CP853" s="58"/>
    </row>
    <row r="854" spans="1:94" ht="17.25" hidden="1">
      <c r="A854" s="33">
        <v>850</v>
      </c>
      <c r="B854" s="55" t="s">
        <v>192</v>
      </c>
      <c r="C854" s="55" t="str">
        <f>IF(دانش‌آموزان!E75="","",دانش‌آموزان!B75)</f>
        <v/>
      </c>
      <c r="D854" s="55" t="str">
        <f>IF(دانش‌آموزان!C75="","",دانش‌آموزان!C75)</f>
        <v/>
      </c>
      <c r="E854" s="55" t="str">
        <f>IF(دانش‌آموزان!E75="","",دانش‌آموزان!E75&amp;" "&amp;دانش‌آموزان!F75)</f>
        <v/>
      </c>
      <c r="F854" s="34" t="str">
        <f>IF(دانش‌آموزان!I75="","",دانش‌آموزان!I75)</f>
        <v/>
      </c>
      <c r="G854" s="19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  <c r="BJ854" s="20"/>
      <c r="BK854" s="20"/>
      <c r="BL854" s="20"/>
      <c r="BM854" s="20"/>
      <c r="BN854" s="20"/>
      <c r="BO854" s="20"/>
      <c r="BP854" s="20"/>
      <c r="BQ854" s="20"/>
      <c r="BR854" s="20"/>
      <c r="BS854" s="20"/>
      <c r="BT854" s="20"/>
      <c r="BU854" s="20"/>
      <c r="BV854" s="20"/>
      <c r="BW854" s="20"/>
      <c r="BX854" s="20"/>
      <c r="BY854" s="20"/>
      <c r="BZ854" s="20"/>
      <c r="CA854" s="20"/>
      <c r="CB854" s="21"/>
      <c r="CC854" s="27" t="str">
        <f t="shared" si="143"/>
        <v/>
      </c>
      <c r="CD854" s="38" t="str">
        <f t="shared" si="144"/>
        <v/>
      </c>
      <c r="CE854" s="38" t="str">
        <f t="shared" si="145"/>
        <v/>
      </c>
      <c r="CF854" s="38" t="str">
        <f t="shared" si="146"/>
        <v/>
      </c>
      <c r="CG854" s="38" t="str">
        <f t="shared" si="147"/>
        <v/>
      </c>
      <c r="CH854" s="38" t="str">
        <f t="shared" si="148"/>
        <v/>
      </c>
      <c r="CI854" s="38" t="str">
        <f t="shared" si="149"/>
        <v/>
      </c>
      <c r="CJ854" s="38" t="str">
        <f t="shared" si="150"/>
        <v/>
      </c>
      <c r="CK854" s="38" t="str">
        <f t="shared" si="151"/>
        <v/>
      </c>
      <c r="CL854" s="38" t="str">
        <f>IF(C854="","",IF(COUNT(G854:AZ854)&lt;46,"",SUMPRODUCT(CC854:CK854,'تنظیمات وزن‌دهی'!$C$5:$C$13)/100))</f>
        <v/>
      </c>
      <c r="CM854" s="38" t="str">
        <f t="shared" si="152"/>
        <v/>
      </c>
      <c r="CN854" s="38">
        <v>10</v>
      </c>
      <c r="CO854" s="28" t="str">
        <f t="shared" si="153"/>
        <v/>
      </c>
      <c r="CP854" s="58"/>
    </row>
    <row r="855" spans="1:94" ht="17.25" hidden="1">
      <c r="A855" s="33">
        <v>851</v>
      </c>
      <c r="B855" s="55" t="s">
        <v>193</v>
      </c>
      <c r="C855" s="55" t="str">
        <f>IF(دانش‌آموزان!E75="","",دانش‌آموزان!B75)</f>
        <v/>
      </c>
      <c r="D855" s="55" t="str">
        <f>IF(دانش‌آموزان!C75="","",دانش‌آموزان!C75)</f>
        <v/>
      </c>
      <c r="E855" s="55" t="str">
        <f>IF(دانش‌آموزان!E75="","",دانش‌آموزان!E75&amp;" "&amp;دانش‌آموزان!F75)</f>
        <v/>
      </c>
      <c r="F855" s="34" t="str">
        <f>IF(دانش‌آموزان!I75="","",دانش‌آموزان!I75)</f>
        <v/>
      </c>
      <c r="G855" s="19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  <c r="BJ855" s="20"/>
      <c r="BK855" s="20"/>
      <c r="BL855" s="20"/>
      <c r="BM855" s="20"/>
      <c r="BN855" s="20"/>
      <c r="BO855" s="20"/>
      <c r="BP855" s="20"/>
      <c r="BQ855" s="20"/>
      <c r="BR855" s="20"/>
      <c r="BS855" s="20"/>
      <c r="BT855" s="20"/>
      <c r="BU855" s="20"/>
      <c r="BV855" s="20"/>
      <c r="BW855" s="20"/>
      <c r="BX855" s="20"/>
      <c r="BY855" s="20"/>
      <c r="BZ855" s="20"/>
      <c r="CA855" s="20"/>
      <c r="CB855" s="21"/>
      <c r="CC855" s="27" t="str">
        <f t="shared" si="143"/>
        <v/>
      </c>
      <c r="CD855" s="38" t="str">
        <f t="shared" si="144"/>
        <v/>
      </c>
      <c r="CE855" s="38" t="str">
        <f t="shared" si="145"/>
        <v/>
      </c>
      <c r="CF855" s="38" t="str">
        <f t="shared" si="146"/>
        <v/>
      </c>
      <c r="CG855" s="38" t="str">
        <f t="shared" si="147"/>
        <v/>
      </c>
      <c r="CH855" s="38" t="str">
        <f t="shared" si="148"/>
        <v/>
      </c>
      <c r="CI855" s="38" t="str">
        <f t="shared" si="149"/>
        <v/>
      </c>
      <c r="CJ855" s="38" t="str">
        <f t="shared" si="150"/>
        <v/>
      </c>
      <c r="CK855" s="38" t="str">
        <f t="shared" si="151"/>
        <v/>
      </c>
      <c r="CL855" s="38" t="str">
        <f>IF(C855="","",IF(COUNT(G855:AZ855)&lt;46,"",SUMPRODUCT(CC855:CK855,'تنظیمات وزن‌دهی'!$C$5:$C$13)/100))</f>
        <v/>
      </c>
      <c r="CM855" s="38" t="str">
        <f t="shared" si="152"/>
        <v/>
      </c>
      <c r="CN855" s="38">
        <v>11</v>
      </c>
      <c r="CO855" s="28" t="str">
        <f t="shared" si="153"/>
        <v/>
      </c>
      <c r="CP855" s="58"/>
    </row>
    <row r="856" spans="1:94" ht="17.25" hidden="1">
      <c r="A856" s="33">
        <v>852</v>
      </c>
      <c r="B856" s="55" t="s">
        <v>194</v>
      </c>
      <c r="C856" s="55" t="str">
        <f>IF(دانش‌آموزان!E75="","",دانش‌آموزان!B75)</f>
        <v/>
      </c>
      <c r="D856" s="55" t="str">
        <f>IF(دانش‌آموزان!C75="","",دانش‌آموزان!C75)</f>
        <v/>
      </c>
      <c r="E856" s="55" t="str">
        <f>IF(دانش‌آموزان!E75="","",دانش‌آموزان!E75&amp;" "&amp;دانش‌آموزان!F75)</f>
        <v/>
      </c>
      <c r="F856" s="34" t="str">
        <f>IF(دانش‌آموزان!I75="","",دانش‌آموزان!I75)</f>
        <v/>
      </c>
      <c r="G856" s="19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  <c r="BJ856" s="20"/>
      <c r="BK856" s="20"/>
      <c r="BL856" s="20"/>
      <c r="BM856" s="20"/>
      <c r="BN856" s="20"/>
      <c r="BO856" s="20"/>
      <c r="BP856" s="20"/>
      <c r="BQ856" s="20"/>
      <c r="BR856" s="20"/>
      <c r="BS856" s="20"/>
      <c r="BT856" s="20"/>
      <c r="BU856" s="20"/>
      <c r="BV856" s="20"/>
      <c r="BW856" s="20"/>
      <c r="BX856" s="20"/>
      <c r="BY856" s="20"/>
      <c r="BZ856" s="20"/>
      <c r="CA856" s="20"/>
      <c r="CB856" s="21"/>
      <c r="CC856" s="27" t="str">
        <f t="shared" si="143"/>
        <v/>
      </c>
      <c r="CD856" s="38" t="str">
        <f t="shared" si="144"/>
        <v/>
      </c>
      <c r="CE856" s="38" t="str">
        <f t="shared" si="145"/>
        <v/>
      </c>
      <c r="CF856" s="38" t="str">
        <f t="shared" si="146"/>
        <v/>
      </c>
      <c r="CG856" s="38" t="str">
        <f t="shared" si="147"/>
        <v/>
      </c>
      <c r="CH856" s="38" t="str">
        <f t="shared" si="148"/>
        <v/>
      </c>
      <c r="CI856" s="38" t="str">
        <f t="shared" si="149"/>
        <v/>
      </c>
      <c r="CJ856" s="38" t="str">
        <f t="shared" si="150"/>
        <v/>
      </c>
      <c r="CK856" s="38" t="str">
        <f t="shared" si="151"/>
        <v/>
      </c>
      <c r="CL856" s="38" t="str">
        <f>IF(C856="","",IF(COUNT(G856:AZ856)&lt;46,"",SUMPRODUCT(CC856:CK856,'تنظیمات وزن‌دهی'!$C$5:$C$13)/100))</f>
        <v/>
      </c>
      <c r="CM856" s="38" t="str">
        <f t="shared" si="152"/>
        <v/>
      </c>
      <c r="CN856" s="38">
        <v>12</v>
      </c>
      <c r="CO856" s="28" t="str">
        <f t="shared" si="153"/>
        <v/>
      </c>
      <c r="CP856" s="58"/>
    </row>
    <row r="857" spans="1:94" ht="17.25" hidden="1">
      <c r="A857" s="33">
        <v>853</v>
      </c>
      <c r="B857" s="55" t="s">
        <v>183</v>
      </c>
      <c r="C857" s="55" t="str">
        <f>IF(دانش‌آموزان!E76="","",دانش‌آموزان!B76)</f>
        <v/>
      </c>
      <c r="D857" s="55" t="str">
        <f>IF(دانش‌آموزان!C76="","",دانش‌آموزان!C76)</f>
        <v/>
      </c>
      <c r="E857" s="55" t="str">
        <f>IF(دانش‌آموزان!E76="","",دانش‌آموزان!E76&amp;" "&amp;دانش‌آموزان!F76)</f>
        <v/>
      </c>
      <c r="F857" s="34" t="str">
        <f>IF(دانش‌آموزان!I76="","",دانش‌آموزان!I76)</f>
        <v/>
      </c>
      <c r="G857" s="19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  <c r="BJ857" s="20"/>
      <c r="BK857" s="20"/>
      <c r="BL857" s="20"/>
      <c r="BM857" s="20"/>
      <c r="BN857" s="20"/>
      <c r="BO857" s="20"/>
      <c r="BP857" s="20"/>
      <c r="BQ857" s="20"/>
      <c r="BR857" s="20"/>
      <c r="BS857" s="20"/>
      <c r="BT857" s="20"/>
      <c r="BU857" s="20"/>
      <c r="BV857" s="20"/>
      <c r="BW857" s="20"/>
      <c r="BX857" s="20"/>
      <c r="BY857" s="20"/>
      <c r="BZ857" s="20"/>
      <c r="CA857" s="20"/>
      <c r="CB857" s="21"/>
      <c r="CC857" s="27" t="str">
        <f t="shared" si="143"/>
        <v/>
      </c>
      <c r="CD857" s="38" t="str">
        <f t="shared" si="144"/>
        <v/>
      </c>
      <c r="CE857" s="38" t="str">
        <f t="shared" si="145"/>
        <v/>
      </c>
      <c r="CF857" s="38" t="str">
        <f t="shared" si="146"/>
        <v/>
      </c>
      <c r="CG857" s="38" t="str">
        <f t="shared" si="147"/>
        <v/>
      </c>
      <c r="CH857" s="38" t="str">
        <f t="shared" si="148"/>
        <v/>
      </c>
      <c r="CI857" s="38" t="str">
        <f t="shared" si="149"/>
        <v/>
      </c>
      <c r="CJ857" s="38" t="str">
        <f t="shared" si="150"/>
        <v/>
      </c>
      <c r="CK857" s="38" t="str">
        <f t="shared" si="151"/>
        <v/>
      </c>
      <c r="CL857" s="38" t="str">
        <f>IF(C857="","",IF(COUNT(G857:AZ857)&lt;46,"",SUMPRODUCT(CC857:CK857,'تنظیمات وزن‌دهی'!$C$5:$C$13)/100))</f>
        <v/>
      </c>
      <c r="CM857" s="38" t="str">
        <f t="shared" si="152"/>
        <v/>
      </c>
      <c r="CN857" s="38">
        <v>1</v>
      </c>
      <c r="CO857" s="28" t="str">
        <f t="shared" si="153"/>
        <v/>
      </c>
      <c r="CP857" s="58"/>
    </row>
    <row r="858" spans="1:94" ht="17.25" hidden="1">
      <c r="A858" s="33">
        <v>854</v>
      </c>
      <c r="B858" s="55" t="s">
        <v>184</v>
      </c>
      <c r="C858" s="55" t="str">
        <f>IF(دانش‌آموزان!E76="","",دانش‌آموزان!B76)</f>
        <v/>
      </c>
      <c r="D858" s="55" t="str">
        <f>IF(دانش‌آموزان!C76="","",دانش‌آموزان!C76)</f>
        <v/>
      </c>
      <c r="E858" s="55" t="str">
        <f>IF(دانش‌آموزان!E76="","",دانش‌آموزان!E76&amp;" "&amp;دانش‌آموزان!F76)</f>
        <v/>
      </c>
      <c r="F858" s="34" t="str">
        <f>IF(دانش‌آموزان!I76="","",دانش‌آموزان!I76)</f>
        <v/>
      </c>
      <c r="G858" s="19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  <c r="BJ858" s="20"/>
      <c r="BK858" s="20"/>
      <c r="BL858" s="20"/>
      <c r="BM858" s="20"/>
      <c r="BN858" s="20"/>
      <c r="BO858" s="20"/>
      <c r="BP858" s="20"/>
      <c r="BQ858" s="20"/>
      <c r="BR858" s="20"/>
      <c r="BS858" s="20"/>
      <c r="BT858" s="20"/>
      <c r="BU858" s="20"/>
      <c r="BV858" s="20"/>
      <c r="BW858" s="20"/>
      <c r="BX858" s="20"/>
      <c r="BY858" s="20"/>
      <c r="BZ858" s="20"/>
      <c r="CA858" s="20"/>
      <c r="CB858" s="21"/>
      <c r="CC858" s="27" t="str">
        <f t="shared" si="143"/>
        <v/>
      </c>
      <c r="CD858" s="38" t="str">
        <f t="shared" si="144"/>
        <v/>
      </c>
      <c r="CE858" s="38" t="str">
        <f t="shared" si="145"/>
        <v/>
      </c>
      <c r="CF858" s="38" t="str">
        <f t="shared" si="146"/>
        <v/>
      </c>
      <c r="CG858" s="38" t="str">
        <f t="shared" si="147"/>
        <v/>
      </c>
      <c r="CH858" s="38" t="str">
        <f t="shared" si="148"/>
        <v/>
      </c>
      <c r="CI858" s="38" t="str">
        <f t="shared" si="149"/>
        <v/>
      </c>
      <c r="CJ858" s="38" t="str">
        <f t="shared" si="150"/>
        <v/>
      </c>
      <c r="CK858" s="38" t="str">
        <f t="shared" si="151"/>
        <v/>
      </c>
      <c r="CL858" s="38" t="str">
        <f>IF(C858="","",IF(COUNT(G858:AZ858)&lt;46,"",SUMPRODUCT(CC858:CK858,'تنظیمات وزن‌دهی'!$C$5:$C$13)/100))</f>
        <v/>
      </c>
      <c r="CM858" s="38" t="str">
        <f t="shared" si="152"/>
        <v/>
      </c>
      <c r="CN858" s="38">
        <v>2</v>
      </c>
      <c r="CO858" s="28" t="str">
        <f t="shared" si="153"/>
        <v/>
      </c>
      <c r="CP858" s="58"/>
    </row>
    <row r="859" spans="1:94" ht="17.25">
      <c r="A859" s="33">
        <v>855</v>
      </c>
      <c r="B859" s="55" t="s">
        <v>185</v>
      </c>
      <c r="C859" s="55" t="str">
        <f>IF(دانش‌آموزان!E76="","",دانش‌آموزان!B76)</f>
        <v/>
      </c>
      <c r="D859" s="55" t="str">
        <f>IF(دانش‌آموزان!C76="","",دانش‌آموزان!C76)</f>
        <v/>
      </c>
      <c r="E859" s="55" t="str">
        <f>IF(دانش‌آموزان!E76="","",دانش‌آموزان!E76&amp;" "&amp;دانش‌آموزان!F76)</f>
        <v/>
      </c>
      <c r="F859" s="34" t="str">
        <f>IF(دانش‌آموزان!I76="","",دانش‌آموزان!I76)</f>
        <v/>
      </c>
      <c r="G859" s="19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  <c r="BJ859" s="20"/>
      <c r="BK859" s="20"/>
      <c r="BL859" s="20"/>
      <c r="BM859" s="20"/>
      <c r="BN859" s="20"/>
      <c r="BO859" s="20"/>
      <c r="BP859" s="20"/>
      <c r="BQ859" s="20"/>
      <c r="BR859" s="20"/>
      <c r="BS859" s="20"/>
      <c r="BT859" s="20"/>
      <c r="BU859" s="20"/>
      <c r="BV859" s="20"/>
      <c r="BW859" s="20"/>
      <c r="BX859" s="20"/>
      <c r="BY859" s="20"/>
      <c r="BZ859" s="20"/>
      <c r="CA859" s="20"/>
      <c r="CB859" s="21"/>
      <c r="CC859" s="27" t="str">
        <f t="shared" si="143"/>
        <v/>
      </c>
      <c r="CD859" s="38" t="str">
        <f t="shared" si="144"/>
        <v/>
      </c>
      <c r="CE859" s="38" t="str">
        <f t="shared" si="145"/>
        <v/>
      </c>
      <c r="CF859" s="38" t="str">
        <f t="shared" si="146"/>
        <v/>
      </c>
      <c r="CG859" s="38" t="str">
        <f t="shared" si="147"/>
        <v/>
      </c>
      <c r="CH859" s="38" t="str">
        <f t="shared" si="148"/>
        <v/>
      </c>
      <c r="CI859" s="38" t="str">
        <f t="shared" si="149"/>
        <v/>
      </c>
      <c r="CJ859" s="38" t="str">
        <f t="shared" si="150"/>
        <v/>
      </c>
      <c r="CK859" s="38" t="str">
        <f t="shared" si="151"/>
        <v/>
      </c>
      <c r="CL859" s="38" t="str">
        <f>IF(C859="","",IF(COUNT(G859:AZ859)&lt;46,"",SUMPRODUCT(CC859:CK859,'تنظیمات وزن‌دهی'!$C$5:$C$13)/100))</f>
        <v/>
      </c>
      <c r="CM859" s="38" t="str">
        <f t="shared" si="152"/>
        <v/>
      </c>
      <c r="CN859" s="38">
        <v>3</v>
      </c>
      <c r="CO859" s="28" t="str">
        <f t="shared" si="153"/>
        <v/>
      </c>
      <c r="CP859" s="58"/>
    </row>
    <row r="860" spans="1:94" ht="17.25" hidden="1">
      <c r="A860" s="33">
        <v>856</v>
      </c>
      <c r="B860" s="55" t="s">
        <v>186</v>
      </c>
      <c r="C860" s="55" t="str">
        <f>IF(دانش‌آموزان!E76="","",دانش‌آموزان!B76)</f>
        <v/>
      </c>
      <c r="D860" s="55" t="str">
        <f>IF(دانش‌آموزان!C76="","",دانش‌آموزان!C76)</f>
        <v/>
      </c>
      <c r="E860" s="55" t="str">
        <f>IF(دانش‌آموزان!E76="","",دانش‌آموزان!E76&amp;" "&amp;دانش‌آموزان!F76)</f>
        <v/>
      </c>
      <c r="F860" s="34" t="str">
        <f>IF(دانش‌آموزان!I76="","",دانش‌آموزان!I76)</f>
        <v/>
      </c>
      <c r="G860" s="19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  <c r="BJ860" s="20"/>
      <c r="BK860" s="20"/>
      <c r="BL860" s="20"/>
      <c r="BM860" s="20"/>
      <c r="BN860" s="20"/>
      <c r="BO860" s="20"/>
      <c r="BP860" s="20"/>
      <c r="BQ860" s="20"/>
      <c r="BR860" s="20"/>
      <c r="BS860" s="20"/>
      <c r="BT860" s="20"/>
      <c r="BU860" s="20"/>
      <c r="BV860" s="20"/>
      <c r="BW860" s="20"/>
      <c r="BX860" s="20"/>
      <c r="BY860" s="20"/>
      <c r="BZ860" s="20"/>
      <c r="CA860" s="20"/>
      <c r="CB860" s="21"/>
      <c r="CC860" s="27" t="str">
        <f t="shared" si="143"/>
        <v/>
      </c>
      <c r="CD860" s="38" t="str">
        <f t="shared" si="144"/>
        <v/>
      </c>
      <c r="CE860" s="38" t="str">
        <f t="shared" si="145"/>
        <v/>
      </c>
      <c r="CF860" s="38" t="str">
        <f t="shared" si="146"/>
        <v/>
      </c>
      <c r="CG860" s="38" t="str">
        <f t="shared" si="147"/>
        <v/>
      </c>
      <c r="CH860" s="38" t="str">
        <f t="shared" si="148"/>
        <v/>
      </c>
      <c r="CI860" s="38" t="str">
        <f t="shared" si="149"/>
        <v/>
      </c>
      <c r="CJ860" s="38" t="str">
        <f t="shared" si="150"/>
        <v/>
      </c>
      <c r="CK860" s="38" t="str">
        <f t="shared" si="151"/>
        <v/>
      </c>
      <c r="CL860" s="38" t="str">
        <f>IF(C860="","",IF(COUNT(G860:AZ860)&lt;46,"",SUMPRODUCT(CC860:CK860,'تنظیمات وزن‌دهی'!$C$5:$C$13)/100))</f>
        <v/>
      </c>
      <c r="CM860" s="38" t="str">
        <f t="shared" si="152"/>
        <v/>
      </c>
      <c r="CN860" s="38">
        <v>4</v>
      </c>
      <c r="CO860" s="28" t="str">
        <f t="shared" si="153"/>
        <v/>
      </c>
      <c r="CP860" s="58"/>
    </row>
    <row r="861" spans="1:94" ht="17.25" hidden="1">
      <c r="A861" s="33">
        <v>857</v>
      </c>
      <c r="B861" s="55" t="s">
        <v>187</v>
      </c>
      <c r="C861" s="55" t="str">
        <f>IF(دانش‌آموزان!E76="","",دانش‌آموزان!B76)</f>
        <v/>
      </c>
      <c r="D861" s="55" t="str">
        <f>IF(دانش‌آموزان!C76="","",دانش‌آموزان!C76)</f>
        <v/>
      </c>
      <c r="E861" s="55" t="str">
        <f>IF(دانش‌آموزان!E76="","",دانش‌آموزان!E76&amp;" "&amp;دانش‌آموزان!F76)</f>
        <v/>
      </c>
      <c r="F861" s="34" t="str">
        <f>IF(دانش‌آموزان!I76="","",دانش‌آموزان!I76)</f>
        <v/>
      </c>
      <c r="G861" s="19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  <c r="BJ861" s="20"/>
      <c r="BK861" s="20"/>
      <c r="BL861" s="20"/>
      <c r="BM861" s="20"/>
      <c r="BN861" s="20"/>
      <c r="BO861" s="20"/>
      <c r="BP861" s="20"/>
      <c r="BQ861" s="20"/>
      <c r="BR861" s="20"/>
      <c r="BS861" s="20"/>
      <c r="BT861" s="20"/>
      <c r="BU861" s="20"/>
      <c r="BV861" s="20"/>
      <c r="BW861" s="20"/>
      <c r="BX861" s="20"/>
      <c r="BY861" s="20"/>
      <c r="BZ861" s="20"/>
      <c r="CA861" s="20"/>
      <c r="CB861" s="21"/>
      <c r="CC861" s="27" t="str">
        <f t="shared" si="143"/>
        <v/>
      </c>
      <c r="CD861" s="38" t="str">
        <f t="shared" si="144"/>
        <v/>
      </c>
      <c r="CE861" s="38" t="str">
        <f t="shared" si="145"/>
        <v/>
      </c>
      <c r="CF861" s="38" t="str">
        <f t="shared" si="146"/>
        <v/>
      </c>
      <c r="CG861" s="38" t="str">
        <f t="shared" si="147"/>
        <v/>
      </c>
      <c r="CH861" s="38" t="str">
        <f t="shared" si="148"/>
        <v/>
      </c>
      <c r="CI861" s="38" t="str">
        <f t="shared" si="149"/>
        <v/>
      </c>
      <c r="CJ861" s="38" t="str">
        <f t="shared" si="150"/>
        <v/>
      </c>
      <c r="CK861" s="38" t="str">
        <f t="shared" si="151"/>
        <v/>
      </c>
      <c r="CL861" s="38" t="str">
        <f>IF(C861="","",IF(COUNT(G861:AZ861)&lt;46,"",SUMPRODUCT(CC861:CK861,'تنظیمات وزن‌دهی'!$C$5:$C$13)/100))</f>
        <v/>
      </c>
      <c r="CM861" s="38" t="str">
        <f t="shared" si="152"/>
        <v/>
      </c>
      <c r="CN861" s="38">
        <v>5</v>
      </c>
      <c r="CO861" s="28" t="str">
        <f t="shared" si="153"/>
        <v/>
      </c>
      <c r="CP861" s="58"/>
    </row>
    <row r="862" spans="1:94" ht="17.25" hidden="1">
      <c r="A862" s="33">
        <v>858</v>
      </c>
      <c r="B862" s="55" t="s">
        <v>188</v>
      </c>
      <c r="C862" s="55" t="str">
        <f>IF(دانش‌آموزان!E76="","",دانش‌آموزان!B76)</f>
        <v/>
      </c>
      <c r="D862" s="55" t="str">
        <f>IF(دانش‌آموزان!C76="","",دانش‌آموزان!C76)</f>
        <v/>
      </c>
      <c r="E862" s="55" t="str">
        <f>IF(دانش‌آموزان!E76="","",دانش‌آموزان!E76&amp;" "&amp;دانش‌آموزان!F76)</f>
        <v/>
      </c>
      <c r="F862" s="34" t="str">
        <f>IF(دانش‌آموزان!I76="","",دانش‌آموزان!I76)</f>
        <v/>
      </c>
      <c r="G862" s="19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20"/>
      <c r="BL862" s="20"/>
      <c r="BM862" s="20"/>
      <c r="BN862" s="20"/>
      <c r="BO862" s="20"/>
      <c r="BP862" s="20"/>
      <c r="BQ862" s="20"/>
      <c r="BR862" s="20"/>
      <c r="BS862" s="20"/>
      <c r="BT862" s="20"/>
      <c r="BU862" s="20"/>
      <c r="BV862" s="20"/>
      <c r="BW862" s="20"/>
      <c r="BX862" s="20"/>
      <c r="BY862" s="20"/>
      <c r="BZ862" s="20"/>
      <c r="CA862" s="20"/>
      <c r="CB862" s="21"/>
      <c r="CC862" s="27" t="str">
        <f t="shared" si="143"/>
        <v/>
      </c>
      <c r="CD862" s="38" t="str">
        <f t="shared" si="144"/>
        <v/>
      </c>
      <c r="CE862" s="38" t="str">
        <f t="shared" si="145"/>
        <v/>
      </c>
      <c r="CF862" s="38" t="str">
        <f t="shared" si="146"/>
        <v/>
      </c>
      <c r="CG862" s="38" t="str">
        <f t="shared" si="147"/>
        <v/>
      </c>
      <c r="CH862" s="38" t="str">
        <f t="shared" si="148"/>
        <v/>
      </c>
      <c r="CI862" s="38" t="str">
        <f t="shared" si="149"/>
        <v/>
      </c>
      <c r="CJ862" s="38" t="str">
        <f t="shared" si="150"/>
        <v/>
      </c>
      <c r="CK862" s="38" t="str">
        <f t="shared" si="151"/>
        <v/>
      </c>
      <c r="CL862" s="38" t="str">
        <f>IF(C862="","",IF(COUNT(G862:AZ862)&lt;46,"",SUMPRODUCT(CC862:CK862,'تنظیمات وزن‌دهی'!$C$5:$C$13)/100))</f>
        <v/>
      </c>
      <c r="CM862" s="38" t="str">
        <f t="shared" si="152"/>
        <v/>
      </c>
      <c r="CN862" s="38">
        <v>6</v>
      </c>
      <c r="CO862" s="28" t="str">
        <f t="shared" si="153"/>
        <v/>
      </c>
      <c r="CP862" s="58"/>
    </row>
    <row r="863" spans="1:94" ht="17.25" hidden="1">
      <c r="A863" s="33">
        <v>859</v>
      </c>
      <c r="B863" s="55" t="s">
        <v>189</v>
      </c>
      <c r="C863" s="55" t="str">
        <f>IF(دانش‌آموزان!E76="","",دانش‌آموزان!B76)</f>
        <v/>
      </c>
      <c r="D863" s="55" t="str">
        <f>IF(دانش‌آموزان!C76="","",دانش‌آموزان!C76)</f>
        <v/>
      </c>
      <c r="E863" s="55" t="str">
        <f>IF(دانش‌آموزان!E76="","",دانش‌آموزان!E76&amp;" "&amp;دانش‌آموزان!F76)</f>
        <v/>
      </c>
      <c r="F863" s="34" t="str">
        <f>IF(دانش‌آموزان!I76="","",دانش‌آموزان!I76)</f>
        <v/>
      </c>
      <c r="G863" s="19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20"/>
      <c r="BL863" s="20"/>
      <c r="BM863" s="20"/>
      <c r="BN863" s="20"/>
      <c r="BO863" s="20"/>
      <c r="BP863" s="20"/>
      <c r="BQ863" s="20"/>
      <c r="BR863" s="20"/>
      <c r="BS863" s="20"/>
      <c r="BT863" s="20"/>
      <c r="BU863" s="20"/>
      <c r="BV863" s="20"/>
      <c r="BW863" s="20"/>
      <c r="BX863" s="20"/>
      <c r="BY863" s="20"/>
      <c r="BZ863" s="20"/>
      <c r="CA863" s="20"/>
      <c r="CB863" s="21"/>
      <c r="CC863" s="27" t="str">
        <f t="shared" si="143"/>
        <v/>
      </c>
      <c r="CD863" s="38" t="str">
        <f t="shared" si="144"/>
        <v/>
      </c>
      <c r="CE863" s="38" t="str">
        <f t="shared" si="145"/>
        <v/>
      </c>
      <c r="CF863" s="38" t="str">
        <f t="shared" si="146"/>
        <v/>
      </c>
      <c r="CG863" s="38" t="str">
        <f t="shared" si="147"/>
        <v/>
      </c>
      <c r="CH863" s="38" t="str">
        <f t="shared" si="148"/>
        <v/>
      </c>
      <c r="CI863" s="38" t="str">
        <f t="shared" si="149"/>
        <v/>
      </c>
      <c r="CJ863" s="38" t="str">
        <f t="shared" si="150"/>
        <v/>
      </c>
      <c r="CK863" s="38" t="str">
        <f t="shared" si="151"/>
        <v/>
      </c>
      <c r="CL863" s="38" t="str">
        <f>IF(C863="","",IF(COUNT(G863:AZ863)&lt;46,"",SUMPRODUCT(CC863:CK863,'تنظیمات وزن‌دهی'!$C$5:$C$13)/100))</f>
        <v/>
      </c>
      <c r="CM863" s="38" t="str">
        <f t="shared" si="152"/>
        <v/>
      </c>
      <c r="CN863" s="38">
        <v>7</v>
      </c>
      <c r="CO863" s="28" t="str">
        <f t="shared" si="153"/>
        <v/>
      </c>
      <c r="CP863" s="58"/>
    </row>
    <row r="864" spans="1:94" ht="17.25" hidden="1">
      <c r="A864" s="33">
        <v>860</v>
      </c>
      <c r="B864" s="55" t="s">
        <v>190</v>
      </c>
      <c r="C864" s="55" t="str">
        <f>IF(دانش‌آموزان!E76="","",دانش‌آموزان!B76)</f>
        <v/>
      </c>
      <c r="D864" s="55" t="str">
        <f>IF(دانش‌آموزان!C76="","",دانش‌آموزان!C76)</f>
        <v/>
      </c>
      <c r="E864" s="55" t="str">
        <f>IF(دانش‌آموزان!E76="","",دانش‌آموزان!E76&amp;" "&amp;دانش‌آموزان!F76)</f>
        <v/>
      </c>
      <c r="F864" s="34" t="str">
        <f>IF(دانش‌آموزان!I76="","",دانش‌آموزان!I76)</f>
        <v/>
      </c>
      <c r="G864" s="19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20"/>
      <c r="BL864" s="20"/>
      <c r="BM864" s="20"/>
      <c r="BN864" s="20"/>
      <c r="BO864" s="20"/>
      <c r="BP864" s="20"/>
      <c r="BQ864" s="20"/>
      <c r="BR864" s="20"/>
      <c r="BS864" s="20"/>
      <c r="BT864" s="20"/>
      <c r="BU864" s="20"/>
      <c r="BV864" s="20"/>
      <c r="BW864" s="20"/>
      <c r="BX864" s="20"/>
      <c r="BY864" s="20"/>
      <c r="BZ864" s="20"/>
      <c r="CA864" s="20"/>
      <c r="CB864" s="21"/>
      <c r="CC864" s="27" t="str">
        <f t="shared" si="143"/>
        <v/>
      </c>
      <c r="CD864" s="38" t="str">
        <f t="shared" si="144"/>
        <v/>
      </c>
      <c r="CE864" s="38" t="str">
        <f t="shared" si="145"/>
        <v/>
      </c>
      <c r="CF864" s="38" t="str">
        <f t="shared" si="146"/>
        <v/>
      </c>
      <c r="CG864" s="38" t="str">
        <f t="shared" si="147"/>
        <v/>
      </c>
      <c r="CH864" s="38" t="str">
        <f t="shared" si="148"/>
        <v/>
      </c>
      <c r="CI864" s="38" t="str">
        <f t="shared" si="149"/>
        <v/>
      </c>
      <c r="CJ864" s="38" t="str">
        <f t="shared" si="150"/>
        <v/>
      </c>
      <c r="CK864" s="38" t="str">
        <f t="shared" si="151"/>
        <v/>
      </c>
      <c r="CL864" s="38" t="str">
        <f>IF(C864="","",IF(COUNT(G864:AZ864)&lt;46,"",SUMPRODUCT(CC864:CK864,'تنظیمات وزن‌دهی'!$C$5:$C$13)/100))</f>
        <v/>
      </c>
      <c r="CM864" s="38" t="str">
        <f t="shared" si="152"/>
        <v/>
      </c>
      <c r="CN864" s="38">
        <v>8</v>
      </c>
      <c r="CO864" s="28" t="str">
        <f t="shared" si="153"/>
        <v/>
      </c>
      <c r="CP864" s="58"/>
    </row>
    <row r="865" spans="1:94" ht="17.25" hidden="1">
      <c r="A865" s="33">
        <v>861</v>
      </c>
      <c r="B865" s="55" t="s">
        <v>191</v>
      </c>
      <c r="C865" s="55" t="str">
        <f>IF(دانش‌آموزان!E76="","",دانش‌آموزان!B76)</f>
        <v/>
      </c>
      <c r="D865" s="55" t="str">
        <f>IF(دانش‌آموزان!C76="","",دانش‌آموزان!C76)</f>
        <v/>
      </c>
      <c r="E865" s="55" t="str">
        <f>IF(دانش‌آموزان!E76="","",دانش‌آموزان!E76&amp;" "&amp;دانش‌آموزان!F76)</f>
        <v/>
      </c>
      <c r="F865" s="34" t="str">
        <f>IF(دانش‌آموزان!I76="","",دانش‌آموزان!I76)</f>
        <v/>
      </c>
      <c r="G865" s="19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  <c r="BK865" s="20"/>
      <c r="BL865" s="20"/>
      <c r="BM865" s="20"/>
      <c r="BN865" s="20"/>
      <c r="BO865" s="20"/>
      <c r="BP865" s="20"/>
      <c r="BQ865" s="20"/>
      <c r="BR865" s="20"/>
      <c r="BS865" s="20"/>
      <c r="BT865" s="20"/>
      <c r="BU865" s="20"/>
      <c r="BV865" s="20"/>
      <c r="BW865" s="20"/>
      <c r="BX865" s="20"/>
      <c r="BY865" s="20"/>
      <c r="BZ865" s="20"/>
      <c r="CA865" s="20"/>
      <c r="CB865" s="21"/>
      <c r="CC865" s="27" t="str">
        <f t="shared" si="143"/>
        <v/>
      </c>
      <c r="CD865" s="38" t="str">
        <f t="shared" si="144"/>
        <v/>
      </c>
      <c r="CE865" s="38" t="str">
        <f t="shared" si="145"/>
        <v/>
      </c>
      <c r="CF865" s="38" t="str">
        <f t="shared" si="146"/>
        <v/>
      </c>
      <c r="CG865" s="38" t="str">
        <f t="shared" si="147"/>
        <v/>
      </c>
      <c r="CH865" s="38" t="str">
        <f t="shared" si="148"/>
        <v/>
      </c>
      <c r="CI865" s="38" t="str">
        <f t="shared" si="149"/>
        <v/>
      </c>
      <c r="CJ865" s="38" t="str">
        <f t="shared" si="150"/>
        <v/>
      </c>
      <c r="CK865" s="38" t="str">
        <f t="shared" si="151"/>
        <v/>
      </c>
      <c r="CL865" s="38" t="str">
        <f>IF(C865="","",IF(COUNT(G865:AZ865)&lt;46,"",SUMPRODUCT(CC865:CK865,'تنظیمات وزن‌دهی'!$C$5:$C$13)/100))</f>
        <v/>
      </c>
      <c r="CM865" s="38" t="str">
        <f t="shared" si="152"/>
        <v/>
      </c>
      <c r="CN865" s="38">
        <v>9</v>
      </c>
      <c r="CO865" s="28" t="str">
        <f t="shared" si="153"/>
        <v/>
      </c>
      <c r="CP865" s="58"/>
    </row>
    <row r="866" spans="1:94" ht="17.25" hidden="1">
      <c r="A866" s="33">
        <v>862</v>
      </c>
      <c r="B866" s="55" t="s">
        <v>192</v>
      </c>
      <c r="C866" s="55" t="str">
        <f>IF(دانش‌آموزان!E76="","",دانش‌آموزان!B76)</f>
        <v/>
      </c>
      <c r="D866" s="55" t="str">
        <f>IF(دانش‌آموزان!C76="","",دانش‌آموزان!C76)</f>
        <v/>
      </c>
      <c r="E866" s="55" t="str">
        <f>IF(دانش‌آموزان!E76="","",دانش‌آموزان!E76&amp;" "&amp;دانش‌آموزان!F76)</f>
        <v/>
      </c>
      <c r="F866" s="34" t="str">
        <f>IF(دانش‌آموزان!I76="","",دانش‌آموزان!I76)</f>
        <v/>
      </c>
      <c r="G866" s="19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  <c r="BJ866" s="20"/>
      <c r="BK866" s="20"/>
      <c r="BL866" s="20"/>
      <c r="BM866" s="20"/>
      <c r="BN866" s="20"/>
      <c r="BO866" s="20"/>
      <c r="BP866" s="20"/>
      <c r="BQ866" s="20"/>
      <c r="BR866" s="20"/>
      <c r="BS866" s="20"/>
      <c r="BT866" s="20"/>
      <c r="BU866" s="20"/>
      <c r="BV866" s="20"/>
      <c r="BW866" s="20"/>
      <c r="BX866" s="20"/>
      <c r="BY866" s="20"/>
      <c r="BZ866" s="20"/>
      <c r="CA866" s="20"/>
      <c r="CB866" s="21"/>
      <c r="CC866" s="27" t="str">
        <f t="shared" si="143"/>
        <v/>
      </c>
      <c r="CD866" s="38" t="str">
        <f t="shared" si="144"/>
        <v/>
      </c>
      <c r="CE866" s="38" t="str">
        <f t="shared" si="145"/>
        <v/>
      </c>
      <c r="CF866" s="38" t="str">
        <f t="shared" si="146"/>
        <v/>
      </c>
      <c r="CG866" s="38" t="str">
        <f t="shared" si="147"/>
        <v/>
      </c>
      <c r="CH866" s="38" t="str">
        <f t="shared" si="148"/>
        <v/>
      </c>
      <c r="CI866" s="38" t="str">
        <f t="shared" si="149"/>
        <v/>
      </c>
      <c r="CJ866" s="38" t="str">
        <f t="shared" si="150"/>
        <v/>
      </c>
      <c r="CK866" s="38" t="str">
        <f t="shared" si="151"/>
        <v/>
      </c>
      <c r="CL866" s="38" t="str">
        <f>IF(C866="","",IF(COUNT(G866:AZ866)&lt;46,"",SUMPRODUCT(CC866:CK866,'تنظیمات وزن‌دهی'!$C$5:$C$13)/100))</f>
        <v/>
      </c>
      <c r="CM866" s="38" t="str">
        <f t="shared" si="152"/>
        <v/>
      </c>
      <c r="CN866" s="38">
        <v>10</v>
      </c>
      <c r="CO866" s="28" t="str">
        <f t="shared" si="153"/>
        <v/>
      </c>
      <c r="CP866" s="58"/>
    </row>
    <row r="867" spans="1:94" ht="17.25" hidden="1">
      <c r="A867" s="33">
        <v>863</v>
      </c>
      <c r="B867" s="55" t="s">
        <v>193</v>
      </c>
      <c r="C867" s="55" t="str">
        <f>IF(دانش‌آموزان!E76="","",دانش‌آموزان!B76)</f>
        <v/>
      </c>
      <c r="D867" s="55" t="str">
        <f>IF(دانش‌آموزان!C76="","",دانش‌آموزان!C76)</f>
        <v/>
      </c>
      <c r="E867" s="55" t="str">
        <f>IF(دانش‌آموزان!E76="","",دانش‌آموزان!E76&amp;" "&amp;دانش‌آموزان!F76)</f>
        <v/>
      </c>
      <c r="F867" s="34" t="str">
        <f>IF(دانش‌آموزان!I76="","",دانش‌آموزان!I76)</f>
        <v/>
      </c>
      <c r="G867" s="19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  <c r="BJ867" s="20"/>
      <c r="BK867" s="20"/>
      <c r="BL867" s="20"/>
      <c r="BM867" s="20"/>
      <c r="BN867" s="20"/>
      <c r="BO867" s="20"/>
      <c r="BP867" s="20"/>
      <c r="BQ867" s="20"/>
      <c r="BR867" s="20"/>
      <c r="BS867" s="20"/>
      <c r="BT867" s="20"/>
      <c r="BU867" s="20"/>
      <c r="BV867" s="20"/>
      <c r="BW867" s="20"/>
      <c r="BX867" s="20"/>
      <c r="BY867" s="20"/>
      <c r="BZ867" s="20"/>
      <c r="CA867" s="20"/>
      <c r="CB867" s="21"/>
      <c r="CC867" s="27" t="str">
        <f t="shared" si="143"/>
        <v/>
      </c>
      <c r="CD867" s="38" t="str">
        <f t="shared" si="144"/>
        <v/>
      </c>
      <c r="CE867" s="38" t="str">
        <f t="shared" si="145"/>
        <v/>
      </c>
      <c r="CF867" s="38" t="str">
        <f t="shared" si="146"/>
        <v/>
      </c>
      <c r="CG867" s="38" t="str">
        <f t="shared" si="147"/>
        <v/>
      </c>
      <c r="CH867" s="38" t="str">
        <f t="shared" si="148"/>
        <v/>
      </c>
      <c r="CI867" s="38" t="str">
        <f t="shared" si="149"/>
        <v/>
      </c>
      <c r="CJ867" s="38" t="str">
        <f t="shared" si="150"/>
        <v/>
      </c>
      <c r="CK867" s="38" t="str">
        <f t="shared" si="151"/>
        <v/>
      </c>
      <c r="CL867" s="38" t="str">
        <f>IF(C867="","",IF(COUNT(G867:AZ867)&lt;46,"",SUMPRODUCT(CC867:CK867,'تنظیمات وزن‌دهی'!$C$5:$C$13)/100))</f>
        <v/>
      </c>
      <c r="CM867" s="38" t="str">
        <f t="shared" si="152"/>
        <v/>
      </c>
      <c r="CN867" s="38">
        <v>11</v>
      </c>
      <c r="CO867" s="28" t="str">
        <f t="shared" si="153"/>
        <v/>
      </c>
      <c r="CP867" s="58"/>
    </row>
    <row r="868" spans="1:94" ht="17.25" hidden="1">
      <c r="A868" s="33">
        <v>864</v>
      </c>
      <c r="B868" s="55" t="s">
        <v>194</v>
      </c>
      <c r="C868" s="55" t="str">
        <f>IF(دانش‌آموزان!E76="","",دانش‌آموزان!B76)</f>
        <v/>
      </c>
      <c r="D868" s="55" t="str">
        <f>IF(دانش‌آموزان!C76="","",دانش‌آموزان!C76)</f>
        <v/>
      </c>
      <c r="E868" s="55" t="str">
        <f>IF(دانش‌آموزان!E76="","",دانش‌آموزان!E76&amp;" "&amp;دانش‌آموزان!F76)</f>
        <v/>
      </c>
      <c r="F868" s="34" t="str">
        <f>IF(دانش‌آموزان!I76="","",دانش‌آموزان!I76)</f>
        <v/>
      </c>
      <c r="G868" s="19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  <c r="BJ868" s="20"/>
      <c r="BK868" s="20"/>
      <c r="BL868" s="20"/>
      <c r="BM868" s="20"/>
      <c r="BN868" s="20"/>
      <c r="BO868" s="20"/>
      <c r="BP868" s="20"/>
      <c r="BQ868" s="20"/>
      <c r="BR868" s="20"/>
      <c r="BS868" s="20"/>
      <c r="BT868" s="20"/>
      <c r="BU868" s="20"/>
      <c r="BV868" s="20"/>
      <c r="BW868" s="20"/>
      <c r="BX868" s="20"/>
      <c r="BY868" s="20"/>
      <c r="BZ868" s="20"/>
      <c r="CA868" s="20"/>
      <c r="CB868" s="21"/>
      <c r="CC868" s="27" t="str">
        <f t="shared" si="143"/>
        <v/>
      </c>
      <c r="CD868" s="38" t="str">
        <f t="shared" si="144"/>
        <v/>
      </c>
      <c r="CE868" s="38" t="str">
        <f t="shared" si="145"/>
        <v/>
      </c>
      <c r="CF868" s="38" t="str">
        <f t="shared" si="146"/>
        <v/>
      </c>
      <c r="CG868" s="38" t="str">
        <f t="shared" si="147"/>
        <v/>
      </c>
      <c r="CH868" s="38" t="str">
        <f t="shared" si="148"/>
        <v/>
      </c>
      <c r="CI868" s="38" t="str">
        <f t="shared" si="149"/>
        <v/>
      </c>
      <c r="CJ868" s="38" t="str">
        <f t="shared" si="150"/>
        <v/>
      </c>
      <c r="CK868" s="38" t="str">
        <f t="shared" si="151"/>
        <v/>
      </c>
      <c r="CL868" s="38" t="str">
        <f>IF(C868="","",IF(COUNT(G868:AZ868)&lt;46,"",SUMPRODUCT(CC868:CK868,'تنظیمات وزن‌دهی'!$C$5:$C$13)/100))</f>
        <v/>
      </c>
      <c r="CM868" s="38" t="str">
        <f t="shared" si="152"/>
        <v/>
      </c>
      <c r="CN868" s="38">
        <v>12</v>
      </c>
      <c r="CO868" s="28" t="str">
        <f t="shared" si="153"/>
        <v/>
      </c>
      <c r="CP868" s="58"/>
    </row>
    <row r="869" spans="1:94" ht="17.25" hidden="1">
      <c r="A869" s="33">
        <v>865</v>
      </c>
      <c r="B869" s="55" t="s">
        <v>183</v>
      </c>
      <c r="C869" s="55" t="str">
        <f>IF(دانش‌آموزان!E77="","",دانش‌آموزان!B77)</f>
        <v/>
      </c>
      <c r="D869" s="55" t="str">
        <f>IF(دانش‌آموزان!C77="","",دانش‌آموزان!C77)</f>
        <v/>
      </c>
      <c r="E869" s="55" t="str">
        <f>IF(دانش‌آموزان!E77="","",دانش‌آموزان!E77&amp;" "&amp;دانش‌آموزان!F77)</f>
        <v/>
      </c>
      <c r="F869" s="34" t="str">
        <f>IF(دانش‌آموزان!I77="","",دانش‌آموزان!I77)</f>
        <v/>
      </c>
      <c r="G869" s="19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  <c r="BJ869" s="20"/>
      <c r="BK869" s="20"/>
      <c r="BL869" s="20"/>
      <c r="BM869" s="20"/>
      <c r="BN869" s="20"/>
      <c r="BO869" s="20"/>
      <c r="BP869" s="20"/>
      <c r="BQ869" s="20"/>
      <c r="BR869" s="20"/>
      <c r="BS869" s="20"/>
      <c r="BT869" s="20"/>
      <c r="BU869" s="20"/>
      <c r="BV869" s="20"/>
      <c r="BW869" s="20"/>
      <c r="BX869" s="20"/>
      <c r="BY869" s="20"/>
      <c r="BZ869" s="20"/>
      <c r="CA869" s="20"/>
      <c r="CB869" s="21"/>
      <c r="CC869" s="27" t="str">
        <f t="shared" si="143"/>
        <v/>
      </c>
      <c r="CD869" s="38" t="str">
        <f t="shared" si="144"/>
        <v/>
      </c>
      <c r="CE869" s="38" t="str">
        <f t="shared" si="145"/>
        <v/>
      </c>
      <c r="CF869" s="38" t="str">
        <f t="shared" si="146"/>
        <v/>
      </c>
      <c r="CG869" s="38" t="str">
        <f t="shared" si="147"/>
        <v/>
      </c>
      <c r="CH869" s="38" t="str">
        <f t="shared" si="148"/>
        <v/>
      </c>
      <c r="CI869" s="38" t="str">
        <f t="shared" si="149"/>
        <v/>
      </c>
      <c r="CJ869" s="38" t="str">
        <f t="shared" si="150"/>
        <v/>
      </c>
      <c r="CK869" s="38" t="str">
        <f t="shared" si="151"/>
        <v/>
      </c>
      <c r="CL869" s="38" t="str">
        <f>IF(C869="","",IF(COUNT(G869:AZ869)&lt;46,"",SUMPRODUCT(CC869:CK869,'تنظیمات وزن‌دهی'!$C$5:$C$13)/100))</f>
        <v/>
      </c>
      <c r="CM869" s="38" t="str">
        <f t="shared" si="152"/>
        <v/>
      </c>
      <c r="CN869" s="38">
        <v>1</v>
      </c>
      <c r="CO869" s="28" t="str">
        <f t="shared" si="153"/>
        <v/>
      </c>
      <c r="CP869" s="58"/>
    </row>
    <row r="870" spans="1:94" ht="17.25" hidden="1">
      <c r="A870" s="33">
        <v>866</v>
      </c>
      <c r="B870" s="55" t="s">
        <v>184</v>
      </c>
      <c r="C870" s="55" t="str">
        <f>IF(دانش‌آموزان!E77="","",دانش‌آموزان!B77)</f>
        <v/>
      </c>
      <c r="D870" s="55" t="str">
        <f>IF(دانش‌آموزان!C77="","",دانش‌آموزان!C77)</f>
        <v/>
      </c>
      <c r="E870" s="55" t="str">
        <f>IF(دانش‌آموزان!E77="","",دانش‌آموزان!E77&amp;" "&amp;دانش‌آموزان!F77)</f>
        <v/>
      </c>
      <c r="F870" s="34" t="str">
        <f>IF(دانش‌آموزان!I77="","",دانش‌آموزان!I77)</f>
        <v/>
      </c>
      <c r="G870" s="19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  <c r="BJ870" s="20"/>
      <c r="BK870" s="20"/>
      <c r="BL870" s="20"/>
      <c r="BM870" s="20"/>
      <c r="BN870" s="20"/>
      <c r="BO870" s="20"/>
      <c r="BP870" s="20"/>
      <c r="BQ870" s="20"/>
      <c r="BR870" s="20"/>
      <c r="BS870" s="20"/>
      <c r="BT870" s="20"/>
      <c r="BU870" s="20"/>
      <c r="BV870" s="20"/>
      <c r="BW870" s="20"/>
      <c r="BX870" s="20"/>
      <c r="BY870" s="20"/>
      <c r="BZ870" s="20"/>
      <c r="CA870" s="20"/>
      <c r="CB870" s="21"/>
      <c r="CC870" s="27" t="str">
        <f t="shared" si="143"/>
        <v/>
      </c>
      <c r="CD870" s="38" t="str">
        <f t="shared" si="144"/>
        <v/>
      </c>
      <c r="CE870" s="38" t="str">
        <f t="shared" si="145"/>
        <v/>
      </c>
      <c r="CF870" s="38" t="str">
        <f t="shared" si="146"/>
        <v/>
      </c>
      <c r="CG870" s="38" t="str">
        <f t="shared" si="147"/>
        <v/>
      </c>
      <c r="CH870" s="38" t="str">
        <f t="shared" si="148"/>
        <v/>
      </c>
      <c r="CI870" s="38" t="str">
        <f t="shared" si="149"/>
        <v/>
      </c>
      <c r="CJ870" s="38" t="str">
        <f t="shared" si="150"/>
        <v/>
      </c>
      <c r="CK870" s="38" t="str">
        <f t="shared" si="151"/>
        <v/>
      </c>
      <c r="CL870" s="38" t="str">
        <f>IF(C870="","",IF(COUNT(G870:AZ870)&lt;46,"",SUMPRODUCT(CC870:CK870,'تنظیمات وزن‌دهی'!$C$5:$C$13)/100))</f>
        <v/>
      </c>
      <c r="CM870" s="38" t="str">
        <f t="shared" si="152"/>
        <v/>
      </c>
      <c r="CN870" s="38">
        <v>2</v>
      </c>
      <c r="CO870" s="28" t="str">
        <f t="shared" si="153"/>
        <v/>
      </c>
      <c r="CP870" s="58"/>
    </row>
    <row r="871" spans="1:94" ht="17.25">
      <c r="A871" s="33">
        <v>867</v>
      </c>
      <c r="B871" s="55" t="s">
        <v>185</v>
      </c>
      <c r="C871" s="55" t="str">
        <f>IF(دانش‌آموزان!E77="","",دانش‌آموزان!B77)</f>
        <v/>
      </c>
      <c r="D871" s="55" t="str">
        <f>IF(دانش‌آموزان!C77="","",دانش‌آموزان!C77)</f>
        <v/>
      </c>
      <c r="E871" s="55" t="str">
        <f>IF(دانش‌آموزان!E77="","",دانش‌آموزان!E77&amp;" "&amp;دانش‌آموزان!F77)</f>
        <v/>
      </c>
      <c r="F871" s="34" t="str">
        <f>IF(دانش‌آموزان!I77="","",دانش‌آموزان!I77)</f>
        <v/>
      </c>
      <c r="G871" s="19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  <c r="BJ871" s="20"/>
      <c r="BK871" s="20"/>
      <c r="BL871" s="20"/>
      <c r="BM871" s="20"/>
      <c r="BN871" s="20"/>
      <c r="BO871" s="20"/>
      <c r="BP871" s="20"/>
      <c r="BQ871" s="20"/>
      <c r="BR871" s="20"/>
      <c r="BS871" s="20"/>
      <c r="BT871" s="20"/>
      <c r="BU871" s="20"/>
      <c r="BV871" s="20"/>
      <c r="BW871" s="20"/>
      <c r="BX871" s="20"/>
      <c r="BY871" s="20"/>
      <c r="BZ871" s="20"/>
      <c r="CA871" s="20"/>
      <c r="CB871" s="21"/>
      <c r="CC871" s="27" t="str">
        <f t="shared" si="143"/>
        <v/>
      </c>
      <c r="CD871" s="38" t="str">
        <f t="shared" si="144"/>
        <v/>
      </c>
      <c r="CE871" s="38" t="str">
        <f t="shared" si="145"/>
        <v/>
      </c>
      <c r="CF871" s="38" t="str">
        <f t="shared" si="146"/>
        <v/>
      </c>
      <c r="CG871" s="38" t="str">
        <f t="shared" si="147"/>
        <v/>
      </c>
      <c r="CH871" s="38" t="str">
        <f t="shared" si="148"/>
        <v/>
      </c>
      <c r="CI871" s="38" t="str">
        <f t="shared" si="149"/>
        <v/>
      </c>
      <c r="CJ871" s="38" t="str">
        <f t="shared" si="150"/>
        <v/>
      </c>
      <c r="CK871" s="38" t="str">
        <f t="shared" si="151"/>
        <v/>
      </c>
      <c r="CL871" s="38" t="str">
        <f>IF(C871="","",IF(COUNT(G871:AZ871)&lt;46,"",SUMPRODUCT(CC871:CK871,'تنظیمات وزن‌دهی'!$C$5:$C$13)/100))</f>
        <v/>
      </c>
      <c r="CM871" s="38" t="str">
        <f t="shared" si="152"/>
        <v/>
      </c>
      <c r="CN871" s="38">
        <v>3</v>
      </c>
      <c r="CO871" s="28" t="str">
        <f t="shared" si="153"/>
        <v/>
      </c>
      <c r="CP871" s="58"/>
    </row>
    <row r="872" spans="1:94" ht="17.25" hidden="1">
      <c r="A872" s="33">
        <v>868</v>
      </c>
      <c r="B872" s="55" t="s">
        <v>186</v>
      </c>
      <c r="C872" s="55" t="str">
        <f>IF(دانش‌آموزان!E77="","",دانش‌آموزان!B77)</f>
        <v/>
      </c>
      <c r="D872" s="55" t="str">
        <f>IF(دانش‌آموزان!C77="","",دانش‌آموزان!C77)</f>
        <v/>
      </c>
      <c r="E872" s="55" t="str">
        <f>IF(دانش‌آموزان!E77="","",دانش‌آموزان!E77&amp;" "&amp;دانش‌آموزان!F77)</f>
        <v/>
      </c>
      <c r="F872" s="34" t="str">
        <f>IF(دانش‌آموزان!I77="","",دانش‌آموزان!I77)</f>
        <v/>
      </c>
      <c r="G872" s="19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  <c r="BK872" s="20"/>
      <c r="BL872" s="20"/>
      <c r="BM872" s="20"/>
      <c r="BN872" s="20"/>
      <c r="BO872" s="20"/>
      <c r="BP872" s="20"/>
      <c r="BQ872" s="20"/>
      <c r="BR872" s="20"/>
      <c r="BS872" s="20"/>
      <c r="BT872" s="20"/>
      <c r="BU872" s="20"/>
      <c r="BV872" s="20"/>
      <c r="BW872" s="20"/>
      <c r="BX872" s="20"/>
      <c r="BY872" s="20"/>
      <c r="BZ872" s="20"/>
      <c r="CA872" s="20"/>
      <c r="CB872" s="21"/>
      <c r="CC872" s="27" t="str">
        <f t="shared" si="143"/>
        <v/>
      </c>
      <c r="CD872" s="38" t="str">
        <f t="shared" si="144"/>
        <v/>
      </c>
      <c r="CE872" s="38" t="str">
        <f t="shared" si="145"/>
        <v/>
      </c>
      <c r="CF872" s="38" t="str">
        <f t="shared" si="146"/>
        <v/>
      </c>
      <c r="CG872" s="38" t="str">
        <f t="shared" si="147"/>
        <v/>
      </c>
      <c r="CH872" s="38" t="str">
        <f t="shared" si="148"/>
        <v/>
      </c>
      <c r="CI872" s="38" t="str">
        <f t="shared" si="149"/>
        <v/>
      </c>
      <c r="CJ872" s="38" t="str">
        <f t="shared" si="150"/>
        <v/>
      </c>
      <c r="CK872" s="38" t="str">
        <f t="shared" si="151"/>
        <v/>
      </c>
      <c r="CL872" s="38" t="str">
        <f>IF(C872="","",IF(COUNT(G872:AZ872)&lt;46,"",SUMPRODUCT(CC872:CK872,'تنظیمات وزن‌دهی'!$C$5:$C$13)/100))</f>
        <v/>
      </c>
      <c r="CM872" s="38" t="str">
        <f t="shared" si="152"/>
        <v/>
      </c>
      <c r="CN872" s="38">
        <v>4</v>
      </c>
      <c r="CO872" s="28" t="str">
        <f t="shared" si="153"/>
        <v/>
      </c>
      <c r="CP872" s="58"/>
    </row>
    <row r="873" spans="1:94" ht="17.25" hidden="1">
      <c r="A873" s="33">
        <v>869</v>
      </c>
      <c r="B873" s="55" t="s">
        <v>187</v>
      </c>
      <c r="C873" s="55" t="str">
        <f>IF(دانش‌آموزان!E77="","",دانش‌آموزان!B77)</f>
        <v/>
      </c>
      <c r="D873" s="55" t="str">
        <f>IF(دانش‌آموزان!C77="","",دانش‌آموزان!C77)</f>
        <v/>
      </c>
      <c r="E873" s="55" t="str">
        <f>IF(دانش‌آموزان!E77="","",دانش‌آموزان!E77&amp;" "&amp;دانش‌آموزان!F77)</f>
        <v/>
      </c>
      <c r="F873" s="34" t="str">
        <f>IF(دانش‌آموزان!I77="","",دانش‌آموزان!I77)</f>
        <v/>
      </c>
      <c r="G873" s="19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  <c r="BJ873" s="20"/>
      <c r="BK873" s="20"/>
      <c r="BL873" s="20"/>
      <c r="BM873" s="20"/>
      <c r="BN873" s="20"/>
      <c r="BO873" s="20"/>
      <c r="BP873" s="20"/>
      <c r="BQ873" s="20"/>
      <c r="BR873" s="20"/>
      <c r="BS873" s="20"/>
      <c r="BT873" s="20"/>
      <c r="BU873" s="20"/>
      <c r="BV873" s="20"/>
      <c r="BW873" s="20"/>
      <c r="BX873" s="20"/>
      <c r="BY873" s="20"/>
      <c r="BZ873" s="20"/>
      <c r="CA873" s="20"/>
      <c r="CB873" s="21"/>
      <c r="CC873" s="27" t="str">
        <f t="shared" si="143"/>
        <v/>
      </c>
      <c r="CD873" s="38" t="str">
        <f t="shared" si="144"/>
        <v/>
      </c>
      <c r="CE873" s="38" t="str">
        <f t="shared" si="145"/>
        <v/>
      </c>
      <c r="CF873" s="38" t="str">
        <f t="shared" si="146"/>
        <v/>
      </c>
      <c r="CG873" s="38" t="str">
        <f t="shared" si="147"/>
        <v/>
      </c>
      <c r="CH873" s="38" t="str">
        <f t="shared" si="148"/>
        <v/>
      </c>
      <c r="CI873" s="38" t="str">
        <f t="shared" si="149"/>
        <v/>
      </c>
      <c r="CJ873" s="38" t="str">
        <f t="shared" si="150"/>
        <v/>
      </c>
      <c r="CK873" s="38" t="str">
        <f t="shared" si="151"/>
        <v/>
      </c>
      <c r="CL873" s="38" t="str">
        <f>IF(C873="","",IF(COUNT(G873:AZ873)&lt;46,"",SUMPRODUCT(CC873:CK873,'تنظیمات وزن‌دهی'!$C$5:$C$13)/100))</f>
        <v/>
      </c>
      <c r="CM873" s="38" t="str">
        <f t="shared" si="152"/>
        <v/>
      </c>
      <c r="CN873" s="38">
        <v>5</v>
      </c>
      <c r="CO873" s="28" t="str">
        <f t="shared" si="153"/>
        <v/>
      </c>
      <c r="CP873" s="58"/>
    </row>
    <row r="874" spans="1:94" ht="17.25" hidden="1">
      <c r="A874" s="33">
        <v>870</v>
      </c>
      <c r="B874" s="55" t="s">
        <v>188</v>
      </c>
      <c r="C874" s="55" t="str">
        <f>IF(دانش‌آموزان!E77="","",دانش‌آموزان!B77)</f>
        <v/>
      </c>
      <c r="D874" s="55" t="str">
        <f>IF(دانش‌آموزان!C77="","",دانش‌آموزان!C77)</f>
        <v/>
      </c>
      <c r="E874" s="55" t="str">
        <f>IF(دانش‌آموزان!E77="","",دانش‌آموزان!E77&amp;" "&amp;دانش‌آموزان!F77)</f>
        <v/>
      </c>
      <c r="F874" s="34" t="str">
        <f>IF(دانش‌آموزان!I77="","",دانش‌آموزان!I77)</f>
        <v/>
      </c>
      <c r="G874" s="19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0"/>
      <c r="BL874" s="20"/>
      <c r="BM874" s="20"/>
      <c r="BN874" s="20"/>
      <c r="BO874" s="20"/>
      <c r="BP874" s="20"/>
      <c r="BQ874" s="20"/>
      <c r="BR874" s="20"/>
      <c r="BS874" s="20"/>
      <c r="BT874" s="20"/>
      <c r="BU874" s="20"/>
      <c r="BV874" s="20"/>
      <c r="BW874" s="20"/>
      <c r="BX874" s="20"/>
      <c r="BY874" s="20"/>
      <c r="BZ874" s="20"/>
      <c r="CA874" s="20"/>
      <c r="CB874" s="21"/>
      <c r="CC874" s="27" t="str">
        <f t="shared" si="143"/>
        <v/>
      </c>
      <c r="CD874" s="38" t="str">
        <f t="shared" si="144"/>
        <v/>
      </c>
      <c r="CE874" s="38" t="str">
        <f t="shared" si="145"/>
        <v/>
      </c>
      <c r="CF874" s="38" t="str">
        <f t="shared" si="146"/>
        <v/>
      </c>
      <c r="CG874" s="38" t="str">
        <f t="shared" si="147"/>
        <v/>
      </c>
      <c r="CH874" s="38" t="str">
        <f t="shared" si="148"/>
        <v/>
      </c>
      <c r="CI874" s="38" t="str">
        <f t="shared" si="149"/>
        <v/>
      </c>
      <c r="CJ874" s="38" t="str">
        <f t="shared" si="150"/>
        <v/>
      </c>
      <c r="CK874" s="38" t="str">
        <f t="shared" si="151"/>
        <v/>
      </c>
      <c r="CL874" s="38" t="str">
        <f>IF(C874="","",IF(COUNT(G874:AZ874)&lt;46,"",SUMPRODUCT(CC874:CK874,'تنظیمات وزن‌دهی'!$C$5:$C$13)/100))</f>
        <v/>
      </c>
      <c r="CM874" s="38" t="str">
        <f t="shared" si="152"/>
        <v/>
      </c>
      <c r="CN874" s="38">
        <v>6</v>
      </c>
      <c r="CO874" s="28" t="str">
        <f t="shared" si="153"/>
        <v/>
      </c>
      <c r="CP874" s="58"/>
    </row>
    <row r="875" spans="1:94" ht="17.25" hidden="1">
      <c r="A875" s="33">
        <v>871</v>
      </c>
      <c r="B875" s="55" t="s">
        <v>189</v>
      </c>
      <c r="C875" s="55" t="str">
        <f>IF(دانش‌آموزان!E77="","",دانش‌آموزان!B77)</f>
        <v/>
      </c>
      <c r="D875" s="55" t="str">
        <f>IF(دانش‌آموزان!C77="","",دانش‌آموزان!C77)</f>
        <v/>
      </c>
      <c r="E875" s="55" t="str">
        <f>IF(دانش‌آموزان!E77="","",دانش‌آموزان!E77&amp;" "&amp;دانش‌آموزان!F77)</f>
        <v/>
      </c>
      <c r="F875" s="34" t="str">
        <f>IF(دانش‌آموزان!I77="","",دانش‌آموزان!I77)</f>
        <v/>
      </c>
      <c r="G875" s="19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  <c r="BK875" s="20"/>
      <c r="BL875" s="20"/>
      <c r="BM875" s="20"/>
      <c r="BN875" s="20"/>
      <c r="BO875" s="20"/>
      <c r="BP875" s="20"/>
      <c r="BQ875" s="20"/>
      <c r="BR875" s="20"/>
      <c r="BS875" s="20"/>
      <c r="BT875" s="20"/>
      <c r="BU875" s="20"/>
      <c r="BV875" s="20"/>
      <c r="BW875" s="20"/>
      <c r="BX875" s="20"/>
      <c r="BY875" s="20"/>
      <c r="BZ875" s="20"/>
      <c r="CA875" s="20"/>
      <c r="CB875" s="21"/>
      <c r="CC875" s="27" t="str">
        <f t="shared" si="143"/>
        <v/>
      </c>
      <c r="CD875" s="38" t="str">
        <f t="shared" si="144"/>
        <v/>
      </c>
      <c r="CE875" s="38" t="str">
        <f t="shared" si="145"/>
        <v/>
      </c>
      <c r="CF875" s="38" t="str">
        <f t="shared" si="146"/>
        <v/>
      </c>
      <c r="CG875" s="38" t="str">
        <f t="shared" si="147"/>
        <v/>
      </c>
      <c r="CH875" s="38" t="str">
        <f t="shared" si="148"/>
        <v/>
      </c>
      <c r="CI875" s="38" t="str">
        <f t="shared" si="149"/>
        <v/>
      </c>
      <c r="CJ875" s="38" t="str">
        <f t="shared" si="150"/>
        <v/>
      </c>
      <c r="CK875" s="38" t="str">
        <f t="shared" si="151"/>
        <v/>
      </c>
      <c r="CL875" s="38" t="str">
        <f>IF(C875="","",IF(COUNT(G875:AZ875)&lt;46,"",SUMPRODUCT(CC875:CK875,'تنظیمات وزن‌دهی'!$C$5:$C$13)/100))</f>
        <v/>
      </c>
      <c r="CM875" s="38" t="str">
        <f t="shared" si="152"/>
        <v/>
      </c>
      <c r="CN875" s="38">
        <v>7</v>
      </c>
      <c r="CO875" s="28" t="str">
        <f t="shared" si="153"/>
        <v/>
      </c>
      <c r="CP875" s="58"/>
    </row>
    <row r="876" spans="1:94" ht="17.25" hidden="1">
      <c r="A876" s="33">
        <v>872</v>
      </c>
      <c r="B876" s="55" t="s">
        <v>190</v>
      </c>
      <c r="C876" s="55" t="str">
        <f>IF(دانش‌آموزان!E77="","",دانش‌آموزان!B77)</f>
        <v/>
      </c>
      <c r="D876" s="55" t="str">
        <f>IF(دانش‌آموزان!C77="","",دانش‌آموزان!C77)</f>
        <v/>
      </c>
      <c r="E876" s="55" t="str">
        <f>IF(دانش‌آموزان!E77="","",دانش‌آموزان!E77&amp;" "&amp;دانش‌آموزان!F77)</f>
        <v/>
      </c>
      <c r="F876" s="34" t="str">
        <f>IF(دانش‌آموزان!I77="","",دانش‌آموزان!I77)</f>
        <v/>
      </c>
      <c r="G876" s="19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  <c r="BJ876" s="20"/>
      <c r="BK876" s="20"/>
      <c r="BL876" s="20"/>
      <c r="BM876" s="20"/>
      <c r="BN876" s="20"/>
      <c r="BO876" s="20"/>
      <c r="BP876" s="20"/>
      <c r="BQ876" s="20"/>
      <c r="BR876" s="20"/>
      <c r="BS876" s="20"/>
      <c r="BT876" s="20"/>
      <c r="BU876" s="20"/>
      <c r="BV876" s="20"/>
      <c r="BW876" s="20"/>
      <c r="BX876" s="20"/>
      <c r="BY876" s="20"/>
      <c r="BZ876" s="20"/>
      <c r="CA876" s="20"/>
      <c r="CB876" s="21"/>
      <c r="CC876" s="27" t="str">
        <f t="shared" si="143"/>
        <v/>
      </c>
      <c r="CD876" s="38" t="str">
        <f t="shared" si="144"/>
        <v/>
      </c>
      <c r="CE876" s="38" t="str">
        <f t="shared" si="145"/>
        <v/>
      </c>
      <c r="CF876" s="38" t="str">
        <f t="shared" si="146"/>
        <v/>
      </c>
      <c r="CG876" s="38" t="str">
        <f t="shared" si="147"/>
        <v/>
      </c>
      <c r="CH876" s="38" t="str">
        <f t="shared" si="148"/>
        <v/>
      </c>
      <c r="CI876" s="38" t="str">
        <f t="shared" si="149"/>
        <v/>
      </c>
      <c r="CJ876" s="38" t="str">
        <f t="shared" si="150"/>
        <v/>
      </c>
      <c r="CK876" s="38" t="str">
        <f t="shared" si="151"/>
        <v/>
      </c>
      <c r="CL876" s="38" t="str">
        <f>IF(C876="","",IF(COUNT(G876:AZ876)&lt;46,"",SUMPRODUCT(CC876:CK876,'تنظیمات وزن‌دهی'!$C$5:$C$13)/100))</f>
        <v/>
      </c>
      <c r="CM876" s="38" t="str">
        <f t="shared" si="152"/>
        <v/>
      </c>
      <c r="CN876" s="38">
        <v>8</v>
      </c>
      <c r="CO876" s="28" t="str">
        <f t="shared" si="153"/>
        <v/>
      </c>
      <c r="CP876" s="58"/>
    </row>
    <row r="877" spans="1:94" ht="17.25" hidden="1">
      <c r="A877" s="33">
        <v>873</v>
      </c>
      <c r="B877" s="55" t="s">
        <v>191</v>
      </c>
      <c r="C877" s="55" t="str">
        <f>IF(دانش‌آموزان!E77="","",دانش‌آموزان!B77)</f>
        <v/>
      </c>
      <c r="D877" s="55" t="str">
        <f>IF(دانش‌آموزان!C77="","",دانش‌آموزان!C77)</f>
        <v/>
      </c>
      <c r="E877" s="55" t="str">
        <f>IF(دانش‌آموزان!E77="","",دانش‌آموزان!E77&amp;" "&amp;دانش‌آموزان!F77)</f>
        <v/>
      </c>
      <c r="F877" s="34" t="str">
        <f>IF(دانش‌آموزان!I77="","",دانش‌آموزان!I77)</f>
        <v/>
      </c>
      <c r="G877" s="19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  <c r="BJ877" s="20"/>
      <c r="BK877" s="20"/>
      <c r="BL877" s="20"/>
      <c r="BM877" s="20"/>
      <c r="BN877" s="20"/>
      <c r="BO877" s="20"/>
      <c r="BP877" s="20"/>
      <c r="BQ877" s="20"/>
      <c r="BR877" s="20"/>
      <c r="BS877" s="20"/>
      <c r="BT877" s="20"/>
      <c r="BU877" s="20"/>
      <c r="BV877" s="20"/>
      <c r="BW877" s="20"/>
      <c r="BX877" s="20"/>
      <c r="BY877" s="20"/>
      <c r="BZ877" s="20"/>
      <c r="CA877" s="20"/>
      <c r="CB877" s="21"/>
      <c r="CC877" s="27" t="str">
        <f t="shared" si="143"/>
        <v/>
      </c>
      <c r="CD877" s="38" t="str">
        <f t="shared" si="144"/>
        <v/>
      </c>
      <c r="CE877" s="38" t="str">
        <f t="shared" si="145"/>
        <v/>
      </c>
      <c r="CF877" s="38" t="str">
        <f t="shared" si="146"/>
        <v/>
      </c>
      <c r="CG877" s="38" t="str">
        <f t="shared" si="147"/>
        <v/>
      </c>
      <c r="CH877" s="38" t="str">
        <f t="shared" si="148"/>
        <v/>
      </c>
      <c r="CI877" s="38" t="str">
        <f t="shared" si="149"/>
        <v/>
      </c>
      <c r="CJ877" s="38" t="str">
        <f t="shared" si="150"/>
        <v/>
      </c>
      <c r="CK877" s="38" t="str">
        <f t="shared" si="151"/>
        <v/>
      </c>
      <c r="CL877" s="38" t="str">
        <f>IF(C877="","",IF(COUNT(G877:AZ877)&lt;46,"",SUMPRODUCT(CC877:CK877,'تنظیمات وزن‌دهی'!$C$5:$C$13)/100))</f>
        <v/>
      </c>
      <c r="CM877" s="38" t="str">
        <f t="shared" si="152"/>
        <v/>
      </c>
      <c r="CN877" s="38">
        <v>9</v>
      </c>
      <c r="CO877" s="28" t="str">
        <f t="shared" si="153"/>
        <v/>
      </c>
      <c r="CP877" s="58"/>
    </row>
    <row r="878" spans="1:94" ht="17.25" hidden="1">
      <c r="A878" s="33">
        <v>874</v>
      </c>
      <c r="B878" s="55" t="s">
        <v>192</v>
      </c>
      <c r="C878" s="55" t="str">
        <f>IF(دانش‌آموزان!E77="","",دانش‌آموزان!B77)</f>
        <v/>
      </c>
      <c r="D878" s="55" t="str">
        <f>IF(دانش‌آموزان!C77="","",دانش‌آموزان!C77)</f>
        <v/>
      </c>
      <c r="E878" s="55" t="str">
        <f>IF(دانش‌آموزان!E77="","",دانش‌آموزان!E77&amp;" "&amp;دانش‌آموزان!F77)</f>
        <v/>
      </c>
      <c r="F878" s="34" t="str">
        <f>IF(دانش‌آموزان!I77="","",دانش‌آموزان!I77)</f>
        <v/>
      </c>
      <c r="G878" s="19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  <c r="BJ878" s="20"/>
      <c r="BK878" s="20"/>
      <c r="BL878" s="20"/>
      <c r="BM878" s="20"/>
      <c r="BN878" s="20"/>
      <c r="BO878" s="20"/>
      <c r="BP878" s="20"/>
      <c r="BQ878" s="20"/>
      <c r="BR878" s="20"/>
      <c r="BS878" s="20"/>
      <c r="BT878" s="20"/>
      <c r="BU878" s="20"/>
      <c r="BV878" s="20"/>
      <c r="BW878" s="20"/>
      <c r="BX878" s="20"/>
      <c r="BY878" s="20"/>
      <c r="BZ878" s="20"/>
      <c r="CA878" s="20"/>
      <c r="CB878" s="21"/>
      <c r="CC878" s="27" t="str">
        <f t="shared" si="143"/>
        <v/>
      </c>
      <c r="CD878" s="38" t="str">
        <f t="shared" si="144"/>
        <v/>
      </c>
      <c r="CE878" s="38" t="str">
        <f t="shared" si="145"/>
        <v/>
      </c>
      <c r="CF878" s="38" t="str">
        <f t="shared" si="146"/>
        <v/>
      </c>
      <c r="CG878" s="38" t="str">
        <f t="shared" si="147"/>
        <v/>
      </c>
      <c r="CH878" s="38" t="str">
        <f t="shared" si="148"/>
        <v/>
      </c>
      <c r="CI878" s="38" t="str">
        <f t="shared" si="149"/>
        <v/>
      </c>
      <c r="CJ878" s="38" t="str">
        <f t="shared" si="150"/>
        <v/>
      </c>
      <c r="CK878" s="38" t="str">
        <f t="shared" si="151"/>
        <v/>
      </c>
      <c r="CL878" s="38" t="str">
        <f>IF(C878="","",IF(COUNT(G878:AZ878)&lt;46,"",SUMPRODUCT(CC878:CK878,'تنظیمات وزن‌دهی'!$C$5:$C$13)/100))</f>
        <v/>
      </c>
      <c r="CM878" s="38" t="str">
        <f t="shared" si="152"/>
        <v/>
      </c>
      <c r="CN878" s="38">
        <v>10</v>
      </c>
      <c r="CO878" s="28" t="str">
        <f t="shared" si="153"/>
        <v/>
      </c>
      <c r="CP878" s="58"/>
    </row>
    <row r="879" spans="1:94" ht="17.25" hidden="1">
      <c r="A879" s="33">
        <v>875</v>
      </c>
      <c r="B879" s="55" t="s">
        <v>193</v>
      </c>
      <c r="C879" s="55" t="str">
        <f>IF(دانش‌آموزان!E77="","",دانش‌آموزان!B77)</f>
        <v/>
      </c>
      <c r="D879" s="55" t="str">
        <f>IF(دانش‌آموزان!C77="","",دانش‌آموزان!C77)</f>
        <v/>
      </c>
      <c r="E879" s="55" t="str">
        <f>IF(دانش‌آموزان!E77="","",دانش‌آموزان!E77&amp;" "&amp;دانش‌آموزان!F77)</f>
        <v/>
      </c>
      <c r="F879" s="34" t="str">
        <f>IF(دانش‌آموزان!I77="","",دانش‌آموزان!I77)</f>
        <v/>
      </c>
      <c r="G879" s="19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  <c r="BJ879" s="20"/>
      <c r="BK879" s="20"/>
      <c r="BL879" s="20"/>
      <c r="BM879" s="20"/>
      <c r="BN879" s="20"/>
      <c r="BO879" s="20"/>
      <c r="BP879" s="20"/>
      <c r="BQ879" s="20"/>
      <c r="BR879" s="20"/>
      <c r="BS879" s="20"/>
      <c r="BT879" s="20"/>
      <c r="BU879" s="20"/>
      <c r="BV879" s="20"/>
      <c r="BW879" s="20"/>
      <c r="BX879" s="20"/>
      <c r="BY879" s="20"/>
      <c r="BZ879" s="20"/>
      <c r="CA879" s="20"/>
      <c r="CB879" s="21"/>
      <c r="CC879" s="27" t="str">
        <f t="shared" si="143"/>
        <v/>
      </c>
      <c r="CD879" s="38" t="str">
        <f t="shared" si="144"/>
        <v/>
      </c>
      <c r="CE879" s="38" t="str">
        <f t="shared" si="145"/>
        <v/>
      </c>
      <c r="CF879" s="38" t="str">
        <f t="shared" si="146"/>
        <v/>
      </c>
      <c r="CG879" s="38" t="str">
        <f t="shared" si="147"/>
        <v/>
      </c>
      <c r="CH879" s="38" t="str">
        <f t="shared" si="148"/>
        <v/>
      </c>
      <c r="CI879" s="38" t="str">
        <f t="shared" si="149"/>
        <v/>
      </c>
      <c r="CJ879" s="38" t="str">
        <f t="shared" si="150"/>
        <v/>
      </c>
      <c r="CK879" s="38" t="str">
        <f t="shared" si="151"/>
        <v/>
      </c>
      <c r="CL879" s="38" t="str">
        <f>IF(C879="","",IF(COUNT(G879:AZ879)&lt;46,"",SUMPRODUCT(CC879:CK879,'تنظیمات وزن‌دهی'!$C$5:$C$13)/100))</f>
        <v/>
      </c>
      <c r="CM879" s="38" t="str">
        <f t="shared" si="152"/>
        <v/>
      </c>
      <c r="CN879" s="38">
        <v>11</v>
      </c>
      <c r="CO879" s="28" t="str">
        <f t="shared" si="153"/>
        <v/>
      </c>
      <c r="CP879" s="58"/>
    </row>
    <row r="880" spans="1:94" ht="17.25" hidden="1">
      <c r="A880" s="33">
        <v>876</v>
      </c>
      <c r="B880" s="55" t="s">
        <v>194</v>
      </c>
      <c r="C880" s="55" t="str">
        <f>IF(دانش‌آموزان!E77="","",دانش‌آموزان!B77)</f>
        <v/>
      </c>
      <c r="D880" s="55" t="str">
        <f>IF(دانش‌آموزان!C77="","",دانش‌آموزان!C77)</f>
        <v/>
      </c>
      <c r="E880" s="55" t="str">
        <f>IF(دانش‌آموزان!E77="","",دانش‌آموزان!E77&amp;" "&amp;دانش‌آموزان!F77)</f>
        <v/>
      </c>
      <c r="F880" s="34" t="str">
        <f>IF(دانش‌آموزان!I77="","",دانش‌آموزان!I77)</f>
        <v/>
      </c>
      <c r="G880" s="19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  <c r="BJ880" s="20"/>
      <c r="BK880" s="20"/>
      <c r="BL880" s="20"/>
      <c r="BM880" s="20"/>
      <c r="BN880" s="20"/>
      <c r="BO880" s="20"/>
      <c r="BP880" s="20"/>
      <c r="BQ880" s="20"/>
      <c r="BR880" s="20"/>
      <c r="BS880" s="20"/>
      <c r="BT880" s="20"/>
      <c r="BU880" s="20"/>
      <c r="BV880" s="20"/>
      <c r="BW880" s="20"/>
      <c r="BX880" s="20"/>
      <c r="BY880" s="20"/>
      <c r="BZ880" s="20"/>
      <c r="CA880" s="20"/>
      <c r="CB880" s="21"/>
      <c r="CC880" s="27" t="str">
        <f t="shared" si="143"/>
        <v/>
      </c>
      <c r="CD880" s="38" t="str">
        <f t="shared" si="144"/>
        <v/>
      </c>
      <c r="CE880" s="38" t="str">
        <f t="shared" si="145"/>
        <v/>
      </c>
      <c r="CF880" s="38" t="str">
        <f t="shared" si="146"/>
        <v/>
      </c>
      <c r="CG880" s="38" t="str">
        <f t="shared" si="147"/>
        <v/>
      </c>
      <c r="CH880" s="38" t="str">
        <f t="shared" si="148"/>
        <v/>
      </c>
      <c r="CI880" s="38" t="str">
        <f t="shared" si="149"/>
        <v/>
      </c>
      <c r="CJ880" s="38" t="str">
        <f t="shared" si="150"/>
        <v/>
      </c>
      <c r="CK880" s="38" t="str">
        <f t="shared" si="151"/>
        <v/>
      </c>
      <c r="CL880" s="38" t="str">
        <f>IF(C880="","",IF(COUNT(G880:AZ880)&lt;46,"",SUMPRODUCT(CC880:CK880,'تنظیمات وزن‌دهی'!$C$5:$C$13)/100))</f>
        <v/>
      </c>
      <c r="CM880" s="38" t="str">
        <f t="shared" si="152"/>
        <v/>
      </c>
      <c r="CN880" s="38">
        <v>12</v>
      </c>
      <c r="CO880" s="28" t="str">
        <f t="shared" si="153"/>
        <v/>
      </c>
      <c r="CP880" s="58"/>
    </row>
    <row r="881" spans="1:94" ht="17.25" hidden="1">
      <c r="A881" s="33">
        <v>877</v>
      </c>
      <c r="B881" s="55" t="s">
        <v>183</v>
      </c>
      <c r="C881" s="55" t="str">
        <f>IF(دانش‌آموزان!E78="","",دانش‌آموزان!B78)</f>
        <v/>
      </c>
      <c r="D881" s="55" t="str">
        <f>IF(دانش‌آموزان!C78="","",دانش‌آموزان!C78)</f>
        <v/>
      </c>
      <c r="E881" s="55" t="str">
        <f>IF(دانش‌آموزان!E78="","",دانش‌آموزان!E78&amp;" "&amp;دانش‌آموزان!F78)</f>
        <v/>
      </c>
      <c r="F881" s="34" t="str">
        <f>IF(دانش‌آموزان!I78="","",دانش‌آموزان!I78)</f>
        <v/>
      </c>
      <c r="G881" s="19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  <c r="BJ881" s="20"/>
      <c r="BK881" s="20"/>
      <c r="BL881" s="20"/>
      <c r="BM881" s="20"/>
      <c r="BN881" s="20"/>
      <c r="BO881" s="20"/>
      <c r="BP881" s="20"/>
      <c r="BQ881" s="20"/>
      <c r="BR881" s="20"/>
      <c r="BS881" s="20"/>
      <c r="BT881" s="20"/>
      <c r="BU881" s="20"/>
      <c r="BV881" s="20"/>
      <c r="BW881" s="20"/>
      <c r="BX881" s="20"/>
      <c r="BY881" s="20"/>
      <c r="BZ881" s="20"/>
      <c r="CA881" s="20"/>
      <c r="CB881" s="21"/>
      <c r="CC881" s="27" t="str">
        <f t="shared" si="143"/>
        <v/>
      </c>
      <c r="CD881" s="38" t="str">
        <f t="shared" si="144"/>
        <v/>
      </c>
      <c r="CE881" s="38" t="str">
        <f t="shared" si="145"/>
        <v/>
      </c>
      <c r="CF881" s="38" t="str">
        <f t="shared" si="146"/>
        <v/>
      </c>
      <c r="CG881" s="38" t="str">
        <f t="shared" si="147"/>
        <v/>
      </c>
      <c r="CH881" s="38" t="str">
        <f t="shared" si="148"/>
        <v/>
      </c>
      <c r="CI881" s="38" t="str">
        <f t="shared" si="149"/>
        <v/>
      </c>
      <c r="CJ881" s="38" t="str">
        <f t="shared" si="150"/>
        <v/>
      </c>
      <c r="CK881" s="38" t="str">
        <f t="shared" si="151"/>
        <v/>
      </c>
      <c r="CL881" s="38" t="str">
        <f>IF(C881="","",IF(COUNT(G881:AZ881)&lt;46,"",SUMPRODUCT(CC881:CK881,'تنظیمات وزن‌دهی'!$C$5:$C$13)/100))</f>
        <v/>
      </c>
      <c r="CM881" s="38" t="str">
        <f t="shared" si="152"/>
        <v/>
      </c>
      <c r="CN881" s="38">
        <v>1</v>
      </c>
      <c r="CO881" s="28" t="str">
        <f t="shared" si="153"/>
        <v/>
      </c>
      <c r="CP881" s="58"/>
    </row>
    <row r="882" spans="1:94" ht="17.25" hidden="1">
      <c r="A882" s="33">
        <v>878</v>
      </c>
      <c r="B882" s="55" t="s">
        <v>184</v>
      </c>
      <c r="C882" s="55" t="str">
        <f>IF(دانش‌آموزان!E78="","",دانش‌آموزان!B78)</f>
        <v/>
      </c>
      <c r="D882" s="55" t="str">
        <f>IF(دانش‌آموزان!C78="","",دانش‌آموزان!C78)</f>
        <v/>
      </c>
      <c r="E882" s="55" t="str">
        <f>IF(دانش‌آموزان!E78="","",دانش‌آموزان!E78&amp;" "&amp;دانش‌آموزان!F78)</f>
        <v/>
      </c>
      <c r="F882" s="34" t="str">
        <f>IF(دانش‌آموزان!I78="","",دانش‌آموزان!I78)</f>
        <v/>
      </c>
      <c r="G882" s="19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  <c r="BJ882" s="20"/>
      <c r="BK882" s="20"/>
      <c r="BL882" s="20"/>
      <c r="BM882" s="20"/>
      <c r="BN882" s="20"/>
      <c r="BO882" s="20"/>
      <c r="BP882" s="20"/>
      <c r="BQ882" s="20"/>
      <c r="BR882" s="20"/>
      <c r="BS882" s="20"/>
      <c r="BT882" s="20"/>
      <c r="BU882" s="20"/>
      <c r="BV882" s="20"/>
      <c r="BW882" s="20"/>
      <c r="BX882" s="20"/>
      <c r="BY882" s="20"/>
      <c r="BZ882" s="20"/>
      <c r="CA882" s="20"/>
      <c r="CB882" s="21"/>
      <c r="CC882" s="27" t="str">
        <f t="shared" si="143"/>
        <v/>
      </c>
      <c r="CD882" s="38" t="str">
        <f t="shared" si="144"/>
        <v/>
      </c>
      <c r="CE882" s="38" t="str">
        <f t="shared" si="145"/>
        <v/>
      </c>
      <c r="CF882" s="38" t="str">
        <f t="shared" si="146"/>
        <v/>
      </c>
      <c r="CG882" s="38" t="str">
        <f t="shared" si="147"/>
        <v/>
      </c>
      <c r="CH882" s="38" t="str">
        <f t="shared" si="148"/>
        <v/>
      </c>
      <c r="CI882" s="38" t="str">
        <f t="shared" si="149"/>
        <v/>
      </c>
      <c r="CJ882" s="38" t="str">
        <f t="shared" si="150"/>
        <v/>
      </c>
      <c r="CK882" s="38" t="str">
        <f t="shared" si="151"/>
        <v/>
      </c>
      <c r="CL882" s="38" t="str">
        <f>IF(C882="","",IF(COUNT(G882:AZ882)&lt;46,"",SUMPRODUCT(CC882:CK882,'تنظیمات وزن‌دهی'!$C$5:$C$13)/100))</f>
        <v/>
      </c>
      <c r="CM882" s="38" t="str">
        <f t="shared" si="152"/>
        <v/>
      </c>
      <c r="CN882" s="38">
        <v>2</v>
      </c>
      <c r="CO882" s="28" t="str">
        <f t="shared" si="153"/>
        <v/>
      </c>
      <c r="CP882" s="58"/>
    </row>
    <row r="883" spans="1:94" ht="17.25">
      <c r="A883" s="33">
        <v>879</v>
      </c>
      <c r="B883" s="55" t="s">
        <v>185</v>
      </c>
      <c r="C883" s="55" t="str">
        <f>IF(دانش‌آموزان!E78="","",دانش‌آموزان!B78)</f>
        <v/>
      </c>
      <c r="D883" s="55" t="str">
        <f>IF(دانش‌آموزان!C78="","",دانش‌آموزان!C78)</f>
        <v/>
      </c>
      <c r="E883" s="55" t="str">
        <f>IF(دانش‌آموزان!E78="","",دانش‌آموزان!E78&amp;" "&amp;دانش‌آموزان!F78)</f>
        <v/>
      </c>
      <c r="F883" s="34" t="str">
        <f>IF(دانش‌آموزان!I78="","",دانش‌آموزان!I78)</f>
        <v/>
      </c>
      <c r="G883" s="19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  <c r="BJ883" s="20"/>
      <c r="BK883" s="20"/>
      <c r="BL883" s="20"/>
      <c r="BM883" s="20"/>
      <c r="BN883" s="20"/>
      <c r="BO883" s="20"/>
      <c r="BP883" s="20"/>
      <c r="BQ883" s="20"/>
      <c r="BR883" s="20"/>
      <c r="BS883" s="20"/>
      <c r="BT883" s="20"/>
      <c r="BU883" s="20"/>
      <c r="BV883" s="20"/>
      <c r="BW883" s="20"/>
      <c r="BX883" s="20"/>
      <c r="BY883" s="20"/>
      <c r="BZ883" s="20"/>
      <c r="CA883" s="20"/>
      <c r="CB883" s="21"/>
      <c r="CC883" s="27" t="str">
        <f t="shared" si="143"/>
        <v/>
      </c>
      <c r="CD883" s="38" t="str">
        <f t="shared" si="144"/>
        <v/>
      </c>
      <c r="CE883" s="38" t="str">
        <f t="shared" si="145"/>
        <v/>
      </c>
      <c r="CF883" s="38" t="str">
        <f t="shared" si="146"/>
        <v/>
      </c>
      <c r="CG883" s="38" t="str">
        <f t="shared" si="147"/>
        <v/>
      </c>
      <c r="CH883" s="38" t="str">
        <f t="shared" si="148"/>
        <v/>
      </c>
      <c r="CI883" s="38" t="str">
        <f t="shared" si="149"/>
        <v/>
      </c>
      <c r="CJ883" s="38" t="str">
        <f t="shared" si="150"/>
        <v/>
      </c>
      <c r="CK883" s="38" t="str">
        <f t="shared" si="151"/>
        <v/>
      </c>
      <c r="CL883" s="38" t="str">
        <f>IF(C883="","",IF(COUNT(G883:AZ883)&lt;46,"",SUMPRODUCT(CC883:CK883,'تنظیمات وزن‌دهی'!$C$5:$C$13)/100))</f>
        <v/>
      </c>
      <c r="CM883" s="38" t="str">
        <f t="shared" si="152"/>
        <v/>
      </c>
      <c r="CN883" s="38">
        <v>3</v>
      </c>
      <c r="CO883" s="28" t="str">
        <f t="shared" si="153"/>
        <v/>
      </c>
      <c r="CP883" s="58"/>
    </row>
    <row r="884" spans="1:94" ht="17.25" hidden="1">
      <c r="A884" s="33">
        <v>880</v>
      </c>
      <c r="B884" s="55" t="s">
        <v>186</v>
      </c>
      <c r="C884" s="55" t="str">
        <f>IF(دانش‌آموزان!E78="","",دانش‌آموزان!B78)</f>
        <v/>
      </c>
      <c r="D884" s="55" t="str">
        <f>IF(دانش‌آموزان!C78="","",دانش‌آموزان!C78)</f>
        <v/>
      </c>
      <c r="E884" s="55" t="str">
        <f>IF(دانش‌آموزان!E78="","",دانش‌آموزان!E78&amp;" "&amp;دانش‌آموزان!F78)</f>
        <v/>
      </c>
      <c r="F884" s="34" t="str">
        <f>IF(دانش‌آموزان!I78="","",دانش‌آموزان!I78)</f>
        <v/>
      </c>
      <c r="G884" s="19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  <c r="BJ884" s="20"/>
      <c r="BK884" s="20"/>
      <c r="BL884" s="20"/>
      <c r="BM884" s="20"/>
      <c r="BN884" s="20"/>
      <c r="BO884" s="20"/>
      <c r="BP884" s="20"/>
      <c r="BQ884" s="20"/>
      <c r="BR884" s="20"/>
      <c r="BS884" s="20"/>
      <c r="BT884" s="20"/>
      <c r="BU884" s="20"/>
      <c r="BV884" s="20"/>
      <c r="BW884" s="20"/>
      <c r="BX884" s="20"/>
      <c r="BY884" s="20"/>
      <c r="BZ884" s="20"/>
      <c r="CA884" s="20"/>
      <c r="CB884" s="21"/>
      <c r="CC884" s="27" t="str">
        <f t="shared" si="143"/>
        <v/>
      </c>
      <c r="CD884" s="38" t="str">
        <f t="shared" si="144"/>
        <v/>
      </c>
      <c r="CE884" s="38" t="str">
        <f t="shared" si="145"/>
        <v/>
      </c>
      <c r="CF884" s="38" t="str">
        <f t="shared" si="146"/>
        <v/>
      </c>
      <c r="CG884" s="38" t="str">
        <f t="shared" si="147"/>
        <v/>
      </c>
      <c r="CH884" s="38" t="str">
        <f t="shared" si="148"/>
        <v/>
      </c>
      <c r="CI884" s="38" t="str">
        <f t="shared" si="149"/>
        <v/>
      </c>
      <c r="CJ884" s="38" t="str">
        <f t="shared" si="150"/>
        <v/>
      </c>
      <c r="CK884" s="38" t="str">
        <f t="shared" si="151"/>
        <v/>
      </c>
      <c r="CL884" s="38" t="str">
        <f>IF(C884="","",IF(COUNT(G884:AZ884)&lt;46,"",SUMPRODUCT(CC884:CK884,'تنظیمات وزن‌دهی'!$C$5:$C$13)/100))</f>
        <v/>
      </c>
      <c r="CM884" s="38" t="str">
        <f t="shared" si="152"/>
        <v/>
      </c>
      <c r="CN884" s="38">
        <v>4</v>
      </c>
      <c r="CO884" s="28" t="str">
        <f t="shared" si="153"/>
        <v/>
      </c>
      <c r="CP884" s="58"/>
    </row>
    <row r="885" spans="1:94" ht="17.25" hidden="1">
      <c r="A885" s="33">
        <v>881</v>
      </c>
      <c r="B885" s="55" t="s">
        <v>187</v>
      </c>
      <c r="C885" s="55" t="str">
        <f>IF(دانش‌آموزان!E78="","",دانش‌آموزان!B78)</f>
        <v/>
      </c>
      <c r="D885" s="55" t="str">
        <f>IF(دانش‌آموزان!C78="","",دانش‌آموزان!C78)</f>
        <v/>
      </c>
      <c r="E885" s="55" t="str">
        <f>IF(دانش‌آموزان!E78="","",دانش‌آموزان!E78&amp;" "&amp;دانش‌آموزان!F78)</f>
        <v/>
      </c>
      <c r="F885" s="34" t="str">
        <f>IF(دانش‌آموزان!I78="","",دانش‌آموزان!I78)</f>
        <v/>
      </c>
      <c r="G885" s="19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  <c r="BJ885" s="20"/>
      <c r="BK885" s="20"/>
      <c r="BL885" s="20"/>
      <c r="BM885" s="20"/>
      <c r="BN885" s="20"/>
      <c r="BO885" s="20"/>
      <c r="BP885" s="20"/>
      <c r="BQ885" s="20"/>
      <c r="BR885" s="20"/>
      <c r="BS885" s="20"/>
      <c r="BT885" s="20"/>
      <c r="BU885" s="20"/>
      <c r="BV885" s="20"/>
      <c r="BW885" s="20"/>
      <c r="BX885" s="20"/>
      <c r="BY885" s="20"/>
      <c r="BZ885" s="20"/>
      <c r="CA885" s="20"/>
      <c r="CB885" s="21"/>
      <c r="CC885" s="27" t="str">
        <f t="shared" si="143"/>
        <v/>
      </c>
      <c r="CD885" s="38" t="str">
        <f t="shared" si="144"/>
        <v/>
      </c>
      <c r="CE885" s="38" t="str">
        <f t="shared" si="145"/>
        <v/>
      </c>
      <c r="CF885" s="38" t="str">
        <f t="shared" si="146"/>
        <v/>
      </c>
      <c r="CG885" s="38" t="str">
        <f t="shared" si="147"/>
        <v/>
      </c>
      <c r="CH885" s="38" t="str">
        <f t="shared" si="148"/>
        <v/>
      </c>
      <c r="CI885" s="38" t="str">
        <f t="shared" si="149"/>
        <v/>
      </c>
      <c r="CJ885" s="38" t="str">
        <f t="shared" si="150"/>
        <v/>
      </c>
      <c r="CK885" s="38" t="str">
        <f t="shared" si="151"/>
        <v/>
      </c>
      <c r="CL885" s="38" t="str">
        <f>IF(C885="","",IF(COUNT(G885:AZ885)&lt;46,"",SUMPRODUCT(CC885:CK885,'تنظیمات وزن‌دهی'!$C$5:$C$13)/100))</f>
        <v/>
      </c>
      <c r="CM885" s="38" t="str">
        <f t="shared" si="152"/>
        <v/>
      </c>
      <c r="CN885" s="38">
        <v>5</v>
      </c>
      <c r="CO885" s="28" t="str">
        <f t="shared" si="153"/>
        <v/>
      </c>
      <c r="CP885" s="58"/>
    </row>
    <row r="886" spans="1:94" ht="17.25" hidden="1">
      <c r="A886" s="33">
        <v>882</v>
      </c>
      <c r="B886" s="55" t="s">
        <v>188</v>
      </c>
      <c r="C886" s="55" t="str">
        <f>IF(دانش‌آموزان!E78="","",دانش‌آموزان!B78)</f>
        <v/>
      </c>
      <c r="D886" s="55" t="str">
        <f>IF(دانش‌آموزان!C78="","",دانش‌آموزان!C78)</f>
        <v/>
      </c>
      <c r="E886" s="55" t="str">
        <f>IF(دانش‌آموزان!E78="","",دانش‌آموزان!E78&amp;" "&amp;دانش‌آموزان!F78)</f>
        <v/>
      </c>
      <c r="F886" s="34" t="str">
        <f>IF(دانش‌آموزان!I78="","",دانش‌آموزان!I78)</f>
        <v/>
      </c>
      <c r="G886" s="19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  <c r="BJ886" s="20"/>
      <c r="BK886" s="20"/>
      <c r="BL886" s="20"/>
      <c r="BM886" s="20"/>
      <c r="BN886" s="20"/>
      <c r="BO886" s="20"/>
      <c r="BP886" s="20"/>
      <c r="BQ886" s="20"/>
      <c r="BR886" s="20"/>
      <c r="BS886" s="20"/>
      <c r="BT886" s="20"/>
      <c r="BU886" s="20"/>
      <c r="BV886" s="20"/>
      <c r="BW886" s="20"/>
      <c r="BX886" s="20"/>
      <c r="BY886" s="20"/>
      <c r="BZ886" s="20"/>
      <c r="CA886" s="20"/>
      <c r="CB886" s="21"/>
      <c r="CC886" s="27" t="str">
        <f t="shared" si="143"/>
        <v/>
      </c>
      <c r="CD886" s="38" t="str">
        <f t="shared" si="144"/>
        <v/>
      </c>
      <c r="CE886" s="38" t="str">
        <f t="shared" si="145"/>
        <v/>
      </c>
      <c r="CF886" s="38" t="str">
        <f t="shared" si="146"/>
        <v/>
      </c>
      <c r="CG886" s="38" t="str">
        <f t="shared" si="147"/>
        <v/>
      </c>
      <c r="CH886" s="38" t="str">
        <f t="shared" si="148"/>
        <v/>
      </c>
      <c r="CI886" s="38" t="str">
        <f t="shared" si="149"/>
        <v/>
      </c>
      <c r="CJ886" s="38" t="str">
        <f t="shared" si="150"/>
        <v/>
      </c>
      <c r="CK886" s="38" t="str">
        <f t="shared" si="151"/>
        <v/>
      </c>
      <c r="CL886" s="38" t="str">
        <f>IF(C886="","",IF(COUNT(G886:AZ886)&lt;46,"",SUMPRODUCT(CC886:CK886,'تنظیمات وزن‌دهی'!$C$5:$C$13)/100))</f>
        <v/>
      </c>
      <c r="CM886" s="38" t="str">
        <f t="shared" si="152"/>
        <v/>
      </c>
      <c r="CN886" s="38">
        <v>6</v>
      </c>
      <c r="CO886" s="28" t="str">
        <f t="shared" si="153"/>
        <v/>
      </c>
      <c r="CP886" s="58"/>
    </row>
    <row r="887" spans="1:94" ht="17.25" hidden="1">
      <c r="A887" s="33">
        <v>883</v>
      </c>
      <c r="B887" s="55" t="s">
        <v>189</v>
      </c>
      <c r="C887" s="55" t="str">
        <f>IF(دانش‌آموزان!E78="","",دانش‌آموزان!B78)</f>
        <v/>
      </c>
      <c r="D887" s="55" t="str">
        <f>IF(دانش‌آموزان!C78="","",دانش‌آموزان!C78)</f>
        <v/>
      </c>
      <c r="E887" s="55" t="str">
        <f>IF(دانش‌آموزان!E78="","",دانش‌آموزان!E78&amp;" "&amp;دانش‌آموزان!F78)</f>
        <v/>
      </c>
      <c r="F887" s="34" t="str">
        <f>IF(دانش‌آموزان!I78="","",دانش‌آموزان!I78)</f>
        <v/>
      </c>
      <c r="G887" s="19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  <c r="BJ887" s="20"/>
      <c r="BK887" s="20"/>
      <c r="BL887" s="20"/>
      <c r="BM887" s="20"/>
      <c r="BN887" s="20"/>
      <c r="BO887" s="20"/>
      <c r="BP887" s="20"/>
      <c r="BQ887" s="20"/>
      <c r="BR887" s="20"/>
      <c r="BS887" s="20"/>
      <c r="BT887" s="20"/>
      <c r="BU887" s="20"/>
      <c r="BV887" s="20"/>
      <c r="BW887" s="20"/>
      <c r="BX887" s="20"/>
      <c r="BY887" s="20"/>
      <c r="BZ887" s="20"/>
      <c r="CA887" s="20"/>
      <c r="CB887" s="21"/>
      <c r="CC887" s="27" t="str">
        <f t="shared" si="143"/>
        <v/>
      </c>
      <c r="CD887" s="38" t="str">
        <f t="shared" si="144"/>
        <v/>
      </c>
      <c r="CE887" s="38" t="str">
        <f t="shared" si="145"/>
        <v/>
      </c>
      <c r="CF887" s="38" t="str">
        <f t="shared" si="146"/>
        <v/>
      </c>
      <c r="CG887" s="38" t="str">
        <f t="shared" si="147"/>
        <v/>
      </c>
      <c r="CH887" s="38" t="str">
        <f t="shared" si="148"/>
        <v/>
      </c>
      <c r="CI887" s="38" t="str">
        <f t="shared" si="149"/>
        <v/>
      </c>
      <c r="CJ887" s="38" t="str">
        <f t="shared" si="150"/>
        <v/>
      </c>
      <c r="CK887" s="38" t="str">
        <f t="shared" si="151"/>
        <v/>
      </c>
      <c r="CL887" s="38" t="str">
        <f>IF(C887="","",IF(COUNT(G887:AZ887)&lt;46,"",SUMPRODUCT(CC887:CK887,'تنظیمات وزن‌دهی'!$C$5:$C$13)/100))</f>
        <v/>
      </c>
      <c r="CM887" s="38" t="str">
        <f t="shared" si="152"/>
        <v/>
      </c>
      <c r="CN887" s="38">
        <v>7</v>
      </c>
      <c r="CO887" s="28" t="str">
        <f t="shared" si="153"/>
        <v/>
      </c>
      <c r="CP887" s="58"/>
    </row>
    <row r="888" spans="1:94" ht="17.25" hidden="1">
      <c r="A888" s="33">
        <v>884</v>
      </c>
      <c r="B888" s="55" t="s">
        <v>190</v>
      </c>
      <c r="C888" s="55" t="str">
        <f>IF(دانش‌آموزان!E78="","",دانش‌آموزان!B78)</f>
        <v/>
      </c>
      <c r="D888" s="55" t="str">
        <f>IF(دانش‌آموزان!C78="","",دانش‌آموزان!C78)</f>
        <v/>
      </c>
      <c r="E888" s="55" t="str">
        <f>IF(دانش‌آموزان!E78="","",دانش‌آموزان!E78&amp;" "&amp;دانش‌آموزان!F78)</f>
        <v/>
      </c>
      <c r="F888" s="34" t="str">
        <f>IF(دانش‌آموزان!I78="","",دانش‌آموزان!I78)</f>
        <v/>
      </c>
      <c r="G888" s="19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  <c r="BJ888" s="20"/>
      <c r="BK888" s="20"/>
      <c r="BL888" s="20"/>
      <c r="BM888" s="20"/>
      <c r="BN888" s="20"/>
      <c r="BO888" s="20"/>
      <c r="BP888" s="20"/>
      <c r="BQ888" s="20"/>
      <c r="BR888" s="20"/>
      <c r="BS888" s="20"/>
      <c r="BT888" s="20"/>
      <c r="BU888" s="20"/>
      <c r="BV888" s="20"/>
      <c r="BW888" s="20"/>
      <c r="BX888" s="20"/>
      <c r="BY888" s="20"/>
      <c r="BZ888" s="20"/>
      <c r="CA888" s="20"/>
      <c r="CB888" s="21"/>
      <c r="CC888" s="27" t="str">
        <f t="shared" si="143"/>
        <v/>
      </c>
      <c r="CD888" s="38" t="str">
        <f t="shared" si="144"/>
        <v/>
      </c>
      <c r="CE888" s="38" t="str">
        <f t="shared" si="145"/>
        <v/>
      </c>
      <c r="CF888" s="38" t="str">
        <f t="shared" si="146"/>
        <v/>
      </c>
      <c r="CG888" s="38" t="str">
        <f t="shared" si="147"/>
        <v/>
      </c>
      <c r="CH888" s="38" t="str">
        <f t="shared" si="148"/>
        <v/>
      </c>
      <c r="CI888" s="38" t="str">
        <f t="shared" si="149"/>
        <v/>
      </c>
      <c r="CJ888" s="38" t="str">
        <f t="shared" si="150"/>
        <v/>
      </c>
      <c r="CK888" s="38" t="str">
        <f t="shared" si="151"/>
        <v/>
      </c>
      <c r="CL888" s="38" t="str">
        <f>IF(C888="","",IF(COUNT(G888:AZ888)&lt;46,"",SUMPRODUCT(CC888:CK888,'تنظیمات وزن‌دهی'!$C$5:$C$13)/100))</f>
        <v/>
      </c>
      <c r="CM888" s="38" t="str">
        <f t="shared" si="152"/>
        <v/>
      </c>
      <c r="CN888" s="38">
        <v>8</v>
      </c>
      <c r="CO888" s="28" t="str">
        <f t="shared" si="153"/>
        <v/>
      </c>
      <c r="CP888" s="58"/>
    </row>
    <row r="889" spans="1:94" ht="17.25" hidden="1">
      <c r="A889" s="33">
        <v>885</v>
      </c>
      <c r="B889" s="55" t="s">
        <v>191</v>
      </c>
      <c r="C889" s="55" t="str">
        <f>IF(دانش‌آموزان!E78="","",دانش‌آموزان!B78)</f>
        <v/>
      </c>
      <c r="D889" s="55" t="str">
        <f>IF(دانش‌آموزان!C78="","",دانش‌آموزان!C78)</f>
        <v/>
      </c>
      <c r="E889" s="55" t="str">
        <f>IF(دانش‌آموزان!E78="","",دانش‌آموزان!E78&amp;" "&amp;دانش‌آموزان!F78)</f>
        <v/>
      </c>
      <c r="F889" s="34" t="str">
        <f>IF(دانش‌آموزان!I78="","",دانش‌آموزان!I78)</f>
        <v/>
      </c>
      <c r="G889" s="19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  <c r="BJ889" s="20"/>
      <c r="BK889" s="20"/>
      <c r="BL889" s="20"/>
      <c r="BM889" s="20"/>
      <c r="BN889" s="20"/>
      <c r="BO889" s="20"/>
      <c r="BP889" s="20"/>
      <c r="BQ889" s="20"/>
      <c r="BR889" s="20"/>
      <c r="BS889" s="20"/>
      <c r="BT889" s="20"/>
      <c r="BU889" s="20"/>
      <c r="BV889" s="20"/>
      <c r="BW889" s="20"/>
      <c r="BX889" s="20"/>
      <c r="BY889" s="20"/>
      <c r="BZ889" s="20"/>
      <c r="CA889" s="20"/>
      <c r="CB889" s="21"/>
      <c r="CC889" s="27" t="str">
        <f t="shared" si="143"/>
        <v/>
      </c>
      <c r="CD889" s="38" t="str">
        <f t="shared" si="144"/>
        <v/>
      </c>
      <c r="CE889" s="38" t="str">
        <f t="shared" si="145"/>
        <v/>
      </c>
      <c r="CF889" s="38" t="str">
        <f t="shared" si="146"/>
        <v/>
      </c>
      <c r="CG889" s="38" t="str">
        <f t="shared" si="147"/>
        <v/>
      </c>
      <c r="CH889" s="38" t="str">
        <f t="shared" si="148"/>
        <v/>
      </c>
      <c r="CI889" s="38" t="str">
        <f t="shared" si="149"/>
        <v/>
      </c>
      <c r="CJ889" s="38" t="str">
        <f t="shared" si="150"/>
        <v/>
      </c>
      <c r="CK889" s="38" t="str">
        <f t="shared" si="151"/>
        <v/>
      </c>
      <c r="CL889" s="38" t="str">
        <f>IF(C889="","",IF(COUNT(G889:AZ889)&lt;46,"",SUMPRODUCT(CC889:CK889,'تنظیمات وزن‌دهی'!$C$5:$C$13)/100))</f>
        <v/>
      </c>
      <c r="CM889" s="38" t="str">
        <f t="shared" si="152"/>
        <v/>
      </c>
      <c r="CN889" s="38">
        <v>9</v>
      </c>
      <c r="CO889" s="28" t="str">
        <f t="shared" si="153"/>
        <v/>
      </c>
      <c r="CP889" s="58"/>
    </row>
    <row r="890" spans="1:94" ht="17.25" hidden="1">
      <c r="A890" s="33">
        <v>886</v>
      </c>
      <c r="B890" s="55" t="s">
        <v>192</v>
      </c>
      <c r="C890" s="55" t="str">
        <f>IF(دانش‌آموزان!E78="","",دانش‌آموزان!B78)</f>
        <v/>
      </c>
      <c r="D890" s="55" t="str">
        <f>IF(دانش‌آموزان!C78="","",دانش‌آموزان!C78)</f>
        <v/>
      </c>
      <c r="E890" s="55" t="str">
        <f>IF(دانش‌آموزان!E78="","",دانش‌آموزان!E78&amp;" "&amp;دانش‌آموزان!F78)</f>
        <v/>
      </c>
      <c r="F890" s="34" t="str">
        <f>IF(دانش‌آموزان!I78="","",دانش‌آموزان!I78)</f>
        <v/>
      </c>
      <c r="G890" s="19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  <c r="BJ890" s="20"/>
      <c r="BK890" s="20"/>
      <c r="BL890" s="20"/>
      <c r="BM890" s="20"/>
      <c r="BN890" s="20"/>
      <c r="BO890" s="20"/>
      <c r="BP890" s="20"/>
      <c r="BQ890" s="20"/>
      <c r="BR890" s="20"/>
      <c r="BS890" s="20"/>
      <c r="BT890" s="20"/>
      <c r="BU890" s="20"/>
      <c r="BV890" s="20"/>
      <c r="BW890" s="20"/>
      <c r="BX890" s="20"/>
      <c r="BY890" s="20"/>
      <c r="BZ890" s="20"/>
      <c r="CA890" s="20"/>
      <c r="CB890" s="21"/>
      <c r="CC890" s="27" t="str">
        <f t="shared" si="143"/>
        <v/>
      </c>
      <c r="CD890" s="38" t="str">
        <f t="shared" si="144"/>
        <v/>
      </c>
      <c r="CE890" s="38" t="str">
        <f t="shared" si="145"/>
        <v/>
      </c>
      <c r="CF890" s="38" t="str">
        <f t="shared" si="146"/>
        <v/>
      </c>
      <c r="CG890" s="38" t="str">
        <f t="shared" si="147"/>
        <v/>
      </c>
      <c r="CH890" s="38" t="str">
        <f t="shared" si="148"/>
        <v/>
      </c>
      <c r="CI890" s="38" t="str">
        <f t="shared" si="149"/>
        <v/>
      </c>
      <c r="CJ890" s="38" t="str">
        <f t="shared" si="150"/>
        <v/>
      </c>
      <c r="CK890" s="38" t="str">
        <f t="shared" si="151"/>
        <v/>
      </c>
      <c r="CL890" s="38" t="str">
        <f>IF(C890="","",IF(COUNT(G890:AZ890)&lt;46,"",SUMPRODUCT(CC890:CK890,'تنظیمات وزن‌دهی'!$C$5:$C$13)/100))</f>
        <v/>
      </c>
      <c r="CM890" s="38" t="str">
        <f t="shared" si="152"/>
        <v/>
      </c>
      <c r="CN890" s="38">
        <v>10</v>
      </c>
      <c r="CO890" s="28" t="str">
        <f t="shared" si="153"/>
        <v/>
      </c>
      <c r="CP890" s="58"/>
    </row>
    <row r="891" spans="1:94" ht="17.25" hidden="1">
      <c r="A891" s="33">
        <v>887</v>
      </c>
      <c r="B891" s="55" t="s">
        <v>193</v>
      </c>
      <c r="C891" s="55" t="str">
        <f>IF(دانش‌آموزان!E78="","",دانش‌آموزان!B78)</f>
        <v/>
      </c>
      <c r="D891" s="55" t="str">
        <f>IF(دانش‌آموزان!C78="","",دانش‌آموزان!C78)</f>
        <v/>
      </c>
      <c r="E891" s="55" t="str">
        <f>IF(دانش‌آموزان!E78="","",دانش‌آموزان!E78&amp;" "&amp;دانش‌آموزان!F78)</f>
        <v/>
      </c>
      <c r="F891" s="34" t="str">
        <f>IF(دانش‌آموزان!I78="","",دانش‌آموزان!I78)</f>
        <v/>
      </c>
      <c r="G891" s="19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  <c r="BJ891" s="20"/>
      <c r="BK891" s="20"/>
      <c r="BL891" s="20"/>
      <c r="BM891" s="20"/>
      <c r="BN891" s="20"/>
      <c r="BO891" s="20"/>
      <c r="BP891" s="20"/>
      <c r="BQ891" s="20"/>
      <c r="BR891" s="20"/>
      <c r="BS891" s="20"/>
      <c r="BT891" s="20"/>
      <c r="BU891" s="20"/>
      <c r="BV891" s="20"/>
      <c r="BW891" s="20"/>
      <c r="BX891" s="20"/>
      <c r="BY891" s="20"/>
      <c r="BZ891" s="20"/>
      <c r="CA891" s="20"/>
      <c r="CB891" s="21"/>
      <c r="CC891" s="27" t="str">
        <f t="shared" si="143"/>
        <v/>
      </c>
      <c r="CD891" s="38" t="str">
        <f t="shared" si="144"/>
        <v/>
      </c>
      <c r="CE891" s="38" t="str">
        <f t="shared" si="145"/>
        <v/>
      </c>
      <c r="CF891" s="38" t="str">
        <f t="shared" si="146"/>
        <v/>
      </c>
      <c r="CG891" s="38" t="str">
        <f t="shared" si="147"/>
        <v/>
      </c>
      <c r="CH891" s="38" t="str">
        <f t="shared" si="148"/>
        <v/>
      </c>
      <c r="CI891" s="38" t="str">
        <f t="shared" si="149"/>
        <v/>
      </c>
      <c r="CJ891" s="38" t="str">
        <f t="shared" si="150"/>
        <v/>
      </c>
      <c r="CK891" s="38" t="str">
        <f t="shared" si="151"/>
        <v/>
      </c>
      <c r="CL891" s="38" t="str">
        <f>IF(C891="","",IF(COUNT(G891:AZ891)&lt;46,"",SUMPRODUCT(CC891:CK891,'تنظیمات وزن‌دهی'!$C$5:$C$13)/100))</f>
        <v/>
      </c>
      <c r="CM891" s="38" t="str">
        <f t="shared" si="152"/>
        <v/>
      </c>
      <c r="CN891" s="38">
        <v>11</v>
      </c>
      <c r="CO891" s="28" t="str">
        <f t="shared" si="153"/>
        <v/>
      </c>
      <c r="CP891" s="58"/>
    </row>
    <row r="892" spans="1:94" ht="17.25" hidden="1">
      <c r="A892" s="33">
        <v>888</v>
      </c>
      <c r="B892" s="55" t="s">
        <v>194</v>
      </c>
      <c r="C892" s="55" t="str">
        <f>IF(دانش‌آموزان!E78="","",دانش‌آموزان!B78)</f>
        <v/>
      </c>
      <c r="D892" s="55" t="str">
        <f>IF(دانش‌آموزان!C78="","",دانش‌آموزان!C78)</f>
        <v/>
      </c>
      <c r="E892" s="55" t="str">
        <f>IF(دانش‌آموزان!E78="","",دانش‌آموزان!E78&amp;" "&amp;دانش‌آموزان!F78)</f>
        <v/>
      </c>
      <c r="F892" s="34" t="str">
        <f>IF(دانش‌آموزان!I78="","",دانش‌آموزان!I78)</f>
        <v/>
      </c>
      <c r="G892" s="19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  <c r="BJ892" s="20"/>
      <c r="BK892" s="20"/>
      <c r="BL892" s="20"/>
      <c r="BM892" s="20"/>
      <c r="BN892" s="20"/>
      <c r="BO892" s="20"/>
      <c r="BP892" s="20"/>
      <c r="BQ892" s="20"/>
      <c r="BR892" s="20"/>
      <c r="BS892" s="20"/>
      <c r="BT892" s="20"/>
      <c r="BU892" s="20"/>
      <c r="BV892" s="20"/>
      <c r="BW892" s="20"/>
      <c r="BX892" s="20"/>
      <c r="BY892" s="20"/>
      <c r="BZ892" s="20"/>
      <c r="CA892" s="20"/>
      <c r="CB892" s="21"/>
      <c r="CC892" s="27" t="str">
        <f t="shared" si="143"/>
        <v/>
      </c>
      <c r="CD892" s="38" t="str">
        <f t="shared" si="144"/>
        <v/>
      </c>
      <c r="CE892" s="38" t="str">
        <f t="shared" si="145"/>
        <v/>
      </c>
      <c r="CF892" s="38" t="str">
        <f t="shared" si="146"/>
        <v/>
      </c>
      <c r="CG892" s="38" t="str">
        <f t="shared" si="147"/>
        <v/>
      </c>
      <c r="CH892" s="38" t="str">
        <f t="shared" si="148"/>
        <v/>
      </c>
      <c r="CI892" s="38" t="str">
        <f t="shared" si="149"/>
        <v/>
      </c>
      <c r="CJ892" s="38" t="str">
        <f t="shared" si="150"/>
        <v/>
      </c>
      <c r="CK892" s="38" t="str">
        <f t="shared" si="151"/>
        <v/>
      </c>
      <c r="CL892" s="38" t="str">
        <f>IF(C892="","",IF(COUNT(G892:AZ892)&lt;46,"",SUMPRODUCT(CC892:CK892,'تنظیمات وزن‌دهی'!$C$5:$C$13)/100))</f>
        <v/>
      </c>
      <c r="CM892" s="38" t="str">
        <f t="shared" si="152"/>
        <v/>
      </c>
      <c r="CN892" s="38">
        <v>12</v>
      </c>
      <c r="CO892" s="28" t="str">
        <f t="shared" si="153"/>
        <v/>
      </c>
      <c r="CP892" s="58"/>
    </row>
    <row r="893" spans="1:94" ht="17.25" hidden="1">
      <c r="A893" s="33">
        <v>889</v>
      </c>
      <c r="B893" s="55" t="s">
        <v>183</v>
      </c>
      <c r="C893" s="55" t="str">
        <f>IF(دانش‌آموزان!E79="","",دانش‌آموزان!B79)</f>
        <v/>
      </c>
      <c r="D893" s="55" t="str">
        <f>IF(دانش‌آموزان!C79="","",دانش‌آموزان!C79)</f>
        <v/>
      </c>
      <c r="E893" s="55" t="str">
        <f>IF(دانش‌آموزان!E79="","",دانش‌آموزان!E79&amp;" "&amp;دانش‌آموزان!F79)</f>
        <v/>
      </c>
      <c r="F893" s="34" t="str">
        <f>IF(دانش‌آموزان!I79="","",دانش‌آموزان!I79)</f>
        <v/>
      </c>
      <c r="G893" s="19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  <c r="BJ893" s="20"/>
      <c r="BK893" s="20"/>
      <c r="BL893" s="20"/>
      <c r="BM893" s="20"/>
      <c r="BN893" s="20"/>
      <c r="BO893" s="20"/>
      <c r="BP893" s="20"/>
      <c r="BQ893" s="20"/>
      <c r="BR893" s="20"/>
      <c r="BS893" s="20"/>
      <c r="BT893" s="20"/>
      <c r="BU893" s="20"/>
      <c r="BV893" s="20"/>
      <c r="BW893" s="20"/>
      <c r="BX893" s="20"/>
      <c r="BY893" s="20"/>
      <c r="BZ893" s="20"/>
      <c r="CA893" s="20"/>
      <c r="CB893" s="21"/>
      <c r="CC893" s="27" t="str">
        <f t="shared" si="143"/>
        <v/>
      </c>
      <c r="CD893" s="38" t="str">
        <f t="shared" si="144"/>
        <v/>
      </c>
      <c r="CE893" s="38" t="str">
        <f t="shared" si="145"/>
        <v/>
      </c>
      <c r="CF893" s="38" t="str">
        <f t="shared" si="146"/>
        <v/>
      </c>
      <c r="CG893" s="38" t="str">
        <f t="shared" si="147"/>
        <v/>
      </c>
      <c r="CH893" s="38" t="str">
        <f t="shared" si="148"/>
        <v/>
      </c>
      <c r="CI893" s="38" t="str">
        <f t="shared" si="149"/>
        <v/>
      </c>
      <c r="CJ893" s="38" t="str">
        <f t="shared" si="150"/>
        <v/>
      </c>
      <c r="CK893" s="38" t="str">
        <f t="shared" si="151"/>
        <v/>
      </c>
      <c r="CL893" s="38" t="str">
        <f>IF(C893="","",IF(COUNT(G893:AZ893)&lt;46,"",SUMPRODUCT(CC893:CK893,'تنظیمات وزن‌دهی'!$C$5:$C$13)/100))</f>
        <v/>
      </c>
      <c r="CM893" s="38" t="str">
        <f t="shared" si="152"/>
        <v/>
      </c>
      <c r="CN893" s="38">
        <v>1</v>
      </c>
      <c r="CO893" s="28" t="str">
        <f t="shared" si="153"/>
        <v/>
      </c>
      <c r="CP893" s="58"/>
    </row>
    <row r="894" spans="1:94" ht="17.25" hidden="1">
      <c r="A894" s="33">
        <v>890</v>
      </c>
      <c r="B894" s="55" t="s">
        <v>184</v>
      </c>
      <c r="C894" s="55" t="str">
        <f>IF(دانش‌آموزان!E79="","",دانش‌آموزان!B79)</f>
        <v/>
      </c>
      <c r="D894" s="55" t="str">
        <f>IF(دانش‌آموزان!C79="","",دانش‌آموزان!C79)</f>
        <v/>
      </c>
      <c r="E894" s="55" t="str">
        <f>IF(دانش‌آموزان!E79="","",دانش‌آموزان!E79&amp;" "&amp;دانش‌آموزان!F79)</f>
        <v/>
      </c>
      <c r="F894" s="34" t="str">
        <f>IF(دانش‌آموزان!I79="","",دانش‌آموزان!I79)</f>
        <v/>
      </c>
      <c r="G894" s="19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  <c r="BJ894" s="20"/>
      <c r="BK894" s="20"/>
      <c r="BL894" s="20"/>
      <c r="BM894" s="20"/>
      <c r="BN894" s="20"/>
      <c r="BO894" s="20"/>
      <c r="BP894" s="20"/>
      <c r="BQ894" s="20"/>
      <c r="BR894" s="20"/>
      <c r="BS894" s="20"/>
      <c r="BT894" s="20"/>
      <c r="BU894" s="20"/>
      <c r="BV894" s="20"/>
      <c r="BW894" s="20"/>
      <c r="BX894" s="20"/>
      <c r="BY894" s="20"/>
      <c r="BZ894" s="20"/>
      <c r="CA894" s="20"/>
      <c r="CB894" s="21"/>
      <c r="CC894" s="27" t="str">
        <f t="shared" si="143"/>
        <v/>
      </c>
      <c r="CD894" s="38" t="str">
        <f t="shared" si="144"/>
        <v/>
      </c>
      <c r="CE894" s="38" t="str">
        <f t="shared" si="145"/>
        <v/>
      </c>
      <c r="CF894" s="38" t="str">
        <f t="shared" si="146"/>
        <v/>
      </c>
      <c r="CG894" s="38" t="str">
        <f t="shared" si="147"/>
        <v/>
      </c>
      <c r="CH894" s="38" t="str">
        <f t="shared" si="148"/>
        <v/>
      </c>
      <c r="CI894" s="38" t="str">
        <f t="shared" si="149"/>
        <v/>
      </c>
      <c r="CJ894" s="38" t="str">
        <f t="shared" si="150"/>
        <v/>
      </c>
      <c r="CK894" s="38" t="str">
        <f t="shared" si="151"/>
        <v/>
      </c>
      <c r="CL894" s="38" t="str">
        <f>IF(C894="","",IF(COUNT(G894:AZ894)&lt;46,"",SUMPRODUCT(CC894:CK894,'تنظیمات وزن‌دهی'!$C$5:$C$13)/100))</f>
        <v/>
      </c>
      <c r="CM894" s="38" t="str">
        <f t="shared" si="152"/>
        <v/>
      </c>
      <c r="CN894" s="38">
        <v>2</v>
      </c>
      <c r="CO894" s="28" t="str">
        <f t="shared" si="153"/>
        <v/>
      </c>
      <c r="CP894" s="58"/>
    </row>
    <row r="895" spans="1:94" ht="17.25">
      <c r="A895" s="33">
        <v>891</v>
      </c>
      <c r="B895" s="55" t="s">
        <v>185</v>
      </c>
      <c r="C895" s="55" t="str">
        <f>IF(دانش‌آموزان!E79="","",دانش‌آموزان!B79)</f>
        <v/>
      </c>
      <c r="D895" s="55" t="str">
        <f>IF(دانش‌آموزان!C79="","",دانش‌آموزان!C79)</f>
        <v/>
      </c>
      <c r="E895" s="55" t="str">
        <f>IF(دانش‌آموزان!E79="","",دانش‌آموزان!E79&amp;" "&amp;دانش‌آموزان!F79)</f>
        <v/>
      </c>
      <c r="F895" s="34" t="str">
        <f>IF(دانش‌آموزان!I79="","",دانش‌آموزان!I79)</f>
        <v/>
      </c>
      <c r="G895" s="19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  <c r="BJ895" s="20"/>
      <c r="BK895" s="20"/>
      <c r="BL895" s="20"/>
      <c r="BM895" s="20"/>
      <c r="BN895" s="20"/>
      <c r="BO895" s="20"/>
      <c r="BP895" s="20"/>
      <c r="BQ895" s="20"/>
      <c r="BR895" s="20"/>
      <c r="BS895" s="20"/>
      <c r="BT895" s="20"/>
      <c r="BU895" s="20"/>
      <c r="BV895" s="20"/>
      <c r="BW895" s="20"/>
      <c r="BX895" s="20"/>
      <c r="BY895" s="20"/>
      <c r="BZ895" s="20"/>
      <c r="CA895" s="20"/>
      <c r="CB895" s="21"/>
      <c r="CC895" s="27" t="str">
        <f t="shared" si="143"/>
        <v/>
      </c>
      <c r="CD895" s="38" t="str">
        <f t="shared" si="144"/>
        <v/>
      </c>
      <c r="CE895" s="38" t="str">
        <f t="shared" si="145"/>
        <v/>
      </c>
      <c r="CF895" s="38" t="str">
        <f t="shared" si="146"/>
        <v/>
      </c>
      <c r="CG895" s="38" t="str">
        <f t="shared" si="147"/>
        <v/>
      </c>
      <c r="CH895" s="38" t="str">
        <f t="shared" si="148"/>
        <v/>
      </c>
      <c r="CI895" s="38" t="str">
        <f t="shared" si="149"/>
        <v/>
      </c>
      <c r="CJ895" s="38" t="str">
        <f t="shared" si="150"/>
        <v/>
      </c>
      <c r="CK895" s="38" t="str">
        <f t="shared" si="151"/>
        <v/>
      </c>
      <c r="CL895" s="38" t="str">
        <f>IF(C895="","",IF(COUNT(G895:AZ895)&lt;46,"",SUMPRODUCT(CC895:CK895,'تنظیمات وزن‌دهی'!$C$5:$C$13)/100))</f>
        <v/>
      </c>
      <c r="CM895" s="38" t="str">
        <f t="shared" si="152"/>
        <v/>
      </c>
      <c r="CN895" s="38">
        <v>3</v>
      </c>
      <c r="CO895" s="28" t="str">
        <f t="shared" si="153"/>
        <v/>
      </c>
      <c r="CP895" s="58"/>
    </row>
    <row r="896" spans="1:94" ht="17.25" hidden="1">
      <c r="A896" s="33">
        <v>892</v>
      </c>
      <c r="B896" s="55" t="s">
        <v>186</v>
      </c>
      <c r="C896" s="55" t="str">
        <f>IF(دانش‌آموزان!E79="","",دانش‌آموزان!B79)</f>
        <v/>
      </c>
      <c r="D896" s="55" t="str">
        <f>IF(دانش‌آموزان!C79="","",دانش‌آموزان!C79)</f>
        <v/>
      </c>
      <c r="E896" s="55" t="str">
        <f>IF(دانش‌آموزان!E79="","",دانش‌آموزان!E79&amp;" "&amp;دانش‌آموزان!F79)</f>
        <v/>
      </c>
      <c r="F896" s="34" t="str">
        <f>IF(دانش‌آموزان!I79="","",دانش‌آموزان!I79)</f>
        <v/>
      </c>
      <c r="G896" s="19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  <c r="BJ896" s="20"/>
      <c r="BK896" s="20"/>
      <c r="BL896" s="20"/>
      <c r="BM896" s="20"/>
      <c r="BN896" s="20"/>
      <c r="BO896" s="20"/>
      <c r="BP896" s="20"/>
      <c r="BQ896" s="20"/>
      <c r="BR896" s="20"/>
      <c r="BS896" s="20"/>
      <c r="BT896" s="20"/>
      <c r="BU896" s="20"/>
      <c r="BV896" s="20"/>
      <c r="BW896" s="20"/>
      <c r="BX896" s="20"/>
      <c r="BY896" s="20"/>
      <c r="BZ896" s="20"/>
      <c r="CA896" s="20"/>
      <c r="CB896" s="21"/>
      <c r="CC896" s="27" t="str">
        <f t="shared" si="143"/>
        <v/>
      </c>
      <c r="CD896" s="38" t="str">
        <f t="shared" si="144"/>
        <v/>
      </c>
      <c r="CE896" s="38" t="str">
        <f t="shared" si="145"/>
        <v/>
      </c>
      <c r="CF896" s="38" t="str">
        <f t="shared" si="146"/>
        <v/>
      </c>
      <c r="CG896" s="38" t="str">
        <f t="shared" si="147"/>
        <v/>
      </c>
      <c r="CH896" s="38" t="str">
        <f t="shared" si="148"/>
        <v/>
      </c>
      <c r="CI896" s="38" t="str">
        <f t="shared" si="149"/>
        <v/>
      </c>
      <c r="CJ896" s="38" t="str">
        <f t="shared" si="150"/>
        <v/>
      </c>
      <c r="CK896" s="38" t="str">
        <f t="shared" si="151"/>
        <v/>
      </c>
      <c r="CL896" s="38" t="str">
        <f>IF(C896="","",IF(COUNT(G896:AZ896)&lt;46,"",SUMPRODUCT(CC896:CK896,'تنظیمات وزن‌دهی'!$C$5:$C$13)/100))</f>
        <v/>
      </c>
      <c r="CM896" s="38" t="str">
        <f t="shared" si="152"/>
        <v/>
      </c>
      <c r="CN896" s="38">
        <v>4</v>
      </c>
      <c r="CO896" s="28" t="str">
        <f t="shared" si="153"/>
        <v/>
      </c>
      <c r="CP896" s="58"/>
    </row>
    <row r="897" spans="1:94" ht="17.25" hidden="1">
      <c r="A897" s="33">
        <v>893</v>
      </c>
      <c r="B897" s="55" t="s">
        <v>187</v>
      </c>
      <c r="C897" s="55" t="str">
        <f>IF(دانش‌آموزان!E79="","",دانش‌آموزان!B79)</f>
        <v/>
      </c>
      <c r="D897" s="55" t="str">
        <f>IF(دانش‌آموزان!C79="","",دانش‌آموزان!C79)</f>
        <v/>
      </c>
      <c r="E897" s="55" t="str">
        <f>IF(دانش‌آموزان!E79="","",دانش‌آموزان!E79&amp;" "&amp;دانش‌آموزان!F79)</f>
        <v/>
      </c>
      <c r="F897" s="34" t="str">
        <f>IF(دانش‌آموزان!I79="","",دانش‌آموزان!I79)</f>
        <v/>
      </c>
      <c r="G897" s="19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  <c r="BJ897" s="20"/>
      <c r="BK897" s="20"/>
      <c r="BL897" s="20"/>
      <c r="BM897" s="20"/>
      <c r="BN897" s="20"/>
      <c r="BO897" s="20"/>
      <c r="BP897" s="20"/>
      <c r="BQ897" s="20"/>
      <c r="BR897" s="20"/>
      <c r="BS897" s="20"/>
      <c r="BT897" s="20"/>
      <c r="BU897" s="20"/>
      <c r="BV897" s="20"/>
      <c r="BW897" s="20"/>
      <c r="BX897" s="20"/>
      <c r="BY897" s="20"/>
      <c r="BZ897" s="20"/>
      <c r="CA897" s="20"/>
      <c r="CB897" s="21"/>
      <c r="CC897" s="27" t="str">
        <f t="shared" si="143"/>
        <v/>
      </c>
      <c r="CD897" s="38" t="str">
        <f t="shared" si="144"/>
        <v/>
      </c>
      <c r="CE897" s="38" t="str">
        <f t="shared" si="145"/>
        <v/>
      </c>
      <c r="CF897" s="38" t="str">
        <f t="shared" si="146"/>
        <v/>
      </c>
      <c r="CG897" s="38" t="str">
        <f t="shared" si="147"/>
        <v/>
      </c>
      <c r="CH897" s="38" t="str">
        <f t="shared" si="148"/>
        <v/>
      </c>
      <c r="CI897" s="38" t="str">
        <f t="shared" si="149"/>
        <v/>
      </c>
      <c r="CJ897" s="38" t="str">
        <f t="shared" si="150"/>
        <v/>
      </c>
      <c r="CK897" s="38" t="str">
        <f t="shared" si="151"/>
        <v/>
      </c>
      <c r="CL897" s="38" t="str">
        <f>IF(C897="","",IF(COUNT(G897:AZ897)&lt;46,"",SUMPRODUCT(CC897:CK897,'تنظیمات وزن‌دهی'!$C$5:$C$13)/100))</f>
        <v/>
      </c>
      <c r="CM897" s="38" t="str">
        <f t="shared" si="152"/>
        <v/>
      </c>
      <c r="CN897" s="38">
        <v>5</v>
      </c>
      <c r="CO897" s="28" t="str">
        <f t="shared" si="153"/>
        <v/>
      </c>
      <c r="CP897" s="58"/>
    </row>
    <row r="898" spans="1:94" ht="17.25" hidden="1">
      <c r="A898" s="33">
        <v>894</v>
      </c>
      <c r="B898" s="55" t="s">
        <v>188</v>
      </c>
      <c r="C898" s="55" t="str">
        <f>IF(دانش‌آموزان!E79="","",دانش‌آموزان!B79)</f>
        <v/>
      </c>
      <c r="D898" s="55" t="str">
        <f>IF(دانش‌آموزان!C79="","",دانش‌آموزان!C79)</f>
        <v/>
      </c>
      <c r="E898" s="55" t="str">
        <f>IF(دانش‌آموزان!E79="","",دانش‌آموزان!E79&amp;" "&amp;دانش‌آموزان!F79)</f>
        <v/>
      </c>
      <c r="F898" s="34" t="str">
        <f>IF(دانش‌آموزان!I79="","",دانش‌آموزان!I79)</f>
        <v/>
      </c>
      <c r="G898" s="19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  <c r="BJ898" s="20"/>
      <c r="BK898" s="20"/>
      <c r="BL898" s="20"/>
      <c r="BM898" s="20"/>
      <c r="BN898" s="20"/>
      <c r="BO898" s="20"/>
      <c r="BP898" s="20"/>
      <c r="BQ898" s="20"/>
      <c r="BR898" s="20"/>
      <c r="BS898" s="20"/>
      <c r="BT898" s="20"/>
      <c r="BU898" s="20"/>
      <c r="BV898" s="20"/>
      <c r="BW898" s="20"/>
      <c r="BX898" s="20"/>
      <c r="BY898" s="20"/>
      <c r="BZ898" s="20"/>
      <c r="CA898" s="20"/>
      <c r="CB898" s="21"/>
      <c r="CC898" s="27" t="str">
        <f t="shared" si="143"/>
        <v/>
      </c>
      <c r="CD898" s="38" t="str">
        <f t="shared" si="144"/>
        <v/>
      </c>
      <c r="CE898" s="38" t="str">
        <f t="shared" si="145"/>
        <v/>
      </c>
      <c r="CF898" s="38" t="str">
        <f t="shared" si="146"/>
        <v/>
      </c>
      <c r="CG898" s="38" t="str">
        <f t="shared" si="147"/>
        <v/>
      </c>
      <c r="CH898" s="38" t="str">
        <f t="shared" si="148"/>
        <v/>
      </c>
      <c r="CI898" s="38" t="str">
        <f t="shared" si="149"/>
        <v/>
      </c>
      <c r="CJ898" s="38" t="str">
        <f t="shared" si="150"/>
        <v/>
      </c>
      <c r="CK898" s="38" t="str">
        <f t="shared" si="151"/>
        <v/>
      </c>
      <c r="CL898" s="38" t="str">
        <f>IF(C898="","",IF(COUNT(G898:AZ898)&lt;46,"",SUMPRODUCT(CC898:CK898,'تنظیمات وزن‌دهی'!$C$5:$C$13)/100))</f>
        <v/>
      </c>
      <c r="CM898" s="38" t="str">
        <f t="shared" si="152"/>
        <v/>
      </c>
      <c r="CN898" s="38">
        <v>6</v>
      </c>
      <c r="CO898" s="28" t="str">
        <f t="shared" si="153"/>
        <v/>
      </c>
      <c r="CP898" s="58"/>
    </row>
    <row r="899" spans="1:94" ht="17.25" hidden="1">
      <c r="A899" s="33">
        <v>895</v>
      </c>
      <c r="B899" s="55" t="s">
        <v>189</v>
      </c>
      <c r="C899" s="55" t="str">
        <f>IF(دانش‌آموزان!E79="","",دانش‌آموزان!B79)</f>
        <v/>
      </c>
      <c r="D899" s="55" t="str">
        <f>IF(دانش‌آموزان!C79="","",دانش‌آموزان!C79)</f>
        <v/>
      </c>
      <c r="E899" s="55" t="str">
        <f>IF(دانش‌آموزان!E79="","",دانش‌آموزان!E79&amp;" "&amp;دانش‌آموزان!F79)</f>
        <v/>
      </c>
      <c r="F899" s="34" t="str">
        <f>IF(دانش‌آموزان!I79="","",دانش‌آموزان!I79)</f>
        <v/>
      </c>
      <c r="G899" s="19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  <c r="BJ899" s="20"/>
      <c r="BK899" s="20"/>
      <c r="BL899" s="20"/>
      <c r="BM899" s="20"/>
      <c r="BN899" s="20"/>
      <c r="BO899" s="20"/>
      <c r="BP899" s="20"/>
      <c r="BQ899" s="20"/>
      <c r="BR899" s="20"/>
      <c r="BS899" s="20"/>
      <c r="BT899" s="20"/>
      <c r="BU899" s="20"/>
      <c r="BV899" s="20"/>
      <c r="BW899" s="20"/>
      <c r="BX899" s="20"/>
      <c r="BY899" s="20"/>
      <c r="BZ899" s="20"/>
      <c r="CA899" s="20"/>
      <c r="CB899" s="21"/>
      <c r="CC899" s="27" t="str">
        <f t="shared" si="143"/>
        <v/>
      </c>
      <c r="CD899" s="38" t="str">
        <f t="shared" si="144"/>
        <v/>
      </c>
      <c r="CE899" s="38" t="str">
        <f t="shared" si="145"/>
        <v/>
      </c>
      <c r="CF899" s="38" t="str">
        <f t="shared" si="146"/>
        <v/>
      </c>
      <c r="CG899" s="38" t="str">
        <f t="shared" si="147"/>
        <v/>
      </c>
      <c r="CH899" s="38" t="str">
        <f t="shared" si="148"/>
        <v/>
      </c>
      <c r="CI899" s="38" t="str">
        <f t="shared" si="149"/>
        <v/>
      </c>
      <c r="CJ899" s="38" t="str">
        <f t="shared" si="150"/>
        <v/>
      </c>
      <c r="CK899" s="38" t="str">
        <f t="shared" si="151"/>
        <v/>
      </c>
      <c r="CL899" s="38" t="str">
        <f>IF(C899="","",IF(COUNT(G899:AZ899)&lt;46,"",SUMPRODUCT(CC899:CK899,'تنظیمات وزن‌دهی'!$C$5:$C$13)/100))</f>
        <v/>
      </c>
      <c r="CM899" s="38" t="str">
        <f t="shared" si="152"/>
        <v/>
      </c>
      <c r="CN899" s="38">
        <v>7</v>
      </c>
      <c r="CO899" s="28" t="str">
        <f t="shared" si="153"/>
        <v/>
      </c>
      <c r="CP899" s="58"/>
    </row>
    <row r="900" spans="1:94" ht="17.25" hidden="1">
      <c r="A900" s="33">
        <v>896</v>
      </c>
      <c r="B900" s="55" t="s">
        <v>190</v>
      </c>
      <c r="C900" s="55" t="str">
        <f>IF(دانش‌آموزان!E79="","",دانش‌آموزان!B79)</f>
        <v/>
      </c>
      <c r="D900" s="55" t="str">
        <f>IF(دانش‌آموزان!C79="","",دانش‌آموزان!C79)</f>
        <v/>
      </c>
      <c r="E900" s="55" t="str">
        <f>IF(دانش‌آموزان!E79="","",دانش‌آموزان!E79&amp;" "&amp;دانش‌آموزان!F79)</f>
        <v/>
      </c>
      <c r="F900" s="34" t="str">
        <f>IF(دانش‌آموزان!I79="","",دانش‌آموزان!I79)</f>
        <v/>
      </c>
      <c r="G900" s="19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  <c r="BJ900" s="20"/>
      <c r="BK900" s="20"/>
      <c r="BL900" s="20"/>
      <c r="BM900" s="20"/>
      <c r="BN900" s="20"/>
      <c r="BO900" s="20"/>
      <c r="BP900" s="20"/>
      <c r="BQ900" s="20"/>
      <c r="BR900" s="20"/>
      <c r="BS900" s="20"/>
      <c r="BT900" s="20"/>
      <c r="BU900" s="20"/>
      <c r="BV900" s="20"/>
      <c r="BW900" s="20"/>
      <c r="BX900" s="20"/>
      <c r="BY900" s="20"/>
      <c r="BZ900" s="20"/>
      <c r="CA900" s="20"/>
      <c r="CB900" s="21"/>
      <c r="CC900" s="27" t="str">
        <f t="shared" si="143"/>
        <v/>
      </c>
      <c r="CD900" s="38" t="str">
        <f t="shared" si="144"/>
        <v/>
      </c>
      <c r="CE900" s="38" t="str">
        <f t="shared" si="145"/>
        <v/>
      </c>
      <c r="CF900" s="38" t="str">
        <f t="shared" si="146"/>
        <v/>
      </c>
      <c r="CG900" s="38" t="str">
        <f t="shared" si="147"/>
        <v/>
      </c>
      <c r="CH900" s="38" t="str">
        <f t="shared" si="148"/>
        <v/>
      </c>
      <c r="CI900" s="38" t="str">
        <f t="shared" si="149"/>
        <v/>
      </c>
      <c r="CJ900" s="38" t="str">
        <f t="shared" si="150"/>
        <v/>
      </c>
      <c r="CK900" s="38" t="str">
        <f t="shared" si="151"/>
        <v/>
      </c>
      <c r="CL900" s="38" t="str">
        <f>IF(C900="","",IF(COUNT(G900:AZ900)&lt;46,"",SUMPRODUCT(CC900:CK900,'تنظیمات وزن‌دهی'!$C$5:$C$13)/100))</f>
        <v/>
      </c>
      <c r="CM900" s="38" t="str">
        <f t="shared" si="152"/>
        <v/>
      </c>
      <c r="CN900" s="38">
        <v>8</v>
      </c>
      <c r="CO900" s="28" t="str">
        <f t="shared" si="153"/>
        <v/>
      </c>
      <c r="CP900" s="58"/>
    </row>
    <row r="901" spans="1:94" ht="17.25" hidden="1">
      <c r="A901" s="33">
        <v>897</v>
      </c>
      <c r="B901" s="55" t="s">
        <v>191</v>
      </c>
      <c r="C901" s="55" t="str">
        <f>IF(دانش‌آموزان!E79="","",دانش‌آموزان!B79)</f>
        <v/>
      </c>
      <c r="D901" s="55" t="str">
        <f>IF(دانش‌آموزان!C79="","",دانش‌آموزان!C79)</f>
        <v/>
      </c>
      <c r="E901" s="55" t="str">
        <f>IF(دانش‌آموزان!E79="","",دانش‌آموزان!E79&amp;" "&amp;دانش‌آموزان!F79)</f>
        <v/>
      </c>
      <c r="F901" s="34" t="str">
        <f>IF(دانش‌آموزان!I79="","",دانش‌آموزان!I79)</f>
        <v/>
      </c>
      <c r="G901" s="19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  <c r="BJ901" s="20"/>
      <c r="BK901" s="20"/>
      <c r="BL901" s="20"/>
      <c r="BM901" s="20"/>
      <c r="BN901" s="20"/>
      <c r="BO901" s="20"/>
      <c r="BP901" s="20"/>
      <c r="BQ901" s="20"/>
      <c r="BR901" s="20"/>
      <c r="BS901" s="20"/>
      <c r="BT901" s="20"/>
      <c r="BU901" s="20"/>
      <c r="BV901" s="20"/>
      <c r="BW901" s="20"/>
      <c r="BX901" s="20"/>
      <c r="BY901" s="20"/>
      <c r="BZ901" s="20"/>
      <c r="CA901" s="20"/>
      <c r="CB901" s="21"/>
      <c r="CC901" s="27" t="str">
        <f t="shared" ref="CC901:CC964" si="154">IF(COUNT(G901:N901)=0,"",AVERAGE(G901:N901)*4)</f>
        <v/>
      </c>
      <c r="CD901" s="38" t="str">
        <f t="shared" ref="CD901:CD964" si="155">IF(COUNT(O901:S901)=0,"",AVERAGE(O901:S901)*4)</f>
        <v/>
      </c>
      <c r="CE901" s="38" t="str">
        <f t="shared" ref="CE901:CE964" si="156">IF(COUNT(T901:U901)=0,"",AVERAGE(T901:U901)*4)</f>
        <v/>
      </c>
      <c r="CF901" s="38" t="str">
        <f t="shared" ref="CF901:CF964" si="157">IF(COUNT(V901:Z901)=0,"",AVERAGE(V901:Z901)*4)</f>
        <v/>
      </c>
      <c r="CG901" s="38" t="str">
        <f t="shared" ref="CG901:CG964" si="158">IF(COUNT(AA901:AC901)=0,"",AVERAGE(AA901:AC901)*4)</f>
        <v/>
      </c>
      <c r="CH901" s="38" t="str">
        <f t="shared" ref="CH901:CH964" si="159">IF(COUNT(AD901:AI901)=0,"",AVERAGE(AD901:AI901)*4)</f>
        <v/>
      </c>
      <c r="CI901" s="38" t="str">
        <f t="shared" ref="CI901:CI964" si="160">IF(COUNT(AJ901:AP901)=0,"",AVERAGE(AJ901:AP901)*4)</f>
        <v/>
      </c>
      <c r="CJ901" s="38" t="str">
        <f t="shared" ref="CJ901:CJ964" si="161">IF(COUNT(AQ901:AW901)=0,"",AVERAGE(AQ901:AW901)*4)</f>
        <v/>
      </c>
      <c r="CK901" s="38" t="str">
        <f t="shared" ref="CK901:CK964" si="162">IF(COUNT(AX901:AZ901)=0,"",AVERAGE(AX901:AZ901)*4)</f>
        <v/>
      </c>
      <c r="CL901" s="38" t="str">
        <f>IF(C901="","",IF(COUNT(G901:AZ901)&lt;46,"",SUMPRODUCT(CC901:CK901,'تنظیمات وزن‌دهی'!$C$5:$C$13)/100))</f>
        <v/>
      </c>
      <c r="CM901" s="38" t="str">
        <f t="shared" ref="CM901:CM964" si="163">IF(C901="","",IF(COUNT(G901:AZ901)=0,"",IF(COUNT(G901:AZ901)&lt;46,"موقت - اطلاعات ناقص",IF(CL901&gt;=17,"عالی",IF(CL901&gt;=14,"خوب",IF(CL901&gt;=10,"متوسط","ضعیف"))))))</f>
        <v/>
      </c>
      <c r="CN901" s="38">
        <v>9</v>
      </c>
      <c r="CO901" s="28" t="str">
        <f t="shared" ref="CO901:CO964" si="164">IF(C901="","",COUNT(G901:AZ901)/46)</f>
        <v/>
      </c>
      <c r="CP901" s="58"/>
    </row>
    <row r="902" spans="1:94" ht="17.25" hidden="1">
      <c r="A902" s="33">
        <v>898</v>
      </c>
      <c r="B902" s="55" t="s">
        <v>192</v>
      </c>
      <c r="C902" s="55" t="str">
        <f>IF(دانش‌آموزان!E79="","",دانش‌آموزان!B79)</f>
        <v/>
      </c>
      <c r="D902" s="55" t="str">
        <f>IF(دانش‌آموزان!C79="","",دانش‌آموزان!C79)</f>
        <v/>
      </c>
      <c r="E902" s="55" t="str">
        <f>IF(دانش‌آموزان!E79="","",دانش‌آموزان!E79&amp;" "&amp;دانش‌آموزان!F79)</f>
        <v/>
      </c>
      <c r="F902" s="34" t="str">
        <f>IF(دانش‌آموزان!I79="","",دانش‌آموزان!I79)</f>
        <v/>
      </c>
      <c r="G902" s="19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  <c r="BJ902" s="20"/>
      <c r="BK902" s="20"/>
      <c r="BL902" s="20"/>
      <c r="BM902" s="20"/>
      <c r="BN902" s="20"/>
      <c r="BO902" s="20"/>
      <c r="BP902" s="20"/>
      <c r="BQ902" s="20"/>
      <c r="BR902" s="20"/>
      <c r="BS902" s="20"/>
      <c r="BT902" s="20"/>
      <c r="BU902" s="20"/>
      <c r="BV902" s="20"/>
      <c r="BW902" s="20"/>
      <c r="BX902" s="20"/>
      <c r="BY902" s="20"/>
      <c r="BZ902" s="20"/>
      <c r="CA902" s="20"/>
      <c r="CB902" s="21"/>
      <c r="CC902" s="27" t="str">
        <f t="shared" si="154"/>
        <v/>
      </c>
      <c r="CD902" s="38" t="str">
        <f t="shared" si="155"/>
        <v/>
      </c>
      <c r="CE902" s="38" t="str">
        <f t="shared" si="156"/>
        <v/>
      </c>
      <c r="CF902" s="38" t="str">
        <f t="shared" si="157"/>
        <v/>
      </c>
      <c r="CG902" s="38" t="str">
        <f t="shared" si="158"/>
        <v/>
      </c>
      <c r="CH902" s="38" t="str">
        <f t="shared" si="159"/>
        <v/>
      </c>
      <c r="CI902" s="38" t="str">
        <f t="shared" si="160"/>
        <v/>
      </c>
      <c r="CJ902" s="38" t="str">
        <f t="shared" si="161"/>
        <v/>
      </c>
      <c r="CK902" s="38" t="str">
        <f t="shared" si="162"/>
        <v/>
      </c>
      <c r="CL902" s="38" t="str">
        <f>IF(C902="","",IF(COUNT(G902:AZ902)&lt;46,"",SUMPRODUCT(CC902:CK902,'تنظیمات وزن‌دهی'!$C$5:$C$13)/100))</f>
        <v/>
      </c>
      <c r="CM902" s="38" t="str">
        <f t="shared" si="163"/>
        <v/>
      </c>
      <c r="CN902" s="38">
        <v>10</v>
      </c>
      <c r="CO902" s="28" t="str">
        <f t="shared" si="164"/>
        <v/>
      </c>
      <c r="CP902" s="58"/>
    </row>
    <row r="903" spans="1:94" ht="17.25" hidden="1">
      <c r="A903" s="33">
        <v>899</v>
      </c>
      <c r="B903" s="55" t="s">
        <v>193</v>
      </c>
      <c r="C903" s="55" t="str">
        <f>IF(دانش‌آموزان!E79="","",دانش‌آموزان!B79)</f>
        <v/>
      </c>
      <c r="D903" s="55" t="str">
        <f>IF(دانش‌آموزان!C79="","",دانش‌آموزان!C79)</f>
        <v/>
      </c>
      <c r="E903" s="55" t="str">
        <f>IF(دانش‌آموزان!E79="","",دانش‌آموزان!E79&amp;" "&amp;دانش‌آموزان!F79)</f>
        <v/>
      </c>
      <c r="F903" s="34" t="str">
        <f>IF(دانش‌آموزان!I79="","",دانش‌آموزان!I79)</f>
        <v/>
      </c>
      <c r="G903" s="19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  <c r="BK903" s="20"/>
      <c r="BL903" s="20"/>
      <c r="BM903" s="20"/>
      <c r="BN903" s="20"/>
      <c r="BO903" s="20"/>
      <c r="BP903" s="20"/>
      <c r="BQ903" s="20"/>
      <c r="BR903" s="20"/>
      <c r="BS903" s="20"/>
      <c r="BT903" s="20"/>
      <c r="BU903" s="20"/>
      <c r="BV903" s="20"/>
      <c r="BW903" s="20"/>
      <c r="BX903" s="20"/>
      <c r="BY903" s="20"/>
      <c r="BZ903" s="20"/>
      <c r="CA903" s="20"/>
      <c r="CB903" s="21"/>
      <c r="CC903" s="27" t="str">
        <f t="shared" si="154"/>
        <v/>
      </c>
      <c r="CD903" s="38" t="str">
        <f t="shared" si="155"/>
        <v/>
      </c>
      <c r="CE903" s="38" t="str">
        <f t="shared" si="156"/>
        <v/>
      </c>
      <c r="CF903" s="38" t="str">
        <f t="shared" si="157"/>
        <v/>
      </c>
      <c r="CG903" s="38" t="str">
        <f t="shared" si="158"/>
        <v/>
      </c>
      <c r="CH903" s="38" t="str">
        <f t="shared" si="159"/>
        <v/>
      </c>
      <c r="CI903" s="38" t="str">
        <f t="shared" si="160"/>
        <v/>
      </c>
      <c r="CJ903" s="38" t="str">
        <f t="shared" si="161"/>
        <v/>
      </c>
      <c r="CK903" s="38" t="str">
        <f t="shared" si="162"/>
        <v/>
      </c>
      <c r="CL903" s="38" t="str">
        <f>IF(C903="","",IF(COUNT(G903:AZ903)&lt;46,"",SUMPRODUCT(CC903:CK903,'تنظیمات وزن‌دهی'!$C$5:$C$13)/100))</f>
        <v/>
      </c>
      <c r="CM903" s="38" t="str">
        <f t="shared" si="163"/>
        <v/>
      </c>
      <c r="CN903" s="38">
        <v>11</v>
      </c>
      <c r="CO903" s="28" t="str">
        <f t="shared" si="164"/>
        <v/>
      </c>
      <c r="CP903" s="58"/>
    </row>
    <row r="904" spans="1:94" ht="17.25" hidden="1">
      <c r="A904" s="33">
        <v>900</v>
      </c>
      <c r="B904" s="55" t="s">
        <v>194</v>
      </c>
      <c r="C904" s="55" t="str">
        <f>IF(دانش‌آموزان!E79="","",دانش‌آموزان!B79)</f>
        <v/>
      </c>
      <c r="D904" s="55" t="str">
        <f>IF(دانش‌آموزان!C79="","",دانش‌آموزان!C79)</f>
        <v/>
      </c>
      <c r="E904" s="55" t="str">
        <f>IF(دانش‌آموزان!E79="","",دانش‌آموزان!E79&amp;" "&amp;دانش‌آموزان!F79)</f>
        <v/>
      </c>
      <c r="F904" s="34" t="str">
        <f>IF(دانش‌آموزان!I79="","",دانش‌آموزان!I79)</f>
        <v/>
      </c>
      <c r="G904" s="19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  <c r="BJ904" s="20"/>
      <c r="BK904" s="20"/>
      <c r="BL904" s="20"/>
      <c r="BM904" s="20"/>
      <c r="BN904" s="20"/>
      <c r="BO904" s="20"/>
      <c r="BP904" s="20"/>
      <c r="BQ904" s="20"/>
      <c r="BR904" s="20"/>
      <c r="BS904" s="20"/>
      <c r="BT904" s="20"/>
      <c r="BU904" s="20"/>
      <c r="BV904" s="20"/>
      <c r="BW904" s="20"/>
      <c r="BX904" s="20"/>
      <c r="BY904" s="20"/>
      <c r="BZ904" s="20"/>
      <c r="CA904" s="20"/>
      <c r="CB904" s="21"/>
      <c r="CC904" s="27" t="str">
        <f t="shared" si="154"/>
        <v/>
      </c>
      <c r="CD904" s="38" t="str">
        <f t="shared" si="155"/>
        <v/>
      </c>
      <c r="CE904" s="38" t="str">
        <f t="shared" si="156"/>
        <v/>
      </c>
      <c r="CF904" s="38" t="str">
        <f t="shared" si="157"/>
        <v/>
      </c>
      <c r="CG904" s="38" t="str">
        <f t="shared" si="158"/>
        <v/>
      </c>
      <c r="CH904" s="38" t="str">
        <f t="shared" si="159"/>
        <v/>
      </c>
      <c r="CI904" s="38" t="str">
        <f t="shared" si="160"/>
        <v/>
      </c>
      <c r="CJ904" s="38" t="str">
        <f t="shared" si="161"/>
        <v/>
      </c>
      <c r="CK904" s="38" t="str">
        <f t="shared" si="162"/>
        <v/>
      </c>
      <c r="CL904" s="38" t="str">
        <f>IF(C904="","",IF(COUNT(G904:AZ904)&lt;46,"",SUMPRODUCT(CC904:CK904,'تنظیمات وزن‌دهی'!$C$5:$C$13)/100))</f>
        <v/>
      </c>
      <c r="CM904" s="38" t="str">
        <f t="shared" si="163"/>
        <v/>
      </c>
      <c r="CN904" s="38">
        <v>12</v>
      </c>
      <c r="CO904" s="28" t="str">
        <f t="shared" si="164"/>
        <v/>
      </c>
      <c r="CP904" s="58"/>
    </row>
    <row r="905" spans="1:94" ht="17.25" hidden="1">
      <c r="A905" s="33">
        <v>901</v>
      </c>
      <c r="B905" s="55" t="s">
        <v>183</v>
      </c>
      <c r="C905" s="55" t="str">
        <f>IF(دانش‌آموزان!E80="","",دانش‌آموزان!B80)</f>
        <v/>
      </c>
      <c r="D905" s="55" t="str">
        <f>IF(دانش‌آموزان!C80="","",دانش‌آموزان!C80)</f>
        <v/>
      </c>
      <c r="E905" s="55" t="str">
        <f>IF(دانش‌آموزان!E80="","",دانش‌آموزان!E80&amp;" "&amp;دانش‌آموزان!F80)</f>
        <v/>
      </c>
      <c r="F905" s="34" t="str">
        <f>IF(دانش‌آموزان!I80="","",دانش‌آموزان!I80)</f>
        <v/>
      </c>
      <c r="G905" s="19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  <c r="BJ905" s="20"/>
      <c r="BK905" s="20"/>
      <c r="BL905" s="20"/>
      <c r="BM905" s="20"/>
      <c r="BN905" s="20"/>
      <c r="BO905" s="20"/>
      <c r="BP905" s="20"/>
      <c r="BQ905" s="20"/>
      <c r="BR905" s="20"/>
      <c r="BS905" s="20"/>
      <c r="BT905" s="20"/>
      <c r="BU905" s="20"/>
      <c r="BV905" s="20"/>
      <c r="BW905" s="20"/>
      <c r="BX905" s="20"/>
      <c r="BY905" s="20"/>
      <c r="BZ905" s="20"/>
      <c r="CA905" s="20"/>
      <c r="CB905" s="21"/>
      <c r="CC905" s="27" t="str">
        <f t="shared" si="154"/>
        <v/>
      </c>
      <c r="CD905" s="38" t="str">
        <f t="shared" si="155"/>
        <v/>
      </c>
      <c r="CE905" s="38" t="str">
        <f t="shared" si="156"/>
        <v/>
      </c>
      <c r="CF905" s="38" t="str">
        <f t="shared" si="157"/>
        <v/>
      </c>
      <c r="CG905" s="38" t="str">
        <f t="shared" si="158"/>
        <v/>
      </c>
      <c r="CH905" s="38" t="str">
        <f t="shared" si="159"/>
        <v/>
      </c>
      <c r="CI905" s="38" t="str">
        <f t="shared" si="160"/>
        <v/>
      </c>
      <c r="CJ905" s="38" t="str">
        <f t="shared" si="161"/>
        <v/>
      </c>
      <c r="CK905" s="38" t="str">
        <f t="shared" si="162"/>
        <v/>
      </c>
      <c r="CL905" s="38" t="str">
        <f>IF(C905="","",IF(COUNT(G905:AZ905)&lt;46,"",SUMPRODUCT(CC905:CK905,'تنظیمات وزن‌دهی'!$C$5:$C$13)/100))</f>
        <v/>
      </c>
      <c r="CM905" s="38" t="str">
        <f t="shared" si="163"/>
        <v/>
      </c>
      <c r="CN905" s="38">
        <v>1</v>
      </c>
      <c r="CO905" s="28" t="str">
        <f t="shared" si="164"/>
        <v/>
      </c>
      <c r="CP905" s="58"/>
    </row>
    <row r="906" spans="1:94" ht="17.25" hidden="1">
      <c r="A906" s="33">
        <v>902</v>
      </c>
      <c r="B906" s="55" t="s">
        <v>184</v>
      </c>
      <c r="C906" s="55" t="str">
        <f>IF(دانش‌آموزان!E80="","",دانش‌آموزان!B80)</f>
        <v/>
      </c>
      <c r="D906" s="55" t="str">
        <f>IF(دانش‌آموزان!C80="","",دانش‌آموزان!C80)</f>
        <v/>
      </c>
      <c r="E906" s="55" t="str">
        <f>IF(دانش‌آموزان!E80="","",دانش‌آموزان!E80&amp;" "&amp;دانش‌آموزان!F80)</f>
        <v/>
      </c>
      <c r="F906" s="34" t="str">
        <f>IF(دانش‌آموزان!I80="","",دانش‌آموزان!I80)</f>
        <v/>
      </c>
      <c r="G906" s="19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  <c r="BJ906" s="20"/>
      <c r="BK906" s="20"/>
      <c r="BL906" s="20"/>
      <c r="BM906" s="20"/>
      <c r="BN906" s="20"/>
      <c r="BO906" s="20"/>
      <c r="BP906" s="20"/>
      <c r="BQ906" s="20"/>
      <c r="BR906" s="20"/>
      <c r="BS906" s="20"/>
      <c r="BT906" s="20"/>
      <c r="BU906" s="20"/>
      <c r="BV906" s="20"/>
      <c r="BW906" s="20"/>
      <c r="BX906" s="20"/>
      <c r="BY906" s="20"/>
      <c r="BZ906" s="20"/>
      <c r="CA906" s="20"/>
      <c r="CB906" s="21"/>
      <c r="CC906" s="27" t="str">
        <f t="shared" si="154"/>
        <v/>
      </c>
      <c r="CD906" s="38" t="str">
        <f t="shared" si="155"/>
        <v/>
      </c>
      <c r="CE906" s="38" t="str">
        <f t="shared" si="156"/>
        <v/>
      </c>
      <c r="CF906" s="38" t="str">
        <f t="shared" si="157"/>
        <v/>
      </c>
      <c r="CG906" s="38" t="str">
        <f t="shared" si="158"/>
        <v/>
      </c>
      <c r="CH906" s="38" t="str">
        <f t="shared" si="159"/>
        <v/>
      </c>
      <c r="CI906" s="38" t="str">
        <f t="shared" si="160"/>
        <v/>
      </c>
      <c r="CJ906" s="38" t="str">
        <f t="shared" si="161"/>
        <v/>
      </c>
      <c r="CK906" s="38" t="str">
        <f t="shared" si="162"/>
        <v/>
      </c>
      <c r="CL906" s="38" t="str">
        <f>IF(C906="","",IF(COUNT(G906:AZ906)&lt;46,"",SUMPRODUCT(CC906:CK906,'تنظیمات وزن‌دهی'!$C$5:$C$13)/100))</f>
        <v/>
      </c>
      <c r="CM906" s="38" t="str">
        <f t="shared" si="163"/>
        <v/>
      </c>
      <c r="CN906" s="38">
        <v>2</v>
      </c>
      <c r="CO906" s="28" t="str">
        <f t="shared" si="164"/>
        <v/>
      </c>
      <c r="CP906" s="58"/>
    </row>
    <row r="907" spans="1:94" ht="17.25">
      <c r="A907" s="33">
        <v>903</v>
      </c>
      <c r="B907" s="55" t="s">
        <v>185</v>
      </c>
      <c r="C907" s="55" t="str">
        <f>IF(دانش‌آموزان!E80="","",دانش‌آموزان!B80)</f>
        <v/>
      </c>
      <c r="D907" s="55" t="str">
        <f>IF(دانش‌آموزان!C80="","",دانش‌آموزان!C80)</f>
        <v/>
      </c>
      <c r="E907" s="55" t="str">
        <f>IF(دانش‌آموزان!E80="","",دانش‌آموزان!E80&amp;" "&amp;دانش‌آموزان!F80)</f>
        <v/>
      </c>
      <c r="F907" s="34" t="str">
        <f>IF(دانش‌آموزان!I80="","",دانش‌آموزان!I80)</f>
        <v/>
      </c>
      <c r="G907" s="19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  <c r="BJ907" s="20"/>
      <c r="BK907" s="20"/>
      <c r="BL907" s="20"/>
      <c r="BM907" s="20"/>
      <c r="BN907" s="20"/>
      <c r="BO907" s="20"/>
      <c r="BP907" s="20"/>
      <c r="BQ907" s="20"/>
      <c r="BR907" s="20"/>
      <c r="BS907" s="20"/>
      <c r="BT907" s="20"/>
      <c r="BU907" s="20"/>
      <c r="BV907" s="20"/>
      <c r="BW907" s="20"/>
      <c r="BX907" s="20"/>
      <c r="BY907" s="20"/>
      <c r="BZ907" s="20"/>
      <c r="CA907" s="20"/>
      <c r="CB907" s="21"/>
      <c r="CC907" s="27" t="str">
        <f t="shared" si="154"/>
        <v/>
      </c>
      <c r="CD907" s="38" t="str">
        <f t="shared" si="155"/>
        <v/>
      </c>
      <c r="CE907" s="38" t="str">
        <f t="shared" si="156"/>
        <v/>
      </c>
      <c r="CF907" s="38" t="str">
        <f t="shared" si="157"/>
        <v/>
      </c>
      <c r="CG907" s="38" t="str">
        <f t="shared" si="158"/>
        <v/>
      </c>
      <c r="CH907" s="38" t="str">
        <f t="shared" si="159"/>
        <v/>
      </c>
      <c r="CI907" s="38" t="str">
        <f t="shared" si="160"/>
        <v/>
      </c>
      <c r="CJ907" s="38" t="str">
        <f t="shared" si="161"/>
        <v/>
      </c>
      <c r="CK907" s="38" t="str">
        <f t="shared" si="162"/>
        <v/>
      </c>
      <c r="CL907" s="38" t="str">
        <f>IF(C907="","",IF(COUNT(G907:AZ907)&lt;46,"",SUMPRODUCT(CC907:CK907,'تنظیمات وزن‌دهی'!$C$5:$C$13)/100))</f>
        <v/>
      </c>
      <c r="CM907" s="38" t="str">
        <f t="shared" si="163"/>
        <v/>
      </c>
      <c r="CN907" s="38">
        <v>3</v>
      </c>
      <c r="CO907" s="28" t="str">
        <f t="shared" si="164"/>
        <v/>
      </c>
      <c r="CP907" s="58"/>
    </row>
    <row r="908" spans="1:94" ht="17.25" hidden="1">
      <c r="A908" s="33">
        <v>904</v>
      </c>
      <c r="B908" s="55" t="s">
        <v>186</v>
      </c>
      <c r="C908" s="55" t="str">
        <f>IF(دانش‌آموزان!E80="","",دانش‌آموزان!B80)</f>
        <v/>
      </c>
      <c r="D908" s="55" t="str">
        <f>IF(دانش‌آموزان!C80="","",دانش‌آموزان!C80)</f>
        <v/>
      </c>
      <c r="E908" s="55" t="str">
        <f>IF(دانش‌آموزان!E80="","",دانش‌آموزان!E80&amp;" "&amp;دانش‌آموزان!F80)</f>
        <v/>
      </c>
      <c r="F908" s="34" t="str">
        <f>IF(دانش‌آموزان!I80="","",دانش‌آموزان!I80)</f>
        <v/>
      </c>
      <c r="G908" s="19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  <c r="BJ908" s="20"/>
      <c r="BK908" s="20"/>
      <c r="BL908" s="20"/>
      <c r="BM908" s="20"/>
      <c r="BN908" s="20"/>
      <c r="BO908" s="20"/>
      <c r="BP908" s="20"/>
      <c r="BQ908" s="20"/>
      <c r="BR908" s="20"/>
      <c r="BS908" s="20"/>
      <c r="BT908" s="20"/>
      <c r="BU908" s="20"/>
      <c r="BV908" s="20"/>
      <c r="BW908" s="20"/>
      <c r="BX908" s="20"/>
      <c r="BY908" s="20"/>
      <c r="BZ908" s="20"/>
      <c r="CA908" s="20"/>
      <c r="CB908" s="21"/>
      <c r="CC908" s="27" t="str">
        <f t="shared" si="154"/>
        <v/>
      </c>
      <c r="CD908" s="38" t="str">
        <f t="shared" si="155"/>
        <v/>
      </c>
      <c r="CE908" s="38" t="str">
        <f t="shared" si="156"/>
        <v/>
      </c>
      <c r="CF908" s="38" t="str">
        <f t="shared" si="157"/>
        <v/>
      </c>
      <c r="CG908" s="38" t="str">
        <f t="shared" si="158"/>
        <v/>
      </c>
      <c r="CH908" s="38" t="str">
        <f t="shared" si="159"/>
        <v/>
      </c>
      <c r="CI908" s="38" t="str">
        <f t="shared" si="160"/>
        <v/>
      </c>
      <c r="CJ908" s="38" t="str">
        <f t="shared" si="161"/>
        <v/>
      </c>
      <c r="CK908" s="38" t="str">
        <f t="shared" si="162"/>
        <v/>
      </c>
      <c r="CL908" s="38" t="str">
        <f>IF(C908="","",IF(COUNT(G908:AZ908)&lt;46,"",SUMPRODUCT(CC908:CK908,'تنظیمات وزن‌دهی'!$C$5:$C$13)/100))</f>
        <v/>
      </c>
      <c r="CM908" s="38" t="str">
        <f t="shared" si="163"/>
        <v/>
      </c>
      <c r="CN908" s="38">
        <v>4</v>
      </c>
      <c r="CO908" s="28" t="str">
        <f t="shared" si="164"/>
        <v/>
      </c>
      <c r="CP908" s="58"/>
    </row>
    <row r="909" spans="1:94" ht="17.25" hidden="1">
      <c r="A909" s="33">
        <v>905</v>
      </c>
      <c r="B909" s="55" t="s">
        <v>187</v>
      </c>
      <c r="C909" s="55" t="str">
        <f>IF(دانش‌آموزان!E80="","",دانش‌آموزان!B80)</f>
        <v/>
      </c>
      <c r="D909" s="55" t="str">
        <f>IF(دانش‌آموزان!C80="","",دانش‌آموزان!C80)</f>
        <v/>
      </c>
      <c r="E909" s="55" t="str">
        <f>IF(دانش‌آموزان!E80="","",دانش‌آموزان!E80&amp;" "&amp;دانش‌آموزان!F80)</f>
        <v/>
      </c>
      <c r="F909" s="34" t="str">
        <f>IF(دانش‌آموزان!I80="","",دانش‌آموزان!I80)</f>
        <v/>
      </c>
      <c r="G909" s="19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  <c r="BJ909" s="20"/>
      <c r="BK909" s="20"/>
      <c r="BL909" s="20"/>
      <c r="BM909" s="20"/>
      <c r="BN909" s="20"/>
      <c r="BO909" s="20"/>
      <c r="BP909" s="20"/>
      <c r="BQ909" s="20"/>
      <c r="BR909" s="20"/>
      <c r="BS909" s="20"/>
      <c r="BT909" s="20"/>
      <c r="BU909" s="20"/>
      <c r="BV909" s="20"/>
      <c r="BW909" s="20"/>
      <c r="BX909" s="20"/>
      <c r="BY909" s="20"/>
      <c r="BZ909" s="20"/>
      <c r="CA909" s="20"/>
      <c r="CB909" s="21"/>
      <c r="CC909" s="27" t="str">
        <f t="shared" si="154"/>
        <v/>
      </c>
      <c r="CD909" s="38" t="str">
        <f t="shared" si="155"/>
        <v/>
      </c>
      <c r="CE909" s="38" t="str">
        <f t="shared" si="156"/>
        <v/>
      </c>
      <c r="CF909" s="38" t="str">
        <f t="shared" si="157"/>
        <v/>
      </c>
      <c r="CG909" s="38" t="str">
        <f t="shared" si="158"/>
        <v/>
      </c>
      <c r="CH909" s="38" t="str">
        <f t="shared" si="159"/>
        <v/>
      </c>
      <c r="CI909" s="38" t="str">
        <f t="shared" si="160"/>
        <v/>
      </c>
      <c r="CJ909" s="38" t="str">
        <f t="shared" si="161"/>
        <v/>
      </c>
      <c r="CK909" s="38" t="str">
        <f t="shared" si="162"/>
        <v/>
      </c>
      <c r="CL909" s="38" t="str">
        <f>IF(C909="","",IF(COUNT(G909:AZ909)&lt;46,"",SUMPRODUCT(CC909:CK909,'تنظیمات وزن‌دهی'!$C$5:$C$13)/100))</f>
        <v/>
      </c>
      <c r="CM909" s="38" t="str">
        <f t="shared" si="163"/>
        <v/>
      </c>
      <c r="CN909" s="38">
        <v>5</v>
      </c>
      <c r="CO909" s="28" t="str">
        <f t="shared" si="164"/>
        <v/>
      </c>
      <c r="CP909" s="58"/>
    </row>
    <row r="910" spans="1:94" ht="17.25" hidden="1">
      <c r="A910" s="33">
        <v>906</v>
      </c>
      <c r="B910" s="55" t="s">
        <v>188</v>
      </c>
      <c r="C910" s="55" t="str">
        <f>IF(دانش‌آموزان!E80="","",دانش‌آموزان!B80)</f>
        <v/>
      </c>
      <c r="D910" s="55" t="str">
        <f>IF(دانش‌آموزان!C80="","",دانش‌آموزان!C80)</f>
        <v/>
      </c>
      <c r="E910" s="55" t="str">
        <f>IF(دانش‌آموزان!E80="","",دانش‌آموزان!E80&amp;" "&amp;دانش‌آموزان!F80)</f>
        <v/>
      </c>
      <c r="F910" s="34" t="str">
        <f>IF(دانش‌آموزان!I80="","",دانش‌آموزان!I80)</f>
        <v/>
      </c>
      <c r="G910" s="19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  <c r="BJ910" s="20"/>
      <c r="BK910" s="20"/>
      <c r="BL910" s="20"/>
      <c r="BM910" s="20"/>
      <c r="BN910" s="20"/>
      <c r="BO910" s="20"/>
      <c r="BP910" s="20"/>
      <c r="BQ910" s="20"/>
      <c r="BR910" s="20"/>
      <c r="BS910" s="20"/>
      <c r="BT910" s="20"/>
      <c r="BU910" s="20"/>
      <c r="BV910" s="20"/>
      <c r="BW910" s="20"/>
      <c r="BX910" s="20"/>
      <c r="BY910" s="20"/>
      <c r="BZ910" s="20"/>
      <c r="CA910" s="20"/>
      <c r="CB910" s="21"/>
      <c r="CC910" s="27" t="str">
        <f t="shared" si="154"/>
        <v/>
      </c>
      <c r="CD910" s="38" t="str">
        <f t="shared" si="155"/>
        <v/>
      </c>
      <c r="CE910" s="38" t="str">
        <f t="shared" si="156"/>
        <v/>
      </c>
      <c r="CF910" s="38" t="str">
        <f t="shared" si="157"/>
        <v/>
      </c>
      <c r="CG910" s="38" t="str">
        <f t="shared" si="158"/>
        <v/>
      </c>
      <c r="CH910" s="38" t="str">
        <f t="shared" si="159"/>
        <v/>
      </c>
      <c r="CI910" s="38" t="str">
        <f t="shared" si="160"/>
        <v/>
      </c>
      <c r="CJ910" s="38" t="str">
        <f t="shared" si="161"/>
        <v/>
      </c>
      <c r="CK910" s="38" t="str">
        <f t="shared" si="162"/>
        <v/>
      </c>
      <c r="CL910" s="38" t="str">
        <f>IF(C910="","",IF(COUNT(G910:AZ910)&lt;46,"",SUMPRODUCT(CC910:CK910,'تنظیمات وزن‌دهی'!$C$5:$C$13)/100))</f>
        <v/>
      </c>
      <c r="CM910" s="38" t="str">
        <f t="shared" si="163"/>
        <v/>
      </c>
      <c r="CN910" s="38">
        <v>6</v>
      </c>
      <c r="CO910" s="28" t="str">
        <f t="shared" si="164"/>
        <v/>
      </c>
      <c r="CP910" s="58"/>
    </row>
    <row r="911" spans="1:94" ht="17.25" hidden="1">
      <c r="A911" s="33">
        <v>907</v>
      </c>
      <c r="B911" s="55" t="s">
        <v>189</v>
      </c>
      <c r="C911" s="55" t="str">
        <f>IF(دانش‌آموزان!E80="","",دانش‌آموزان!B80)</f>
        <v/>
      </c>
      <c r="D911" s="55" t="str">
        <f>IF(دانش‌آموزان!C80="","",دانش‌آموزان!C80)</f>
        <v/>
      </c>
      <c r="E911" s="55" t="str">
        <f>IF(دانش‌آموزان!E80="","",دانش‌آموزان!E80&amp;" "&amp;دانش‌آموزان!F80)</f>
        <v/>
      </c>
      <c r="F911" s="34" t="str">
        <f>IF(دانش‌آموزان!I80="","",دانش‌آموزان!I80)</f>
        <v/>
      </c>
      <c r="G911" s="19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  <c r="BJ911" s="20"/>
      <c r="BK911" s="20"/>
      <c r="BL911" s="20"/>
      <c r="BM911" s="20"/>
      <c r="BN911" s="20"/>
      <c r="BO911" s="20"/>
      <c r="BP911" s="20"/>
      <c r="BQ911" s="20"/>
      <c r="BR911" s="20"/>
      <c r="BS911" s="20"/>
      <c r="BT911" s="20"/>
      <c r="BU911" s="20"/>
      <c r="BV911" s="20"/>
      <c r="BW911" s="20"/>
      <c r="BX911" s="20"/>
      <c r="BY911" s="20"/>
      <c r="BZ911" s="20"/>
      <c r="CA911" s="20"/>
      <c r="CB911" s="21"/>
      <c r="CC911" s="27" t="str">
        <f t="shared" si="154"/>
        <v/>
      </c>
      <c r="CD911" s="38" t="str">
        <f t="shared" si="155"/>
        <v/>
      </c>
      <c r="CE911" s="38" t="str">
        <f t="shared" si="156"/>
        <v/>
      </c>
      <c r="CF911" s="38" t="str">
        <f t="shared" si="157"/>
        <v/>
      </c>
      <c r="CG911" s="38" t="str">
        <f t="shared" si="158"/>
        <v/>
      </c>
      <c r="CH911" s="38" t="str">
        <f t="shared" si="159"/>
        <v/>
      </c>
      <c r="CI911" s="38" t="str">
        <f t="shared" si="160"/>
        <v/>
      </c>
      <c r="CJ911" s="38" t="str">
        <f t="shared" si="161"/>
        <v/>
      </c>
      <c r="CK911" s="38" t="str">
        <f t="shared" si="162"/>
        <v/>
      </c>
      <c r="CL911" s="38" t="str">
        <f>IF(C911="","",IF(COUNT(G911:AZ911)&lt;46,"",SUMPRODUCT(CC911:CK911,'تنظیمات وزن‌دهی'!$C$5:$C$13)/100))</f>
        <v/>
      </c>
      <c r="CM911" s="38" t="str">
        <f t="shared" si="163"/>
        <v/>
      </c>
      <c r="CN911" s="38">
        <v>7</v>
      </c>
      <c r="CO911" s="28" t="str">
        <f t="shared" si="164"/>
        <v/>
      </c>
      <c r="CP911" s="58"/>
    </row>
    <row r="912" spans="1:94" ht="17.25" hidden="1">
      <c r="A912" s="33">
        <v>908</v>
      </c>
      <c r="B912" s="55" t="s">
        <v>190</v>
      </c>
      <c r="C912" s="55" t="str">
        <f>IF(دانش‌آموزان!E80="","",دانش‌آموزان!B80)</f>
        <v/>
      </c>
      <c r="D912" s="55" t="str">
        <f>IF(دانش‌آموزان!C80="","",دانش‌آموزان!C80)</f>
        <v/>
      </c>
      <c r="E912" s="55" t="str">
        <f>IF(دانش‌آموزان!E80="","",دانش‌آموزان!E80&amp;" "&amp;دانش‌آموزان!F80)</f>
        <v/>
      </c>
      <c r="F912" s="34" t="str">
        <f>IF(دانش‌آموزان!I80="","",دانش‌آموزان!I80)</f>
        <v/>
      </c>
      <c r="G912" s="19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  <c r="BJ912" s="20"/>
      <c r="BK912" s="20"/>
      <c r="BL912" s="20"/>
      <c r="BM912" s="20"/>
      <c r="BN912" s="20"/>
      <c r="BO912" s="20"/>
      <c r="BP912" s="20"/>
      <c r="BQ912" s="20"/>
      <c r="BR912" s="20"/>
      <c r="BS912" s="20"/>
      <c r="BT912" s="20"/>
      <c r="BU912" s="20"/>
      <c r="BV912" s="20"/>
      <c r="BW912" s="20"/>
      <c r="BX912" s="20"/>
      <c r="BY912" s="20"/>
      <c r="BZ912" s="20"/>
      <c r="CA912" s="20"/>
      <c r="CB912" s="21"/>
      <c r="CC912" s="27" t="str">
        <f t="shared" si="154"/>
        <v/>
      </c>
      <c r="CD912" s="38" t="str">
        <f t="shared" si="155"/>
        <v/>
      </c>
      <c r="CE912" s="38" t="str">
        <f t="shared" si="156"/>
        <v/>
      </c>
      <c r="CF912" s="38" t="str">
        <f t="shared" si="157"/>
        <v/>
      </c>
      <c r="CG912" s="38" t="str">
        <f t="shared" si="158"/>
        <v/>
      </c>
      <c r="CH912" s="38" t="str">
        <f t="shared" si="159"/>
        <v/>
      </c>
      <c r="CI912" s="38" t="str">
        <f t="shared" si="160"/>
        <v/>
      </c>
      <c r="CJ912" s="38" t="str">
        <f t="shared" si="161"/>
        <v/>
      </c>
      <c r="CK912" s="38" t="str">
        <f t="shared" si="162"/>
        <v/>
      </c>
      <c r="CL912" s="38" t="str">
        <f>IF(C912="","",IF(COUNT(G912:AZ912)&lt;46,"",SUMPRODUCT(CC912:CK912,'تنظیمات وزن‌دهی'!$C$5:$C$13)/100))</f>
        <v/>
      </c>
      <c r="CM912" s="38" t="str">
        <f t="shared" si="163"/>
        <v/>
      </c>
      <c r="CN912" s="38">
        <v>8</v>
      </c>
      <c r="CO912" s="28" t="str">
        <f t="shared" si="164"/>
        <v/>
      </c>
      <c r="CP912" s="58"/>
    </row>
    <row r="913" spans="1:94" ht="17.25" hidden="1">
      <c r="A913" s="33">
        <v>909</v>
      </c>
      <c r="B913" s="55" t="s">
        <v>191</v>
      </c>
      <c r="C913" s="55" t="str">
        <f>IF(دانش‌آموزان!E80="","",دانش‌آموزان!B80)</f>
        <v/>
      </c>
      <c r="D913" s="55" t="str">
        <f>IF(دانش‌آموزان!C80="","",دانش‌آموزان!C80)</f>
        <v/>
      </c>
      <c r="E913" s="55" t="str">
        <f>IF(دانش‌آموزان!E80="","",دانش‌آموزان!E80&amp;" "&amp;دانش‌آموزان!F80)</f>
        <v/>
      </c>
      <c r="F913" s="34" t="str">
        <f>IF(دانش‌آموزان!I80="","",دانش‌آموزان!I80)</f>
        <v/>
      </c>
      <c r="G913" s="19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  <c r="BJ913" s="20"/>
      <c r="BK913" s="20"/>
      <c r="BL913" s="20"/>
      <c r="BM913" s="20"/>
      <c r="BN913" s="20"/>
      <c r="BO913" s="20"/>
      <c r="BP913" s="20"/>
      <c r="BQ913" s="20"/>
      <c r="BR913" s="20"/>
      <c r="BS913" s="20"/>
      <c r="BT913" s="20"/>
      <c r="BU913" s="20"/>
      <c r="BV913" s="20"/>
      <c r="BW913" s="20"/>
      <c r="BX913" s="20"/>
      <c r="BY913" s="20"/>
      <c r="BZ913" s="20"/>
      <c r="CA913" s="20"/>
      <c r="CB913" s="21"/>
      <c r="CC913" s="27" t="str">
        <f t="shared" si="154"/>
        <v/>
      </c>
      <c r="CD913" s="38" t="str">
        <f t="shared" si="155"/>
        <v/>
      </c>
      <c r="CE913" s="38" t="str">
        <f t="shared" si="156"/>
        <v/>
      </c>
      <c r="CF913" s="38" t="str">
        <f t="shared" si="157"/>
        <v/>
      </c>
      <c r="CG913" s="38" t="str">
        <f t="shared" si="158"/>
        <v/>
      </c>
      <c r="CH913" s="38" t="str">
        <f t="shared" si="159"/>
        <v/>
      </c>
      <c r="CI913" s="38" t="str">
        <f t="shared" si="160"/>
        <v/>
      </c>
      <c r="CJ913" s="38" t="str">
        <f t="shared" si="161"/>
        <v/>
      </c>
      <c r="CK913" s="38" t="str">
        <f t="shared" si="162"/>
        <v/>
      </c>
      <c r="CL913" s="38" t="str">
        <f>IF(C913="","",IF(COUNT(G913:AZ913)&lt;46,"",SUMPRODUCT(CC913:CK913,'تنظیمات وزن‌دهی'!$C$5:$C$13)/100))</f>
        <v/>
      </c>
      <c r="CM913" s="38" t="str">
        <f t="shared" si="163"/>
        <v/>
      </c>
      <c r="CN913" s="38">
        <v>9</v>
      </c>
      <c r="CO913" s="28" t="str">
        <f t="shared" si="164"/>
        <v/>
      </c>
      <c r="CP913" s="58"/>
    </row>
    <row r="914" spans="1:94" ht="17.25" hidden="1">
      <c r="A914" s="33">
        <v>910</v>
      </c>
      <c r="B914" s="55" t="s">
        <v>192</v>
      </c>
      <c r="C914" s="55" t="str">
        <f>IF(دانش‌آموزان!E80="","",دانش‌آموزان!B80)</f>
        <v/>
      </c>
      <c r="D914" s="55" t="str">
        <f>IF(دانش‌آموزان!C80="","",دانش‌آموزان!C80)</f>
        <v/>
      </c>
      <c r="E914" s="55" t="str">
        <f>IF(دانش‌آموزان!E80="","",دانش‌آموزان!E80&amp;" "&amp;دانش‌آموزان!F80)</f>
        <v/>
      </c>
      <c r="F914" s="34" t="str">
        <f>IF(دانش‌آموزان!I80="","",دانش‌آموزان!I80)</f>
        <v/>
      </c>
      <c r="G914" s="19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  <c r="BJ914" s="20"/>
      <c r="BK914" s="20"/>
      <c r="BL914" s="20"/>
      <c r="BM914" s="20"/>
      <c r="BN914" s="20"/>
      <c r="BO914" s="20"/>
      <c r="BP914" s="20"/>
      <c r="BQ914" s="20"/>
      <c r="BR914" s="20"/>
      <c r="BS914" s="20"/>
      <c r="BT914" s="20"/>
      <c r="BU914" s="20"/>
      <c r="BV914" s="20"/>
      <c r="BW914" s="20"/>
      <c r="BX914" s="20"/>
      <c r="BY914" s="20"/>
      <c r="BZ914" s="20"/>
      <c r="CA914" s="20"/>
      <c r="CB914" s="21"/>
      <c r="CC914" s="27" t="str">
        <f t="shared" si="154"/>
        <v/>
      </c>
      <c r="CD914" s="38" t="str">
        <f t="shared" si="155"/>
        <v/>
      </c>
      <c r="CE914" s="38" t="str">
        <f t="shared" si="156"/>
        <v/>
      </c>
      <c r="CF914" s="38" t="str">
        <f t="shared" si="157"/>
        <v/>
      </c>
      <c r="CG914" s="38" t="str">
        <f t="shared" si="158"/>
        <v/>
      </c>
      <c r="CH914" s="38" t="str">
        <f t="shared" si="159"/>
        <v/>
      </c>
      <c r="CI914" s="38" t="str">
        <f t="shared" si="160"/>
        <v/>
      </c>
      <c r="CJ914" s="38" t="str">
        <f t="shared" si="161"/>
        <v/>
      </c>
      <c r="CK914" s="38" t="str">
        <f t="shared" si="162"/>
        <v/>
      </c>
      <c r="CL914" s="38" t="str">
        <f>IF(C914="","",IF(COUNT(G914:AZ914)&lt;46,"",SUMPRODUCT(CC914:CK914,'تنظیمات وزن‌دهی'!$C$5:$C$13)/100))</f>
        <v/>
      </c>
      <c r="CM914" s="38" t="str">
        <f t="shared" si="163"/>
        <v/>
      </c>
      <c r="CN914" s="38">
        <v>10</v>
      </c>
      <c r="CO914" s="28" t="str">
        <f t="shared" si="164"/>
        <v/>
      </c>
      <c r="CP914" s="58"/>
    </row>
    <row r="915" spans="1:94" ht="17.25" hidden="1">
      <c r="A915" s="33">
        <v>911</v>
      </c>
      <c r="B915" s="55" t="s">
        <v>193</v>
      </c>
      <c r="C915" s="55" t="str">
        <f>IF(دانش‌آموزان!E80="","",دانش‌آموزان!B80)</f>
        <v/>
      </c>
      <c r="D915" s="55" t="str">
        <f>IF(دانش‌آموزان!C80="","",دانش‌آموزان!C80)</f>
        <v/>
      </c>
      <c r="E915" s="55" t="str">
        <f>IF(دانش‌آموزان!E80="","",دانش‌آموزان!E80&amp;" "&amp;دانش‌آموزان!F80)</f>
        <v/>
      </c>
      <c r="F915" s="34" t="str">
        <f>IF(دانش‌آموزان!I80="","",دانش‌آموزان!I80)</f>
        <v/>
      </c>
      <c r="G915" s="19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  <c r="BJ915" s="20"/>
      <c r="BK915" s="20"/>
      <c r="BL915" s="20"/>
      <c r="BM915" s="20"/>
      <c r="BN915" s="20"/>
      <c r="BO915" s="20"/>
      <c r="BP915" s="20"/>
      <c r="BQ915" s="20"/>
      <c r="BR915" s="20"/>
      <c r="BS915" s="20"/>
      <c r="BT915" s="20"/>
      <c r="BU915" s="20"/>
      <c r="BV915" s="20"/>
      <c r="BW915" s="20"/>
      <c r="BX915" s="20"/>
      <c r="BY915" s="20"/>
      <c r="BZ915" s="20"/>
      <c r="CA915" s="20"/>
      <c r="CB915" s="21"/>
      <c r="CC915" s="27" t="str">
        <f t="shared" si="154"/>
        <v/>
      </c>
      <c r="CD915" s="38" t="str">
        <f t="shared" si="155"/>
        <v/>
      </c>
      <c r="CE915" s="38" t="str">
        <f t="shared" si="156"/>
        <v/>
      </c>
      <c r="CF915" s="38" t="str">
        <f t="shared" si="157"/>
        <v/>
      </c>
      <c r="CG915" s="38" t="str">
        <f t="shared" si="158"/>
        <v/>
      </c>
      <c r="CH915" s="38" t="str">
        <f t="shared" si="159"/>
        <v/>
      </c>
      <c r="CI915" s="38" t="str">
        <f t="shared" si="160"/>
        <v/>
      </c>
      <c r="CJ915" s="38" t="str">
        <f t="shared" si="161"/>
        <v/>
      </c>
      <c r="CK915" s="38" t="str">
        <f t="shared" si="162"/>
        <v/>
      </c>
      <c r="CL915" s="38" t="str">
        <f>IF(C915="","",IF(COUNT(G915:AZ915)&lt;46,"",SUMPRODUCT(CC915:CK915,'تنظیمات وزن‌دهی'!$C$5:$C$13)/100))</f>
        <v/>
      </c>
      <c r="CM915" s="38" t="str">
        <f t="shared" si="163"/>
        <v/>
      </c>
      <c r="CN915" s="38">
        <v>11</v>
      </c>
      <c r="CO915" s="28" t="str">
        <f t="shared" si="164"/>
        <v/>
      </c>
      <c r="CP915" s="58"/>
    </row>
    <row r="916" spans="1:94" ht="17.25" hidden="1">
      <c r="A916" s="33">
        <v>912</v>
      </c>
      <c r="B916" s="55" t="s">
        <v>194</v>
      </c>
      <c r="C916" s="55" t="str">
        <f>IF(دانش‌آموزان!E80="","",دانش‌آموزان!B80)</f>
        <v/>
      </c>
      <c r="D916" s="55" t="str">
        <f>IF(دانش‌آموزان!C80="","",دانش‌آموزان!C80)</f>
        <v/>
      </c>
      <c r="E916" s="55" t="str">
        <f>IF(دانش‌آموزان!E80="","",دانش‌آموزان!E80&amp;" "&amp;دانش‌آموزان!F80)</f>
        <v/>
      </c>
      <c r="F916" s="34" t="str">
        <f>IF(دانش‌آموزان!I80="","",دانش‌آموزان!I80)</f>
        <v/>
      </c>
      <c r="G916" s="19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  <c r="BJ916" s="20"/>
      <c r="BK916" s="20"/>
      <c r="BL916" s="20"/>
      <c r="BM916" s="20"/>
      <c r="BN916" s="20"/>
      <c r="BO916" s="20"/>
      <c r="BP916" s="20"/>
      <c r="BQ916" s="20"/>
      <c r="BR916" s="20"/>
      <c r="BS916" s="20"/>
      <c r="BT916" s="20"/>
      <c r="BU916" s="20"/>
      <c r="BV916" s="20"/>
      <c r="BW916" s="20"/>
      <c r="BX916" s="20"/>
      <c r="BY916" s="20"/>
      <c r="BZ916" s="20"/>
      <c r="CA916" s="20"/>
      <c r="CB916" s="21"/>
      <c r="CC916" s="27" t="str">
        <f t="shared" si="154"/>
        <v/>
      </c>
      <c r="CD916" s="38" t="str">
        <f t="shared" si="155"/>
        <v/>
      </c>
      <c r="CE916" s="38" t="str">
        <f t="shared" si="156"/>
        <v/>
      </c>
      <c r="CF916" s="38" t="str">
        <f t="shared" si="157"/>
        <v/>
      </c>
      <c r="CG916" s="38" t="str">
        <f t="shared" si="158"/>
        <v/>
      </c>
      <c r="CH916" s="38" t="str">
        <f t="shared" si="159"/>
        <v/>
      </c>
      <c r="CI916" s="38" t="str">
        <f t="shared" si="160"/>
        <v/>
      </c>
      <c r="CJ916" s="38" t="str">
        <f t="shared" si="161"/>
        <v/>
      </c>
      <c r="CK916" s="38" t="str">
        <f t="shared" si="162"/>
        <v/>
      </c>
      <c r="CL916" s="38" t="str">
        <f>IF(C916="","",IF(COUNT(G916:AZ916)&lt;46,"",SUMPRODUCT(CC916:CK916,'تنظیمات وزن‌دهی'!$C$5:$C$13)/100))</f>
        <v/>
      </c>
      <c r="CM916" s="38" t="str">
        <f t="shared" si="163"/>
        <v/>
      </c>
      <c r="CN916" s="38">
        <v>12</v>
      </c>
      <c r="CO916" s="28" t="str">
        <f t="shared" si="164"/>
        <v/>
      </c>
      <c r="CP916" s="58"/>
    </row>
    <row r="917" spans="1:94" ht="17.25" hidden="1">
      <c r="A917" s="33">
        <v>913</v>
      </c>
      <c r="B917" s="55" t="s">
        <v>183</v>
      </c>
      <c r="C917" s="55" t="str">
        <f>IF(دانش‌آموزان!E81="","",دانش‌آموزان!B81)</f>
        <v/>
      </c>
      <c r="D917" s="55" t="str">
        <f>IF(دانش‌آموزان!C81="","",دانش‌آموزان!C81)</f>
        <v/>
      </c>
      <c r="E917" s="55" t="str">
        <f>IF(دانش‌آموزان!E81="","",دانش‌آموزان!E81&amp;" "&amp;دانش‌آموزان!F81)</f>
        <v/>
      </c>
      <c r="F917" s="34" t="str">
        <f>IF(دانش‌آموزان!I81="","",دانش‌آموزان!I81)</f>
        <v/>
      </c>
      <c r="G917" s="19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  <c r="BJ917" s="20"/>
      <c r="BK917" s="20"/>
      <c r="BL917" s="20"/>
      <c r="BM917" s="20"/>
      <c r="BN917" s="20"/>
      <c r="BO917" s="20"/>
      <c r="BP917" s="20"/>
      <c r="BQ917" s="20"/>
      <c r="BR917" s="20"/>
      <c r="BS917" s="20"/>
      <c r="BT917" s="20"/>
      <c r="BU917" s="20"/>
      <c r="BV917" s="20"/>
      <c r="BW917" s="20"/>
      <c r="BX917" s="20"/>
      <c r="BY917" s="20"/>
      <c r="BZ917" s="20"/>
      <c r="CA917" s="20"/>
      <c r="CB917" s="21"/>
      <c r="CC917" s="27" t="str">
        <f t="shared" si="154"/>
        <v/>
      </c>
      <c r="CD917" s="38" t="str">
        <f t="shared" si="155"/>
        <v/>
      </c>
      <c r="CE917" s="38" t="str">
        <f t="shared" si="156"/>
        <v/>
      </c>
      <c r="CF917" s="38" t="str">
        <f t="shared" si="157"/>
        <v/>
      </c>
      <c r="CG917" s="38" t="str">
        <f t="shared" si="158"/>
        <v/>
      </c>
      <c r="CH917" s="38" t="str">
        <f t="shared" si="159"/>
        <v/>
      </c>
      <c r="CI917" s="38" t="str">
        <f t="shared" si="160"/>
        <v/>
      </c>
      <c r="CJ917" s="38" t="str">
        <f t="shared" si="161"/>
        <v/>
      </c>
      <c r="CK917" s="38" t="str">
        <f t="shared" si="162"/>
        <v/>
      </c>
      <c r="CL917" s="38" t="str">
        <f>IF(C917="","",IF(COUNT(G917:AZ917)&lt;46,"",SUMPRODUCT(CC917:CK917,'تنظیمات وزن‌دهی'!$C$5:$C$13)/100))</f>
        <v/>
      </c>
      <c r="CM917" s="38" t="str">
        <f t="shared" si="163"/>
        <v/>
      </c>
      <c r="CN917" s="38">
        <v>1</v>
      </c>
      <c r="CO917" s="28" t="str">
        <f t="shared" si="164"/>
        <v/>
      </c>
      <c r="CP917" s="58"/>
    </row>
    <row r="918" spans="1:94" ht="17.25" hidden="1">
      <c r="A918" s="33">
        <v>914</v>
      </c>
      <c r="B918" s="55" t="s">
        <v>184</v>
      </c>
      <c r="C918" s="55" t="str">
        <f>IF(دانش‌آموزان!E81="","",دانش‌آموزان!B81)</f>
        <v/>
      </c>
      <c r="D918" s="55" t="str">
        <f>IF(دانش‌آموزان!C81="","",دانش‌آموزان!C81)</f>
        <v/>
      </c>
      <c r="E918" s="55" t="str">
        <f>IF(دانش‌آموزان!E81="","",دانش‌آموزان!E81&amp;" "&amp;دانش‌آموزان!F81)</f>
        <v/>
      </c>
      <c r="F918" s="34" t="str">
        <f>IF(دانش‌آموزان!I81="","",دانش‌آموزان!I81)</f>
        <v/>
      </c>
      <c r="G918" s="19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  <c r="BJ918" s="20"/>
      <c r="BK918" s="20"/>
      <c r="BL918" s="20"/>
      <c r="BM918" s="20"/>
      <c r="BN918" s="20"/>
      <c r="BO918" s="20"/>
      <c r="BP918" s="20"/>
      <c r="BQ918" s="20"/>
      <c r="BR918" s="20"/>
      <c r="BS918" s="20"/>
      <c r="BT918" s="20"/>
      <c r="BU918" s="20"/>
      <c r="BV918" s="20"/>
      <c r="BW918" s="20"/>
      <c r="BX918" s="20"/>
      <c r="BY918" s="20"/>
      <c r="BZ918" s="20"/>
      <c r="CA918" s="20"/>
      <c r="CB918" s="21"/>
      <c r="CC918" s="27" t="str">
        <f t="shared" si="154"/>
        <v/>
      </c>
      <c r="CD918" s="38" t="str">
        <f t="shared" si="155"/>
        <v/>
      </c>
      <c r="CE918" s="38" t="str">
        <f t="shared" si="156"/>
        <v/>
      </c>
      <c r="CF918" s="38" t="str">
        <f t="shared" si="157"/>
        <v/>
      </c>
      <c r="CG918" s="38" t="str">
        <f t="shared" si="158"/>
        <v/>
      </c>
      <c r="CH918" s="38" t="str">
        <f t="shared" si="159"/>
        <v/>
      </c>
      <c r="CI918" s="38" t="str">
        <f t="shared" si="160"/>
        <v/>
      </c>
      <c r="CJ918" s="38" t="str">
        <f t="shared" si="161"/>
        <v/>
      </c>
      <c r="CK918" s="38" t="str">
        <f t="shared" si="162"/>
        <v/>
      </c>
      <c r="CL918" s="38" t="str">
        <f>IF(C918="","",IF(COUNT(G918:AZ918)&lt;46,"",SUMPRODUCT(CC918:CK918,'تنظیمات وزن‌دهی'!$C$5:$C$13)/100))</f>
        <v/>
      </c>
      <c r="CM918" s="38" t="str">
        <f t="shared" si="163"/>
        <v/>
      </c>
      <c r="CN918" s="38">
        <v>2</v>
      </c>
      <c r="CO918" s="28" t="str">
        <f t="shared" si="164"/>
        <v/>
      </c>
      <c r="CP918" s="58"/>
    </row>
    <row r="919" spans="1:94" ht="17.25">
      <c r="A919" s="33">
        <v>915</v>
      </c>
      <c r="B919" s="55" t="s">
        <v>185</v>
      </c>
      <c r="C919" s="55" t="str">
        <f>IF(دانش‌آموزان!E81="","",دانش‌آموزان!B81)</f>
        <v/>
      </c>
      <c r="D919" s="55" t="str">
        <f>IF(دانش‌آموزان!C81="","",دانش‌آموزان!C81)</f>
        <v/>
      </c>
      <c r="E919" s="55" t="str">
        <f>IF(دانش‌آموزان!E81="","",دانش‌آموزان!E81&amp;" "&amp;دانش‌آموزان!F81)</f>
        <v/>
      </c>
      <c r="F919" s="34" t="str">
        <f>IF(دانش‌آموزان!I81="","",دانش‌آموزان!I81)</f>
        <v/>
      </c>
      <c r="G919" s="19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0"/>
      <c r="BJ919" s="20"/>
      <c r="BK919" s="20"/>
      <c r="BL919" s="20"/>
      <c r="BM919" s="20"/>
      <c r="BN919" s="20"/>
      <c r="BO919" s="20"/>
      <c r="BP919" s="20"/>
      <c r="BQ919" s="20"/>
      <c r="BR919" s="20"/>
      <c r="BS919" s="20"/>
      <c r="BT919" s="20"/>
      <c r="BU919" s="20"/>
      <c r="BV919" s="20"/>
      <c r="BW919" s="20"/>
      <c r="BX919" s="20"/>
      <c r="BY919" s="20"/>
      <c r="BZ919" s="20"/>
      <c r="CA919" s="20"/>
      <c r="CB919" s="21"/>
      <c r="CC919" s="27" t="str">
        <f t="shared" si="154"/>
        <v/>
      </c>
      <c r="CD919" s="38" t="str">
        <f t="shared" si="155"/>
        <v/>
      </c>
      <c r="CE919" s="38" t="str">
        <f t="shared" si="156"/>
        <v/>
      </c>
      <c r="CF919" s="38" t="str">
        <f t="shared" si="157"/>
        <v/>
      </c>
      <c r="CG919" s="38" t="str">
        <f t="shared" si="158"/>
        <v/>
      </c>
      <c r="CH919" s="38" t="str">
        <f t="shared" si="159"/>
        <v/>
      </c>
      <c r="CI919" s="38" t="str">
        <f t="shared" si="160"/>
        <v/>
      </c>
      <c r="CJ919" s="38" t="str">
        <f t="shared" si="161"/>
        <v/>
      </c>
      <c r="CK919" s="38" t="str">
        <f t="shared" si="162"/>
        <v/>
      </c>
      <c r="CL919" s="38" t="str">
        <f>IF(C919="","",IF(COUNT(G919:AZ919)&lt;46,"",SUMPRODUCT(CC919:CK919,'تنظیمات وزن‌دهی'!$C$5:$C$13)/100))</f>
        <v/>
      </c>
      <c r="CM919" s="38" t="str">
        <f t="shared" si="163"/>
        <v/>
      </c>
      <c r="CN919" s="38">
        <v>3</v>
      </c>
      <c r="CO919" s="28" t="str">
        <f t="shared" si="164"/>
        <v/>
      </c>
      <c r="CP919" s="58"/>
    </row>
    <row r="920" spans="1:94" ht="17.25" hidden="1">
      <c r="A920" s="33">
        <v>916</v>
      </c>
      <c r="B920" s="55" t="s">
        <v>186</v>
      </c>
      <c r="C920" s="55" t="str">
        <f>IF(دانش‌آموزان!E81="","",دانش‌آموزان!B81)</f>
        <v/>
      </c>
      <c r="D920" s="55" t="str">
        <f>IF(دانش‌آموزان!C81="","",دانش‌آموزان!C81)</f>
        <v/>
      </c>
      <c r="E920" s="55" t="str">
        <f>IF(دانش‌آموزان!E81="","",دانش‌آموزان!E81&amp;" "&amp;دانش‌آموزان!F81)</f>
        <v/>
      </c>
      <c r="F920" s="34" t="str">
        <f>IF(دانش‌آموزان!I81="","",دانش‌آموزان!I81)</f>
        <v/>
      </c>
      <c r="G920" s="19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  <c r="BJ920" s="20"/>
      <c r="BK920" s="20"/>
      <c r="BL920" s="20"/>
      <c r="BM920" s="20"/>
      <c r="BN920" s="20"/>
      <c r="BO920" s="20"/>
      <c r="BP920" s="20"/>
      <c r="BQ920" s="20"/>
      <c r="BR920" s="20"/>
      <c r="BS920" s="20"/>
      <c r="BT920" s="20"/>
      <c r="BU920" s="20"/>
      <c r="BV920" s="20"/>
      <c r="BW920" s="20"/>
      <c r="BX920" s="20"/>
      <c r="BY920" s="20"/>
      <c r="BZ920" s="20"/>
      <c r="CA920" s="20"/>
      <c r="CB920" s="21"/>
      <c r="CC920" s="27" t="str">
        <f t="shared" si="154"/>
        <v/>
      </c>
      <c r="CD920" s="38" t="str">
        <f t="shared" si="155"/>
        <v/>
      </c>
      <c r="CE920" s="38" t="str">
        <f t="shared" si="156"/>
        <v/>
      </c>
      <c r="CF920" s="38" t="str">
        <f t="shared" si="157"/>
        <v/>
      </c>
      <c r="CG920" s="38" t="str">
        <f t="shared" si="158"/>
        <v/>
      </c>
      <c r="CH920" s="38" t="str">
        <f t="shared" si="159"/>
        <v/>
      </c>
      <c r="CI920" s="38" t="str">
        <f t="shared" si="160"/>
        <v/>
      </c>
      <c r="CJ920" s="38" t="str">
        <f t="shared" si="161"/>
        <v/>
      </c>
      <c r="CK920" s="38" t="str">
        <f t="shared" si="162"/>
        <v/>
      </c>
      <c r="CL920" s="38" t="str">
        <f>IF(C920="","",IF(COUNT(G920:AZ920)&lt;46,"",SUMPRODUCT(CC920:CK920,'تنظیمات وزن‌دهی'!$C$5:$C$13)/100))</f>
        <v/>
      </c>
      <c r="CM920" s="38" t="str">
        <f t="shared" si="163"/>
        <v/>
      </c>
      <c r="CN920" s="38">
        <v>4</v>
      </c>
      <c r="CO920" s="28" t="str">
        <f t="shared" si="164"/>
        <v/>
      </c>
      <c r="CP920" s="58"/>
    </row>
    <row r="921" spans="1:94" ht="17.25" hidden="1">
      <c r="A921" s="33">
        <v>917</v>
      </c>
      <c r="B921" s="55" t="s">
        <v>187</v>
      </c>
      <c r="C921" s="55" t="str">
        <f>IF(دانش‌آموزان!E81="","",دانش‌آموزان!B81)</f>
        <v/>
      </c>
      <c r="D921" s="55" t="str">
        <f>IF(دانش‌آموزان!C81="","",دانش‌آموزان!C81)</f>
        <v/>
      </c>
      <c r="E921" s="55" t="str">
        <f>IF(دانش‌آموزان!E81="","",دانش‌آموزان!E81&amp;" "&amp;دانش‌آموزان!F81)</f>
        <v/>
      </c>
      <c r="F921" s="34" t="str">
        <f>IF(دانش‌آموزان!I81="","",دانش‌آموزان!I81)</f>
        <v/>
      </c>
      <c r="G921" s="19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  <c r="BJ921" s="20"/>
      <c r="BK921" s="20"/>
      <c r="BL921" s="20"/>
      <c r="BM921" s="20"/>
      <c r="BN921" s="20"/>
      <c r="BO921" s="20"/>
      <c r="BP921" s="20"/>
      <c r="BQ921" s="20"/>
      <c r="BR921" s="20"/>
      <c r="BS921" s="20"/>
      <c r="BT921" s="20"/>
      <c r="BU921" s="20"/>
      <c r="BV921" s="20"/>
      <c r="BW921" s="20"/>
      <c r="BX921" s="20"/>
      <c r="BY921" s="20"/>
      <c r="BZ921" s="20"/>
      <c r="CA921" s="20"/>
      <c r="CB921" s="21"/>
      <c r="CC921" s="27" t="str">
        <f t="shared" si="154"/>
        <v/>
      </c>
      <c r="CD921" s="38" t="str">
        <f t="shared" si="155"/>
        <v/>
      </c>
      <c r="CE921" s="38" t="str">
        <f t="shared" si="156"/>
        <v/>
      </c>
      <c r="CF921" s="38" t="str">
        <f t="shared" si="157"/>
        <v/>
      </c>
      <c r="CG921" s="38" t="str">
        <f t="shared" si="158"/>
        <v/>
      </c>
      <c r="CH921" s="38" t="str">
        <f t="shared" si="159"/>
        <v/>
      </c>
      <c r="CI921" s="38" t="str">
        <f t="shared" si="160"/>
        <v/>
      </c>
      <c r="CJ921" s="38" t="str">
        <f t="shared" si="161"/>
        <v/>
      </c>
      <c r="CK921" s="38" t="str">
        <f t="shared" si="162"/>
        <v/>
      </c>
      <c r="CL921" s="38" t="str">
        <f>IF(C921="","",IF(COUNT(G921:AZ921)&lt;46,"",SUMPRODUCT(CC921:CK921,'تنظیمات وزن‌دهی'!$C$5:$C$13)/100))</f>
        <v/>
      </c>
      <c r="CM921" s="38" t="str">
        <f t="shared" si="163"/>
        <v/>
      </c>
      <c r="CN921" s="38">
        <v>5</v>
      </c>
      <c r="CO921" s="28" t="str">
        <f t="shared" si="164"/>
        <v/>
      </c>
      <c r="CP921" s="58"/>
    </row>
    <row r="922" spans="1:94" ht="17.25" hidden="1">
      <c r="A922" s="33">
        <v>918</v>
      </c>
      <c r="B922" s="55" t="s">
        <v>188</v>
      </c>
      <c r="C922" s="55" t="str">
        <f>IF(دانش‌آموزان!E81="","",دانش‌آموزان!B81)</f>
        <v/>
      </c>
      <c r="D922" s="55" t="str">
        <f>IF(دانش‌آموزان!C81="","",دانش‌آموزان!C81)</f>
        <v/>
      </c>
      <c r="E922" s="55" t="str">
        <f>IF(دانش‌آموزان!E81="","",دانش‌آموزان!E81&amp;" "&amp;دانش‌آموزان!F81)</f>
        <v/>
      </c>
      <c r="F922" s="34" t="str">
        <f>IF(دانش‌آموزان!I81="","",دانش‌آموزان!I81)</f>
        <v/>
      </c>
      <c r="G922" s="19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  <c r="BJ922" s="20"/>
      <c r="BK922" s="20"/>
      <c r="BL922" s="20"/>
      <c r="BM922" s="20"/>
      <c r="BN922" s="20"/>
      <c r="BO922" s="20"/>
      <c r="BP922" s="20"/>
      <c r="BQ922" s="20"/>
      <c r="BR922" s="20"/>
      <c r="BS922" s="20"/>
      <c r="BT922" s="20"/>
      <c r="BU922" s="20"/>
      <c r="BV922" s="20"/>
      <c r="BW922" s="20"/>
      <c r="BX922" s="20"/>
      <c r="BY922" s="20"/>
      <c r="BZ922" s="20"/>
      <c r="CA922" s="20"/>
      <c r="CB922" s="21"/>
      <c r="CC922" s="27" t="str">
        <f t="shared" si="154"/>
        <v/>
      </c>
      <c r="CD922" s="38" t="str">
        <f t="shared" si="155"/>
        <v/>
      </c>
      <c r="CE922" s="38" t="str">
        <f t="shared" si="156"/>
        <v/>
      </c>
      <c r="CF922" s="38" t="str">
        <f t="shared" si="157"/>
        <v/>
      </c>
      <c r="CG922" s="38" t="str">
        <f t="shared" si="158"/>
        <v/>
      </c>
      <c r="CH922" s="38" t="str">
        <f t="shared" si="159"/>
        <v/>
      </c>
      <c r="CI922" s="38" t="str">
        <f t="shared" si="160"/>
        <v/>
      </c>
      <c r="CJ922" s="38" t="str">
        <f t="shared" si="161"/>
        <v/>
      </c>
      <c r="CK922" s="38" t="str">
        <f t="shared" si="162"/>
        <v/>
      </c>
      <c r="CL922" s="38" t="str">
        <f>IF(C922="","",IF(COUNT(G922:AZ922)&lt;46,"",SUMPRODUCT(CC922:CK922,'تنظیمات وزن‌دهی'!$C$5:$C$13)/100))</f>
        <v/>
      </c>
      <c r="CM922" s="38" t="str">
        <f t="shared" si="163"/>
        <v/>
      </c>
      <c r="CN922" s="38">
        <v>6</v>
      </c>
      <c r="CO922" s="28" t="str">
        <f t="shared" si="164"/>
        <v/>
      </c>
      <c r="CP922" s="58"/>
    </row>
    <row r="923" spans="1:94" ht="17.25" hidden="1">
      <c r="A923" s="33">
        <v>919</v>
      </c>
      <c r="B923" s="55" t="s">
        <v>189</v>
      </c>
      <c r="C923" s="55" t="str">
        <f>IF(دانش‌آموزان!E81="","",دانش‌آموزان!B81)</f>
        <v/>
      </c>
      <c r="D923" s="55" t="str">
        <f>IF(دانش‌آموزان!C81="","",دانش‌آموزان!C81)</f>
        <v/>
      </c>
      <c r="E923" s="55" t="str">
        <f>IF(دانش‌آموزان!E81="","",دانش‌آموزان!E81&amp;" "&amp;دانش‌آموزان!F81)</f>
        <v/>
      </c>
      <c r="F923" s="34" t="str">
        <f>IF(دانش‌آموزان!I81="","",دانش‌آموزان!I81)</f>
        <v/>
      </c>
      <c r="G923" s="19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  <c r="BJ923" s="20"/>
      <c r="BK923" s="20"/>
      <c r="BL923" s="20"/>
      <c r="BM923" s="20"/>
      <c r="BN923" s="20"/>
      <c r="BO923" s="20"/>
      <c r="BP923" s="20"/>
      <c r="BQ923" s="20"/>
      <c r="BR923" s="20"/>
      <c r="BS923" s="20"/>
      <c r="BT923" s="20"/>
      <c r="BU923" s="20"/>
      <c r="BV923" s="20"/>
      <c r="BW923" s="20"/>
      <c r="BX923" s="20"/>
      <c r="BY923" s="20"/>
      <c r="BZ923" s="20"/>
      <c r="CA923" s="20"/>
      <c r="CB923" s="21"/>
      <c r="CC923" s="27" t="str">
        <f t="shared" si="154"/>
        <v/>
      </c>
      <c r="CD923" s="38" t="str">
        <f t="shared" si="155"/>
        <v/>
      </c>
      <c r="CE923" s="38" t="str">
        <f t="shared" si="156"/>
        <v/>
      </c>
      <c r="CF923" s="38" t="str">
        <f t="shared" si="157"/>
        <v/>
      </c>
      <c r="CG923" s="38" t="str">
        <f t="shared" si="158"/>
        <v/>
      </c>
      <c r="CH923" s="38" t="str">
        <f t="shared" si="159"/>
        <v/>
      </c>
      <c r="CI923" s="38" t="str">
        <f t="shared" si="160"/>
        <v/>
      </c>
      <c r="CJ923" s="38" t="str">
        <f t="shared" si="161"/>
        <v/>
      </c>
      <c r="CK923" s="38" t="str">
        <f t="shared" si="162"/>
        <v/>
      </c>
      <c r="CL923" s="38" t="str">
        <f>IF(C923="","",IF(COUNT(G923:AZ923)&lt;46,"",SUMPRODUCT(CC923:CK923,'تنظیمات وزن‌دهی'!$C$5:$C$13)/100))</f>
        <v/>
      </c>
      <c r="CM923" s="38" t="str">
        <f t="shared" si="163"/>
        <v/>
      </c>
      <c r="CN923" s="38">
        <v>7</v>
      </c>
      <c r="CO923" s="28" t="str">
        <f t="shared" si="164"/>
        <v/>
      </c>
      <c r="CP923" s="58"/>
    </row>
    <row r="924" spans="1:94" ht="17.25" hidden="1">
      <c r="A924" s="33">
        <v>920</v>
      </c>
      <c r="B924" s="55" t="s">
        <v>190</v>
      </c>
      <c r="C924" s="55" t="str">
        <f>IF(دانش‌آموزان!E81="","",دانش‌آموزان!B81)</f>
        <v/>
      </c>
      <c r="D924" s="55" t="str">
        <f>IF(دانش‌آموزان!C81="","",دانش‌آموزان!C81)</f>
        <v/>
      </c>
      <c r="E924" s="55" t="str">
        <f>IF(دانش‌آموزان!E81="","",دانش‌آموزان!E81&amp;" "&amp;دانش‌آموزان!F81)</f>
        <v/>
      </c>
      <c r="F924" s="34" t="str">
        <f>IF(دانش‌آموزان!I81="","",دانش‌آموزان!I81)</f>
        <v/>
      </c>
      <c r="G924" s="19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  <c r="BJ924" s="20"/>
      <c r="BK924" s="20"/>
      <c r="BL924" s="20"/>
      <c r="BM924" s="20"/>
      <c r="BN924" s="20"/>
      <c r="BO924" s="20"/>
      <c r="BP924" s="20"/>
      <c r="BQ924" s="20"/>
      <c r="BR924" s="20"/>
      <c r="BS924" s="20"/>
      <c r="BT924" s="20"/>
      <c r="BU924" s="20"/>
      <c r="BV924" s="20"/>
      <c r="BW924" s="20"/>
      <c r="BX924" s="20"/>
      <c r="BY924" s="20"/>
      <c r="BZ924" s="20"/>
      <c r="CA924" s="20"/>
      <c r="CB924" s="21"/>
      <c r="CC924" s="27" t="str">
        <f t="shared" si="154"/>
        <v/>
      </c>
      <c r="CD924" s="38" t="str">
        <f t="shared" si="155"/>
        <v/>
      </c>
      <c r="CE924" s="38" t="str">
        <f t="shared" si="156"/>
        <v/>
      </c>
      <c r="CF924" s="38" t="str">
        <f t="shared" si="157"/>
        <v/>
      </c>
      <c r="CG924" s="38" t="str">
        <f t="shared" si="158"/>
        <v/>
      </c>
      <c r="CH924" s="38" t="str">
        <f t="shared" si="159"/>
        <v/>
      </c>
      <c r="CI924" s="38" t="str">
        <f t="shared" si="160"/>
        <v/>
      </c>
      <c r="CJ924" s="38" t="str">
        <f t="shared" si="161"/>
        <v/>
      </c>
      <c r="CK924" s="38" t="str">
        <f t="shared" si="162"/>
        <v/>
      </c>
      <c r="CL924" s="38" t="str">
        <f>IF(C924="","",IF(COUNT(G924:AZ924)&lt;46,"",SUMPRODUCT(CC924:CK924,'تنظیمات وزن‌دهی'!$C$5:$C$13)/100))</f>
        <v/>
      </c>
      <c r="CM924" s="38" t="str">
        <f t="shared" si="163"/>
        <v/>
      </c>
      <c r="CN924" s="38">
        <v>8</v>
      </c>
      <c r="CO924" s="28" t="str">
        <f t="shared" si="164"/>
        <v/>
      </c>
      <c r="CP924" s="58"/>
    </row>
    <row r="925" spans="1:94" ht="17.25" hidden="1">
      <c r="A925" s="33">
        <v>921</v>
      </c>
      <c r="B925" s="55" t="s">
        <v>191</v>
      </c>
      <c r="C925" s="55" t="str">
        <f>IF(دانش‌آموزان!E81="","",دانش‌آموزان!B81)</f>
        <v/>
      </c>
      <c r="D925" s="55" t="str">
        <f>IF(دانش‌آموزان!C81="","",دانش‌آموزان!C81)</f>
        <v/>
      </c>
      <c r="E925" s="55" t="str">
        <f>IF(دانش‌آموزان!E81="","",دانش‌آموزان!E81&amp;" "&amp;دانش‌آموزان!F81)</f>
        <v/>
      </c>
      <c r="F925" s="34" t="str">
        <f>IF(دانش‌آموزان!I81="","",دانش‌آموزان!I81)</f>
        <v/>
      </c>
      <c r="G925" s="19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  <c r="BJ925" s="20"/>
      <c r="BK925" s="20"/>
      <c r="BL925" s="20"/>
      <c r="BM925" s="20"/>
      <c r="BN925" s="20"/>
      <c r="BO925" s="20"/>
      <c r="BP925" s="20"/>
      <c r="BQ925" s="20"/>
      <c r="BR925" s="20"/>
      <c r="BS925" s="20"/>
      <c r="BT925" s="20"/>
      <c r="BU925" s="20"/>
      <c r="BV925" s="20"/>
      <c r="BW925" s="20"/>
      <c r="BX925" s="20"/>
      <c r="BY925" s="20"/>
      <c r="BZ925" s="20"/>
      <c r="CA925" s="20"/>
      <c r="CB925" s="21"/>
      <c r="CC925" s="27" t="str">
        <f t="shared" si="154"/>
        <v/>
      </c>
      <c r="CD925" s="38" t="str">
        <f t="shared" si="155"/>
        <v/>
      </c>
      <c r="CE925" s="38" t="str">
        <f t="shared" si="156"/>
        <v/>
      </c>
      <c r="CF925" s="38" t="str">
        <f t="shared" si="157"/>
        <v/>
      </c>
      <c r="CG925" s="38" t="str">
        <f t="shared" si="158"/>
        <v/>
      </c>
      <c r="CH925" s="38" t="str">
        <f t="shared" si="159"/>
        <v/>
      </c>
      <c r="CI925" s="38" t="str">
        <f t="shared" si="160"/>
        <v/>
      </c>
      <c r="CJ925" s="38" t="str">
        <f t="shared" si="161"/>
        <v/>
      </c>
      <c r="CK925" s="38" t="str">
        <f t="shared" si="162"/>
        <v/>
      </c>
      <c r="CL925" s="38" t="str">
        <f>IF(C925="","",IF(COUNT(G925:AZ925)&lt;46,"",SUMPRODUCT(CC925:CK925,'تنظیمات وزن‌دهی'!$C$5:$C$13)/100))</f>
        <v/>
      </c>
      <c r="CM925" s="38" t="str">
        <f t="shared" si="163"/>
        <v/>
      </c>
      <c r="CN925" s="38">
        <v>9</v>
      </c>
      <c r="CO925" s="28" t="str">
        <f t="shared" si="164"/>
        <v/>
      </c>
      <c r="CP925" s="58"/>
    </row>
    <row r="926" spans="1:94" ht="17.25" hidden="1">
      <c r="A926" s="33">
        <v>922</v>
      </c>
      <c r="B926" s="55" t="s">
        <v>192</v>
      </c>
      <c r="C926" s="55" t="str">
        <f>IF(دانش‌آموزان!E81="","",دانش‌آموزان!B81)</f>
        <v/>
      </c>
      <c r="D926" s="55" t="str">
        <f>IF(دانش‌آموزان!C81="","",دانش‌آموزان!C81)</f>
        <v/>
      </c>
      <c r="E926" s="55" t="str">
        <f>IF(دانش‌آموزان!E81="","",دانش‌آموزان!E81&amp;" "&amp;دانش‌آموزان!F81)</f>
        <v/>
      </c>
      <c r="F926" s="34" t="str">
        <f>IF(دانش‌آموزان!I81="","",دانش‌آموزان!I81)</f>
        <v/>
      </c>
      <c r="G926" s="19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  <c r="BJ926" s="20"/>
      <c r="BK926" s="20"/>
      <c r="BL926" s="20"/>
      <c r="BM926" s="20"/>
      <c r="BN926" s="20"/>
      <c r="BO926" s="20"/>
      <c r="BP926" s="20"/>
      <c r="BQ926" s="20"/>
      <c r="BR926" s="20"/>
      <c r="BS926" s="20"/>
      <c r="BT926" s="20"/>
      <c r="BU926" s="20"/>
      <c r="BV926" s="20"/>
      <c r="BW926" s="20"/>
      <c r="BX926" s="20"/>
      <c r="BY926" s="20"/>
      <c r="BZ926" s="20"/>
      <c r="CA926" s="20"/>
      <c r="CB926" s="21"/>
      <c r="CC926" s="27" t="str">
        <f t="shared" si="154"/>
        <v/>
      </c>
      <c r="CD926" s="38" t="str">
        <f t="shared" si="155"/>
        <v/>
      </c>
      <c r="CE926" s="38" t="str">
        <f t="shared" si="156"/>
        <v/>
      </c>
      <c r="CF926" s="38" t="str">
        <f t="shared" si="157"/>
        <v/>
      </c>
      <c r="CG926" s="38" t="str">
        <f t="shared" si="158"/>
        <v/>
      </c>
      <c r="CH926" s="38" t="str">
        <f t="shared" si="159"/>
        <v/>
      </c>
      <c r="CI926" s="38" t="str">
        <f t="shared" si="160"/>
        <v/>
      </c>
      <c r="CJ926" s="38" t="str">
        <f t="shared" si="161"/>
        <v/>
      </c>
      <c r="CK926" s="38" t="str">
        <f t="shared" si="162"/>
        <v/>
      </c>
      <c r="CL926" s="38" t="str">
        <f>IF(C926="","",IF(COUNT(G926:AZ926)&lt;46,"",SUMPRODUCT(CC926:CK926,'تنظیمات وزن‌دهی'!$C$5:$C$13)/100))</f>
        <v/>
      </c>
      <c r="CM926" s="38" t="str">
        <f t="shared" si="163"/>
        <v/>
      </c>
      <c r="CN926" s="38">
        <v>10</v>
      </c>
      <c r="CO926" s="28" t="str">
        <f t="shared" si="164"/>
        <v/>
      </c>
      <c r="CP926" s="58"/>
    </row>
    <row r="927" spans="1:94" ht="17.25" hidden="1">
      <c r="A927" s="33">
        <v>923</v>
      </c>
      <c r="B927" s="55" t="s">
        <v>193</v>
      </c>
      <c r="C927" s="55" t="str">
        <f>IF(دانش‌آموزان!E81="","",دانش‌آموزان!B81)</f>
        <v/>
      </c>
      <c r="D927" s="55" t="str">
        <f>IF(دانش‌آموزان!C81="","",دانش‌آموزان!C81)</f>
        <v/>
      </c>
      <c r="E927" s="55" t="str">
        <f>IF(دانش‌آموزان!E81="","",دانش‌آموزان!E81&amp;" "&amp;دانش‌آموزان!F81)</f>
        <v/>
      </c>
      <c r="F927" s="34" t="str">
        <f>IF(دانش‌آموزان!I81="","",دانش‌آموزان!I81)</f>
        <v/>
      </c>
      <c r="G927" s="19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  <c r="BJ927" s="20"/>
      <c r="BK927" s="20"/>
      <c r="BL927" s="20"/>
      <c r="BM927" s="20"/>
      <c r="BN927" s="20"/>
      <c r="BO927" s="20"/>
      <c r="BP927" s="20"/>
      <c r="BQ927" s="20"/>
      <c r="BR927" s="20"/>
      <c r="BS927" s="20"/>
      <c r="BT927" s="20"/>
      <c r="BU927" s="20"/>
      <c r="BV927" s="20"/>
      <c r="BW927" s="20"/>
      <c r="BX927" s="20"/>
      <c r="BY927" s="20"/>
      <c r="BZ927" s="20"/>
      <c r="CA927" s="20"/>
      <c r="CB927" s="21"/>
      <c r="CC927" s="27" t="str">
        <f t="shared" si="154"/>
        <v/>
      </c>
      <c r="CD927" s="38" t="str">
        <f t="shared" si="155"/>
        <v/>
      </c>
      <c r="CE927" s="38" t="str">
        <f t="shared" si="156"/>
        <v/>
      </c>
      <c r="CF927" s="38" t="str">
        <f t="shared" si="157"/>
        <v/>
      </c>
      <c r="CG927" s="38" t="str">
        <f t="shared" si="158"/>
        <v/>
      </c>
      <c r="CH927" s="38" t="str">
        <f t="shared" si="159"/>
        <v/>
      </c>
      <c r="CI927" s="38" t="str">
        <f t="shared" si="160"/>
        <v/>
      </c>
      <c r="CJ927" s="38" t="str">
        <f t="shared" si="161"/>
        <v/>
      </c>
      <c r="CK927" s="38" t="str">
        <f t="shared" si="162"/>
        <v/>
      </c>
      <c r="CL927" s="38" t="str">
        <f>IF(C927="","",IF(COUNT(G927:AZ927)&lt;46,"",SUMPRODUCT(CC927:CK927,'تنظیمات وزن‌دهی'!$C$5:$C$13)/100))</f>
        <v/>
      </c>
      <c r="CM927" s="38" t="str">
        <f t="shared" si="163"/>
        <v/>
      </c>
      <c r="CN927" s="38">
        <v>11</v>
      </c>
      <c r="CO927" s="28" t="str">
        <f t="shared" si="164"/>
        <v/>
      </c>
      <c r="CP927" s="58"/>
    </row>
    <row r="928" spans="1:94" ht="17.25" hidden="1">
      <c r="A928" s="33">
        <v>924</v>
      </c>
      <c r="B928" s="55" t="s">
        <v>194</v>
      </c>
      <c r="C928" s="55" t="str">
        <f>IF(دانش‌آموزان!E81="","",دانش‌آموزان!B81)</f>
        <v/>
      </c>
      <c r="D928" s="55" t="str">
        <f>IF(دانش‌آموزان!C81="","",دانش‌آموزان!C81)</f>
        <v/>
      </c>
      <c r="E928" s="55" t="str">
        <f>IF(دانش‌آموزان!E81="","",دانش‌آموزان!E81&amp;" "&amp;دانش‌آموزان!F81)</f>
        <v/>
      </c>
      <c r="F928" s="34" t="str">
        <f>IF(دانش‌آموزان!I81="","",دانش‌آموزان!I81)</f>
        <v/>
      </c>
      <c r="G928" s="19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  <c r="BJ928" s="20"/>
      <c r="BK928" s="20"/>
      <c r="BL928" s="20"/>
      <c r="BM928" s="20"/>
      <c r="BN928" s="20"/>
      <c r="BO928" s="20"/>
      <c r="BP928" s="20"/>
      <c r="BQ928" s="20"/>
      <c r="BR928" s="20"/>
      <c r="BS928" s="20"/>
      <c r="BT928" s="20"/>
      <c r="BU928" s="20"/>
      <c r="BV928" s="20"/>
      <c r="BW928" s="20"/>
      <c r="BX928" s="20"/>
      <c r="BY928" s="20"/>
      <c r="BZ928" s="20"/>
      <c r="CA928" s="20"/>
      <c r="CB928" s="21"/>
      <c r="CC928" s="27" t="str">
        <f t="shared" si="154"/>
        <v/>
      </c>
      <c r="CD928" s="38" t="str">
        <f t="shared" si="155"/>
        <v/>
      </c>
      <c r="CE928" s="38" t="str">
        <f t="shared" si="156"/>
        <v/>
      </c>
      <c r="CF928" s="38" t="str">
        <f t="shared" si="157"/>
        <v/>
      </c>
      <c r="CG928" s="38" t="str">
        <f t="shared" si="158"/>
        <v/>
      </c>
      <c r="CH928" s="38" t="str">
        <f t="shared" si="159"/>
        <v/>
      </c>
      <c r="CI928" s="38" t="str">
        <f t="shared" si="160"/>
        <v/>
      </c>
      <c r="CJ928" s="38" t="str">
        <f t="shared" si="161"/>
        <v/>
      </c>
      <c r="CK928" s="38" t="str">
        <f t="shared" si="162"/>
        <v/>
      </c>
      <c r="CL928" s="38" t="str">
        <f>IF(C928="","",IF(COUNT(G928:AZ928)&lt;46,"",SUMPRODUCT(CC928:CK928,'تنظیمات وزن‌دهی'!$C$5:$C$13)/100))</f>
        <v/>
      </c>
      <c r="CM928" s="38" t="str">
        <f t="shared" si="163"/>
        <v/>
      </c>
      <c r="CN928" s="38">
        <v>12</v>
      </c>
      <c r="CO928" s="28" t="str">
        <f t="shared" si="164"/>
        <v/>
      </c>
      <c r="CP928" s="58"/>
    </row>
    <row r="929" spans="1:94" ht="17.25" hidden="1">
      <c r="A929" s="33">
        <v>925</v>
      </c>
      <c r="B929" s="55" t="s">
        <v>183</v>
      </c>
      <c r="C929" s="55" t="str">
        <f>IF(دانش‌آموزان!E82="","",دانش‌آموزان!B82)</f>
        <v/>
      </c>
      <c r="D929" s="55" t="str">
        <f>IF(دانش‌آموزان!C82="","",دانش‌آموزان!C82)</f>
        <v/>
      </c>
      <c r="E929" s="55" t="str">
        <f>IF(دانش‌آموزان!E82="","",دانش‌آموزان!E82&amp;" "&amp;دانش‌آموزان!F82)</f>
        <v/>
      </c>
      <c r="F929" s="34" t="str">
        <f>IF(دانش‌آموزان!I82="","",دانش‌آموزان!I82)</f>
        <v/>
      </c>
      <c r="G929" s="19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  <c r="BJ929" s="20"/>
      <c r="BK929" s="20"/>
      <c r="BL929" s="20"/>
      <c r="BM929" s="20"/>
      <c r="BN929" s="20"/>
      <c r="BO929" s="20"/>
      <c r="BP929" s="20"/>
      <c r="BQ929" s="20"/>
      <c r="BR929" s="20"/>
      <c r="BS929" s="20"/>
      <c r="BT929" s="20"/>
      <c r="BU929" s="20"/>
      <c r="BV929" s="20"/>
      <c r="BW929" s="20"/>
      <c r="BX929" s="20"/>
      <c r="BY929" s="20"/>
      <c r="BZ929" s="20"/>
      <c r="CA929" s="20"/>
      <c r="CB929" s="21"/>
      <c r="CC929" s="27" t="str">
        <f t="shared" si="154"/>
        <v/>
      </c>
      <c r="CD929" s="38" t="str">
        <f t="shared" si="155"/>
        <v/>
      </c>
      <c r="CE929" s="38" t="str">
        <f t="shared" si="156"/>
        <v/>
      </c>
      <c r="CF929" s="38" t="str">
        <f t="shared" si="157"/>
        <v/>
      </c>
      <c r="CG929" s="38" t="str">
        <f t="shared" si="158"/>
        <v/>
      </c>
      <c r="CH929" s="38" t="str">
        <f t="shared" si="159"/>
        <v/>
      </c>
      <c r="CI929" s="38" t="str">
        <f t="shared" si="160"/>
        <v/>
      </c>
      <c r="CJ929" s="38" t="str">
        <f t="shared" si="161"/>
        <v/>
      </c>
      <c r="CK929" s="38" t="str">
        <f t="shared" si="162"/>
        <v/>
      </c>
      <c r="CL929" s="38" t="str">
        <f>IF(C929="","",IF(COUNT(G929:AZ929)&lt;46,"",SUMPRODUCT(CC929:CK929,'تنظیمات وزن‌دهی'!$C$5:$C$13)/100))</f>
        <v/>
      </c>
      <c r="CM929" s="38" t="str">
        <f t="shared" si="163"/>
        <v/>
      </c>
      <c r="CN929" s="38">
        <v>1</v>
      </c>
      <c r="CO929" s="28" t="str">
        <f t="shared" si="164"/>
        <v/>
      </c>
      <c r="CP929" s="58"/>
    </row>
    <row r="930" spans="1:94" ht="17.25" hidden="1">
      <c r="A930" s="33">
        <v>926</v>
      </c>
      <c r="B930" s="55" t="s">
        <v>184</v>
      </c>
      <c r="C930" s="55" t="str">
        <f>IF(دانش‌آموزان!E82="","",دانش‌آموزان!B82)</f>
        <v/>
      </c>
      <c r="D930" s="55" t="str">
        <f>IF(دانش‌آموزان!C82="","",دانش‌آموزان!C82)</f>
        <v/>
      </c>
      <c r="E930" s="55" t="str">
        <f>IF(دانش‌آموزان!E82="","",دانش‌آموزان!E82&amp;" "&amp;دانش‌آموزان!F82)</f>
        <v/>
      </c>
      <c r="F930" s="34" t="str">
        <f>IF(دانش‌آموزان!I82="","",دانش‌آموزان!I82)</f>
        <v/>
      </c>
      <c r="G930" s="19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  <c r="BJ930" s="20"/>
      <c r="BK930" s="20"/>
      <c r="BL930" s="20"/>
      <c r="BM930" s="20"/>
      <c r="BN930" s="20"/>
      <c r="BO930" s="20"/>
      <c r="BP930" s="20"/>
      <c r="BQ930" s="20"/>
      <c r="BR930" s="20"/>
      <c r="BS930" s="20"/>
      <c r="BT930" s="20"/>
      <c r="BU930" s="20"/>
      <c r="BV930" s="20"/>
      <c r="BW930" s="20"/>
      <c r="BX930" s="20"/>
      <c r="BY930" s="20"/>
      <c r="BZ930" s="20"/>
      <c r="CA930" s="20"/>
      <c r="CB930" s="21"/>
      <c r="CC930" s="27" t="str">
        <f t="shared" si="154"/>
        <v/>
      </c>
      <c r="CD930" s="38" t="str">
        <f t="shared" si="155"/>
        <v/>
      </c>
      <c r="CE930" s="38" t="str">
        <f t="shared" si="156"/>
        <v/>
      </c>
      <c r="CF930" s="38" t="str">
        <f t="shared" si="157"/>
        <v/>
      </c>
      <c r="CG930" s="38" t="str">
        <f t="shared" si="158"/>
        <v/>
      </c>
      <c r="CH930" s="38" t="str">
        <f t="shared" si="159"/>
        <v/>
      </c>
      <c r="CI930" s="38" t="str">
        <f t="shared" si="160"/>
        <v/>
      </c>
      <c r="CJ930" s="38" t="str">
        <f t="shared" si="161"/>
        <v/>
      </c>
      <c r="CK930" s="38" t="str">
        <f t="shared" si="162"/>
        <v/>
      </c>
      <c r="CL930" s="38" t="str">
        <f>IF(C930="","",IF(COUNT(G930:AZ930)&lt;46,"",SUMPRODUCT(CC930:CK930,'تنظیمات وزن‌دهی'!$C$5:$C$13)/100))</f>
        <v/>
      </c>
      <c r="CM930" s="38" t="str">
        <f t="shared" si="163"/>
        <v/>
      </c>
      <c r="CN930" s="38">
        <v>2</v>
      </c>
      <c r="CO930" s="28" t="str">
        <f t="shared" si="164"/>
        <v/>
      </c>
      <c r="CP930" s="58"/>
    </row>
    <row r="931" spans="1:94" ht="17.25">
      <c r="A931" s="33">
        <v>927</v>
      </c>
      <c r="B931" s="55" t="s">
        <v>185</v>
      </c>
      <c r="C931" s="55" t="str">
        <f>IF(دانش‌آموزان!E82="","",دانش‌آموزان!B82)</f>
        <v/>
      </c>
      <c r="D931" s="55" t="str">
        <f>IF(دانش‌آموزان!C82="","",دانش‌آموزان!C82)</f>
        <v/>
      </c>
      <c r="E931" s="55" t="str">
        <f>IF(دانش‌آموزان!E82="","",دانش‌آموزان!E82&amp;" "&amp;دانش‌آموزان!F82)</f>
        <v/>
      </c>
      <c r="F931" s="34" t="str">
        <f>IF(دانش‌آموزان!I82="","",دانش‌آموزان!I82)</f>
        <v/>
      </c>
      <c r="G931" s="19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  <c r="BJ931" s="20"/>
      <c r="BK931" s="20"/>
      <c r="BL931" s="20"/>
      <c r="BM931" s="20"/>
      <c r="BN931" s="20"/>
      <c r="BO931" s="20"/>
      <c r="BP931" s="20"/>
      <c r="BQ931" s="20"/>
      <c r="BR931" s="20"/>
      <c r="BS931" s="20"/>
      <c r="BT931" s="20"/>
      <c r="BU931" s="20"/>
      <c r="BV931" s="20"/>
      <c r="BW931" s="20"/>
      <c r="BX931" s="20"/>
      <c r="BY931" s="20"/>
      <c r="BZ931" s="20"/>
      <c r="CA931" s="20"/>
      <c r="CB931" s="21"/>
      <c r="CC931" s="27" t="str">
        <f t="shared" si="154"/>
        <v/>
      </c>
      <c r="CD931" s="38" t="str">
        <f t="shared" si="155"/>
        <v/>
      </c>
      <c r="CE931" s="38" t="str">
        <f t="shared" si="156"/>
        <v/>
      </c>
      <c r="CF931" s="38" t="str">
        <f t="shared" si="157"/>
        <v/>
      </c>
      <c r="CG931" s="38" t="str">
        <f t="shared" si="158"/>
        <v/>
      </c>
      <c r="CH931" s="38" t="str">
        <f t="shared" si="159"/>
        <v/>
      </c>
      <c r="CI931" s="38" t="str">
        <f t="shared" si="160"/>
        <v/>
      </c>
      <c r="CJ931" s="38" t="str">
        <f t="shared" si="161"/>
        <v/>
      </c>
      <c r="CK931" s="38" t="str">
        <f t="shared" si="162"/>
        <v/>
      </c>
      <c r="CL931" s="38" t="str">
        <f>IF(C931="","",IF(COUNT(G931:AZ931)&lt;46,"",SUMPRODUCT(CC931:CK931,'تنظیمات وزن‌دهی'!$C$5:$C$13)/100))</f>
        <v/>
      </c>
      <c r="CM931" s="38" t="str">
        <f t="shared" si="163"/>
        <v/>
      </c>
      <c r="CN931" s="38">
        <v>3</v>
      </c>
      <c r="CO931" s="28" t="str">
        <f t="shared" si="164"/>
        <v/>
      </c>
      <c r="CP931" s="58"/>
    </row>
    <row r="932" spans="1:94" ht="17.25" hidden="1">
      <c r="A932" s="33">
        <v>928</v>
      </c>
      <c r="B932" s="55" t="s">
        <v>186</v>
      </c>
      <c r="C932" s="55" t="str">
        <f>IF(دانش‌آموزان!E82="","",دانش‌آموزان!B82)</f>
        <v/>
      </c>
      <c r="D932" s="55" t="str">
        <f>IF(دانش‌آموزان!C82="","",دانش‌آموزان!C82)</f>
        <v/>
      </c>
      <c r="E932" s="55" t="str">
        <f>IF(دانش‌آموزان!E82="","",دانش‌آموزان!E82&amp;" "&amp;دانش‌آموزان!F82)</f>
        <v/>
      </c>
      <c r="F932" s="34" t="str">
        <f>IF(دانش‌آموزان!I82="","",دانش‌آموزان!I82)</f>
        <v/>
      </c>
      <c r="G932" s="19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  <c r="BJ932" s="20"/>
      <c r="BK932" s="20"/>
      <c r="BL932" s="20"/>
      <c r="BM932" s="20"/>
      <c r="BN932" s="20"/>
      <c r="BO932" s="20"/>
      <c r="BP932" s="20"/>
      <c r="BQ932" s="20"/>
      <c r="BR932" s="20"/>
      <c r="BS932" s="20"/>
      <c r="BT932" s="20"/>
      <c r="BU932" s="20"/>
      <c r="BV932" s="20"/>
      <c r="BW932" s="20"/>
      <c r="BX932" s="20"/>
      <c r="BY932" s="20"/>
      <c r="BZ932" s="20"/>
      <c r="CA932" s="20"/>
      <c r="CB932" s="21"/>
      <c r="CC932" s="27" t="str">
        <f t="shared" si="154"/>
        <v/>
      </c>
      <c r="CD932" s="38" t="str">
        <f t="shared" si="155"/>
        <v/>
      </c>
      <c r="CE932" s="38" t="str">
        <f t="shared" si="156"/>
        <v/>
      </c>
      <c r="CF932" s="38" t="str">
        <f t="shared" si="157"/>
        <v/>
      </c>
      <c r="CG932" s="38" t="str">
        <f t="shared" si="158"/>
        <v/>
      </c>
      <c r="CH932" s="38" t="str">
        <f t="shared" si="159"/>
        <v/>
      </c>
      <c r="CI932" s="38" t="str">
        <f t="shared" si="160"/>
        <v/>
      </c>
      <c r="CJ932" s="38" t="str">
        <f t="shared" si="161"/>
        <v/>
      </c>
      <c r="CK932" s="38" t="str">
        <f t="shared" si="162"/>
        <v/>
      </c>
      <c r="CL932" s="38" t="str">
        <f>IF(C932="","",IF(COUNT(G932:AZ932)&lt;46,"",SUMPRODUCT(CC932:CK932,'تنظیمات وزن‌دهی'!$C$5:$C$13)/100))</f>
        <v/>
      </c>
      <c r="CM932" s="38" t="str">
        <f t="shared" si="163"/>
        <v/>
      </c>
      <c r="CN932" s="38">
        <v>4</v>
      </c>
      <c r="CO932" s="28" t="str">
        <f t="shared" si="164"/>
        <v/>
      </c>
      <c r="CP932" s="58"/>
    </row>
    <row r="933" spans="1:94" ht="17.25" hidden="1">
      <c r="A933" s="33">
        <v>929</v>
      </c>
      <c r="B933" s="55" t="s">
        <v>187</v>
      </c>
      <c r="C933" s="55" t="str">
        <f>IF(دانش‌آموزان!E82="","",دانش‌آموزان!B82)</f>
        <v/>
      </c>
      <c r="D933" s="55" t="str">
        <f>IF(دانش‌آموزان!C82="","",دانش‌آموزان!C82)</f>
        <v/>
      </c>
      <c r="E933" s="55" t="str">
        <f>IF(دانش‌آموزان!E82="","",دانش‌آموزان!E82&amp;" "&amp;دانش‌آموزان!F82)</f>
        <v/>
      </c>
      <c r="F933" s="34" t="str">
        <f>IF(دانش‌آموزان!I82="","",دانش‌آموزان!I82)</f>
        <v/>
      </c>
      <c r="G933" s="19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  <c r="BJ933" s="20"/>
      <c r="BK933" s="20"/>
      <c r="BL933" s="20"/>
      <c r="BM933" s="20"/>
      <c r="BN933" s="20"/>
      <c r="BO933" s="20"/>
      <c r="BP933" s="20"/>
      <c r="BQ933" s="20"/>
      <c r="BR933" s="20"/>
      <c r="BS933" s="20"/>
      <c r="BT933" s="20"/>
      <c r="BU933" s="20"/>
      <c r="BV933" s="20"/>
      <c r="BW933" s="20"/>
      <c r="BX933" s="20"/>
      <c r="BY933" s="20"/>
      <c r="BZ933" s="20"/>
      <c r="CA933" s="20"/>
      <c r="CB933" s="21"/>
      <c r="CC933" s="27" t="str">
        <f t="shared" si="154"/>
        <v/>
      </c>
      <c r="CD933" s="38" t="str">
        <f t="shared" si="155"/>
        <v/>
      </c>
      <c r="CE933" s="38" t="str">
        <f t="shared" si="156"/>
        <v/>
      </c>
      <c r="CF933" s="38" t="str">
        <f t="shared" si="157"/>
        <v/>
      </c>
      <c r="CG933" s="38" t="str">
        <f t="shared" si="158"/>
        <v/>
      </c>
      <c r="CH933" s="38" t="str">
        <f t="shared" si="159"/>
        <v/>
      </c>
      <c r="CI933" s="38" t="str">
        <f t="shared" si="160"/>
        <v/>
      </c>
      <c r="CJ933" s="38" t="str">
        <f t="shared" si="161"/>
        <v/>
      </c>
      <c r="CK933" s="38" t="str">
        <f t="shared" si="162"/>
        <v/>
      </c>
      <c r="CL933" s="38" t="str">
        <f>IF(C933="","",IF(COUNT(G933:AZ933)&lt;46,"",SUMPRODUCT(CC933:CK933,'تنظیمات وزن‌دهی'!$C$5:$C$13)/100))</f>
        <v/>
      </c>
      <c r="CM933" s="38" t="str">
        <f t="shared" si="163"/>
        <v/>
      </c>
      <c r="CN933" s="38">
        <v>5</v>
      </c>
      <c r="CO933" s="28" t="str">
        <f t="shared" si="164"/>
        <v/>
      </c>
      <c r="CP933" s="58"/>
    </row>
    <row r="934" spans="1:94" ht="17.25" hidden="1">
      <c r="A934" s="33">
        <v>930</v>
      </c>
      <c r="B934" s="55" t="s">
        <v>188</v>
      </c>
      <c r="C934" s="55" t="str">
        <f>IF(دانش‌آموزان!E82="","",دانش‌آموزان!B82)</f>
        <v/>
      </c>
      <c r="D934" s="55" t="str">
        <f>IF(دانش‌آموزان!C82="","",دانش‌آموزان!C82)</f>
        <v/>
      </c>
      <c r="E934" s="55" t="str">
        <f>IF(دانش‌آموزان!E82="","",دانش‌آموزان!E82&amp;" "&amp;دانش‌آموزان!F82)</f>
        <v/>
      </c>
      <c r="F934" s="34" t="str">
        <f>IF(دانش‌آموزان!I82="","",دانش‌آموزان!I82)</f>
        <v/>
      </c>
      <c r="G934" s="19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  <c r="BJ934" s="20"/>
      <c r="BK934" s="20"/>
      <c r="BL934" s="20"/>
      <c r="BM934" s="20"/>
      <c r="BN934" s="20"/>
      <c r="BO934" s="20"/>
      <c r="BP934" s="20"/>
      <c r="BQ934" s="20"/>
      <c r="BR934" s="20"/>
      <c r="BS934" s="20"/>
      <c r="BT934" s="20"/>
      <c r="BU934" s="20"/>
      <c r="BV934" s="20"/>
      <c r="BW934" s="20"/>
      <c r="BX934" s="20"/>
      <c r="BY934" s="20"/>
      <c r="BZ934" s="20"/>
      <c r="CA934" s="20"/>
      <c r="CB934" s="21"/>
      <c r="CC934" s="27" t="str">
        <f t="shared" si="154"/>
        <v/>
      </c>
      <c r="CD934" s="38" t="str">
        <f t="shared" si="155"/>
        <v/>
      </c>
      <c r="CE934" s="38" t="str">
        <f t="shared" si="156"/>
        <v/>
      </c>
      <c r="CF934" s="38" t="str">
        <f t="shared" si="157"/>
        <v/>
      </c>
      <c r="CG934" s="38" t="str">
        <f t="shared" si="158"/>
        <v/>
      </c>
      <c r="CH934" s="38" t="str">
        <f t="shared" si="159"/>
        <v/>
      </c>
      <c r="CI934" s="38" t="str">
        <f t="shared" si="160"/>
        <v/>
      </c>
      <c r="CJ934" s="38" t="str">
        <f t="shared" si="161"/>
        <v/>
      </c>
      <c r="CK934" s="38" t="str">
        <f t="shared" si="162"/>
        <v/>
      </c>
      <c r="CL934" s="38" t="str">
        <f>IF(C934="","",IF(COUNT(G934:AZ934)&lt;46,"",SUMPRODUCT(CC934:CK934,'تنظیمات وزن‌دهی'!$C$5:$C$13)/100))</f>
        <v/>
      </c>
      <c r="CM934" s="38" t="str">
        <f t="shared" si="163"/>
        <v/>
      </c>
      <c r="CN934" s="38">
        <v>6</v>
      </c>
      <c r="CO934" s="28" t="str">
        <f t="shared" si="164"/>
        <v/>
      </c>
      <c r="CP934" s="58"/>
    </row>
    <row r="935" spans="1:94" ht="17.25" hidden="1">
      <c r="A935" s="33">
        <v>931</v>
      </c>
      <c r="B935" s="55" t="s">
        <v>189</v>
      </c>
      <c r="C935" s="55" t="str">
        <f>IF(دانش‌آموزان!E82="","",دانش‌آموزان!B82)</f>
        <v/>
      </c>
      <c r="D935" s="55" t="str">
        <f>IF(دانش‌آموزان!C82="","",دانش‌آموزان!C82)</f>
        <v/>
      </c>
      <c r="E935" s="55" t="str">
        <f>IF(دانش‌آموزان!E82="","",دانش‌آموزان!E82&amp;" "&amp;دانش‌آموزان!F82)</f>
        <v/>
      </c>
      <c r="F935" s="34" t="str">
        <f>IF(دانش‌آموزان!I82="","",دانش‌آموزان!I82)</f>
        <v/>
      </c>
      <c r="G935" s="19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  <c r="BJ935" s="20"/>
      <c r="BK935" s="20"/>
      <c r="BL935" s="20"/>
      <c r="BM935" s="20"/>
      <c r="BN935" s="20"/>
      <c r="BO935" s="20"/>
      <c r="BP935" s="20"/>
      <c r="BQ935" s="20"/>
      <c r="BR935" s="20"/>
      <c r="BS935" s="20"/>
      <c r="BT935" s="20"/>
      <c r="BU935" s="20"/>
      <c r="BV935" s="20"/>
      <c r="BW935" s="20"/>
      <c r="BX935" s="20"/>
      <c r="BY935" s="20"/>
      <c r="BZ935" s="20"/>
      <c r="CA935" s="20"/>
      <c r="CB935" s="21"/>
      <c r="CC935" s="27" t="str">
        <f t="shared" si="154"/>
        <v/>
      </c>
      <c r="CD935" s="38" t="str">
        <f t="shared" si="155"/>
        <v/>
      </c>
      <c r="CE935" s="38" t="str">
        <f t="shared" si="156"/>
        <v/>
      </c>
      <c r="CF935" s="38" t="str">
        <f t="shared" si="157"/>
        <v/>
      </c>
      <c r="CG935" s="38" t="str">
        <f t="shared" si="158"/>
        <v/>
      </c>
      <c r="CH935" s="38" t="str">
        <f t="shared" si="159"/>
        <v/>
      </c>
      <c r="CI935" s="38" t="str">
        <f t="shared" si="160"/>
        <v/>
      </c>
      <c r="CJ935" s="38" t="str">
        <f t="shared" si="161"/>
        <v/>
      </c>
      <c r="CK935" s="38" t="str">
        <f t="shared" si="162"/>
        <v/>
      </c>
      <c r="CL935" s="38" t="str">
        <f>IF(C935="","",IF(COUNT(G935:AZ935)&lt;46,"",SUMPRODUCT(CC935:CK935,'تنظیمات وزن‌دهی'!$C$5:$C$13)/100))</f>
        <v/>
      </c>
      <c r="CM935" s="38" t="str">
        <f t="shared" si="163"/>
        <v/>
      </c>
      <c r="CN935" s="38">
        <v>7</v>
      </c>
      <c r="CO935" s="28" t="str">
        <f t="shared" si="164"/>
        <v/>
      </c>
      <c r="CP935" s="58"/>
    </row>
    <row r="936" spans="1:94" ht="17.25" hidden="1">
      <c r="A936" s="33">
        <v>932</v>
      </c>
      <c r="B936" s="55" t="s">
        <v>190</v>
      </c>
      <c r="C936" s="55" t="str">
        <f>IF(دانش‌آموزان!E82="","",دانش‌آموزان!B82)</f>
        <v/>
      </c>
      <c r="D936" s="55" t="str">
        <f>IF(دانش‌آموزان!C82="","",دانش‌آموزان!C82)</f>
        <v/>
      </c>
      <c r="E936" s="55" t="str">
        <f>IF(دانش‌آموزان!E82="","",دانش‌آموزان!E82&amp;" "&amp;دانش‌آموزان!F82)</f>
        <v/>
      </c>
      <c r="F936" s="34" t="str">
        <f>IF(دانش‌آموزان!I82="","",دانش‌آموزان!I82)</f>
        <v/>
      </c>
      <c r="G936" s="19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  <c r="BJ936" s="20"/>
      <c r="BK936" s="20"/>
      <c r="BL936" s="20"/>
      <c r="BM936" s="20"/>
      <c r="BN936" s="20"/>
      <c r="BO936" s="20"/>
      <c r="BP936" s="20"/>
      <c r="BQ936" s="20"/>
      <c r="BR936" s="20"/>
      <c r="BS936" s="20"/>
      <c r="BT936" s="20"/>
      <c r="BU936" s="20"/>
      <c r="BV936" s="20"/>
      <c r="BW936" s="20"/>
      <c r="BX936" s="20"/>
      <c r="BY936" s="20"/>
      <c r="BZ936" s="20"/>
      <c r="CA936" s="20"/>
      <c r="CB936" s="21"/>
      <c r="CC936" s="27" t="str">
        <f t="shared" si="154"/>
        <v/>
      </c>
      <c r="CD936" s="38" t="str">
        <f t="shared" si="155"/>
        <v/>
      </c>
      <c r="CE936" s="38" t="str">
        <f t="shared" si="156"/>
        <v/>
      </c>
      <c r="CF936" s="38" t="str">
        <f t="shared" si="157"/>
        <v/>
      </c>
      <c r="CG936" s="38" t="str">
        <f t="shared" si="158"/>
        <v/>
      </c>
      <c r="CH936" s="38" t="str">
        <f t="shared" si="159"/>
        <v/>
      </c>
      <c r="CI936" s="38" t="str">
        <f t="shared" si="160"/>
        <v/>
      </c>
      <c r="CJ936" s="38" t="str">
        <f t="shared" si="161"/>
        <v/>
      </c>
      <c r="CK936" s="38" t="str">
        <f t="shared" si="162"/>
        <v/>
      </c>
      <c r="CL936" s="38" t="str">
        <f>IF(C936="","",IF(COUNT(G936:AZ936)&lt;46,"",SUMPRODUCT(CC936:CK936,'تنظیمات وزن‌دهی'!$C$5:$C$13)/100))</f>
        <v/>
      </c>
      <c r="CM936" s="38" t="str">
        <f t="shared" si="163"/>
        <v/>
      </c>
      <c r="CN936" s="38">
        <v>8</v>
      </c>
      <c r="CO936" s="28" t="str">
        <f t="shared" si="164"/>
        <v/>
      </c>
      <c r="CP936" s="58"/>
    </row>
    <row r="937" spans="1:94" ht="17.25" hidden="1">
      <c r="A937" s="33">
        <v>933</v>
      </c>
      <c r="B937" s="55" t="s">
        <v>191</v>
      </c>
      <c r="C937" s="55" t="str">
        <f>IF(دانش‌آموزان!E82="","",دانش‌آموزان!B82)</f>
        <v/>
      </c>
      <c r="D937" s="55" t="str">
        <f>IF(دانش‌آموزان!C82="","",دانش‌آموزان!C82)</f>
        <v/>
      </c>
      <c r="E937" s="55" t="str">
        <f>IF(دانش‌آموزان!E82="","",دانش‌آموزان!E82&amp;" "&amp;دانش‌آموزان!F82)</f>
        <v/>
      </c>
      <c r="F937" s="34" t="str">
        <f>IF(دانش‌آموزان!I82="","",دانش‌آموزان!I82)</f>
        <v/>
      </c>
      <c r="G937" s="19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  <c r="BJ937" s="20"/>
      <c r="BK937" s="20"/>
      <c r="BL937" s="20"/>
      <c r="BM937" s="20"/>
      <c r="BN937" s="20"/>
      <c r="BO937" s="20"/>
      <c r="BP937" s="20"/>
      <c r="BQ937" s="20"/>
      <c r="BR937" s="20"/>
      <c r="BS937" s="20"/>
      <c r="BT937" s="20"/>
      <c r="BU937" s="20"/>
      <c r="BV937" s="20"/>
      <c r="BW937" s="20"/>
      <c r="BX937" s="20"/>
      <c r="BY937" s="20"/>
      <c r="BZ937" s="20"/>
      <c r="CA937" s="20"/>
      <c r="CB937" s="21"/>
      <c r="CC937" s="27" t="str">
        <f t="shared" si="154"/>
        <v/>
      </c>
      <c r="CD937" s="38" t="str">
        <f t="shared" si="155"/>
        <v/>
      </c>
      <c r="CE937" s="38" t="str">
        <f t="shared" si="156"/>
        <v/>
      </c>
      <c r="CF937" s="38" t="str">
        <f t="shared" si="157"/>
        <v/>
      </c>
      <c r="CG937" s="38" t="str">
        <f t="shared" si="158"/>
        <v/>
      </c>
      <c r="CH937" s="38" t="str">
        <f t="shared" si="159"/>
        <v/>
      </c>
      <c r="CI937" s="38" t="str">
        <f t="shared" si="160"/>
        <v/>
      </c>
      <c r="CJ937" s="38" t="str">
        <f t="shared" si="161"/>
        <v/>
      </c>
      <c r="CK937" s="38" t="str">
        <f t="shared" si="162"/>
        <v/>
      </c>
      <c r="CL937" s="38" t="str">
        <f>IF(C937="","",IF(COUNT(G937:AZ937)&lt;46,"",SUMPRODUCT(CC937:CK937,'تنظیمات وزن‌دهی'!$C$5:$C$13)/100))</f>
        <v/>
      </c>
      <c r="CM937" s="38" t="str">
        <f t="shared" si="163"/>
        <v/>
      </c>
      <c r="CN937" s="38">
        <v>9</v>
      </c>
      <c r="CO937" s="28" t="str">
        <f t="shared" si="164"/>
        <v/>
      </c>
      <c r="CP937" s="58"/>
    </row>
    <row r="938" spans="1:94" ht="17.25" hidden="1">
      <c r="A938" s="33">
        <v>934</v>
      </c>
      <c r="B938" s="55" t="s">
        <v>192</v>
      </c>
      <c r="C938" s="55" t="str">
        <f>IF(دانش‌آموزان!E82="","",دانش‌آموزان!B82)</f>
        <v/>
      </c>
      <c r="D938" s="55" t="str">
        <f>IF(دانش‌آموزان!C82="","",دانش‌آموزان!C82)</f>
        <v/>
      </c>
      <c r="E938" s="55" t="str">
        <f>IF(دانش‌آموزان!E82="","",دانش‌آموزان!E82&amp;" "&amp;دانش‌آموزان!F82)</f>
        <v/>
      </c>
      <c r="F938" s="34" t="str">
        <f>IF(دانش‌آموزان!I82="","",دانش‌آموزان!I82)</f>
        <v/>
      </c>
      <c r="G938" s="19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  <c r="BJ938" s="20"/>
      <c r="BK938" s="20"/>
      <c r="BL938" s="20"/>
      <c r="BM938" s="20"/>
      <c r="BN938" s="20"/>
      <c r="BO938" s="20"/>
      <c r="BP938" s="20"/>
      <c r="BQ938" s="20"/>
      <c r="BR938" s="20"/>
      <c r="BS938" s="20"/>
      <c r="BT938" s="20"/>
      <c r="BU938" s="20"/>
      <c r="BV938" s="20"/>
      <c r="BW938" s="20"/>
      <c r="BX938" s="20"/>
      <c r="BY938" s="20"/>
      <c r="BZ938" s="20"/>
      <c r="CA938" s="20"/>
      <c r="CB938" s="21"/>
      <c r="CC938" s="27" t="str">
        <f t="shared" si="154"/>
        <v/>
      </c>
      <c r="CD938" s="38" t="str">
        <f t="shared" si="155"/>
        <v/>
      </c>
      <c r="CE938" s="38" t="str">
        <f t="shared" si="156"/>
        <v/>
      </c>
      <c r="CF938" s="38" t="str">
        <f t="shared" si="157"/>
        <v/>
      </c>
      <c r="CG938" s="38" t="str">
        <f t="shared" si="158"/>
        <v/>
      </c>
      <c r="CH938" s="38" t="str">
        <f t="shared" si="159"/>
        <v/>
      </c>
      <c r="CI938" s="38" t="str">
        <f t="shared" si="160"/>
        <v/>
      </c>
      <c r="CJ938" s="38" t="str">
        <f t="shared" si="161"/>
        <v/>
      </c>
      <c r="CK938" s="38" t="str">
        <f t="shared" si="162"/>
        <v/>
      </c>
      <c r="CL938" s="38" t="str">
        <f>IF(C938="","",IF(COUNT(G938:AZ938)&lt;46,"",SUMPRODUCT(CC938:CK938,'تنظیمات وزن‌دهی'!$C$5:$C$13)/100))</f>
        <v/>
      </c>
      <c r="CM938" s="38" t="str">
        <f t="shared" si="163"/>
        <v/>
      </c>
      <c r="CN938" s="38">
        <v>10</v>
      </c>
      <c r="CO938" s="28" t="str">
        <f t="shared" si="164"/>
        <v/>
      </c>
      <c r="CP938" s="58"/>
    </row>
    <row r="939" spans="1:94" ht="17.25" hidden="1">
      <c r="A939" s="33">
        <v>935</v>
      </c>
      <c r="B939" s="55" t="s">
        <v>193</v>
      </c>
      <c r="C939" s="55" t="str">
        <f>IF(دانش‌آموزان!E82="","",دانش‌آموزان!B82)</f>
        <v/>
      </c>
      <c r="D939" s="55" t="str">
        <f>IF(دانش‌آموزان!C82="","",دانش‌آموزان!C82)</f>
        <v/>
      </c>
      <c r="E939" s="55" t="str">
        <f>IF(دانش‌آموزان!E82="","",دانش‌آموزان!E82&amp;" "&amp;دانش‌آموزان!F82)</f>
        <v/>
      </c>
      <c r="F939" s="34" t="str">
        <f>IF(دانش‌آموزان!I82="","",دانش‌آموزان!I82)</f>
        <v/>
      </c>
      <c r="G939" s="19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  <c r="BJ939" s="20"/>
      <c r="BK939" s="20"/>
      <c r="BL939" s="20"/>
      <c r="BM939" s="20"/>
      <c r="BN939" s="20"/>
      <c r="BO939" s="20"/>
      <c r="BP939" s="20"/>
      <c r="BQ939" s="20"/>
      <c r="BR939" s="20"/>
      <c r="BS939" s="20"/>
      <c r="BT939" s="20"/>
      <c r="BU939" s="20"/>
      <c r="BV939" s="20"/>
      <c r="BW939" s="20"/>
      <c r="BX939" s="20"/>
      <c r="BY939" s="20"/>
      <c r="BZ939" s="20"/>
      <c r="CA939" s="20"/>
      <c r="CB939" s="21"/>
      <c r="CC939" s="27" t="str">
        <f t="shared" si="154"/>
        <v/>
      </c>
      <c r="CD939" s="38" t="str">
        <f t="shared" si="155"/>
        <v/>
      </c>
      <c r="CE939" s="38" t="str">
        <f t="shared" si="156"/>
        <v/>
      </c>
      <c r="CF939" s="38" t="str">
        <f t="shared" si="157"/>
        <v/>
      </c>
      <c r="CG939" s="38" t="str">
        <f t="shared" si="158"/>
        <v/>
      </c>
      <c r="CH939" s="38" t="str">
        <f t="shared" si="159"/>
        <v/>
      </c>
      <c r="CI939" s="38" t="str">
        <f t="shared" si="160"/>
        <v/>
      </c>
      <c r="CJ939" s="38" t="str">
        <f t="shared" si="161"/>
        <v/>
      </c>
      <c r="CK939" s="38" t="str">
        <f t="shared" si="162"/>
        <v/>
      </c>
      <c r="CL939" s="38" t="str">
        <f>IF(C939="","",IF(COUNT(G939:AZ939)&lt;46,"",SUMPRODUCT(CC939:CK939,'تنظیمات وزن‌دهی'!$C$5:$C$13)/100))</f>
        <v/>
      </c>
      <c r="CM939" s="38" t="str">
        <f t="shared" si="163"/>
        <v/>
      </c>
      <c r="CN939" s="38">
        <v>11</v>
      </c>
      <c r="CO939" s="28" t="str">
        <f t="shared" si="164"/>
        <v/>
      </c>
      <c r="CP939" s="58"/>
    </row>
    <row r="940" spans="1:94" ht="17.25" hidden="1">
      <c r="A940" s="33">
        <v>936</v>
      </c>
      <c r="B940" s="55" t="s">
        <v>194</v>
      </c>
      <c r="C940" s="55" t="str">
        <f>IF(دانش‌آموزان!E82="","",دانش‌آموزان!B82)</f>
        <v/>
      </c>
      <c r="D940" s="55" t="str">
        <f>IF(دانش‌آموزان!C82="","",دانش‌آموزان!C82)</f>
        <v/>
      </c>
      <c r="E940" s="55" t="str">
        <f>IF(دانش‌آموزان!E82="","",دانش‌آموزان!E82&amp;" "&amp;دانش‌آموزان!F82)</f>
        <v/>
      </c>
      <c r="F940" s="34" t="str">
        <f>IF(دانش‌آموزان!I82="","",دانش‌آموزان!I82)</f>
        <v/>
      </c>
      <c r="G940" s="19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  <c r="BJ940" s="20"/>
      <c r="BK940" s="20"/>
      <c r="BL940" s="20"/>
      <c r="BM940" s="20"/>
      <c r="BN940" s="20"/>
      <c r="BO940" s="20"/>
      <c r="BP940" s="20"/>
      <c r="BQ940" s="20"/>
      <c r="BR940" s="20"/>
      <c r="BS940" s="20"/>
      <c r="BT940" s="20"/>
      <c r="BU940" s="20"/>
      <c r="BV940" s="20"/>
      <c r="BW940" s="20"/>
      <c r="BX940" s="20"/>
      <c r="BY940" s="20"/>
      <c r="BZ940" s="20"/>
      <c r="CA940" s="20"/>
      <c r="CB940" s="21"/>
      <c r="CC940" s="27" t="str">
        <f t="shared" si="154"/>
        <v/>
      </c>
      <c r="CD940" s="38" t="str">
        <f t="shared" si="155"/>
        <v/>
      </c>
      <c r="CE940" s="38" t="str">
        <f t="shared" si="156"/>
        <v/>
      </c>
      <c r="CF940" s="38" t="str">
        <f t="shared" si="157"/>
        <v/>
      </c>
      <c r="CG940" s="38" t="str">
        <f t="shared" si="158"/>
        <v/>
      </c>
      <c r="CH940" s="38" t="str">
        <f t="shared" si="159"/>
        <v/>
      </c>
      <c r="CI940" s="38" t="str">
        <f t="shared" si="160"/>
        <v/>
      </c>
      <c r="CJ940" s="38" t="str">
        <f t="shared" si="161"/>
        <v/>
      </c>
      <c r="CK940" s="38" t="str">
        <f t="shared" si="162"/>
        <v/>
      </c>
      <c r="CL940" s="38" t="str">
        <f>IF(C940="","",IF(COUNT(G940:AZ940)&lt;46,"",SUMPRODUCT(CC940:CK940,'تنظیمات وزن‌دهی'!$C$5:$C$13)/100))</f>
        <v/>
      </c>
      <c r="CM940" s="38" t="str">
        <f t="shared" si="163"/>
        <v/>
      </c>
      <c r="CN940" s="38">
        <v>12</v>
      </c>
      <c r="CO940" s="28" t="str">
        <f t="shared" si="164"/>
        <v/>
      </c>
      <c r="CP940" s="58"/>
    </row>
    <row r="941" spans="1:94" ht="17.25" hidden="1">
      <c r="A941" s="33">
        <v>937</v>
      </c>
      <c r="B941" s="55" t="s">
        <v>183</v>
      </c>
      <c r="C941" s="55" t="str">
        <f>IF(دانش‌آموزان!E83="","",دانش‌آموزان!B83)</f>
        <v/>
      </c>
      <c r="D941" s="55" t="str">
        <f>IF(دانش‌آموزان!C83="","",دانش‌آموزان!C83)</f>
        <v/>
      </c>
      <c r="E941" s="55" t="str">
        <f>IF(دانش‌آموزان!E83="","",دانش‌آموزان!E83&amp;" "&amp;دانش‌آموزان!F83)</f>
        <v/>
      </c>
      <c r="F941" s="34" t="str">
        <f>IF(دانش‌آموزان!I83="","",دانش‌آموزان!I83)</f>
        <v/>
      </c>
      <c r="G941" s="19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  <c r="BJ941" s="20"/>
      <c r="BK941" s="20"/>
      <c r="BL941" s="20"/>
      <c r="BM941" s="20"/>
      <c r="BN941" s="20"/>
      <c r="BO941" s="20"/>
      <c r="BP941" s="20"/>
      <c r="BQ941" s="20"/>
      <c r="BR941" s="20"/>
      <c r="BS941" s="20"/>
      <c r="BT941" s="20"/>
      <c r="BU941" s="20"/>
      <c r="BV941" s="20"/>
      <c r="BW941" s="20"/>
      <c r="BX941" s="20"/>
      <c r="BY941" s="20"/>
      <c r="BZ941" s="20"/>
      <c r="CA941" s="20"/>
      <c r="CB941" s="21"/>
      <c r="CC941" s="27" t="str">
        <f t="shared" si="154"/>
        <v/>
      </c>
      <c r="CD941" s="38" t="str">
        <f t="shared" si="155"/>
        <v/>
      </c>
      <c r="CE941" s="38" t="str">
        <f t="shared" si="156"/>
        <v/>
      </c>
      <c r="CF941" s="38" t="str">
        <f t="shared" si="157"/>
        <v/>
      </c>
      <c r="CG941" s="38" t="str">
        <f t="shared" si="158"/>
        <v/>
      </c>
      <c r="CH941" s="38" t="str">
        <f t="shared" si="159"/>
        <v/>
      </c>
      <c r="CI941" s="38" t="str">
        <f t="shared" si="160"/>
        <v/>
      </c>
      <c r="CJ941" s="38" t="str">
        <f t="shared" si="161"/>
        <v/>
      </c>
      <c r="CK941" s="38" t="str">
        <f t="shared" si="162"/>
        <v/>
      </c>
      <c r="CL941" s="38" t="str">
        <f>IF(C941="","",IF(COUNT(G941:AZ941)&lt;46,"",SUMPRODUCT(CC941:CK941,'تنظیمات وزن‌دهی'!$C$5:$C$13)/100))</f>
        <v/>
      </c>
      <c r="CM941" s="38" t="str">
        <f t="shared" si="163"/>
        <v/>
      </c>
      <c r="CN941" s="38">
        <v>1</v>
      </c>
      <c r="CO941" s="28" t="str">
        <f t="shared" si="164"/>
        <v/>
      </c>
      <c r="CP941" s="58"/>
    </row>
    <row r="942" spans="1:94" ht="17.25" hidden="1">
      <c r="A942" s="33">
        <v>938</v>
      </c>
      <c r="B942" s="55" t="s">
        <v>184</v>
      </c>
      <c r="C942" s="55" t="str">
        <f>IF(دانش‌آموزان!E83="","",دانش‌آموزان!B83)</f>
        <v/>
      </c>
      <c r="D942" s="55" t="str">
        <f>IF(دانش‌آموزان!C83="","",دانش‌آموزان!C83)</f>
        <v/>
      </c>
      <c r="E942" s="55" t="str">
        <f>IF(دانش‌آموزان!E83="","",دانش‌آموزان!E83&amp;" "&amp;دانش‌آموزان!F83)</f>
        <v/>
      </c>
      <c r="F942" s="34" t="str">
        <f>IF(دانش‌آموزان!I83="","",دانش‌آموزان!I83)</f>
        <v/>
      </c>
      <c r="G942" s="19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  <c r="BJ942" s="20"/>
      <c r="BK942" s="20"/>
      <c r="BL942" s="20"/>
      <c r="BM942" s="20"/>
      <c r="BN942" s="20"/>
      <c r="BO942" s="20"/>
      <c r="BP942" s="20"/>
      <c r="BQ942" s="20"/>
      <c r="BR942" s="20"/>
      <c r="BS942" s="20"/>
      <c r="BT942" s="20"/>
      <c r="BU942" s="20"/>
      <c r="BV942" s="20"/>
      <c r="BW942" s="20"/>
      <c r="BX942" s="20"/>
      <c r="BY942" s="20"/>
      <c r="BZ942" s="20"/>
      <c r="CA942" s="20"/>
      <c r="CB942" s="21"/>
      <c r="CC942" s="27" t="str">
        <f t="shared" si="154"/>
        <v/>
      </c>
      <c r="CD942" s="38" t="str">
        <f t="shared" si="155"/>
        <v/>
      </c>
      <c r="CE942" s="38" t="str">
        <f t="shared" si="156"/>
        <v/>
      </c>
      <c r="CF942" s="38" t="str">
        <f t="shared" si="157"/>
        <v/>
      </c>
      <c r="CG942" s="38" t="str">
        <f t="shared" si="158"/>
        <v/>
      </c>
      <c r="CH942" s="38" t="str">
        <f t="shared" si="159"/>
        <v/>
      </c>
      <c r="CI942" s="38" t="str">
        <f t="shared" si="160"/>
        <v/>
      </c>
      <c r="CJ942" s="38" t="str">
        <f t="shared" si="161"/>
        <v/>
      </c>
      <c r="CK942" s="38" t="str">
        <f t="shared" si="162"/>
        <v/>
      </c>
      <c r="CL942" s="38" t="str">
        <f>IF(C942="","",IF(COUNT(G942:AZ942)&lt;46,"",SUMPRODUCT(CC942:CK942,'تنظیمات وزن‌دهی'!$C$5:$C$13)/100))</f>
        <v/>
      </c>
      <c r="CM942" s="38" t="str">
        <f t="shared" si="163"/>
        <v/>
      </c>
      <c r="CN942" s="38">
        <v>2</v>
      </c>
      <c r="CO942" s="28" t="str">
        <f t="shared" si="164"/>
        <v/>
      </c>
      <c r="CP942" s="58"/>
    </row>
    <row r="943" spans="1:94" ht="17.25">
      <c r="A943" s="33">
        <v>939</v>
      </c>
      <c r="B943" s="55" t="s">
        <v>185</v>
      </c>
      <c r="C943" s="55" t="str">
        <f>IF(دانش‌آموزان!E83="","",دانش‌آموزان!B83)</f>
        <v/>
      </c>
      <c r="D943" s="55" t="str">
        <f>IF(دانش‌آموزان!C83="","",دانش‌آموزان!C83)</f>
        <v/>
      </c>
      <c r="E943" s="55" t="str">
        <f>IF(دانش‌آموزان!E83="","",دانش‌آموزان!E83&amp;" "&amp;دانش‌آموزان!F83)</f>
        <v/>
      </c>
      <c r="F943" s="34" t="str">
        <f>IF(دانش‌آموزان!I83="","",دانش‌آموزان!I83)</f>
        <v/>
      </c>
      <c r="G943" s="19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  <c r="BJ943" s="20"/>
      <c r="BK943" s="20"/>
      <c r="BL943" s="20"/>
      <c r="BM943" s="20"/>
      <c r="BN943" s="20"/>
      <c r="BO943" s="20"/>
      <c r="BP943" s="20"/>
      <c r="BQ943" s="20"/>
      <c r="BR943" s="20"/>
      <c r="BS943" s="20"/>
      <c r="BT943" s="20"/>
      <c r="BU943" s="20"/>
      <c r="BV943" s="20"/>
      <c r="BW943" s="20"/>
      <c r="BX943" s="20"/>
      <c r="BY943" s="20"/>
      <c r="BZ943" s="20"/>
      <c r="CA943" s="20"/>
      <c r="CB943" s="21"/>
      <c r="CC943" s="27" t="str">
        <f t="shared" si="154"/>
        <v/>
      </c>
      <c r="CD943" s="38" t="str">
        <f t="shared" si="155"/>
        <v/>
      </c>
      <c r="CE943" s="38" t="str">
        <f t="shared" si="156"/>
        <v/>
      </c>
      <c r="CF943" s="38" t="str">
        <f t="shared" si="157"/>
        <v/>
      </c>
      <c r="CG943" s="38" t="str">
        <f t="shared" si="158"/>
        <v/>
      </c>
      <c r="CH943" s="38" t="str">
        <f t="shared" si="159"/>
        <v/>
      </c>
      <c r="CI943" s="38" t="str">
        <f t="shared" si="160"/>
        <v/>
      </c>
      <c r="CJ943" s="38" t="str">
        <f t="shared" si="161"/>
        <v/>
      </c>
      <c r="CK943" s="38" t="str">
        <f t="shared" si="162"/>
        <v/>
      </c>
      <c r="CL943" s="38" t="str">
        <f>IF(C943="","",IF(COUNT(G943:AZ943)&lt;46,"",SUMPRODUCT(CC943:CK943,'تنظیمات وزن‌دهی'!$C$5:$C$13)/100))</f>
        <v/>
      </c>
      <c r="CM943" s="38" t="str">
        <f t="shared" si="163"/>
        <v/>
      </c>
      <c r="CN943" s="38">
        <v>3</v>
      </c>
      <c r="CO943" s="28" t="str">
        <f t="shared" si="164"/>
        <v/>
      </c>
      <c r="CP943" s="58"/>
    </row>
    <row r="944" spans="1:94" ht="17.25" hidden="1">
      <c r="A944" s="33">
        <v>940</v>
      </c>
      <c r="B944" s="55" t="s">
        <v>186</v>
      </c>
      <c r="C944" s="55" t="str">
        <f>IF(دانش‌آموزان!E83="","",دانش‌آموزان!B83)</f>
        <v/>
      </c>
      <c r="D944" s="55" t="str">
        <f>IF(دانش‌آموزان!C83="","",دانش‌آموزان!C83)</f>
        <v/>
      </c>
      <c r="E944" s="55" t="str">
        <f>IF(دانش‌آموزان!E83="","",دانش‌آموزان!E83&amp;" "&amp;دانش‌آموزان!F83)</f>
        <v/>
      </c>
      <c r="F944" s="34" t="str">
        <f>IF(دانش‌آموزان!I83="","",دانش‌آموزان!I83)</f>
        <v/>
      </c>
      <c r="G944" s="19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  <c r="BJ944" s="20"/>
      <c r="BK944" s="20"/>
      <c r="BL944" s="20"/>
      <c r="BM944" s="20"/>
      <c r="BN944" s="20"/>
      <c r="BO944" s="20"/>
      <c r="BP944" s="20"/>
      <c r="BQ944" s="20"/>
      <c r="BR944" s="20"/>
      <c r="BS944" s="20"/>
      <c r="BT944" s="20"/>
      <c r="BU944" s="20"/>
      <c r="BV944" s="20"/>
      <c r="BW944" s="20"/>
      <c r="BX944" s="20"/>
      <c r="BY944" s="20"/>
      <c r="BZ944" s="20"/>
      <c r="CA944" s="20"/>
      <c r="CB944" s="21"/>
      <c r="CC944" s="27" t="str">
        <f t="shared" si="154"/>
        <v/>
      </c>
      <c r="CD944" s="38" t="str">
        <f t="shared" si="155"/>
        <v/>
      </c>
      <c r="CE944" s="38" t="str">
        <f t="shared" si="156"/>
        <v/>
      </c>
      <c r="CF944" s="38" t="str">
        <f t="shared" si="157"/>
        <v/>
      </c>
      <c r="CG944" s="38" t="str">
        <f t="shared" si="158"/>
        <v/>
      </c>
      <c r="CH944" s="38" t="str">
        <f t="shared" si="159"/>
        <v/>
      </c>
      <c r="CI944" s="38" t="str">
        <f t="shared" si="160"/>
        <v/>
      </c>
      <c r="CJ944" s="38" t="str">
        <f t="shared" si="161"/>
        <v/>
      </c>
      <c r="CK944" s="38" t="str">
        <f t="shared" si="162"/>
        <v/>
      </c>
      <c r="CL944" s="38" t="str">
        <f>IF(C944="","",IF(COUNT(G944:AZ944)&lt;46,"",SUMPRODUCT(CC944:CK944,'تنظیمات وزن‌دهی'!$C$5:$C$13)/100))</f>
        <v/>
      </c>
      <c r="CM944" s="38" t="str">
        <f t="shared" si="163"/>
        <v/>
      </c>
      <c r="CN944" s="38">
        <v>4</v>
      </c>
      <c r="CO944" s="28" t="str">
        <f t="shared" si="164"/>
        <v/>
      </c>
      <c r="CP944" s="58"/>
    </row>
    <row r="945" spans="1:94" ht="17.25" hidden="1">
      <c r="A945" s="33">
        <v>941</v>
      </c>
      <c r="B945" s="55" t="s">
        <v>187</v>
      </c>
      <c r="C945" s="55" t="str">
        <f>IF(دانش‌آموزان!E83="","",دانش‌آموزان!B83)</f>
        <v/>
      </c>
      <c r="D945" s="55" t="str">
        <f>IF(دانش‌آموزان!C83="","",دانش‌آموزان!C83)</f>
        <v/>
      </c>
      <c r="E945" s="55" t="str">
        <f>IF(دانش‌آموزان!E83="","",دانش‌آموزان!E83&amp;" "&amp;دانش‌آموزان!F83)</f>
        <v/>
      </c>
      <c r="F945" s="34" t="str">
        <f>IF(دانش‌آموزان!I83="","",دانش‌آموزان!I83)</f>
        <v/>
      </c>
      <c r="G945" s="19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  <c r="BJ945" s="20"/>
      <c r="BK945" s="20"/>
      <c r="BL945" s="20"/>
      <c r="BM945" s="20"/>
      <c r="BN945" s="20"/>
      <c r="BO945" s="20"/>
      <c r="BP945" s="20"/>
      <c r="BQ945" s="20"/>
      <c r="BR945" s="20"/>
      <c r="BS945" s="20"/>
      <c r="BT945" s="20"/>
      <c r="BU945" s="20"/>
      <c r="BV945" s="20"/>
      <c r="BW945" s="20"/>
      <c r="BX945" s="20"/>
      <c r="BY945" s="20"/>
      <c r="BZ945" s="20"/>
      <c r="CA945" s="20"/>
      <c r="CB945" s="21"/>
      <c r="CC945" s="27" t="str">
        <f t="shared" si="154"/>
        <v/>
      </c>
      <c r="CD945" s="38" t="str">
        <f t="shared" si="155"/>
        <v/>
      </c>
      <c r="CE945" s="38" t="str">
        <f t="shared" si="156"/>
        <v/>
      </c>
      <c r="CF945" s="38" t="str">
        <f t="shared" si="157"/>
        <v/>
      </c>
      <c r="CG945" s="38" t="str">
        <f t="shared" si="158"/>
        <v/>
      </c>
      <c r="CH945" s="38" t="str">
        <f t="shared" si="159"/>
        <v/>
      </c>
      <c r="CI945" s="38" t="str">
        <f t="shared" si="160"/>
        <v/>
      </c>
      <c r="CJ945" s="38" t="str">
        <f t="shared" si="161"/>
        <v/>
      </c>
      <c r="CK945" s="38" t="str">
        <f t="shared" si="162"/>
        <v/>
      </c>
      <c r="CL945" s="38" t="str">
        <f>IF(C945="","",IF(COUNT(G945:AZ945)&lt;46,"",SUMPRODUCT(CC945:CK945,'تنظیمات وزن‌دهی'!$C$5:$C$13)/100))</f>
        <v/>
      </c>
      <c r="CM945" s="38" t="str">
        <f t="shared" si="163"/>
        <v/>
      </c>
      <c r="CN945" s="38">
        <v>5</v>
      </c>
      <c r="CO945" s="28" t="str">
        <f t="shared" si="164"/>
        <v/>
      </c>
      <c r="CP945" s="58"/>
    </row>
    <row r="946" spans="1:94" ht="17.25" hidden="1">
      <c r="A946" s="33">
        <v>942</v>
      </c>
      <c r="B946" s="55" t="s">
        <v>188</v>
      </c>
      <c r="C946" s="55" t="str">
        <f>IF(دانش‌آموزان!E83="","",دانش‌آموزان!B83)</f>
        <v/>
      </c>
      <c r="D946" s="55" t="str">
        <f>IF(دانش‌آموزان!C83="","",دانش‌آموزان!C83)</f>
        <v/>
      </c>
      <c r="E946" s="55" t="str">
        <f>IF(دانش‌آموزان!E83="","",دانش‌آموزان!E83&amp;" "&amp;دانش‌آموزان!F83)</f>
        <v/>
      </c>
      <c r="F946" s="34" t="str">
        <f>IF(دانش‌آموزان!I83="","",دانش‌آموزان!I83)</f>
        <v/>
      </c>
      <c r="G946" s="19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  <c r="BJ946" s="20"/>
      <c r="BK946" s="20"/>
      <c r="BL946" s="20"/>
      <c r="BM946" s="20"/>
      <c r="BN946" s="20"/>
      <c r="BO946" s="20"/>
      <c r="BP946" s="20"/>
      <c r="BQ946" s="20"/>
      <c r="BR946" s="20"/>
      <c r="BS946" s="20"/>
      <c r="BT946" s="20"/>
      <c r="BU946" s="20"/>
      <c r="BV946" s="20"/>
      <c r="BW946" s="20"/>
      <c r="BX946" s="20"/>
      <c r="BY946" s="20"/>
      <c r="BZ946" s="20"/>
      <c r="CA946" s="20"/>
      <c r="CB946" s="21"/>
      <c r="CC946" s="27" t="str">
        <f t="shared" si="154"/>
        <v/>
      </c>
      <c r="CD946" s="38" t="str">
        <f t="shared" si="155"/>
        <v/>
      </c>
      <c r="CE946" s="38" t="str">
        <f t="shared" si="156"/>
        <v/>
      </c>
      <c r="CF946" s="38" t="str">
        <f t="shared" si="157"/>
        <v/>
      </c>
      <c r="CG946" s="38" t="str">
        <f t="shared" si="158"/>
        <v/>
      </c>
      <c r="CH946" s="38" t="str">
        <f t="shared" si="159"/>
        <v/>
      </c>
      <c r="CI946" s="38" t="str">
        <f t="shared" si="160"/>
        <v/>
      </c>
      <c r="CJ946" s="38" t="str">
        <f t="shared" si="161"/>
        <v/>
      </c>
      <c r="CK946" s="38" t="str">
        <f t="shared" si="162"/>
        <v/>
      </c>
      <c r="CL946" s="38" t="str">
        <f>IF(C946="","",IF(COUNT(G946:AZ946)&lt;46,"",SUMPRODUCT(CC946:CK946,'تنظیمات وزن‌دهی'!$C$5:$C$13)/100))</f>
        <v/>
      </c>
      <c r="CM946" s="38" t="str">
        <f t="shared" si="163"/>
        <v/>
      </c>
      <c r="CN946" s="38">
        <v>6</v>
      </c>
      <c r="CO946" s="28" t="str">
        <f t="shared" si="164"/>
        <v/>
      </c>
      <c r="CP946" s="58"/>
    </row>
    <row r="947" spans="1:94" ht="17.25" hidden="1">
      <c r="A947" s="33">
        <v>943</v>
      </c>
      <c r="B947" s="55" t="s">
        <v>189</v>
      </c>
      <c r="C947" s="55" t="str">
        <f>IF(دانش‌آموزان!E83="","",دانش‌آموزان!B83)</f>
        <v/>
      </c>
      <c r="D947" s="55" t="str">
        <f>IF(دانش‌آموزان!C83="","",دانش‌آموزان!C83)</f>
        <v/>
      </c>
      <c r="E947" s="55" t="str">
        <f>IF(دانش‌آموزان!E83="","",دانش‌آموزان!E83&amp;" "&amp;دانش‌آموزان!F83)</f>
        <v/>
      </c>
      <c r="F947" s="34" t="str">
        <f>IF(دانش‌آموزان!I83="","",دانش‌آموزان!I83)</f>
        <v/>
      </c>
      <c r="G947" s="19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  <c r="BJ947" s="20"/>
      <c r="BK947" s="20"/>
      <c r="BL947" s="20"/>
      <c r="BM947" s="20"/>
      <c r="BN947" s="20"/>
      <c r="BO947" s="20"/>
      <c r="BP947" s="20"/>
      <c r="BQ947" s="20"/>
      <c r="BR947" s="20"/>
      <c r="BS947" s="20"/>
      <c r="BT947" s="20"/>
      <c r="BU947" s="20"/>
      <c r="BV947" s="20"/>
      <c r="BW947" s="20"/>
      <c r="BX947" s="20"/>
      <c r="BY947" s="20"/>
      <c r="BZ947" s="20"/>
      <c r="CA947" s="20"/>
      <c r="CB947" s="21"/>
      <c r="CC947" s="27" t="str">
        <f t="shared" si="154"/>
        <v/>
      </c>
      <c r="CD947" s="38" t="str">
        <f t="shared" si="155"/>
        <v/>
      </c>
      <c r="CE947" s="38" t="str">
        <f t="shared" si="156"/>
        <v/>
      </c>
      <c r="CF947" s="38" t="str">
        <f t="shared" si="157"/>
        <v/>
      </c>
      <c r="CG947" s="38" t="str">
        <f t="shared" si="158"/>
        <v/>
      </c>
      <c r="CH947" s="38" t="str">
        <f t="shared" si="159"/>
        <v/>
      </c>
      <c r="CI947" s="38" t="str">
        <f t="shared" si="160"/>
        <v/>
      </c>
      <c r="CJ947" s="38" t="str">
        <f t="shared" si="161"/>
        <v/>
      </c>
      <c r="CK947" s="38" t="str">
        <f t="shared" si="162"/>
        <v/>
      </c>
      <c r="CL947" s="38" t="str">
        <f>IF(C947="","",IF(COUNT(G947:AZ947)&lt;46,"",SUMPRODUCT(CC947:CK947,'تنظیمات وزن‌دهی'!$C$5:$C$13)/100))</f>
        <v/>
      </c>
      <c r="CM947" s="38" t="str">
        <f t="shared" si="163"/>
        <v/>
      </c>
      <c r="CN947" s="38">
        <v>7</v>
      </c>
      <c r="CO947" s="28" t="str">
        <f t="shared" si="164"/>
        <v/>
      </c>
      <c r="CP947" s="58"/>
    </row>
    <row r="948" spans="1:94" ht="17.25" hidden="1">
      <c r="A948" s="33">
        <v>944</v>
      </c>
      <c r="B948" s="55" t="s">
        <v>190</v>
      </c>
      <c r="C948" s="55" t="str">
        <f>IF(دانش‌آموزان!E83="","",دانش‌آموزان!B83)</f>
        <v/>
      </c>
      <c r="D948" s="55" t="str">
        <f>IF(دانش‌آموزان!C83="","",دانش‌آموزان!C83)</f>
        <v/>
      </c>
      <c r="E948" s="55" t="str">
        <f>IF(دانش‌آموزان!E83="","",دانش‌آموزان!E83&amp;" "&amp;دانش‌آموزان!F83)</f>
        <v/>
      </c>
      <c r="F948" s="34" t="str">
        <f>IF(دانش‌آموزان!I83="","",دانش‌آموزان!I83)</f>
        <v/>
      </c>
      <c r="G948" s="19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  <c r="BJ948" s="20"/>
      <c r="BK948" s="20"/>
      <c r="BL948" s="20"/>
      <c r="BM948" s="20"/>
      <c r="BN948" s="20"/>
      <c r="BO948" s="20"/>
      <c r="BP948" s="20"/>
      <c r="BQ948" s="20"/>
      <c r="BR948" s="20"/>
      <c r="BS948" s="20"/>
      <c r="BT948" s="20"/>
      <c r="BU948" s="20"/>
      <c r="BV948" s="20"/>
      <c r="BW948" s="20"/>
      <c r="BX948" s="20"/>
      <c r="BY948" s="20"/>
      <c r="BZ948" s="20"/>
      <c r="CA948" s="20"/>
      <c r="CB948" s="21"/>
      <c r="CC948" s="27" t="str">
        <f t="shared" si="154"/>
        <v/>
      </c>
      <c r="CD948" s="38" t="str">
        <f t="shared" si="155"/>
        <v/>
      </c>
      <c r="CE948" s="38" t="str">
        <f t="shared" si="156"/>
        <v/>
      </c>
      <c r="CF948" s="38" t="str">
        <f t="shared" si="157"/>
        <v/>
      </c>
      <c r="CG948" s="38" t="str">
        <f t="shared" si="158"/>
        <v/>
      </c>
      <c r="CH948" s="38" t="str">
        <f t="shared" si="159"/>
        <v/>
      </c>
      <c r="CI948" s="38" t="str">
        <f t="shared" si="160"/>
        <v/>
      </c>
      <c r="CJ948" s="38" t="str">
        <f t="shared" si="161"/>
        <v/>
      </c>
      <c r="CK948" s="38" t="str">
        <f t="shared" si="162"/>
        <v/>
      </c>
      <c r="CL948" s="38" t="str">
        <f>IF(C948="","",IF(COUNT(G948:AZ948)&lt;46,"",SUMPRODUCT(CC948:CK948,'تنظیمات وزن‌دهی'!$C$5:$C$13)/100))</f>
        <v/>
      </c>
      <c r="CM948" s="38" t="str">
        <f t="shared" si="163"/>
        <v/>
      </c>
      <c r="CN948" s="38">
        <v>8</v>
      </c>
      <c r="CO948" s="28" t="str">
        <f t="shared" si="164"/>
        <v/>
      </c>
      <c r="CP948" s="58"/>
    </row>
    <row r="949" spans="1:94" ht="17.25" hidden="1">
      <c r="A949" s="33">
        <v>945</v>
      </c>
      <c r="B949" s="55" t="s">
        <v>191</v>
      </c>
      <c r="C949" s="55" t="str">
        <f>IF(دانش‌آموزان!E83="","",دانش‌آموزان!B83)</f>
        <v/>
      </c>
      <c r="D949" s="55" t="str">
        <f>IF(دانش‌آموزان!C83="","",دانش‌آموزان!C83)</f>
        <v/>
      </c>
      <c r="E949" s="55" t="str">
        <f>IF(دانش‌آموزان!E83="","",دانش‌آموزان!E83&amp;" "&amp;دانش‌آموزان!F83)</f>
        <v/>
      </c>
      <c r="F949" s="34" t="str">
        <f>IF(دانش‌آموزان!I83="","",دانش‌آموزان!I83)</f>
        <v/>
      </c>
      <c r="G949" s="19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  <c r="BJ949" s="20"/>
      <c r="BK949" s="20"/>
      <c r="BL949" s="20"/>
      <c r="BM949" s="20"/>
      <c r="BN949" s="20"/>
      <c r="BO949" s="20"/>
      <c r="BP949" s="20"/>
      <c r="BQ949" s="20"/>
      <c r="BR949" s="20"/>
      <c r="BS949" s="20"/>
      <c r="BT949" s="20"/>
      <c r="BU949" s="20"/>
      <c r="BV949" s="20"/>
      <c r="BW949" s="20"/>
      <c r="BX949" s="20"/>
      <c r="BY949" s="20"/>
      <c r="BZ949" s="20"/>
      <c r="CA949" s="20"/>
      <c r="CB949" s="21"/>
      <c r="CC949" s="27" t="str">
        <f t="shared" si="154"/>
        <v/>
      </c>
      <c r="CD949" s="38" t="str">
        <f t="shared" si="155"/>
        <v/>
      </c>
      <c r="CE949" s="38" t="str">
        <f t="shared" si="156"/>
        <v/>
      </c>
      <c r="CF949" s="38" t="str">
        <f t="shared" si="157"/>
        <v/>
      </c>
      <c r="CG949" s="38" t="str">
        <f t="shared" si="158"/>
        <v/>
      </c>
      <c r="CH949" s="38" t="str">
        <f t="shared" si="159"/>
        <v/>
      </c>
      <c r="CI949" s="38" t="str">
        <f t="shared" si="160"/>
        <v/>
      </c>
      <c r="CJ949" s="38" t="str">
        <f t="shared" si="161"/>
        <v/>
      </c>
      <c r="CK949" s="38" t="str">
        <f t="shared" si="162"/>
        <v/>
      </c>
      <c r="CL949" s="38" t="str">
        <f>IF(C949="","",IF(COUNT(G949:AZ949)&lt;46,"",SUMPRODUCT(CC949:CK949,'تنظیمات وزن‌دهی'!$C$5:$C$13)/100))</f>
        <v/>
      </c>
      <c r="CM949" s="38" t="str">
        <f t="shared" si="163"/>
        <v/>
      </c>
      <c r="CN949" s="38">
        <v>9</v>
      </c>
      <c r="CO949" s="28" t="str">
        <f t="shared" si="164"/>
        <v/>
      </c>
      <c r="CP949" s="58"/>
    </row>
    <row r="950" spans="1:94" ht="17.25" hidden="1">
      <c r="A950" s="33">
        <v>946</v>
      </c>
      <c r="B950" s="55" t="s">
        <v>192</v>
      </c>
      <c r="C950" s="55" t="str">
        <f>IF(دانش‌آموزان!E83="","",دانش‌آموزان!B83)</f>
        <v/>
      </c>
      <c r="D950" s="55" t="str">
        <f>IF(دانش‌آموزان!C83="","",دانش‌آموزان!C83)</f>
        <v/>
      </c>
      <c r="E950" s="55" t="str">
        <f>IF(دانش‌آموزان!E83="","",دانش‌آموزان!E83&amp;" "&amp;دانش‌آموزان!F83)</f>
        <v/>
      </c>
      <c r="F950" s="34" t="str">
        <f>IF(دانش‌آموزان!I83="","",دانش‌آموزان!I83)</f>
        <v/>
      </c>
      <c r="G950" s="19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  <c r="BJ950" s="20"/>
      <c r="BK950" s="20"/>
      <c r="BL950" s="20"/>
      <c r="BM950" s="20"/>
      <c r="BN950" s="20"/>
      <c r="BO950" s="20"/>
      <c r="BP950" s="20"/>
      <c r="BQ950" s="20"/>
      <c r="BR950" s="20"/>
      <c r="BS950" s="20"/>
      <c r="BT950" s="20"/>
      <c r="BU950" s="20"/>
      <c r="BV950" s="20"/>
      <c r="BW950" s="20"/>
      <c r="BX950" s="20"/>
      <c r="BY950" s="20"/>
      <c r="BZ950" s="20"/>
      <c r="CA950" s="20"/>
      <c r="CB950" s="21"/>
      <c r="CC950" s="27" t="str">
        <f t="shared" si="154"/>
        <v/>
      </c>
      <c r="CD950" s="38" t="str">
        <f t="shared" si="155"/>
        <v/>
      </c>
      <c r="CE950" s="38" t="str">
        <f t="shared" si="156"/>
        <v/>
      </c>
      <c r="CF950" s="38" t="str">
        <f t="shared" si="157"/>
        <v/>
      </c>
      <c r="CG950" s="38" t="str">
        <f t="shared" si="158"/>
        <v/>
      </c>
      <c r="CH950" s="38" t="str">
        <f t="shared" si="159"/>
        <v/>
      </c>
      <c r="CI950" s="38" t="str">
        <f t="shared" si="160"/>
        <v/>
      </c>
      <c r="CJ950" s="38" t="str">
        <f t="shared" si="161"/>
        <v/>
      </c>
      <c r="CK950" s="38" t="str">
        <f t="shared" si="162"/>
        <v/>
      </c>
      <c r="CL950" s="38" t="str">
        <f>IF(C950="","",IF(COUNT(G950:AZ950)&lt;46,"",SUMPRODUCT(CC950:CK950,'تنظیمات وزن‌دهی'!$C$5:$C$13)/100))</f>
        <v/>
      </c>
      <c r="CM950" s="38" t="str">
        <f t="shared" si="163"/>
        <v/>
      </c>
      <c r="CN950" s="38">
        <v>10</v>
      </c>
      <c r="CO950" s="28" t="str">
        <f t="shared" si="164"/>
        <v/>
      </c>
      <c r="CP950" s="58"/>
    </row>
    <row r="951" spans="1:94" ht="17.25" hidden="1">
      <c r="A951" s="33">
        <v>947</v>
      </c>
      <c r="B951" s="55" t="s">
        <v>193</v>
      </c>
      <c r="C951" s="55" t="str">
        <f>IF(دانش‌آموزان!E83="","",دانش‌آموزان!B83)</f>
        <v/>
      </c>
      <c r="D951" s="55" t="str">
        <f>IF(دانش‌آموزان!C83="","",دانش‌آموزان!C83)</f>
        <v/>
      </c>
      <c r="E951" s="55" t="str">
        <f>IF(دانش‌آموزان!E83="","",دانش‌آموزان!E83&amp;" "&amp;دانش‌آموزان!F83)</f>
        <v/>
      </c>
      <c r="F951" s="34" t="str">
        <f>IF(دانش‌آموزان!I83="","",دانش‌آموزان!I83)</f>
        <v/>
      </c>
      <c r="G951" s="19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  <c r="BJ951" s="20"/>
      <c r="BK951" s="20"/>
      <c r="BL951" s="20"/>
      <c r="BM951" s="20"/>
      <c r="BN951" s="20"/>
      <c r="BO951" s="20"/>
      <c r="BP951" s="20"/>
      <c r="BQ951" s="20"/>
      <c r="BR951" s="20"/>
      <c r="BS951" s="20"/>
      <c r="BT951" s="20"/>
      <c r="BU951" s="20"/>
      <c r="BV951" s="20"/>
      <c r="BW951" s="20"/>
      <c r="BX951" s="20"/>
      <c r="BY951" s="20"/>
      <c r="BZ951" s="20"/>
      <c r="CA951" s="20"/>
      <c r="CB951" s="21"/>
      <c r="CC951" s="27" t="str">
        <f t="shared" si="154"/>
        <v/>
      </c>
      <c r="CD951" s="38" t="str">
        <f t="shared" si="155"/>
        <v/>
      </c>
      <c r="CE951" s="38" t="str">
        <f t="shared" si="156"/>
        <v/>
      </c>
      <c r="CF951" s="38" t="str">
        <f t="shared" si="157"/>
        <v/>
      </c>
      <c r="CG951" s="38" t="str">
        <f t="shared" si="158"/>
        <v/>
      </c>
      <c r="CH951" s="38" t="str">
        <f t="shared" si="159"/>
        <v/>
      </c>
      <c r="CI951" s="38" t="str">
        <f t="shared" si="160"/>
        <v/>
      </c>
      <c r="CJ951" s="38" t="str">
        <f t="shared" si="161"/>
        <v/>
      </c>
      <c r="CK951" s="38" t="str">
        <f t="shared" si="162"/>
        <v/>
      </c>
      <c r="CL951" s="38" t="str">
        <f>IF(C951="","",IF(COUNT(G951:AZ951)&lt;46,"",SUMPRODUCT(CC951:CK951,'تنظیمات وزن‌دهی'!$C$5:$C$13)/100))</f>
        <v/>
      </c>
      <c r="CM951" s="38" t="str">
        <f t="shared" si="163"/>
        <v/>
      </c>
      <c r="CN951" s="38">
        <v>11</v>
      </c>
      <c r="CO951" s="28" t="str">
        <f t="shared" si="164"/>
        <v/>
      </c>
      <c r="CP951" s="58"/>
    </row>
    <row r="952" spans="1:94" ht="17.25" hidden="1">
      <c r="A952" s="33">
        <v>948</v>
      </c>
      <c r="B952" s="55" t="s">
        <v>194</v>
      </c>
      <c r="C952" s="55" t="str">
        <f>IF(دانش‌آموزان!E83="","",دانش‌آموزان!B83)</f>
        <v/>
      </c>
      <c r="D952" s="55" t="str">
        <f>IF(دانش‌آموزان!C83="","",دانش‌آموزان!C83)</f>
        <v/>
      </c>
      <c r="E952" s="55" t="str">
        <f>IF(دانش‌آموزان!E83="","",دانش‌آموزان!E83&amp;" "&amp;دانش‌آموزان!F83)</f>
        <v/>
      </c>
      <c r="F952" s="34" t="str">
        <f>IF(دانش‌آموزان!I83="","",دانش‌آموزان!I83)</f>
        <v/>
      </c>
      <c r="G952" s="19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  <c r="BJ952" s="20"/>
      <c r="BK952" s="20"/>
      <c r="BL952" s="20"/>
      <c r="BM952" s="20"/>
      <c r="BN952" s="20"/>
      <c r="BO952" s="20"/>
      <c r="BP952" s="20"/>
      <c r="BQ952" s="20"/>
      <c r="BR952" s="20"/>
      <c r="BS952" s="20"/>
      <c r="BT952" s="20"/>
      <c r="BU952" s="20"/>
      <c r="BV952" s="20"/>
      <c r="BW952" s="20"/>
      <c r="BX952" s="20"/>
      <c r="BY952" s="20"/>
      <c r="BZ952" s="20"/>
      <c r="CA952" s="20"/>
      <c r="CB952" s="21"/>
      <c r="CC952" s="27" t="str">
        <f t="shared" si="154"/>
        <v/>
      </c>
      <c r="CD952" s="38" t="str">
        <f t="shared" si="155"/>
        <v/>
      </c>
      <c r="CE952" s="38" t="str">
        <f t="shared" si="156"/>
        <v/>
      </c>
      <c r="CF952" s="38" t="str">
        <f t="shared" si="157"/>
        <v/>
      </c>
      <c r="CG952" s="38" t="str">
        <f t="shared" si="158"/>
        <v/>
      </c>
      <c r="CH952" s="38" t="str">
        <f t="shared" si="159"/>
        <v/>
      </c>
      <c r="CI952" s="38" t="str">
        <f t="shared" si="160"/>
        <v/>
      </c>
      <c r="CJ952" s="38" t="str">
        <f t="shared" si="161"/>
        <v/>
      </c>
      <c r="CK952" s="38" t="str">
        <f t="shared" si="162"/>
        <v/>
      </c>
      <c r="CL952" s="38" t="str">
        <f>IF(C952="","",IF(COUNT(G952:AZ952)&lt;46,"",SUMPRODUCT(CC952:CK952,'تنظیمات وزن‌دهی'!$C$5:$C$13)/100))</f>
        <v/>
      </c>
      <c r="CM952" s="38" t="str">
        <f t="shared" si="163"/>
        <v/>
      </c>
      <c r="CN952" s="38">
        <v>12</v>
      </c>
      <c r="CO952" s="28" t="str">
        <f t="shared" si="164"/>
        <v/>
      </c>
      <c r="CP952" s="58"/>
    </row>
    <row r="953" spans="1:94" ht="17.25" hidden="1">
      <c r="A953" s="33">
        <v>949</v>
      </c>
      <c r="B953" s="55" t="s">
        <v>183</v>
      </c>
      <c r="C953" s="55" t="str">
        <f>IF(دانش‌آموزان!E84="","",دانش‌آموزان!B84)</f>
        <v/>
      </c>
      <c r="D953" s="55" t="str">
        <f>IF(دانش‌آموزان!C84="","",دانش‌آموزان!C84)</f>
        <v/>
      </c>
      <c r="E953" s="55" t="str">
        <f>IF(دانش‌آموزان!E84="","",دانش‌آموزان!E84&amp;" "&amp;دانش‌آموزان!F84)</f>
        <v/>
      </c>
      <c r="F953" s="34" t="str">
        <f>IF(دانش‌آموزان!I84="","",دانش‌آموزان!I84)</f>
        <v/>
      </c>
      <c r="G953" s="19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  <c r="BJ953" s="20"/>
      <c r="BK953" s="20"/>
      <c r="BL953" s="20"/>
      <c r="BM953" s="20"/>
      <c r="BN953" s="20"/>
      <c r="BO953" s="20"/>
      <c r="BP953" s="20"/>
      <c r="BQ953" s="20"/>
      <c r="BR953" s="20"/>
      <c r="BS953" s="20"/>
      <c r="BT953" s="20"/>
      <c r="BU953" s="20"/>
      <c r="BV953" s="20"/>
      <c r="BW953" s="20"/>
      <c r="BX953" s="20"/>
      <c r="BY953" s="20"/>
      <c r="BZ953" s="20"/>
      <c r="CA953" s="20"/>
      <c r="CB953" s="21"/>
      <c r="CC953" s="27" t="str">
        <f t="shared" si="154"/>
        <v/>
      </c>
      <c r="CD953" s="38" t="str">
        <f t="shared" si="155"/>
        <v/>
      </c>
      <c r="CE953" s="38" t="str">
        <f t="shared" si="156"/>
        <v/>
      </c>
      <c r="CF953" s="38" t="str">
        <f t="shared" si="157"/>
        <v/>
      </c>
      <c r="CG953" s="38" t="str">
        <f t="shared" si="158"/>
        <v/>
      </c>
      <c r="CH953" s="38" t="str">
        <f t="shared" si="159"/>
        <v/>
      </c>
      <c r="CI953" s="38" t="str">
        <f t="shared" si="160"/>
        <v/>
      </c>
      <c r="CJ953" s="38" t="str">
        <f t="shared" si="161"/>
        <v/>
      </c>
      <c r="CK953" s="38" t="str">
        <f t="shared" si="162"/>
        <v/>
      </c>
      <c r="CL953" s="38" t="str">
        <f>IF(C953="","",IF(COUNT(G953:AZ953)&lt;46,"",SUMPRODUCT(CC953:CK953,'تنظیمات وزن‌دهی'!$C$5:$C$13)/100))</f>
        <v/>
      </c>
      <c r="CM953" s="38" t="str">
        <f t="shared" si="163"/>
        <v/>
      </c>
      <c r="CN953" s="38">
        <v>1</v>
      </c>
      <c r="CO953" s="28" t="str">
        <f t="shared" si="164"/>
        <v/>
      </c>
      <c r="CP953" s="58"/>
    </row>
    <row r="954" spans="1:94" ht="17.25" hidden="1">
      <c r="A954" s="33">
        <v>950</v>
      </c>
      <c r="B954" s="55" t="s">
        <v>184</v>
      </c>
      <c r="C954" s="55" t="str">
        <f>IF(دانش‌آموزان!E84="","",دانش‌آموزان!B84)</f>
        <v/>
      </c>
      <c r="D954" s="55" t="str">
        <f>IF(دانش‌آموزان!C84="","",دانش‌آموزان!C84)</f>
        <v/>
      </c>
      <c r="E954" s="55" t="str">
        <f>IF(دانش‌آموزان!E84="","",دانش‌آموزان!E84&amp;" "&amp;دانش‌آموزان!F84)</f>
        <v/>
      </c>
      <c r="F954" s="34" t="str">
        <f>IF(دانش‌آموزان!I84="","",دانش‌آموزان!I84)</f>
        <v/>
      </c>
      <c r="G954" s="19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  <c r="BJ954" s="20"/>
      <c r="BK954" s="20"/>
      <c r="BL954" s="20"/>
      <c r="BM954" s="20"/>
      <c r="BN954" s="20"/>
      <c r="BO954" s="20"/>
      <c r="BP954" s="20"/>
      <c r="BQ954" s="20"/>
      <c r="BR954" s="20"/>
      <c r="BS954" s="20"/>
      <c r="BT954" s="20"/>
      <c r="BU954" s="20"/>
      <c r="BV954" s="20"/>
      <c r="BW954" s="20"/>
      <c r="BX954" s="20"/>
      <c r="BY954" s="20"/>
      <c r="BZ954" s="20"/>
      <c r="CA954" s="20"/>
      <c r="CB954" s="21"/>
      <c r="CC954" s="27" t="str">
        <f t="shared" si="154"/>
        <v/>
      </c>
      <c r="CD954" s="38" t="str">
        <f t="shared" si="155"/>
        <v/>
      </c>
      <c r="CE954" s="38" t="str">
        <f t="shared" si="156"/>
        <v/>
      </c>
      <c r="CF954" s="38" t="str">
        <f t="shared" si="157"/>
        <v/>
      </c>
      <c r="CG954" s="38" t="str">
        <f t="shared" si="158"/>
        <v/>
      </c>
      <c r="CH954" s="38" t="str">
        <f t="shared" si="159"/>
        <v/>
      </c>
      <c r="CI954" s="38" t="str">
        <f t="shared" si="160"/>
        <v/>
      </c>
      <c r="CJ954" s="38" t="str">
        <f t="shared" si="161"/>
        <v/>
      </c>
      <c r="CK954" s="38" t="str">
        <f t="shared" si="162"/>
        <v/>
      </c>
      <c r="CL954" s="38" t="str">
        <f>IF(C954="","",IF(COUNT(G954:AZ954)&lt;46,"",SUMPRODUCT(CC954:CK954,'تنظیمات وزن‌دهی'!$C$5:$C$13)/100))</f>
        <v/>
      </c>
      <c r="CM954" s="38" t="str">
        <f t="shared" si="163"/>
        <v/>
      </c>
      <c r="CN954" s="38">
        <v>2</v>
      </c>
      <c r="CO954" s="28" t="str">
        <f t="shared" si="164"/>
        <v/>
      </c>
      <c r="CP954" s="58"/>
    </row>
    <row r="955" spans="1:94" ht="17.25">
      <c r="A955" s="33">
        <v>951</v>
      </c>
      <c r="B955" s="55" t="s">
        <v>185</v>
      </c>
      <c r="C955" s="55" t="str">
        <f>IF(دانش‌آموزان!E84="","",دانش‌آموزان!B84)</f>
        <v/>
      </c>
      <c r="D955" s="55" t="str">
        <f>IF(دانش‌آموزان!C84="","",دانش‌آموزان!C84)</f>
        <v/>
      </c>
      <c r="E955" s="55" t="str">
        <f>IF(دانش‌آموزان!E84="","",دانش‌آموزان!E84&amp;" "&amp;دانش‌آموزان!F84)</f>
        <v/>
      </c>
      <c r="F955" s="34" t="str">
        <f>IF(دانش‌آموزان!I84="","",دانش‌آموزان!I84)</f>
        <v/>
      </c>
      <c r="G955" s="19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  <c r="BJ955" s="20"/>
      <c r="BK955" s="20"/>
      <c r="BL955" s="20"/>
      <c r="BM955" s="20"/>
      <c r="BN955" s="20"/>
      <c r="BO955" s="20"/>
      <c r="BP955" s="20"/>
      <c r="BQ955" s="20"/>
      <c r="BR955" s="20"/>
      <c r="BS955" s="20"/>
      <c r="BT955" s="20"/>
      <c r="BU955" s="20"/>
      <c r="BV955" s="20"/>
      <c r="BW955" s="20"/>
      <c r="BX955" s="20"/>
      <c r="BY955" s="20"/>
      <c r="BZ955" s="20"/>
      <c r="CA955" s="20"/>
      <c r="CB955" s="21"/>
      <c r="CC955" s="27" t="str">
        <f t="shared" si="154"/>
        <v/>
      </c>
      <c r="CD955" s="38" t="str">
        <f t="shared" si="155"/>
        <v/>
      </c>
      <c r="CE955" s="38" t="str">
        <f t="shared" si="156"/>
        <v/>
      </c>
      <c r="CF955" s="38" t="str">
        <f t="shared" si="157"/>
        <v/>
      </c>
      <c r="CG955" s="38" t="str">
        <f t="shared" si="158"/>
        <v/>
      </c>
      <c r="CH955" s="38" t="str">
        <f t="shared" si="159"/>
        <v/>
      </c>
      <c r="CI955" s="38" t="str">
        <f t="shared" si="160"/>
        <v/>
      </c>
      <c r="CJ955" s="38" t="str">
        <f t="shared" si="161"/>
        <v/>
      </c>
      <c r="CK955" s="38" t="str">
        <f t="shared" si="162"/>
        <v/>
      </c>
      <c r="CL955" s="38" t="str">
        <f>IF(C955="","",IF(COUNT(G955:AZ955)&lt;46,"",SUMPRODUCT(CC955:CK955,'تنظیمات وزن‌دهی'!$C$5:$C$13)/100))</f>
        <v/>
      </c>
      <c r="CM955" s="38" t="str">
        <f t="shared" si="163"/>
        <v/>
      </c>
      <c r="CN955" s="38">
        <v>3</v>
      </c>
      <c r="CO955" s="28" t="str">
        <f t="shared" si="164"/>
        <v/>
      </c>
      <c r="CP955" s="58"/>
    </row>
    <row r="956" spans="1:94" ht="17.25" hidden="1">
      <c r="A956" s="33">
        <v>952</v>
      </c>
      <c r="B956" s="55" t="s">
        <v>186</v>
      </c>
      <c r="C956" s="55" t="str">
        <f>IF(دانش‌آموزان!E84="","",دانش‌آموزان!B84)</f>
        <v/>
      </c>
      <c r="D956" s="55" t="str">
        <f>IF(دانش‌آموزان!C84="","",دانش‌آموزان!C84)</f>
        <v/>
      </c>
      <c r="E956" s="55" t="str">
        <f>IF(دانش‌آموزان!E84="","",دانش‌آموزان!E84&amp;" "&amp;دانش‌آموزان!F84)</f>
        <v/>
      </c>
      <c r="F956" s="34" t="str">
        <f>IF(دانش‌آموزان!I84="","",دانش‌آموزان!I84)</f>
        <v/>
      </c>
      <c r="G956" s="19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  <c r="BJ956" s="20"/>
      <c r="BK956" s="20"/>
      <c r="BL956" s="20"/>
      <c r="BM956" s="20"/>
      <c r="BN956" s="20"/>
      <c r="BO956" s="20"/>
      <c r="BP956" s="20"/>
      <c r="BQ956" s="20"/>
      <c r="BR956" s="20"/>
      <c r="BS956" s="20"/>
      <c r="BT956" s="20"/>
      <c r="BU956" s="20"/>
      <c r="BV956" s="20"/>
      <c r="BW956" s="20"/>
      <c r="BX956" s="20"/>
      <c r="BY956" s="20"/>
      <c r="BZ956" s="20"/>
      <c r="CA956" s="20"/>
      <c r="CB956" s="21"/>
      <c r="CC956" s="27" t="str">
        <f t="shared" si="154"/>
        <v/>
      </c>
      <c r="CD956" s="38" t="str">
        <f t="shared" si="155"/>
        <v/>
      </c>
      <c r="CE956" s="38" t="str">
        <f t="shared" si="156"/>
        <v/>
      </c>
      <c r="CF956" s="38" t="str">
        <f t="shared" si="157"/>
        <v/>
      </c>
      <c r="CG956" s="38" t="str">
        <f t="shared" si="158"/>
        <v/>
      </c>
      <c r="CH956" s="38" t="str">
        <f t="shared" si="159"/>
        <v/>
      </c>
      <c r="CI956" s="38" t="str">
        <f t="shared" si="160"/>
        <v/>
      </c>
      <c r="CJ956" s="38" t="str">
        <f t="shared" si="161"/>
        <v/>
      </c>
      <c r="CK956" s="38" t="str">
        <f t="shared" si="162"/>
        <v/>
      </c>
      <c r="CL956" s="38" t="str">
        <f>IF(C956="","",IF(COUNT(G956:AZ956)&lt;46,"",SUMPRODUCT(CC956:CK956,'تنظیمات وزن‌دهی'!$C$5:$C$13)/100))</f>
        <v/>
      </c>
      <c r="CM956" s="38" t="str">
        <f t="shared" si="163"/>
        <v/>
      </c>
      <c r="CN956" s="38">
        <v>4</v>
      </c>
      <c r="CO956" s="28" t="str">
        <f t="shared" si="164"/>
        <v/>
      </c>
      <c r="CP956" s="58"/>
    </row>
    <row r="957" spans="1:94" ht="17.25" hidden="1">
      <c r="A957" s="33">
        <v>953</v>
      </c>
      <c r="B957" s="55" t="s">
        <v>187</v>
      </c>
      <c r="C957" s="55" t="str">
        <f>IF(دانش‌آموزان!E84="","",دانش‌آموزان!B84)</f>
        <v/>
      </c>
      <c r="D957" s="55" t="str">
        <f>IF(دانش‌آموزان!C84="","",دانش‌آموزان!C84)</f>
        <v/>
      </c>
      <c r="E957" s="55" t="str">
        <f>IF(دانش‌آموزان!E84="","",دانش‌آموزان!E84&amp;" "&amp;دانش‌آموزان!F84)</f>
        <v/>
      </c>
      <c r="F957" s="34" t="str">
        <f>IF(دانش‌آموزان!I84="","",دانش‌آموزان!I84)</f>
        <v/>
      </c>
      <c r="G957" s="19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  <c r="BJ957" s="20"/>
      <c r="BK957" s="20"/>
      <c r="BL957" s="20"/>
      <c r="BM957" s="20"/>
      <c r="BN957" s="20"/>
      <c r="BO957" s="20"/>
      <c r="BP957" s="20"/>
      <c r="BQ957" s="20"/>
      <c r="BR957" s="20"/>
      <c r="BS957" s="20"/>
      <c r="BT957" s="20"/>
      <c r="BU957" s="20"/>
      <c r="BV957" s="20"/>
      <c r="BW957" s="20"/>
      <c r="BX957" s="20"/>
      <c r="BY957" s="20"/>
      <c r="BZ957" s="20"/>
      <c r="CA957" s="20"/>
      <c r="CB957" s="21"/>
      <c r="CC957" s="27" t="str">
        <f t="shared" si="154"/>
        <v/>
      </c>
      <c r="CD957" s="38" t="str">
        <f t="shared" si="155"/>
        <v/>
      </c>
      <c r="CE957" s="38" t="str">
        <f t="shared" si="156"/>
        <v/>
      </c>
      <c r="CF957" s="38" t="str">
        <f t="shared" si="157"/>
        <v/>
      </c>
      <c r="CG957" s="38" t="str">
        <f t="shared" si="158"/>
        <v/>
      </c>
      <c r="CH957" s="38" t="str">
        <f t="shared" si="159"/>
        <v/>
      </c>
      <c r="CI957" s="38" t="str">
        <f t="shared" si="160"/>
        <v/>
      </c>
      <c r="CJ957" s="38" t="str">
        <f t="shared" si="161"/>
        <v/>
      </c>
      <c r="CK957" s="38" t="str">
        <f t="shared" si="162"/>
        <v/>
      </c>
      <c r="CL957" s="38" t="str">
        <f>IF(C957="","",IF(COUNT(G957:AZ957)&lt;46,"",SUMPRODUCT(CC957:CK957,'تنظیمات وزن‌دهی'!$C$5:$C$13)/100))</f>
        <v/>
      </c>
      <c r="CM957" s="38" t="str">
        <f t="shared" si="163"/>
        <v/>
      </c>
      <c r="CN957" s="38">
        <v>5</v>
      </c>
      <c r="CO957" s="28" t="str">
        <f t="shared" si="164"/>
        <v/>
      </c>
      <c r="CP957" s="58"/>
    </row>
    <row r="958" spans="1:94" ht="17.25" hidden="1">
      <c r="A958" s="33">
        <v>954</v>
      </c>
      <c r="B958" s="55" t="s">
        <v>188</v>
      </c>
      <c r="C958" s="55" t="str">
        <f>IF(دانش‌آموزان!E84="","",دانش‌آموزان!B84)</f>
        <v/>
      </c>
      <c r="D958" s="55" t="str">
        <f>IF(دانش‌آموزان!C84="","",دانش‌آموزان!C84)</f>
        <v/>
      </c>
      <c r="E958" s="55" t="str">
        <f>IF(دانش‌آموزان!E84="","",دانش‌آموزان!E84&amp;" "&amp;دانش‌آموزان!F84)</f>
        <v/>
      </c>
      <c r="F958" s="34" t="str">
        <f>IF(دانش‌آموزان!I84="","",دانش‌آموزان!I84)</f>
        <v/>
      </c>
      <c r="G958" s="19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  <c r="BJ958" s="20"/>
      <c r="BK958" s="20"/>
      <c r="BL958" s="20"/>
      <c r="BM958" s="20"/>
      <c r="BN958" s="20"/>
      <c r="BO958" s="20"/>
      <c r="BP958" s="20"/>
      <c r="BQ958" s="20"/>
      <c r="BR958" s="20"/>
      <c r="BS958" s="20"/>
      <c r="BT958" s="20"/>
      <c r="BU958" s="20"/>
      <c r="BV958" s="20"/>
      <c r="BW958" s="20"/>
      <c r="BX958" s="20"/>
      <c r="BY958" s="20"/>
      <c r="BZ958" s="20"/>
      <c r="CA958" s="20"/>
      <c r="CB958" s="21"/>
      <c r="CC958" s="27" t="str">
        <f t="shared" si="154"/>
        <v/>
      </c>
      <c r="CD958" s="38" t="str">
        <f t="shared" si="155"/>
        <v/>
      </c>
      <c r="CE958" s="38" t="str">
        <f t="shared" si="156"/>
        <v/>
      </c>
      <c r="CF958" s="38" t="str">
        <f t="shared" si="157"/>
        <v/>
      </c>
      <c r="CG958" s="38" t="str">
        <f t="shared" si="158"/>
        <v/>
      </c>
      <c r="CH958" s="38" t="str">
        <f t="shared" si="159"/>
        <v/>
      </c>
      <c r="CI958" s="38" t="str">
        <f t="shared" si="160"/>
        <v/>
      </c>
      <c r="CJ958" s="38" t="str">
        <f t="shared" si="161"/>
        <v/>
      </c>
      <c r="CK958" s="38" t="str">
        <f t="shared" si="162"/>
        <v/>
      </c>
      <c r="CL958" s="38" t="str">
        <f>IF(C958="","",IF(COUNT(G958:AZ958)&lt;46,"",SUMPRODUCT(CC958:CK958,'تنظیمات وزن‌دهی'!$C$5:$C$13)/100))</f>
        <v/>
      </c>
      <c r="CM958" s="38" t="str">
        <f t="shared" si="163"/>
        <v/>
      </c>
      <c r="CN958" s="38">
        <v>6</v>
      </c>
      <c r="CO958" s="28" t="str">
        <f t="shared" si="164"/>
        <v/>
      </c>
      <c r="CP958" s="58"/>
    </row>
    <row r="959" spans="1:94" ht="17.25" hidden="1">
      <c r="A959" s="33">
        <v>955</v>
      </c>
      <c r="B959" s="55" t="s">
        <v>189</v>
      </c>
      <c r="C959" s="55" t="str">
        <f>IF(دانش‌آموزان!E84="","",دانش‌آموزان!B84)</f>
        <v/>
      </c>
      <c r="D959" s="55" t="str">
        <f>IF(دانش‌آموزان!C84="","",دانش‌آموزان!C84)</f>
        <v/>
      </c>
      <c r="E959" s="55" t="str">
        <f>IF(دانش‌آموزان!E84="","",دانش‌آموزان!E84&amp;" "&amp;دانش‌آموزان!F84)</f>
        <v/>
      </c>
      <c r="F959" s="34" t="str">
        <f>IF(دانش‌آموزان!I84="","",دانش‌آموزان!I84)</f>
        <v/>
      </c>
      <c r="G959" s="19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  <c r="BJ959" s="20"/>
      <c r="BK959" s="20"/>
      <c r="BL959" s="20"/>
      <c r="BM959" s="20"/>
      <c r="BN959" s="20"/>
      <c r="BO959" s="20"/>
      <c r="BP959" s="20"/>
      <c r="BQ959" s="20"/>
      <c r="BR959" s="20"/>
      <c r="BS959" s="20"/>
      <c r="BT959" s="20"/>
      <c r="BU959" s="20"/>
      <c r="BV959" s="20"/>
      <c r="BW959" s="20"/>
      <c r="BX959" s="20"/>
      <c r="BY959" s="20"/>
      <c r="BZ959" s="20"/>
      <c r="CA959" s="20"/>
      <c r="CB959" s="21"/>
      <c r="CC959" s="27" t="str">
        <f t="shared" si="154"/>
        <v/>
      </c>
      <c r="CD959" s="38" t="str">
        <f t="shared" si="155"/>
        <v/>
      </c>
      <c r="CE959" s="38" t="str">
        <f t="shared" si="156"/>
        <v/>
      </c>
      <c r="CF959" s="38" t="str">
        <f t="shared" si="157"/>
        <v/>
      </c>
      <c r="CG959" s="38" t="str">
        <f t="shared" si="158"/>
        <v/>
      </c>
      <c r="CH959" s="38" t="str">
        <f t="shared" si="159"/>
        <v/>
      </c>
      <c r="CI959" s="38" t="str">
        <f t="shared" si="160"/>
        <v/>
      </c>
      <c r="CJ959" s="38" t="str">
        <f t="shared" si="161"/>
        <v/>
      </c>
      <c r="CK959" s="38" t="str">
        <f t="shared" si="162"/>
        <v/>
      </c>
      <c r="CL959" s="38" t="str">
        <f>IF(C959="","",IF(COUNT(G959:AZ959)&lt;46,"",SUMPRODUCT(CC959:CK959,'تنظیمات وزن‌دهی'!$C$5:$C$13)/100))</f>
        <v/>
      </c>
      <c r="CM959" s="38" t="str">
        <f t="shared" si="163"/>
        <v/>
      </c>
      <c r="CN959" s="38">
        <v>7</v>
      </c>
      <c r="CO959" s="28" t="str">
        <f t="shared" si="164"/>
        <v/>
      </c>
      <c r="CP959" s="58"/>
    </row>
    <row r="960" spans="1:94" ht="17.25" hidden="1">
      <c r="A960" s="33">
        <v>956</v>
      </c>
      <c r="B960" s="55" t="s">
        <v>190</v>
      </c>
      <c r="C960" s="55" t="str">
        <f>IF(دانش‌آموزان!E84="","",دانش‌آموزان!B84)</f>
        <v/>
      </c>
      <c r="D960" s="55" t="str">
        <f>IF(دانش‌آموزان!C84="","",دانش‌آموزان!C84)</f>
        <v/>
      </c>
      <c r="E960" s="55" t="str">
        <f>IF(دانش‌آموزان!E84="","",دانش‌آموزان!E84&amp;" "&amp;دانش‌آموزان!F84)</f>
        <v/>
      </c>
      <c r="F960" s="34" t="str">
        <f>IF(دانش‌آموزان!I84="","",دانش‌آموزان!I84)</f>
        <v/>
      </c>
      <c r="G960" s="19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  <c r="BJ960" s="20"/>
      <c r="BK960" s="20"/>
      <c r="BL960" s="20"/>
      <c r="BM960" s="20"/>
      <c r="BN960" s="20"/>
      <c r="BO960" s="20"/>
      <c r="BP960" s="20"/>
      <c r="BQ960" s="20"/>
      <c r="BR960" s="20"/>
      <c r="BS960" s="20"/>
      <c r="BT960" s="20"/>
      <c r="BU960" s="20"/>
      <c r="BV960" s="20"/>
      <c r="BW960" s="20"/>
      <c r="BX960" s="20"/>
      <c r="BY960" s="20"/>
      <c r="BZ960" s="20"/>
      <c r="CA960" s="20"/>
      <c r="CB960" s="21"/>
      <c r="CC960" s="27" t="str">
        <f t="shared" si="154"/>
        <v/>
      </c>
      <c r="CD960" s="38" t="str">
        <f t="shared" si="155"/>
        <v/>
      </c>
      <c r="CE960" s="38" t="str">
        <f t="shared" si="156"/>
        <v/>
      </c>
      <c r="CF960" s="38" t="str">
        <f t="shared" si="157"/>
        <v/>
      </c>
      <c r="CG960" s="38" t="str">
        <f t="shared" si="158"/>
        <v/>
      </c>
      <c r="CH960" s="38" t="str">
        <f t="shared" si="159"/>
        <v/>
      </c>
      <c r="CI960" s="38" t="str">
        <f t="shared" si="160"/>
        <v/>
      </c>
      <c r="CJ960" s="38" t="str">
        <f t="shared" si="161"/>
        <v/>
      </c>
      <c r="CK960" s="38" t="str">
        <f t="shared" si="162"/>
        <v/>
      </c>
      <c r="CL960" s="38" t="str">
        <f>IF(C960="","",IF(COUNT(G960:AZ960)&lt;46,"",SUMPRODUCT(CC960:CK960,'تنظیمات وزن‌دهی'!$C$5:$C$13)/100))</f>
        <v/>
      </c>
      <c r="CM960" s="38" t="str">
        <f t="shared" si="163"/>
        <v/>
      </c>
      <c r="CN960" s="38">
        <v>8</v>
      </c>
      <c r="CO960" s="28" t="str">
        <f t="shared" si="164"/>
        <v/>
      </c>
      <c r="CP960" s="58"/>
    </row>
    <row r="961" spans="1:94" ht="17.25" hidden="1">
      <c r="A961" s="33">
        <v>957</v>
      </c>
      <c r="B961" s="55" t="s">
        <v>191</v>
      </c>
      <c r="C961" s="55" t="str">
        <f>IF(دانش‌آموزان!E84="","",دانش‌آموزان!B84)</f>
        <v/>
      </c>
      <c r="D961" s="55" t="str">
        <f>IF(دانش‌آموزان!C84="","",دانش‌آموزان!C84)</f>
        <v/>
      </c>
      <c r="E961" s="55" t="str">
        <f>IF(دانش‌آموزان!E84="","",دانش‌آموزان!E84&amp;" "&amp;دانش‌آموزان!F84)</f>
        <v/>
      </c>
      <c r="F961" s="34" t="str">
        <f>IF(دانش‌آموزان!I84="","",دانش‌آموزان!I84)</f>
        <v/>
      </c>
      <c r="G961" s="19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  <c r="BI961" s="20"/>
      <c r="BJ961" s="20"/>
      <c r="BK961" s="20"/>
      <c r="BL961" s="20"/>
      <c r="BM961" s="20"/>
      <c r="BN961" s="20"/>
      <c r="BO961" s="20"/>
      <c r="BP961" s="20"/>
      <c r="BQ961" s="20"/>
      <c r="BR961" s="20"/>
      <c r="BS961" s="20"/>
      <c r="BT961" s="20"/>
      <c r="BU961" s="20"/>
      <c r="BV961" s="20"/>
      <c r="BW961" s="20"/>
      <c r="BX961" s="20"/>
      <c r="BY961" s="20"/>
      <c r="BZ961" s="20"/>
      <c r="CA961" s="20"/>
      <c r="CB961" s="21"/>
      <c r="CC961" s="27" t="str">
        <f t="shared" si="154"/>
        <v/>
      </c>
      <c r="CD961" s="38" t="str">
        <f t="shared" si="155"/>
        <v/>
      </c>
      <c r="CE961" s="38" t="str">
        <f t="shared" si="156"/>
        <v/>
      </c>
      <c r="CF961" s="38" t="str">
        <f t="shared" si="157"/>
        <v/>
      </c>
      <c r="CG961" s="38" t="str">
        <f t="shared" si="158"/>
        <v/>
      </c>
      <c r="CH961" s="38" t="str">
        <f t="shared" si="159"/>
        <v/>
      </c>
      <c r="CI961" s="38" t="str">
        <f t="shared" si="160"/>
        <v/>
      </c>
      <c r="CJ961" s="38" t="str">
        <f t="shared" si="161"/>
        <v/>
      </c>
      <c r="CK961" s="38" t="str">
        <f t="shared" si="162"/>
        <v/>
      </c>
      <c r="CL961" s="38" t="str">
        <f>IF(C961="","",IF(COUNT(G961:AZ961)&lt;46,"",SUMPRODUCT(CC961:CK961,'تنظیمات وزن‌دهی'!$C$5:$C$13)/100))</f>
        <v/>
      </c>
      <c r="CM961" s="38" t="str">
        <f t="shared" si="163"/>
        <v/>
      </c>
      <c r="CN961" s="38">
        <v>9</v>
      </c>
      <c r="CO961" s="28" t="str">
        <f t="shared" si="164"/>
        <v/>
      </c>
      <c r="CP961" s="58"/>
    </row>
    <row r="962" spans="1:94" ht="17.25" hidden="1">
      <c r="A962" s="33">
        <v>958</v>
      </c>
      <c r="B962" s="55" t="s">
        <v>192</v>
      </c>
      <c r="C962" s="55" t="str">
        <f>IF(دانش‌آموزان!E84="","",دانش‌آموزان!B84)</f>
        <v/>
      </c>
      <c r="D962" s="55" t="str">
        <f>IF(دانش‌آموزان!C84="","",دانش‌آموزان!C84)</f>
        <v/>
      </c>
      <c r="E962" s="55" t="str">
        <f>IF(دانش‌آموزان!E84="","",دانش‌آموزان!E84&amp;" "&amp;دانش‌آموزان!F84)</f>
        <v/>
      </c>
      <c r="F962" s="34" t="str">
        <f>IF(دانش‌آموزان!I84="","",دانش‌آموزان!I84)</f>
        <v/>
      </c>
      <c r="G962" s="19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  <c r="BJ962" s="20"/>
      <c r="BK962" s="20"/>
      <c r="BL962" s="20"/>
      <c r="BM962" s="20"/>
      <c r="BN962" s="20"/>
      <c r="BO962" s="20"/>
      <c r="BP962" s="20"/>
      <c r="BQ962" s="20"/>
      <c r="BR962" s="20"/>
      <c r="BS962" s="20"/>
      <c r="BT962" s="20"/>
      <c r="BU962" s="20"/>
      <c r="BV962" s="20"/>
      <c r="BW962" s="20"/>
      <c r="BX962" s="20"/>
      <c r="BY962" s="20"/>
      <c r="BZ962" s="20"/>
      <c r="CA962" s="20"/>
      <c r="CB962" s="21"/>
      <c r="CC962" s="27" t="str">
        <f t="shared" si="154"/>
        <v/>
      </c>
      <c r="CD962" s="38" t="str">
        <f t="shared" si="155"/>
        <v/>
      </c>
      <c r="CE962" s="38" t="str">
        <f t="shared" si="156"/>
        <v/>
      </c>
      <c r="CF962" s="38" t="str">
        <f t="shared" si="157"/>
        <v/>
      </c>
      <c r="CG962" s="38" t="str">
        <f t="shared" si="158"/>
        <v/>
      </c>
      <c r="CH962" s="38" t="str">
        <f t="shared" si="159"/>
        <v/>
      </c>
      <c r="CI962" s="38" t="str">
        <f t="shared" si="160"/>
        <v/>
      </c>
      <c r="CJ962" s="38" t="str">
        <f t="shared" si="161"/>
        <v/>
      </c>
      <c r="CK962" s="38" t="str">
        <f t="shared" si="162"/>
        <v/>
      </c>
      <c r="CL962" s="38" t="str">
        <f>IF(C962="","",IF(COUNT(G962:AZ962)&lt;46,"",SUMPRODUCT(CC962:CK962,'تنظیمات وزن‌دهی'!$C$5:$C$13)/100))</f>
        <v/>
      </c>
      <c r="CM962" s="38" t="str">
        <f t="shared" si="163"/>
        <v/>
      </c>
      <c r="CN962" s="38">
        <v>10</v>
      </c>
      <c r="CO962" s="28" t="str">
        <f t="shared" si="164"/>
        <v/>
      </c>
      <c r="CP962" s="58"/>
    </row>
    <row r="963" spans="1:94" ht="17.25" hidden="1">
      <c r="A963" s="33">
        <v>959</v>
      </c>
      <c r="B963" s="55" t="s">
        <v>193</v>
      </c>
      <c r="C963" s="55" t="str">
        <f>IF(دانش‌آموزان!E84="","",دانش‌آموزان!B84)</f>
        <v/>
      </c>
      <c r="D963" s="55" t="str">
        <f>IF(دانش‌آموزان!C84="","",دانش‌آموزان!C84)</f>
        <v/>
      </c>
      <c r="E963" s="55" t="str">
        <f>IF(دانش‌آموزان!E84="","",دانش‌آموزان!E84&amp;" "&amp;دانش‌آموزان!F84)</f>
        <v/>
      </c>
      <c r="F963" s="34" t="str">
        <f>IF(دانش‌آموزان!I84="","",دانش‌آموزان!I84)</f>
        <v/>
      </c>
      <c r="G963" s="19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  <c r="BJ963" s="20"/>
      <c r="BK963" s="20"/>
      <c r="BL963" s="20"/>
      <c r="BM963" s="20"/>
      <c r="BN963" s="20"/>
      <c r="BO963" s="20"/>
      <c r="BP963" s="20"/>
      <c r="BQ963" s="20"/>
      <c r="BR963" s="20"/>
      <c r="BS963" s="20"/>
      <c r="BT963" s="20"/>
      <c r="BU963" s="20"/>
      <c r="BV963" s="20"/>
      <c r="BW963" s="20"/>
      <c r="BX963" s="20"/>
      <c r="BY963" s="20"/>
      <c r="BZ963" s="20"/>
      <c r="CA963" s="20"/>
      <c r="CB963" s="21"/>
      <c r="CC963" s="27" t="str">
        <f t="shared" si="154"/>
        <v/>
      </c>
      <c r="CD963" s="38" t="str">
        <f t="shared" si="155"/>
        <v/>
      </c>
      <c r="CE963" s="38" t="str">
        <f t="shared" si="156"/>
        <v/>
      </c>
      <c r="CF963" s="38" t="str">
        <f t="shared" si="157"/>
        <v/>
      </c>
      <c r="CG963" s="38" t="str">
        <f t="shared" si="158"/>
        <v/>
      </c>
      <c r="CH963" s="38" t="str">
        <f t="shared" si="159"/>
        <v/>
      </c>
      <c r="CI963" s="38" t="str">
        <f t="shared" si="160"/>
        <v/>
      </c>
      <c r="CJ963" s="38" t="str">
        <f t="shared" si="161"/>
        <v/>
      </c>
      <c r="CK963" s="38" t="str">
        <f t="shared" si="162"/>
        <v/>
      </c>
      <c r="CL963" s="38" t="str">
        <f>IF(C963="","",IF(COUNT(G963:AZ963)&lt;46,"",SUMPRODUCT(CC963:CK963,'تنظیمات وزن‌دهی'!$C$5:$C$13)/100))</f>
        <v/>
      </c>
      <c r="CM963" s="38" t="str">
        <f t="shared" si="163"/>
        <v/>
      </c>
      <c r="CN963" s="38">
        <v>11</v>
      </c>
      <c r="CO963" s="28" t="str">
        <f t="shared" si="164"/>
        <v/>
      </c>
      <c r="CP963" s="58"/>
    </row>
    <row r="964" spans="1:94" ht="17.25" hidden="1">
      <c r="A964" s="33">
        <v>960</v>
      </c>
      <c r="B964" s="55" t="s">
        <v>194</v>
      </c>
      <c r="C964" s="55" t="str">
        <f>IF(دانش‌آموزان!E84="","",دانش‌آموزان!B84)</f>
        <v/>
      </c>
      <c r="D964" s="55" t="str">
        <f>IF(دانش‌آموزان!C84="","",دانش‌آموزان!C84)</f>
        <v/>
      </c>
      <c r="E964" s="55" t="str">
        <f>IF(دانش‌آموزان!E84="","",دانش‌آموزان!E84&amp;" "&amp;دانش‌آموزان!F84)</f>
        <v/>
      </c>
      <c r="F964" s="34" t="str">
        <f>IF(دانش‌آموزان!I84="","",دانش‌آموزان!I84)</f>
        <v/>
      </c>
      <c r="G964" s="19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  <c r="BJ964" s="20"/>
      <c r="BK964" s="20"/>
      <c r="BL964" s="20"/>
      <c r="BM964" s="20"/>
      <c r="BN964" s="20"/>
      <c r="BO964" s="20"/>
      <c r="BP964" s="20"/>
      <c r="BQ964" s="20"/>
      <c r="BR964" s="20"/>
      <c r="BS964" s="20"/>
      <c r="BT964" s="20"/>
      <c r="BU964" s="20"/>
      <c r="BV964" s="20"/>
      <c r="BW964" s="20"/>
      <c r="BX964" s="20"/>
      <c r="BY964" s="20"/>
      <c r="BZ964" s="20"/>
      <c r="CA964" s="20"/>
      <c r="CB964" s="21"/>
      <c r="CC964" s="27" t="str">
        <f t="shared" si="154"/>
        <v/>
      </c>
      <c r="CD964" s="38" t="str">
        <f t="shared" si="155"/>
        <v/>
      </c>
      <c r="CE964" s="38" t="str">
        <f t="shared" si="156"/>
        <v/>
      </c>
      <c r="CF964" s="38" t="str">
        <f t="shared" si="157"/>
        <v/>
      </c>
      <c r="CG964" s="38" t="str">
        <f t="shared" si="158"/>
        <v/>
      </c>
      <c r="CH964" s="38" t="str">
        <f t="shared" si="159"/>
        <v/>
      </c>
      <c r="CI964" s="38" t="str">
        <f t="shared" si="160"/>
        <v/>
      </c>
      <c r="CJ964" s="38" t="str">
        <f t="shared" si="161"/>
        <v/>
      </c>
      <c r="CK964" s="38" t="str">
        <f t="shared" si="162"/>
        <v/>
      </c>
      <c r="CL964" s="38" t="str">
        <f>IF(C964="","",IF(COUNT(G964:AZ964)&lt;46,"",SUMPRODUCT(CC964:CK964,'تنظیمات وزن‌دهی'!$C$5:$C$13)/100))</f>
        <v/>
      </c>
      <c r="CM964" s="38" t="str">
        <f t="shared" si="163"/>
        <v/>
      </c>
      <c r="CN964" s="38">
        <v>12</v>
      </c>
      <c r="CO964" s="28" t="str">
        <f t="shared" si="164"/>
        <v/>
      </c>
      <c r="CP964" s="58"/>
    </row>
    <row r="965" spans="1:94" ht="17.25" hidden="1">
      <c r="A965" s="33">
        <v>961</v>
      </c>
      <c r="B965" s="55" t="s">
        <v>183</v>
      </c>
      <c r="C965" s="55" t="str">
        <f>IF(دانش‌آموزان!E85="","",دانش‌آموزان!B85)</f>
        <v/>
      </c>
      <c r="D965" s="55" t="str">
        <f>IF(دانش‌آموزان!C85="","",دانش‌آموزان!C85)</f>
        <v/>
      </c>
      <c r="E965" s="55" t="str">
        <f>IF(دانش‌آموزان!E85="","",دانش‌آموزان!E85&amp;" "&amp;دانش‌آموزان!F85)</f>
        <v/>
      </c>
      <c r="F965" s="34" t="str">
        <f>IF(دانش‌آموزان!I85="","",دانش‌آموزان!I85)</f>
        <v/>
      </c>
      <c r="G965" s="19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  <c r="BJ965" s="20"/>
      <c r="BK965" s="20"/>
      <c r="BL965" s="20"/>
      <c r="BM965" s="20"/>
      <c r="BN965" s="20"/>
      <c r="BO965" s="20"/>
      <c r="BP965" s="20"/>
      <c r="BQ965" s="20"/>
      <c r="BR965" s="20"/>
      <c r="BS965" s="20"/>
      <c r="BT965" s="20"/>
      <c r="BU965" s="20"/>
      <c r="BV965" s="20"/>
      <c r="BW965" s="20"/>
      <c r="BX965" s="20"/>
      <c r="BY965" s="20"/>
      <c r="BZ965" s="20"/>
      <c r="CA965" s="20"/>
      <c r="CB965" s="21"/>
      <c r="CC965" s="27" t="str">
        <f t="shared" ref="CC965:CC1028" si="165">IF(COUNT(G965:N965)=0,"",AVERAGE(G965:N965)*4)</f>
        <v/>
      </c>
      <c r="CD965" s="38" t="str">
        <f t="shared" ref="CD965:CD1028" si="166">IF(COUNT(O965:S965)=0,"",AVERAGE(O965:S965)*4)</f>
        <v/>
      </c>
      <c r="CE965" s="38" t="str">
        <f t="shared" ref="CE965:CE1028" si="167">IF(COUNT(T965:U965)=0,"",AVERAGE(T965:U965)*4)</f>
        <v/>
      </c>
      <c r="CF965" s="38" t="str">
        <f t="shared" ref="CF965:CF1028" si="168">IF(COUNT(V965:Z965)=0,"",AVERAGE(V965:Z965)*4)</f>
        <v/>
      </c>
      <c r="CG965" s="38" t="str">
        <f t="shared" ref="CG965:CG1028" si="169">IF(COUNT(AA965:AC965)=0,"",AVERAGE(AA965:AC965)*4)</f>
        <v/>
      </c>
      <c r="CH965" s="38" t="str">
        <f t="shared" ref="CH965:CH1028" si="170">IF(COUNT(AD965:AI965)=0,"",AVERAGE(AD965:AI965)*4)</f>
        <v/>
      </c>
      <c r="CI965" s="38" t="str">
        <f t="shared" ref="CI965:CI1028" si="171">IF(COUNT(AJ965:AP965)=0,"",AVERAGE(AJ965:AP965)*4)</f>
        <v/>
      </c>
      <c r="CJ965" s="38" t="str">
        <f t="shared" ref="CJ965:CJ1028" si="172">IF(COUNT(AQ965:AW965)=0,"",AVERAGE(AQ965:AW965)*4)</f>
        <v/>
      </c>
      <c r="CK965" s="38" t="str">
        <f t="shared" ref="CK965:CK1028" si="173">IF(COUNT(AX965:AZ965)=0,"",AVERAGE(AX965:AZ965)*4)</f>
        <v/>
      </c>
      <c r="CL965" s="38" t="str">
        <f>IF(C965="","",IF(COUNT(G965:AZ965)&lt;46,"",SUMPRODUCT(CC965:CK965,'تنظیمات وزن‌دهی'!$C$5:$C$13)/100))</f>
        <v/>
      </c>
      <c r="CM965" s="38" t="str">
        <f t="shared" ref="CM965:CM1028" si="174">IF(C965="","",IF(COUNT(G965:AZ965)=0,"",IF(COUNT(G965:AZ965)&lt;46,"موقت - اطلاعات ناقص",IF(CL965&gt;=17,"عالی",IF(CL965&gt;=14,"خوب",IF(CL965&gt;=10,"متوسط","ضعیف"))))))</f>
        <v/>
      </c>
      <c r="CN965" s="38">
        <v>1</v>
      </c>
      <c r="CO965" s="28" t="str">
        <f t="shared" ref="CO965:CO1028" si="175">IF(C965="","",COUNT(G965:AZ965)/46)</f>
        <v/>
      </c>
      <c r="CP965" s="58"/>
    </row>
    <row r="966" spans="1:94" ht="17.25" hidden="1">
      <c r="A966" s="33">
        <v>962</v>
      </c>
      <c r="B966" s="55" t="s">
        <v>184</v>
      </c>
      <c r="C966" s="55" t="str">
        <f>IF(دانش‌آموزان!E85="","",دانش‌آموزان!B85)</f>
        <v/>
      </c>
      <c r="D966" s="55" t="str">
        <f>IF(دانش‌آموزان!C85="","",دانش‌آموزان!C85)</f>
        <v/>
      </c>
      <c r="E966" s="55" t="str">
        <f>IF(دانش‌آموزان!E85="","",دانش‌آموزان!E85&amp;" "&amp;دانش‌آموزان!F85)</f>
        <v/>
      </c>
      <c r="F966" s="34" t="str">
        <f>IF(دانش‌آموزان!I85="","",دانش‌آموزان!I85)</f>
        <v/>
      </c>
      <c r="G966" s="19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  <c r="BJ966" s="20"/>
      <c r="BK966" s="20"/>
      <c r="BL966" s="20"/>
      <c r="BM966" s="20"/>
      <c r="BN966" s="20"/>
      <c r="BO966" s="20"/>
      <c r="BP966" s="20"/>
      <c r="BQ966" s="20"/>
      <c r="BR966" s="20"/>
      <c r="BS966" s="20"/>
      <c r="BT966" s="20"/>
      <c r="BU966" s="20"/>
      <c r="BV966" s="20"/>
      <c r="BW966" s="20"/>
      <c r="BX966" s="20"/>
      <c r="BY966" s="20"/>
      <c r="BZ966" s="20"/>
      <c r="CA966" s="20"/>
      <c r="CB966" s="21"/>
      <c r="CC966" s="27" t="str">
        <f t="shared" si="165"/>
        <v/>
      </c>
      <c r="CD966" s="38" t="str">
        <f t="shared" si="166"/>
        <v/>
      </c>
      <c r="CE966" s="38" t="str">
        <f t="shared" si="167"/>
        <v/>
      </c>
      <c r="CF966" s="38" t="str">
        <f t="shared" si="168"/>
        <v/>
      </c>
      <c r="CG966" s="38" t="str">
        <f t="shared" si="169"/>
        <v/>
      </c>
      <c r="CH966" s="38" t="str">
        <f t="shared" si="170"/>
        <v/>
      </c>
      <c r="CI966" s="38" t="str">
        <f t="shared" si="171"/>
        <v/>
      </c>
      <c r="CJ966" s="38" t="str">
        <f t="shared" si="172"/>
        <v/>
      </c>
      <c r="CK966" s="38" t="str">
        <f t="shared" si="173"/>
        <v/>
      </c>
      <c r="CL966" s="38" t="str">
        <f>IF(C966="","",IF(COUNT(G966:AZ966)&lt;46,"",SUMPRODUCT(CC966:CK966,'تنظیمات وزن‌دهی'!$C$5:$C$13)/100))</f>
        <v/>
      </c>
      <c r="CM966" s="38" t="str">
        <f t="shared" si="174"/>
        <v/>
      </c>
      <c r="CN966" s="38">
        <v>2</v>
      </c>
      <c r="CO966" s="28" t="str">
        <f t="shared" si="175"/>
        <v/>
      </c>
      <c r="CP966" s="58"/>
    </row>
    <row r="967" spans="1:94" ht="17.25">
      <c r="A967" s="33">
        <v>963</v>
      </c>
      <c r="B967" s="55" t="s">
        <v>185</v>
      </c>
      <c r="C967" s="55" t="str">
        <f>IF(دانش‌آموزان!E85="","",دانش‌آموزان!B85)</f>
        <v/>
      </c>
      <c r="D967" s="55" t="str">
        <f>IF(دانش‌آموزان!C85="","",دانش‌آموزان!C85)</f>
        <v/>
      </c>
      <c r="E967" s="55" t="str">
        <f>IF(دانش‌آموزان!E85="","",دانش‌آموزان!E85&amp;" "&amp;دانش‌آموزان!F85)</f>
        <v/>
      </c>
      <c r="F967" s="34" t="str">
        <f>IF(دانش‌آموزان!I85="","",دانش‌آموزان!I85)</f>
        <v/>
      </c>
      <c r="G967" s="19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  <c r="BJ967" s="20"/>
      <c r="BK967" s="20"/>
      <c r="BL967" s="20"/>
      <c r="BM967" s="20"/>
      <c r="BN967" s="20"/>
      <c r="BO967" s="20"/>
      <c r="BP967" s="20"/>
      <c r="BQ967" s="20"/>
      <c r="BR967" s="20"/>
      <c r="BS967" s="20"/>
      <c r="BT967" s="20"/>
      <c r="BU967" s="20"/>
      <c r="BV967" s="20"/>
      <c r="BW967" s="20"/>
      <c r="BX967" s="20"/>
      <c r="BY967" s="20"/>
      <c r="BZ967" s="20"/>
      <c r="CA967" s="20"/>
      <c r="CB967" s="21"/>
      <c r="CC967" s="27" t="str">
        <f t="shared" si="165"/>
        <v/>
      </c>
      <c r="CD967" s="38" t="str">
        <f t="shared" si="166"/>
        <v/>
      </c>
      <c r="CE967" s="38" t="str">
        <f t="shared" si="167"/>
        <v/>
      </c>
      <c r="CF967" s="38" t="str">
        <f t="shared" si="168"/>
        <v/>
      </c>
      <c r="CG967" s="38" t="str">
        <f t="shared" si="169"/>
        <v/>
      </c>
      <c r="CH967" s="38" t="str">
        <f t="shared" si="170"/>
        <v/>
      </c>
      <c r="CI967" s="38" t="str">
        <f t="shared" si="171"/>
        <v/>
      </c>
      <c r="CJ967" s="38" t="str">
        <f t="shared" si="172"/>
        <v/>
      </c>
      <c r="CK967" s="38" t="str">
        <f t="shared" si="173"/>
        <v/>
      </c>
      <c r="CL967" s="38" t="str">
        <f>IF(C967="","",IF(COUNT(G967:AZ967)&lt;46,"",SUMPRODUCT(CC967:CK967,'تنظیمات وزن‌دهی'!$C$5:$C$13)/100))</f>
        <v/>
      </c>
      <c r="CM967" s="38" t="str">
        <f t="shared" si="174"/>
        <v/>
      </c>
      <c r="CN967" s="38">
        <v>3</v>
      </c>
      <c r="CO967" s="28" t="str">
        <f t="shared" si="175"/>
        <v/>
      </c>
      <c r="CP967" s="58"/>
    </row>
    <row r="968" spans="1:94" ht="17.25" hidden="1">
      <c r="A968" s="33">
        <v>964</v>
      </c>
      <c r="B968" s="55" t="s">
        <v>186</v>
      </c>
      <c r="C968" s="55" t="str">
        <f>IF(دانش‌آموزان!E85="","",دانش‌آموزان!B85)</f>
        <v/>
      </c>
      <c r="D968" s="55" t="str">
        <f>IF(دانش‌آموزان!C85="","",دانش‌آموزان!C85)</f>
        <v/>
      </c>
      <c r="E968" s="55" t="str">
        <f>IF(دانش‌آموزان!E85="","",دانش‌آموزان!E85&amp;" "&amp;دانش‌آموزان!F85)</f>
        <v/>
      </c>
      <c r="F968" s="34" t="str">
        <f>IF(دانش‌آموزان!I85="","",دانش‌آموزان!I85)</f>
        <v/>
      </c>
      <c r="G968" s="19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  <c r="BJ968" s="20"/>
      <c r="BK968" s="20"/>
      <c r="BL968" s="20"/>
      <c r="BM968" s="20"/>
      <c r="BN968" s="20"/>
      <c r="BO968" s="20"/>
      <c r="BP968" s="20"/>
      <c r="BQ968" s="20"/>
      <c r="BR968" s="20"/>
      <c r="BS968" s="20"/>
      <c r="BT968" s="20"/>
      <c r="BU968" s="20"/>
      <c r="BV968" s="20"/>
      <c r="BW968" s="20"/>
      <c r="BX968" s="20"/>
      <c r="BY968" s="20"/>
      <c r="BZ968" s="20"/>
      <c r="CA968" s="20"/>
      <c r="CB968" s="21"/>
      <c r="CC968" s="27" t="str">
        <f t="shared" si="165"/>
        <v/>
      </c>
      <c r="CD968" s="38" t="str">
        <f t="shared" si="166"/>
        <v/>
      </c>
      <c r="CE968" s="38" t="str">
        <f t="shared" si="167"/>
        <v/>
      </c>
      <c r="CF968" s="38" t="str">
        <f t="shared" si="168"/>
        <v/>
      </c>
      <c r="CG968" s="38" t="str">
        <f t="shared" si="169"/>
        <v/>
      </c>
      <c r="CH968" s="38" t="str">
        <f t="shared" si="170"/>
        <v/>
      </c>
      <c r="CI968" s="38" t="str">
        <f t="shared" si="171"/>
        <v/>
      </c>
      <c r="CJ968" s="38" t="str">
        <f t="shared" si="172"/>
        <v/>
      </c>
      <c r="CK968" s="38" t="str">
        <f t="shared" si="173"/>
        <v/>
      </c>
      <c r="CL968" s="38" t="str">
        <f>IF(C968="","",IF(COUNT(G968:AZ968)&lt;46,"",SUMPRODUCT(CC968:CK968,'تنظیمات وزن‌دهی'!$C$5:$C$13)/100))</f>
        <v/>
      </c>
      <c r="CM968" s="38" t="str">
        <f t="shared" si="174"/>
        <v/>
      </c>
      <c r="CN968" s="38">
        <v>4</v>
      </c>
      <c r="CO968" s="28" t="str">
        <f t="shared" si="175"/>
        <v/>
      </c>
      <c r="CP968" s="58"/>
    </row>
    <row r="969" spans="1:94" ht="17.25" hidden="1">
      <c r="A969" s="33">
        <v>965</v>
      </c>
      <c r="B969" s="55" t="s">
        <v>187</v>
      </c>
      <c r="C969" s="55" t="str">
        <f>IF(دانش‌آموزان!E85="","",دانش‌آموزان!B85)</f>
        <v/>
      </c>
      <c r="D969" s="55" t="str">
        <f>IF(دانش‌آموزان!C85="","",دانش‌آموزان!C85)</f>
        <v/>
      </c>
      <c r="E969" s="55" t="str">
        <f>IF(دانش‌آموزان!E85="","",دانش‌آموزان!E85&amp;" "&amp;دانش‌آموزان!F85)</f>
        <v/>
      </c>
      <c r="F969" s="34" t="str">
        <f>IF(دانش‌آموزان!I85="","",دانش‌آموزان!I85)</f>
        <v/>
      </c>
      <c r="G969" s="19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  <c r="BJ969" s="20"/>
      <c r="BK969" s="20"/>
      <c r="BL969" s="20"/>
      <c r="BM969" s="20"/>
      <c r="BN969" s="20"/>
      <c r="BO969" s="20"/>
      <c r="BP969" s="20"/>
      <c r="BQ969" s="20"/>
      <c r="BR969" s="20"/>
      <c r="BS969" s="20"/>
      <c r="BT969" s="20"/>
      <c r="BU969" s="20"/>
      <c r="BV969" s="20"/>
      <c r="BW969" s="20"/>
      <c r="BX969" s="20"/>
      <c r="BY969" s="20"/>
      <c r="BZ969" s="20"/>
      <c r="CA969" s="20"/>
      <c r="CB969" s="21"/>
      <c r="CC969" s="27" t="str">
        <f t="shared" si="165"/>
        <v/>
      </c>
      <c r="CD969" s="38" t="str">
        <f t="shared" si="166"/>
        <v/>
      </c>
      <c r="CE969" s="38" t="str">
        <f t="shared" si="167"/>
        <v/>
      </c>
      <c r="CF969" s="38" t="str">
        <f t="shared" si="168"/>
        <v/>
      </c>
      <c r="CG969" s="38" t="str">
        <f t="shared" si="169"/>
        <v/>
      </c>
      <c r="CH969" s="38" t="str">
        <f t="shared" si="170"/>
        <v/>
      </c>
      <c r="CI969" s="38" t="str">
        <f t="shared" si="171"/>
        <v/>
      </c>
      <c r="CJ969" s="38" t="str">
        <f t="shared" si="172"/>
        <v/>
      </c>
      <c r="CK969" s="38" t="str">
        <f t="shared" si="173"/>
        <v/>
      </c>
      <c r="CL969" s="38" t="str">
        <f>IF(C969="","",IF(COUNT(G969:AZ969)&lt;46,"",SUMPRODUCT(CC969:CK969,'تنظیمات وزن‌دهی'!$C$5:$C$13)/100))</f>
        <v/>
      </c>
      <c r="CM969" s="38" t="str">
        <f t="shared" si="174"/>
        <v/>
      </c>
      <c r="CN969" s="38">
        <v>5</v>
      </c>
      <c r="CO969" s="28" t="str">
        <f t="shared" si="175"/>
        <v/>
      </c>
      <c r="CP969" s="58"/>
    </row>
    <row r="970" spans="1:94" ht="17.25" hidden="1">
      <c r="A970" s="33">
        <v>966</v>
      </c>
      <c r="B970" s="55" t="s">
        <v>188</v>
      </c>
      <c r="C970" s="55" t="str">
        <f>IF(دانش‌آموزان!E85="","",دانش‌آموزان!B85)</f>
        <v/>
      </c>
      <c r="D970" s="55" t="str">
        <f>IF(دانش‌آموزان!C85="","",دانش‌آموزان!C85)</f>
        <v/>
      </c>
      <c r="E970" s="55" t="str">
        <f>IF(دانش‌آموزان!E85="","",دانش‌آموزان!E85&amp;" "&amp;دانش‌آموزان!F85)</f>
        <v/>
      </c>
      <c r="F970" s="34" t="str">
        <f>IF(دانش‌آموزان!I85="","",دانش‌آموزان!I85)</f>
        <v/>
      </c>
      <c r="G970" s="19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  <c r="BJ970" s="20"/>
      <c r="BK970" s="20"/>
      <c r="BL970" s="20"/>
      <c r="BM970" s="20"/>
      <c r="BN970" s="20"/>
      <c r="BO970" s="20"/>
      <c r="BP970" s="20"/>
      <c r="BQ970" s="20"/>
      <c r="BR970" s="20"/>
      <c r="BS970" s="20"/>
      <c r="BT970" s="20"/>
      <c r="BU970" s="20"/>
      <c r="BV970" s="20"/>
      <c r="BW970" s="20"/>
      <c r="BX970" s="20"/>
      <c r="BY970" s="20"/>
      <c r="BZ970" s="20"/>
      <c r="CA970" s="20"/>
      <c r="CB970" s="21"/>
      <c r="CC970" s="27" t="str">
        <f t="shared" si="165"/>
        <v/>
      </c>
      <c r="CD970" s="38" t="str">
        <f t="shared" si="166"/>
        <v/>
      </c>
      <c r="CE970" s="38" t="str">
        <f t="shared" si="167"/>
        <v/>
      </c>
      <c r="CF970" s="38" t="str">
        <f t="shared" si="168"/>
        <v/>
      </c>
      <c r="CG970" s="38" t="str">
        <f t="shared" si="169"/>
        <v/>
      </c>
      <c r="CH970" s="38" t="str">
        <f t="shared" si="170"/>
        <v/>
      </c>
      <c r="CI970" s="38" t="str">
        <f t="shared" si="171"/>
        <v/>
      </c>
      <c r="CJ970" s="38" t="str">
        <f t="shared" si="172"/>
        <v/>
      </c>
      <c r="CK970" s="38" t="str">
        <f t="shared" si="173"/>
        <v/>
      </c>
      <c r="CL970" s="38" t="str">
        <f>IF(C970="","",IF(COUNT(G970:AZ970)&lt;46,"",SUMPRODUCT(CC970:CK970,'تنظیمات وزن‌دهی'!$C$5:$C$13)/100))</f>
        <v/>
      </c>
      <c r="CM970" s="38" t="str">
        <f t="shared" si="174"/>
        <v/>
      </c>
      <c r="CN970" s="38">
        <v>6</v>
      </c>
      <c r="CO970" s="28" t="str">
        <f t="shared" si="175"/>
        <v/>
      </c>
      <c r="CP970" s="58"/>
    </row>
    <row r="971" spans="1:94" ht="17.25" hidden="1">
      <c r="A971" s="33">
        <v>967</v>
      </c>
      <c r="B971" s="55" t="s">
        <v>189</v>
      </c>
      <c r="C971" s="55" t="str">
        <f>IF(دانش‌آموزان!E85="","",دانش‌آموزان!B85)</f>
        <v/>
      </c>
      <c r="D971" s="55" t="str">
        <f>IF(دانش‌آموزان!C85="","",دانش‌آموزان!C85)</f>
        <v/>
      </c>
      <c r="E971" s="55" t="str">
        <f>IF(دانش‌آموزان!E85="","",دانش‌آموزان!E85&amp;" "&amp;دانش‌آموزان!F85)</f>
        <v/>
      </c>
      <c r="F971" s="34" t="str">
        <f>IF(دانش‌آموزان!I85="","",دانش‌آموزان!I85)</f>
        <v/>
      </c>
      <c r="G971" s="19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  <c r="BJ971" s="20"/>
      <c r="BK971" s="20"/>
      <c r="BL971" s="20"/>
      <c r="BM971" s="20"/>
      <c r="BN971" s="20"/>
      <c r="BO971" s="20"/>
      <c r="BP971" s="20"/>
      <c r="BQ971" s="20"/>
      <c r="BR971" s="20"/>
      <c r="BS971" s="20"/>
      <c r="BT971" s="20"/>
      <c r="BU971" s="20"/>
      <c r="BV971" s="20"/>
      <c r="BW971" s="20"/>
      <c r="BX971" s="20"/>
      <c r="BY971" s="20"/>
      <c r="BZ971" s="20"/>
      <c r="CA971" s="20"/>
      <c r="CB971" s="21"/>
      <c r="CC971" s="27" t="str">
        <f t="shared" si="165"/>
        <v/>
      </c>
      <c r="CD971" s="38" t="str">
        <f t="shared" si="166"/>
        <v/>
      </c>
      <c r="CE971" s="38" t="str">
        <f t="shared" si="167"/>
        <v/>
      </c>
      <c r="CF971" s="38" t="str">
        <f t="shared" si="168"/>
        <v/>
      </c>
      <c r="CG971" s="38" t="str">
        <f t="shared" si="169"/>
        <v/>
      </c>
      <c r="CH971" s="38" t="str">
        <f t="shared" si="170"/>
        <v/>
      </c>
      <c r="CI971" s="38" t="str">
        <f t="shared" si="171"/>
        <v/>
      </c>
      <c r="CJ971" s="38" t="str">
        <f t="shared" si="172"/>
        <v/>
      </c>
      <c r="CK971" s="38" t="str">
        <f t="shared" si="173"/>
        <v/>
      </c>
      <c r="CL971" s="38" t="str">
        <f>IF(C971="","",IF(COUNT(G971:AZ971)&lt;46,"",SUMPRODUCT(CC971:CK971,'تنظیمات وزن‌دهی'!$C$5:$C$13)/100))</f>
        <v/>
      </c>
      <c r="CM971" s="38" t="str">
        <f t="shared" si="174"/>
        <v/>
      </c>
      <c r="CN971" s="38">
        <v>7</v>
      </c>
      <c r="CO971" s="28" t="str">
        <f t="shared" si="175"/>
        <v/>
      </c>
      <c r="CP971" s="58"/>
    </row>
    <row r="972" spans="1:94" ht="17.25" hidden="1">
      <c r="A972" s="33">
        <v>968</v>
      </c>
      <c r="B972" s="55" t="s">
        <v>190</v>
      </c>
      <c r="C972" s="55" t="str">
        <f>IF(دانش‌آموزان!E85="","",دانش‌آموزان!B85)</f>
        <v/>
      </c>
      <c r="D972" s="55" t="str">
        <f>IF(دانش‌آموزان!C85="","",دانش‌آموزان!C85)</f>
        <v/>
      </c>
      <c r="E972" s="55" t="str">
        <f>IF(دانش‌آموزان!E85="","",دانش‌آموزان!E85&amp;" "&amp;دانش‌آموزان!F85)</f>
        <v/>
      </c>
      <c r="F972" s="34" t="str">
        <f>IF(دانش‌آموزان!I85="","",دانش‌آموزان!I85)</f>
        <v/>
      </c>
      <c r="G972" s="19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  <c r="BJ972" s="20"/>
      <c r="BK972" s="20"/>
      <c r="BL972" s="20"/>
      <c r="BM972" s="20"/>
      <c r="BN972" s="20"/>
      <c r="BO972" s="20"/>
      <c r="BP972" s="20"/>
      <c r="BQ972" s="20"/>
      <c r="BR972" s="20"/>
      <c r="BS972" s="20"/>
      <c r="BT972" s="20"/>
      <c r="BU972" s="20"/>
      <c r="BV972" s="20"/>
      <c r="BW972" s="20"/>
      <c r="BX972" s="20"/>
      <c r="BY972" s="20"/>
      <c r="BZ972" s="20"/>
      <c r="CA972" s="20"/>
      <c r="CB972" s="21"/>
      <c r="CC972" s="27" t="str">
        <f t="shared" si="165"/>
        <v/>
      </c>
      <c r="CD972" s="38" t="str">
        <f t="shared" si="166"/>
        <v/>
      </c>
      <c r="CE972" s="38" t="str">
        <f t="shared" si="167"/>
        <v/>
      </c>
      <c r="CF972" s="38" t="str">
        <f t="shared" si="168"/>
        <v/>
      </c>
      <c r="CG972" s="38" t="str">
        <f t="shared" si="169"/>
        <v/>
      </c>
      <c r="CH972" s="38" t="str">
        <f t="shared" si="170"/>
        <v/>
      </c>
      <c r="CI972" s="38" t="str">
        <f t="shared" si="171"/>
        <v/>
      </c>
      <c r="CJ972" s="38" t="str">
        <f t="shared" si="172"/>
        <v/>
      </c>
      <c r="CK972" s="38" t="str">
        <f t="shared" si="173"/>
        <v/>
      </c>
      <c r="CL972" s="38" t="str">
        <f>IF(C972="","",IF(COUNT(G972:AZ972)&lt;46,"",SUMPRODUCT(CC972:CK972,'تنظیمات وزن‌دهی'!$C$5:$C$13)/100))</f>
        <v/>
      </c>
      <c r="CM972" s="38" t="str">
        <f t="shared" si="174"/>
        <v/>
      </c>
      <c r="CN972" s="38">
        <v>8</v>
      </c>
      <c r="CO972" s="28" t="str">
        <f t="shared" si="175"/>
        <v/>
      </c>
      <c r="CP972" s="58"/>
    </row>
    <row r="973" spans="1:94" ht="17.25" hidden="1">
      <c r="A973" s="33">
        <v>969</v>
      </c>
      <c r="B973" s="55" t="s">
        <v>191</v>
      </c>
      <c r="C973" s="55" t="str">
        <f>IF(دانش‌آموزان!E85="","",دانش‌آموزان!B85)</f>
        <v/>
      </c>
      <c r="D973" s="55" t="str">
        <f>IF(دانش‌آموزان!C85="","",دانش‌آموزان!C85)</f>
        <v/>
      </c>
      <c r="E973" s="55" t="str">
        <f>IF(دانش‌آموزان!E85="","",دانش‌آموزان!E85&amp;" "&amp;دانش‌آموزان!F85)</f>
        <v/>
      </c>
      <c r="F973" s="34" t="str">
        <f>IF(دانش‌آموزان!I85="","",دانش‌آموزان!I85)</f>
        <v/>
      </c>
      <c r="G973" s="19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  <c r="BJ973" s="20"/>
      <c r="BK973" s="20"/>
      <c r="BL973" s="20"/>
      <c r="BM973" s="20"/>
      <c r="BN973" s="20"/>
      <c r="BO973" s="20"/>
      <c r="BP973" s="20"/>
      <c r="BQ973" s="20"/>
      <c r="BR973" s="20"/>
      <c r="BS973" s="20"/>
      <c r="BT973" s="20"/>
      <c r="BU973" s="20"/>
      <c r="BV973" s="20"/>
      <c r="BW973" s="20"/>
      <c r="BX973" s="20"/>
      <c r="BY973" s="20"/>
      <c r="BZ973" s="20"/>
      <c r="CA973" s="20"/>
      <c r="CB973" s="21"/>
      <c r="CC973" s="27" t="str">
        <f t="shared" si="165"/>
        <v/>
      </c>
      <c r="CD973" s="38" t="str">
        <f t="shared" si="166"/>
        <v/>
      </c>
      <c r="CE973" s="38" t="str">
        <f t="shared" si="167"/>
        <v/>
      </c>
      <c r="CF973" s="38" t="str">
        <f t="shared" si="168"/>
        <v/>
      </c>
      <c r="CG973" s="38" t="str">
        <f t="shared" si="169"/>
        <v/>
      </c>
      <c r="CH973" s="38" t="str">
        <f t="shared" si="170"/>
        <v/>
      </c>
      <c r="CI973" s="38" t="str">
        <f t="shared" si="171"/>
        <v/>
      </c>
      <c r="CJ973" s="38" t="str">
        <f t="shared" si="172"/>
        <v/>
      </c>
      <c r="CK973" s="38" t="str">
        <f t="shared" si="173"/>
        <v/>
      </c>
      <c r="CL973" s="38" t="str">
        <f>IF(C973="","",IF(COUNT(G973:AZ973)&lt;46,"",SUMPRODUCT(CC973:CK973,'تنظیمات وزن‌دهی'!$C$5:$C$13)/100))</f>
        <v/>
      </c>
      <c r="CM973" s="38" t="str">
        <f t="shared" si="174"/>
        <v/>
      </c>
      <c r="CN973" s="38">
        <v>9</v>
      </c>
      <c r="CO973" s="28" t="str">
        <f t="shared" si="175"/>
        <v/>
      </c>
      <c r="CP973" s="58"/>
    </row>
    <row r="974" spans="1:94" ht="17.25" hidden="1">
      <c r="A974" s="33">
        <v>970</v>
      </c>
      <c r="B974" s="55" t="s">
        <v>192</v>
      </c>
      <c r="C974" s="55" t="str">
        <f>IF(دانش‌آموزان!E85="","",دانش‌آموزان!B85)</f>
        <v/>
      </c>
      <c r="D974" s="55" t="str">
        <f>IF(دانش‌آموزان!C85="","",دانش‌آموزان!C85)</f>
        <v/>
      </c>
      <c r="E974" s="55" t="str">
        <f>IF(دانش‌آموزان!E85="","",دانش‌آموزان!E85&amp;" "&amp;دانش‌آموزان!F85)</f>
        <v/>
      </c>
      <c r="F974" s="34" t="str">
        <f>IF(دانش‌آموزان!I85="","",دانش‌آموزان!I85)</f>
        <v/>
      </c>
      <c r="G974" s="19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  <c r="BJ974" s="20"/>
      <c r="BK974" s="20"/>
      <c r="BL974" s="20"/>
      <c r="BM974" s="20"/>
      <c r="BN974" s="20"/>
      <c r="BO974" s="20"/>
      <c r="BP974" s="20"/>
      <c r="BQ974" s="20"/>
      <c r="BR974" s="20"/>
      <c r="BS974" s="20"/>
      <c r="BT974" s="20"/>
      <c r="BU974" s="20"/>
      <c r="BV974" s="20"/>
      <c r="BW974" s="20"/>
      <c r="BX974" s="20"/>
      <c r="BY974" s="20"/>
      <c r="BZ974" s="20"/>
      <c r="CA974" s="20"/>
      <c r="CB974" s="21"/>
      <c r="CC974" s="27" t="str">
        <f t="shared" si="165"/>
        <v/>
      </c>
      <c r="CD974" s="38" t="str">
        <f t="shared" si="166"/>
        <v/>
      </c>
      <c r="CE974" s="38" t="str">
        <f t="shared" si="167"/>
        <v/>
      </c>
      <c r="CF974" s="38" t="str">
        <f t="shared" si="168"/>
        <v/>
      </c>
      <c r="CG974" s="38" t="str">
        <f t="shared" si="169"/>
        <v/>
      </c>
      <c r="CH974" s="38" t="str">
        <f t="shared" si="170"/>
        <v/>
      </c>
      <c r="CI974" s="38" t="str">
        <f t="shared" si="171"/>
        <v/>
      </c>
      <c r="CJ974" s="38" t="str">
        <f t="shared" si="172"/>
        <v/>
      </c>
      <c r="CK974" s="38" t="str">
        <f t="shared" si="173"/>
        <v/>
      </c>
      <c r="CL974" s="38" t="str">
        <f>IF(C974="","",IF(COUNT(G974:AZ974)&lt;46,"",SUMPRODUCT(CC974:CK974,'تنظیمات وزن‌دهی'!$C$5:$C$13)/100))</f>
        <v/>
      </c>
      <c r="CM974" s="38" t="str">
        <f t="shared" si="174"/>
        <v/>
      </c>
      <c r="CN974" s="38">
        <v>10</v>
      </c>
      <c r="CO974" s="28" t="str">
        <f t="shared" si="175"/>
        <v/>
      </c>
      <c r="CP974" s="58"/>
    </row>
    <row r="975" spans="1:94" ht="17.25" hidden="1">
      <c r="A975" s="33">
        <v>971</v>
      </c>
      <c r="B975" s="55" t="s">
        <v>193</v>
      </c>
      <c r="C975" s="55" t="str">
        <f>IF(دانش‌آموزان!E85="","",دانش‌آموزان!B85)</f>
        <v/>
      </c>
      <c r="D975" s="55" t="str">
        <f>IF(دانش‌آموزان!C85="","",دانش‌آموزان!C85)</f>
        <v/>
      </c>
      <c r="E975" s="55" t="str">
        <f>IF(دانش‌آموزان!E85="","",دانش‌آموزان!E85&amp;" "&amp;دانش‌آموزان!F85)</f>
        <v/>
      </c>
      <c r="F975" s="34" t="str">
        <f>IF(دانش‌آموزان!I85="","",دانش‌آموزان!I85)</f>
        <v/>
      </c>
      <c r="G975" s="19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  <c r="BJ975" s="20"/>
      <c r="BK975" s="20"/>
      <c r="BL975" s="20"/>
      <c r="BM975" s="20"/>
      <c r="BN975" s="20"/>
      <c r="BO975" s="20"/>
      <c r="BP975" s="20"/>
      <c r="BQ975" s="20"/>
      <c r="BR975" s="20"/>
      <c r="BS975" s="20"/>
      <c r="BT975" s="20"/>
      <c r="BU975" s="20"/>
      <c r="BV975" s="20"/>
      <c r="BW975" s="20"/>
      <c r="BX975" s="20"/>
      <c r="BY975" s="20"/>
      <c r="BZ975" s="20"/>
      <c r="CA975" s="20"/>
      <c r="CB975" s="21"/>
      <c r="CC975" s="27" t="str">
        <f t="shared" si="165"/>
        <v/>
      </c>
      <c r="CD975" s="38" t="str">
        <f t="shared" si="166"/>
        <v/>
      </c>
      <c r="CE975" s="38" t="str">
        <f t="shared" si="167"/>
        <v/>
      </c>
      <c r="CF975" s="38" t="str">
        <f t="shared" si="168"/>
        <v/>
      </c>
      <c r="CG975" s="38" t="str">
        <f t="shared" si="169"/>
        <v/>
      </c>
      <c r="CH975" s="38" t="str">
        <f t="shared" si="170"/>
        <v/>
      </c>
      <c r="CI975" s="38" t="str">
        <f t="shared" si="171"/>
        <v/>
      </c>
      <c r="CJ975" s="38" t="str">
        <f t="shared" si="172"/>
        <v/>
      </c>
      <c r="CK975" s="38" t="str">
        <f t="shared" si="173"/>
        <v/>
      </c>
      <c r="CL975" s="38" t="str">
        <f>IF(C975="","",IF(COUNT(G975:AZ975)&lt;46,"",SUMPRODUCT(CC975:CK975,'تنظیمات وزن‌دهی'!$C$5:$C$13)/100))</f>
        <v/>
      </c>
      <c r="CM975" s="38" t="str">
        <f t="shared" si="174"/>
        <v/>
      </c>
      <c r="CN975" s="38">
        <v>11</v>
      </c>
      <c r="CO975" s="28" t="str">
        <f t="shared" si="175"/>
        <v/>
      </c>
      <c r="CP975" s="58"/>
    </row>
    <row r="976" spans="1:94" ht="17.25" hidden="1">
      <c r="A976" s="33">
        <v>972</v>
      </c>
      <c r="B976" s="55" t="s">
        <v>194</v>
      </c>
      <c r="C976" s="55" t="str">
        <f>IF(دانش‌آموزان!E85="","",دانش‌آموزان!B85)</f>
        <v/>
      </c>
      <c r="D976" s="55" t="str">
        <f>IF(دانش‌آموزان!C85="","",دانش‌آموزان!C85)</f>
        <v/>
      </c>
      <c r="E976" s="55" t="str">
        <f>IF(دانش‌آموزان!E85="","",دانش‌آموزان!E85&amp;" "&amp;دانش‌آموزان!F85)</f>
        <v/>
      </c>
      <c r="F976" s="34" t="str">
        <f>IF(دانش‌آموزان!I85="","",دانش‌آموزان!I85)</f>
        <v/>
      </c>
      <c r="G976" s="19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  <c r="BJ976" s="20"/>
      <c r="BK976" s="20"/>
      <c r="BL976" s="20"/>
      <c r="BM976" s="20"/>
      <c r="BN976" s="20"/>
      <c r="BO976" s="20"/>
      <c r="BP976" s="20"/>
      <c r="BQ976" s="20"/>
      <c r="BR976" s="20"/>
      <c r="BS976" s="20"/>
      <c r="BT976" s="20"/>
      <c r="BU976" s="20"/>
      <c r="BV976" s="20"/>
      <c r="BW976" s="20"/>
      <c r="BX976" s="20"/>
      <c r="BY976" s="20"/>
      <c r="BZ976" s="20"/>
      <c r="CA976" s="20"/>
      <c r="CB976" s="21"/>
      <c r="CC976" s="27" t="str">
        <f t="shared" si="165"/>
        <v/>
      </c>
      <c r="CD976" s="38" t="str">
        <f t="shared" si="166"/>
        <v/>
      </c>
      <c r="CE976" s="38" t="str">
        <f t="shared" si="167"/>
        <v/>
      </c>
      <c r="CF976" s="38" t="str">
        <f t="shared" si="168"/>
        <v/>
      </c>
      <c r="CG976" s="38" t="str">
        <f t="shared" si="169"/>
        <v/>
      </c>
      <c r="CH976" s="38" t="str">
        <f t="shared" si="170"/>
        <v/>
      </c>
      <c r="CI976" s="38" t="str">
        <f t="shared" si="171"/>
        <v/>
      </c>
      <c r="CJ976" s="38" t="str">
        <f t="shared" si="172"/>
        <v/>
      </c>
      <c r="CK976" s="38" t="str">
        <f t="shared" si="173"/>
        <v/>
      </c>
      <c r="CL976" s="38" t="str">
        <f>IF(C976="","",IF(COUNT(G976:AZ976)&lt;46,"",SUMPRODUCT(CC976:CK976,'تنظیمات وزن‌دهی'!$C$5:$C$13)/100))</f>
        <v/>
      </c>
      <c r="CM976" s="38" t="str">
        <f t="shared" si="174"/>
        <v/>
      </c>
      <c r="CN976" s="38">
        <v>12</v>
      </c>
      <c r="CO976" s="28" t="str">
        <f t="shared" si="175"/>
        <v/>
      </c>
      <c r="CP976" s="58"/>
    </row>
    <row r="977" spans="1:94" ht="17.25" hidden="1">
      <c r="A977" s="33">
        <v>973</v>
      </c>
      <c r="B977" s="55" t="s">
        <v>183</v>
      </c>
      <c r="C977" s="55" t="str">
        <f>IF(دانش‌آموزان!E86="","",دانش‌آموزان!B86)</f>
        <v/>
      </c>
      <c r="D977" s="55" t="str">
        <f>IF(دانش‌آموزان!C86="","",دانش‌آموزان!C86)</f>
        <v/>
      </c>
      <c r="E977" s="55" t="str">
        <f>IF(دانش‌آموزان!E86="","",دانش‌آموزان!E86&amp;" "&amp;دانش‌آموزان!F86)</f>
        <v/>
      </c>
      <c r="F977" s="34" t="str">
        <f>IF(دانش‌آموزان!I86="","",دانش‌آموزان!I86)</f>
        <v/>
      </c>
      <c r="G977" s="19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  <c r="BJ977" s="20"/>
      <c r="BK977" s="20"/>
      <c r="BL977" s="20"/>
      <c r="BM977" s="20"/>
      <c r="BN977" s="20"/>
      <c r="BO977" s="20"/>
      <c r="BP977" s="20"/>
      <c r="BQ977" s="20"/>
      <c r="BR977" s="20"/>
      <c r="BS977" s="20"/>
      <c r="BT977" s="20"/>
      <c r="BU977" s="20"/>
      <c r="BV977" s="20"/>
      <c r="BW977" s="20"/>
      <c r="BX977" s="20"/>
      <c r="BY977" s="20"/>
      <c r="BZ977" s="20"/>
      <c r="CA977" s="20"/>
      <c r="CB977" s="21"/>
      <c r="CC977" s="27" t="str">
        <f t="shared" si="165"/>
        <v/>
      </c>
      <c r="CD977" s="38" t="str">
        <f t="shared" si="166"/>
        <v/>
      </c>
      <c r="CE977" s="38" t="str">
        <f t="shared" si="167"/>
        <v/>
      </c>
      <c r="CF977" s="38" t="str">
        <f t="shared" si="168"/>
        <v/>
      </c>
      <c r="CG977" s="38" t="str">
        <f t="shared" si="169"/>
        <v/>
      </c>
      <c r="CH977" s="38" t="str">
        <f t="shared" si="170"/>
        <v/>
      </c>
      <c r="CI977" s="38" t="str">
        <f t="shared" si="171"/>
        <v/>
      </c>
      <c r="CJ977" s="38" t="str">
        <f t="shared" si="172"/>
        <v/>
      </c>
      <c r="CK977" s="38" t="str">
        <f t="shared" si="173"/>
        <v/>
      </c>
      <c r="CL977" s="38" t="str">
        <f>IF(C977="","",IF(COUNT(G977:AZ977)&lt;46,"",SUMPRODUCT(CC977:CK977,'تنظیمات وزن‌دهی'!$C$5:$C$13)/100))</f>
        <v/>
      </c>
      <c r="CM977" s="38" t="str">
        <f t="shared" si="174"/>
        <v/>
      </c>
      <c r="CN977" s="38">
        <v>1</v>
      </c>
      <c r="CO977" s="28" t="str">
        <f t="shared" si="175"/>
        <v/>
      </c>
      <c r="CP977" s="58"/>
    </row>
    <row r="978" spans="1:94" ht="17.25" hidden="1">
      <c r="A978" s="33">
        <v>974</v>
      </c>
      <c r="B978" s="55" t="s">
        <v>184</v>
      </c>
      <c r="C978" s="55" t="str">
        <f>IF(دانش‌آموزان!E86="","",دانش‌آموزان!B86)</f>
        <v/>
      </c>
      <c r="D978" s="55" t="str">
        <f>IF(دانش‌آموزان!C86="","",دانش‌آموزان!C86)</f>
        <v/>
      </c>
      <c r="E978" s="55" t="str">
        <f>IF(دانش‌آموزان!E86="","",دانش‌آموزان!E86&amp;" "&amp;دانش‌آموزان!F86)</f>
        <v/>
      </c>
      <c r="F978" s="34" t="str">
        <f>IF(دانش‌آموزان!I86="","",دانش‌آموزان!I86)</f>
        <v/>
      </c>
      <c r="G978" s="19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  <c r="BJ978" s="20"/>
      <c r="BK978" s="20"/>
      <c r="BL978" s="20"/>
      <c r="BM978" s="20"/>
      <c r="BN978" s="20"/>
      <c r="BO978" s="20"/>
      <c r="BP978" s="20"/>
      <c r="BQ978" s="20"/>
      <c r="BR978" s="20"/>
      <c r="BS978" s="20"/>
      <c r="BT978" s="20"/>
      <c r="BU978" s="20"/>
      <c r="BV978" s="20"/>
      <c r="BW978" s="20"/>
      <c r="BX978" s="20"/>
      <c r="BY978" s="20"/>
      <c r="BZ978" s="20"/>
      <c r="CA978" s="20"/>
      <c r="CB978" s="21"/>
      <c r="CC978" s="27" t="str">
        <f t="shared" si="165"/>
        <v/>
      </c>
      <c r="CD978" s="38" t="str">
        <f t="shared" si="166"/>
        <v/>
      </c>
      <c r="CE978" s="38" t="str">
        <f t="shared" si="167"/>
        <v/>
      </c>
      <c r="CF978" s="38" t="str">
        <f t="shared" si="168"/>
        <v/>
      </c>
      <c r="CG978" s="38" t="str">
        <f t="shared" si="169"/>
        <v/>
      </c>
      <c r="CH978" s="38" t="str">
        <f t="shared" si="170"/>
        <v/>
      </c>
      <c r="CI978" s="38" t="str">
        <f t="shared" si="171"/>
        <v/>
      </c>
      <c r="CJ978" s="38" t="str">
        <f t="shared" si="172"/>
        <v/>
      </c>
      <c r="CK978" s="38" t="str">
        <f t="shared" si="173"/>
        <v/>
      </c>
      <c r="CL978" s="38" t="str">
        <f>IF(C978="","",IF(COUNT(G978:AZ978)&lt;46,"",SUMPRODUCT(CC978:CK978,'تنظیمات وزن‌دهی'!$C$5:$C$13)/100))</f>
        <v/>
      </c>
      <c r="CM978" s="38" t="str">
        <f t="shared" si="174"/>
        <v/>
      </c>
      <c r="CN978" s="38">
        <v>2</v>
      </c>
      <c r="CO978" s="28" t="str">
        <f t="shared" si="175"/>
        <v/>
      </c>
      <c r="CP978" s="58"/>
    </row>
    <row r="979" spans="1:94" ht="17.25">
      <c r="A979" s="33">
        <v>975</v>
      </c>
      <c r="B979" s="55" t="s">
        <v>185</v>
      </c>
      <c r="C979" s="55" t="str">
        <f>IF(دانش‌آموزان!E86="","",دانش‌آموزان!B86)</f>
        <v/>
      </c>
      <c r="D979" s="55" t="str">
        <f>IF(دانش‌آموزان!C86="","",دانش‌آموزان!C86)</f>
        <v/>
      </c>
      <c r="E979" s="55" t="str">
        <f>IF(دانش‌آموزان!E86="","",دانش‌آموزان!E86&amp;" "&amp;دانش‌آموزان!F86)</f>
        <v/>
      </c>
      <c r="F979" s="34" t="str">
        <f>IF(دانش‌آموزان!I86="","",دانش‌آموزان!I86)</f>
        <v/>
      </c>
      <c r="G979" s="19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  <c r="BJ979" s="20"/>
      <c r="BK979" s="20"/>
      <c r="BL979" s="20"/>
      <c r="BM979" s="20"/>
      <c r="BN979" s="20"/>
      <c r="BO979" s="20"/>
      <c r="BP979" s="20"/>
      <c r="BQ979" s="20"/>
      <c r="BR979" s="20"/>
      <c r="BS979" s="20"/>
      <c r="BT979" s="20"/>
      <c r="BU979" s="20"/>
      <c r="BV979" s="20"/>
      <c r="BW979" s="20"/>
      <c r="BX979" s="20"/>
      <c r="BY979" s="20"/>
      <c r="BZ979" s="20"/>
      <c r="CA979" s="20"/>
      <c r="CB979" s="21"/>
      <c r="CC979" s="27" t="str">
        <f t="shared" si="165"/>
        <v/>
      </c>
      <c r="CD979" s="38" t="str">
        <f t="shared" si="166"/>
        <v/>
      </c>
      <c r="CE979" s="38" t="str">
        <f t="shared" si="167"/>
        <v/>
      </c>
      <c r="CF979" s="38" t="str">
        <f t="shared" si="168"/>
        <v/>
      </c>
      <c r="CG979" s="38" t="str">
        <f t="shared" si="169"/>
        <v/>
      </c>
      <c r="CH979" s="38" t="str">
        <f t="shared" si="170"/>
        <v/>
      </c>
      <c r="CI979" s="38" t="str">
        <f t="shared" si="171"/>
        <v/>
      </c>
      <c r="CJ979" s="38" t="str">
        <f t="shared" si="172"/>
        <v/>
      </c>
      <c r="CK979" s="38" t="str">
        <f t="shared" si="173"/>
        <v/>
      </c>
      <c r="CL979" s="38" t="str">
        <f>IF(C979="","",IF(COUNT(G979:AZ979)&lt;46,"",SUMPRODUCT(CC979:CK979,'تنظیمات وزن‌دهی'!$C$5:$C$13)/100))</f>
        <v/>
      </c>
      <c r="CM979" s="38" t="str">
        <f t="shared" si="174"/>
        <v/>
      </c>
      <c r="CN979" s="38">
        <v>3</v>
      </c>
      <c r="CO979" s="28" t="str">
        <f t="shared" si="175"/>
        <v/>
      </c>
      <c r="CP979" s="58"/>
    </row>
    <row r="980" spans="1:94" ht="17.25" hidden="1">
      <c r="A980" s="33">
        <v>976</v>
      </c>
      <c r="B980" s="55" t="s">
        <v>186</v>
      </c>
      <c r="C980" s="55" t="str">
        <f>IF(دانش‌آموزان!E86="","",دانش‌آموزان!B86)</f>
        <v/>
      </c>
      <c r="D980" s="55" t="str">
        <f>IF(دانش‌آموزان!C86="","",دانش‌آموزان!C86)</f>
        <v/>
      </c>
      <c r="E980" s="55" t="str">
        <f>IF(دانش‌آموزان!E86="","",دانش‌آموزان!E86&amp;" "&amp;دانش‌آموزان!F86)</f>
        <v/>
      </c>
      <c r="F980" s="34" t="str">
        <f>IF(دانش‌آموزان!I86="","",دانش‌آموزان!I86)</f>
        <v/>
      </c>
      <c r="G980" s="19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  <c r="BJ980" s="20"/>
      <c r="BK980" s="20"/>
      <c r="BL980" s="20"/>
      <c r="BM980" s="20"/>
      <c r="BN980" s="20"/>
      <c r="BO980" s="20"/>
      <c r="BP980" s="20"/>
      <c r="BQ980" s="20"/>
      <c r="BR980" s="20"/>
      <c r="BS980" s="20"/>
      <c r="BT980" s="20"/>
      <c r="BU980" s="20"/>
      <c r="BV980" s="20"/>
      <c r="BW980" s="20"/>
      <c r="BX980" s="20"/>
      <c r="BY980" s="20"/>
      <c r="BZ980" s="20"/>
      <c r="CA980" s="20"/>
      <c r="CB980" s="21"/>
      <c r="CC980" s="27" t="str">
        <f t="shared" si="165"/>
        <v/>
      </c>
      <c r="CD980" s="38" t="str">
        <f t="shared" si="166"/>
        <v/>
      </c>
      <c r="CE980" s="38" t="str">
        <f t="shared" si="167"/>
        <v/>
      </c>
      <c r="CF980" s="38" t="str">
        <f t="shared" si="168"/>
        <v/>
      </c>
      <c r="CG980" s="38" t="str">
        <f t="shared" si="169"/>
        <v/>
      </c>
      <c r="CH980" s="38" t="str">
        <f t="shared" si="170"/>
        <v/>
      </c>
      <c r="CI980" s="38" t="str">
        <f t="shared" si="171"/>
        <v/>
      </c>
      <c r="CJ980" s="38" t="str">
        <f t="shared" si="172"/>
        <v/>
      </c>
      <c r="CK980" s="38" t="str">
        <f t="shared" si="173"/>
        <v/>
      </c>
      <c r="CL980" s="38" t="str">
        <f>IF(C980="","",IF(COUNT(G980:AZ980)&lt;46,"",SUMPRODUCT(CC980:CK980,'تنظیمات وزن‌دهی'!$C$5:$C$13)/100))</f>
        <v/>
      </c>
      <c r="CM980" s="38" t="str">
        <f t="shared" si="174"/>
        <v/>
      </c>
      <c r="CN980" s="38">
        <v>4</v>
      </c>
      <c r="CO980" s="28" t="str">
        <f t="shared" si="175"/>
        <v/>
      </c>
      <c r="CP980" s="58"/>
    </row>
    <row r="981" spans="1:94" ht="17.25" hidden="1">
      <c r="A981" s="33">
        <v>977</v>
      </c>
      <c r="B981" s="55" t="s">
        <v>187</v>
      </c>
      <c r="C981" s="55" t="str">
        <f>IF(دانش‌آموزان!E86="","",دانش‌آموزان!B86)</f>
        <v/>
      </c>
      <c r="D981" s="55" t="str">
        <f>IF(دانش‌آموزان!C86="","",دانش‌آموزان!C86)</f>
        <v/>
      </c>
      <c r="E981" s="55" t="str">
        <f>IF(دانش‌آموزان!E86="","",دانش‌آموزان!E86&amp;" "&amp;دانش‌آموزان!F86)</f>
        <v/>
      </c>
      <c r="F981" s="34" t="str">
        <f>IF(دانش‌آموزان!I86="","",دانش‌آموزان!I86)</f>
        <v/>
      </c>
      <c r="G981" s="19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  <c r="BJ981" s="20"/>
      <c r="BK981" s="20"/>
      <c r="BL981" s="20"/>
      <c r="BM981" s="20"/>
      <c r="BN981" s="20"/>
      <c r="BO981" s="20"/>
      <c r="BP981" s="20"/>
      <c r="BQ981" s="20"/>
      <c r="BR981" s="20"/>
      <c r="BS981" s="20"/>
      <c r="BT981" s="20"/>
      <c r="BU981" s="20"/>
      <c r="BV981" s="20"/>
      <c r="BW981" s="20"/>
      <c r="BX981" s="20"/>
      <c r="BY981" s="20"/>
      <c r="BZ981" s="20"/>
      <c r="CA981" s="20"/>
      <c r="CB981" s="21"/>
      <c r="CC981" s="27" t="str">
        <f t="shared" si="165"/>
        <v/>
      </c>
      <c r="CD981" s="38" t="str">
        <f t="shared" si="166"/>
        <v/>
      </c>
      <c r="CE981" s="38" t="str">
        <f t="shared" si="167"/>
        <v/>
      </c>
      <c r="CF981" s="38" t="str">
        <f t="shared" si="168"/>
        <v/>
      </c>
      <c r="CG981" s="38" t="str">
        <f t="shared" si="169"/>
        <v/>
      </c>
      <c r="CH981" s="38" t="str">
        <f t="shared" si="170"/>
        <v/>
      </c>
      <c r="CI981" s="38" t="str">
        <f t="shared" si="171"/>
        <v/>
      </c>
      <c r="CJ981" s="38" t="str">
        <f t="shared" si="172"/>
        <v/>
      </c>
      <c r="CK981" s="38" t="str">
        <f t="shared" si="173"/>
        <v/>
      </c>
      <c r="CL981" s="38" t="str">
        <f>IF(C981="","",IF(COUNT(G981:AZ981)&lt;46,"",SUMPRODUCT(CC981:CK981,'تنظیمات وزن‌دهی'!$C$5:$C$13)/100))</f>
        <v/>
      </c>
      <c r="CM981" s="38" t="str">
        <f t="shared" si="174"/>
        <v/>
      </c>
      <c r="CN981" s="38">
        <v>5</v>
      </c>
      <c r="CO981" s="28" t="str">
        <f t="shared" si="175"/>
        <v/>
      </c>
      <c r="CP981" s="58"/>
    </row>
    <row r="982" spans="1:94" ht="17.25" hidden="1">
      <c r="A982" s="33">
        <v>978</v>
      </c>
      <c r="B982" s="55" t="s">
        <v>188</v>
      </c>
      <c r="C982" s="55" t="str">
        <f>IF(دانش‌آموزان!E86="","",دانش‌آموزان!B86)</f>
        <v/>
      </c>
      <c r="D982" s="55" t="str">
        <f>IF(دانش‌آموزان!C86="","",دانش‌آموزان!C86)</f>
        <v/>
      </c>
      <c r="E982" s="55" t="str">
        <f>IF(دانش‌آموزان!E86="","",دانش‌آموزان!E86&amp;" "&amp;دانش‌آموزان!F86)</f>
        <v/>
      </c>
      <c r="F982" s="34" t="str">
        <f>IF(دانش‌آموزان!I86="","",دانش‌آموزان!I86)</f>
        <v/>
      </c>
      <c r="G982" s="19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  <c r="BJ982" s="20"/>
      <c r="BK982" s="20"/>
      <c r="BL982" s="20"/>
      <c r="BM982" s="20"/>
      <c r="BN982" s="20"/>
      <c r="BO982" s="20"/>
      <c r="BP982" s="20"/>
      <c r="BQ982" s="20"/>
      <c r="BR982" s="20"/>
      <c r="BS982" s="20"/>
      <c r="BT982" s="20"/>
      <c r="BU982" s="20"/>
      <c r="BV982" s="20"/>
      <c r="BW982" s="20"/>
      <c r="BX982" s="20"/>
      <c r="BY982" s="20"/>
      <c r="BZ982" s="20"/>
      <c r="CA982" s="20"/>
      <c r="CB982" s="21"/>
      <c r="CC982" s="27" t="str">
        <f t="shared" si="165"/>
        <v/>
      </c>
      <c r="CD982" s="38" t="str">
        <f t="shared" si="166"/>
        <v/>
      </c>
      <c r="CE982" s="38" t="str">
        <f t="shared" si="167"/>
        <v/>
      </c>
      <c r="CF982" s="38" t="str">
        <f t="shared" si="168"/>
        <v/>
      </c>
      <c r="CG982" s="38" t="str">
        <f t="shared" si="169"/>
        <v/>
      </c>
      <c r="CH982" s="38" t="str">
        <f t="shared" si="170"/>
        <v/>
      </c>
      <c r="CI982" s="38" t="str">
        <f t="shared" si="171"/>
        <v/>
      </c>
      <c r="CJ982" s="38" t="str">
        <f t="shared" si="172"/>
        <v/>
      </c>
      <c r="CK982" s="38" t="str">
        <f t="shared" si="173"/>
        <v/>
      </c>
      <c r="CL982" s="38" t="str">
        <f>IF(C982="","",IF(COUNT(G982:AZ982)&lt;46,"",SUMPRODUCT(CC982:CK982,'تنظیمات وزن‌دهی'!$C$5:$C$13)/100))</f>
        <v/>
      </c>
      <c r="CM982" s="38" t="str">
        <f t="shared" si="174"/>
        <v/>
      </c>
      <c r="CN982" s="38">
        <v>6</v>
      </c>
      <c r="CO982" s="28" t="str">
        <f t="shared" si="175"/>
        <v/>
      </c>
      <c r="CP982" s="58"/>
    </row>
    <row r="983" spans="1:94" ht="17.25" hidden="1">
      <c r="A983" s="33">
        <v>979</v>
      </c>
      <c r="B983" s="55" t="s">
        <v>189</v>
      </c>
      <c r="C983" s="55" t="str">
        <f>IF(دانش‌آموزان!E86="","",دانش‌آموزان!B86)</f>
        <v/>
      </c>
      <c r="D983" s="55" t="str">
        <f>IF(دانش‌آموزان!C86="","",دانش‌آموزان!C86)</f>
        <v/>
      </c>
      <c r="E983" s="55" t="str">
        <f>IF(دانش‌آموزان!E86="","",دانش‌آموزان!E86&amp;" "&amp;دانش‌آموزان!F86)</f>
        <v/>
      </c>
      <c r="F983" s="34" t="str">
        <f>IF(دانش‌آموزان!I86="","",دانش‌آموزان!I86)</f>
        <v/>
      </c>
      <c r="G983" s="19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  <c r="BJ983" s="20"/>
      <c r="BK983" s="20"/>
      <c r="BL983" s="20"/>
      <c r="BM983" s="20"/>
      <c r="BN983" s="20"/>
      <c r="BO983" s="20"/>
      <c r="BP983" s="20"/>
      <c r="BQ983" s="20"/>
      <c r="BR983" s="20"/>
      <c r="BS983" s="20"/>
      <c r="BT983" s="20"/>
      <c r="BU983" s="20"/>
      <c r="BV983" s="20"/>
      <c r="BW983" s="20"/>
      <c r="BX983" s="20"/>
      <c r="BY983" s="20"/>
      <c r="BZ983" s="20"/>
      <c r="CA983" s="20"/>
      <c r="CB983" s="21"/>
      <c r="CC983" s="27" t="str">
        <f t="shared" si="165"/>
        <v/>
      </c>
      <c r="CD983" s="38" t="str">
        <f t="shared" si="166"/>
        <v/>
      </c>
      <c r="CE983" s="38" t="str">
        <f t="shared" si="167"/>
        <v/>
      </c>
      <c r="CF983" s="38" t="str">
        <f t="shared" si="168"/>
        <v/>
      </c>
      <c r="CG983" s="38" t="str">
        <f t="shared" si="169"/>
        <v/>
      </c>
      <c r="CH983" s="38" t="str">
        <f t="shared" si="170"/>
        <v/>
      </c>
      <c r="CI983" s="38" t="str">
        <f t="shared" si="171"/>
        <v/>
      </c>
      <c r="CJ983" s="38" t="str">
        <f t="shared" si="172"/>
        <v/>
      </c>
      <c r="CK983" s="38" t="str">
        <f t="shared" si="173"/>
        <v/>
      </c>
      <c r="CL983" s="38" t="str">
        <f>IF(C983="","",IF(COUNT(G983:AZ983)&lt;46,"",SUMPRODUCT(CC983:CK983,'تنظیمات وزن‌دهی'!$C$5:$C$13)/100))</f>
        <v/>
      </c>
      <c r="CM983" s="38" t="str">
        <f t="shared" si="174"/>
        <v/>
      </c>
      <c r="CN983" s="38">
        <v>7</v>
      </c>
      <c r="CO983" s="28" t="str">
        <f t="shared" si="175"/>
        <v/>
      </c>
      <c r="CP983" s="58"/>
    </row>
    <row r="984" spans="1:94" ht="17.25" hidden="1">
      <c r="A984" s="33">
        <v>980</v>
      </c>
      <c r="B984" s="55" t="s">
        <v>190</v>
      </c>
      <c r="C984" s="55" t="str">
        <f>IF(دانش‌آموزان!E86="","",دانش‌آموزان!B86)</f>
        <v/>
      </c>
      <c r="D984" s="55" t="str">
        <f>IF(دانش‌آموزان!C86="","",دانش‌آموزان!C86)</f>
        <v/>
      </c>
      <c r="E984" s="55" t="str">
        <f>IF(دانش‌آموزان!E86="","",دانش‌آموزان!E86&amp;" "&amp;دانش‌آموزان!F86)</f>
        <v/>
      </c>
      <c r="F984" s="34" t="str">
        <f>IF(دانش‌آموزان!I86="","",دانش‌آموزان!I86)</f>
        <v/>
      </c>
      <c r="G984" s="19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  <c r="BJ984" s="20"/>
      <c r="BK984" s="20"/>
      <c r="BL984" s="20"/>
      <c r="BM984" s="20"/>
      <c r="BN984" s="20"/>
      <c r="BO984" s="20"/>
      <c r="BP984" s="20"/>
      <c r="BQ984" s="20"/>
      <c r="BR984" s="20"/>
      <c r="BS984" s="20"/>
      <c r="BT984" s="20"/>
      <c r="BU984" s="20"/>
      <c r="BV984" s="20"/>
      <c r="BW984" s="20"/>
      <c r="BX984" s="20"/>
      <c r="BY984" s="20"/>
      <c r="BZ984" s="20"/>
      <c r="CA984" s="20"/>
      <c r="CB984" s="21"/>
      <c r="CC984" s="27" t="str">
        <f t="shared" si="165"/>
        <v/>
      </c>
      <c r="CD984" s="38" t="str">
        <f t="shared" si="166"/>
        <v/>
      </c>
      <c r="CE984" s="38" t="str">
        <f t="shared" si="167"/>
        <v/>
      </c>
      <c r="CF984" s="38" t="str">
        <f t="shared" si="168"/>
        <v/>
      </c>
      <c r="CG984" s="38" t="str">
        <f t="shared" si="169"/>
        <v/>
      </c>
      <c r="CH984" s="38" t="str">
        <f t="shared" si="170"/>
        <v/>
      </c>
      <c r="CI984" s="38" t="str">
        <f t="shared" si="171"/>
        <v/>
      </c>
      <c r="CJ984" s="38" t="str">
        <f t="shared" si="172"/>
        <v/>
      </c>
      <c r="CK984" s="38" t="str">
        <f t="shared" si="173"/>
        <v/>
      </c>
      <c r="CL984" s="38" t="str">
        <f>IF(C984="","",IF(COUNT(G984:AZ984)&lt;46,"",SUMPRODUCT(CC984:CK984,'تنظیمات وزن‌دهی'!$C$5:$C$13)/100))</f>
        <v/>
      </c>
      <c r="CM984" s="38" t="str">
        <f t="shared" si="174"/>
        <v/>
      </c>
      <c r="CN984" s="38">
        <v>8</v>
      </c>
      <c r="CO984" s="28" t="str">
        <f t="shared" si="175"/>
        <v/>
      </c>
      <c r="CP984" s="58"/>
    </row>
    <row r="985" spans="1:94" ht="17.25" hidden="1">
      <c r="A985" s="33">
        <v>981</v>
      </c>
      <c r="B985" s="55" t="s">
        <v>191</v>
      </c>
      <c r="C985" s="55" t="str">
        <f>IF(دانش‌آموزان!E86="","",دانش‌آموزان!B86)</f>
        <v/>
      </c>
      <c r="D985" s="55" t="str">
        <f>IF(دانش‌آموزان!C86="","",دانش‌آموزان!C86)</f>
        <v/>
      </c>
      <c r="E985" s="55" t="str">
        <f>IF(دانش‌آموزان!E86="","",دانش‌آموزان!E86&amp;" "&amp;دانش‌آموزان!F86)</f>
        <v/>
      </c>
      <c r="F985" s="34" t="str">
        <f>IF(دانش‌آموزان!I86="","",دانش‌آموزان!I86)</f>
        <v/>
      </c>
      <c r="G985" s="19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  <c r="BJ985" s="20"/>
      <c r="BK985" s="20"/>
      <c r="BL985" s="20"/>
      <c r="BM985" s="20"/>
      <c r="BN985" s="20"/>
      <c r="BO985" s="20"/>
      <c r="BP985" s="20"/>
      <c r="BQ985" s="20"/>
      <c r="BR985" s="20"/>
      <c r="BS985" s="20"/>
      <c r="BT985" s="20"/>
      <c r="BU985" s="20"/>
      <c r="BV985" s="20"/>
      <c r="BW985" s="20"/>
      <c r="BX985" s="20"/>
      <c r="BY985" s="20"/>
      <c r="BZ985" s="20"/>
      <c r="CA985" s="20"/>
      <c r="CB985" s="21"/>
      <c r="CC985" s="27" t="str">
        <f t="shared" si="165"/>
        <v/>
      </c>
      <c r="CD985" s="38" t="str">
        <f t="shared" si="166"/>
        <v/>
      </c>
      <c r="CE985" s="38" t="str">
        <f t="shared" si="167"/>
        <v/>
      </c>
      <c r="CF985" s="38" t="str">
        <f t="shared" si="168"/>
        <v/>
      </c>
      <c r="CG985" s="38" t="str">
        <f t="shared" si="169"/>
        <v/>
      </c>
      <c r="CH985" s="38" t="str">
        <f t="shared" si="170"/>
        <v/>
      </c>
      <c r="CI985" s="38" t="str">
        <f t="shared" si="171"/>
        <v/>
      </c>
      <c r="CJ985" s="38" t="str">
        <f t="shared" si="172"/>
        <v/>
      </c>
      <c r="CK985" s="38" t="str">
        <f t="shared" si="173"/>
        <v/>
      </c>
      <c r="CL985" s="38" t="str">
        <f>IF(C985="","",IF(COUNT(G985:AZ985)&lt;46,"",SUMPRODUCT(CC985:CK985,'تنظیمات وزن‌دهی'!$C$5:$C$13)/100))</f>
        <v/>
      </c>
      <c r="CM985" s="38" t="str">
        <f t="shared" si="174"/>
        <v/>
      </c>
      <c r="CN985" s="38">
        <v>9</v>
      </c>
      <c r="CO985" s="28" t="str">
        <f t="shared" si="175"/>
        <v/>
      </c>
      <c r="CP985" s="58"/>
    </row>
    <row r="986" spans="1:94" ht="17.25" hidden="1">
      <c r="A986" s="33">
        <v>982</v>
      </c>
      <c r="B986" s="55" t="s">
        <v>192</v>
      </c>
      <c r="C986" s="55" t="str">
        <f>IF(دانش‌آموزان!E86="","",دانش‌آموزان!B86)</f>
        <v/>
      </c>
      <c r="D986" s="55" t="str">
        <f>IF(دانش‌آموزان!C86="","",دانش‌آموزان!C86)</f>
        <v/>
      </c>
      <c r="E986" s="55" t="str">
        <f>IF(دانش‌آموزان!E86="","",دانش‌آموزان!E86&amp;" "&amp;دانش‌آموزان!F86)</f>
        <v/>
      </c>
      <c r="F986" s="34" t="str">
        <f>IF(دانش‌آموزان!I86="","",دانش‌آموزان!I86)</f>
        <v/>
      </c>
      <c r="G986" s="19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  <c r="BJ986" s="20"/>
      <c r="BK986" s="20"/>
      <c r="BL986" s="20"/>
      <c r="BM986" s="20"/>
      <c r="BN986" s="20"/>
      <c r="BO986" s="20"/>
      <c r="BP986" s="20"/>
      <c r="BQ986" s="20"/>
      <c r="BR986" s="20"/>
      <c r="BS986" s="20"/>
      <c r="BT986" s="20"/>
      <c r="BU986" s="20"/>
      <c r="BV986" s="20"/>
      <c r="BW986" s="20"/>
      <c r="BX986" s="20"/>
      <c r="BY986" s="20"/>
      <c r="BZ986" s="20"/>
      <c r="CA986" s="20"/>
      <c r="CB986" s="21"/>
      <c r="CC986" s="27" t="str">
        <f t="shared" si="165"/>
        <v/>
      </c>
      <c r="CD986" s="38" t="str">
        <f t="shared" si="166"/>
        <v/>
      </c>
      <c r="CE986" s="38" t="str">
        <f t="shared" si="167"/>
        <v/>
      </c>
      <c r="CF986" s="38" t="str">
        <f t="shared" si="168"/>
        <v/>
      </c>
      <c r="CG986" s="38" t="str">
        <f t="shared" si="169"/>
        <v/>
      </c>
      <c r="CH986" s="38" t="str">
        <f t="shared" si="170"/>
        <v/>
      </c>
      <c r="CI986" s="38" t="str">
        <f t="shared" si="171"/>
        <v/>
      </c>
      <c r="CJ986" s="38" t="str">
        <f t="shared" si="172"/>
        <v/>
      </c>
      <c r="CK986" s="38" t="str">
        <f t="shared" si="173"/>
        <v/>
      </c>
      <c r="CL986" s="38" t="str">
        <f>IF(C986="","",IF(COUNT(G986:AZ986)&lt;46,"",SUMPRODUCT(CC986:CK986,'تنظیمات وزن‌دهی'!$C$5:$C$13)/100))</f>
        <v/>
      </c>
      <c r="CM986" s="38" t="str">
        <f t="shared" si="174"/>
        <v/>
      </c>
      <c r="CN986" s="38">
        <v>10</v>
      </c>
      <c r="CO986" s="28" t="str">
        <f t="shared" si="175"/>
        <v/>
      </c>
      <c r="CP986" s="58"/>
    </row>
    <row r="987" spans="1:94" ht="17.25" hidden="1">
      <c r="A987" s="33">
        <v>983</v>
      </c>
      <c r="B987" s="55" t="s">
        <v>193</v>
      </c>
      <c r="C987" s="55" t="str">
        <f>IF(دانش‌آموزان!E86="","",دانش‌آموزان!B86)</f>
        <v/>
      </c>
      <c r="D987" s="55" t="str">
        <f>IF(دانش‌آموزان!C86="","",دانش‌آموزان!C86)</f>
        <v/>
      </c>
      <c r="E987" s="55" t="str">
        <f>IF(دانش‌آموزان!E86="","",دانش‌آموزان!E86&amp;" "&amp;دانش‌آموزان!F86)</f>
        <v/>
      </c>
      <c r="F987" s="34" t="str">
        <f>IF(دانش‌آموزان!I86="","",دانش‌آموزان!I86)</f>
        <v/>
      </c>
      <c r="G987" s="19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  <c r="BJ987" s="20"/>
      <c r="BK987" s="20"/>
      <c r="BL987" s="20"/>
      <c r="BM987" s="20"/>
      <c r="BN987" s="20"/>
      <c r="BO987" s="20"/>
      <c r="BP987" s="20"/>
      <c r="BQ987" s="20"/>
      <c r="BR987" s="20"/>
      <c r="BS987" s="20"/>
      <c r="BT987" s="20"/>
      <c r="BU987" s="20"/>
      <c r="BV987" s="20"/>
      <c r="BW987" s="20"/>
      <c r="BX987" s="20"/>
      <c r="BY987" s="20"/>
      <c r="BZ987" s="20"/>
      <c r="CA987" s="20"/>
      <c r="CB987" s="21"/>
      <c r="CC987" s="27" t="str">
        <f t="shared" si="165"/>
        <v/>
      </c>
      <c r="CD987" s="38" t="str">
        <f t="shared" si="166"/>
        <v/>
      </c>
      <c r="CE987" s="38" t="str">
        <f t="shared" si="167"/>
        <v/>
      </c>
      <c r="CF987" s="38" t="str">
        <f t="shared" si="168"/>
        <v/>
      </c>
      <c r="CG987" s="38" t="str">
        <f t="shared" si="169"/>
        <v/>
      </c>
      <c r="CH987" s="38" t="str">
        <f t="shared" si="170"/>
        <v/>
      </c>
      <c r="CI987" s="38" t="str">
        <f t="shared" si="171"/>
        <v/>
      </c>
      <c r="CJ987" s="38" t="str">
        <f t="shared" si="172"/>
        <v/>
      </c>
      <c r="CK987" s="38" t="str">
        <f t="shared" si="173"/>
        <v/>
      </c>
      <c r="CL987" s="38" t="str">
        <f>IF(C987="","",IF(COUNT(G987:AZ987)&lt;46,"",SUMPRODUCT(CC987:CK987,'تنظیمات وزن‌دهی'!$C$5:$C$13)/100))</f>
        <v/>
      </c>
      <c r="CM987" s="38" t="str">
        <f t="shared" si="174"/>
        <v/>
      </c>
      <c r="CN987" s="38">
        <v>11</v>
      </c>
      <c r="CO987" s="28" t="str">
        <f t="shared" si="175"/>
        <v/>
      </c>
      <c r="CP987" s="58"/>
    </row>
    <row r="988" spans="1:94" ht="17.25" hidden="1">
      <c r="A988" s="33">
        <v>984</v>
      </c>
      <c r="B988" s="55" t="s">
        <v>194</v>
      </c>
      <c r="C988" s="55" t="str">
        <f>IF(دانش‌آموزان!E86="","",دانش‌آموزان!B86)</f>
        <v/>
      </c>
      <c r="D988" s="55" t="str">
        <f>IF(دانش‌آموزان!C86="","",دانش‌آموزان!C86)</f>
        <v/>
      </c>
      <c r="E988" s="55" t="str">
        <f>IF(دانش‌آموزان!E86="","",دانش‌آموزان!E86&amp;" "&amp;دانش‌آموزان!F86)</f>
        <v/>
      </c>
      <c r="F988" s="34" t="str">
        <f>IF(دانش‌آموزان!I86="","",دانش‌آموزان!I86)</f>
        <v/>
      </c>
      <c r="G988" s="19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  <c r="BH988" s="20"/>
      <c r="BI988" s="20"/>
      <c r="BJ988" s="20"/>
      <c r="BK988" s="20"/>
      <c r="BL988" s="20"/>
      <c r="BM988" s="20"/>
      <c r="BN988" s="20"/>
      <c r="BO988" s="20"/>
      <c r="BP988" s="20"/>
      <c r="BQ988" s="20"/>
      <c r="BR988" s="20"/>
      <c r="BS988" s="20"/>
      <c r="BT988" s="20"/>
      <c r="BU988" s="20"/>
      <c r="BV988" s="20"/>
      <c r="BW988" s="20"/>
      <c r="BX988" s="20"/>
      <c r="BY988" s="20"/>
      <c r="BZ988" s="20"/>
      <c r="CA988" s="20"/>
      <c r="CB988" s="21"/>
      <c r="CC988" s="27" t="str">
        <f t="shared" si="165"/>
        <v/>
      </c>
      <c r="CD988" s="38" t="str">
        <f t="shared" si="166"/>
        <v/>
      </c>
      <c r="CE988" s="38" t="str">
        <f t="shared" si="167"/>
        <v/>
      </c>
      <c r="CF988" s="38" t="str">
        <f t="shared" si="168"/>
        <v/>
      </c>
      <c r="CG988" s="38" t="str">
        <f t="shared" si="169"/>
        <v/>
      </c>
      <c r="CH988" s="38" t="str">
        <f t="shared" si="170"/>
        <v/>
      </c>
      <c r="CI988" s="38" t="str">
        <f t="shared" si="171"/>
        <v/>
      </c>
      <c r="CJ988" s="38" t="str">
        <f t="shared" si="172"/>
        <v/>
      </c>
      <c r="CK988" s="38" t="str">
        <f t="shared" si="173"/>
        <v/>
      </c>
      <c r="CL988" s="38" t="str">
        <f>IF(C988="","",IF(COUNT(G988:AZ988)&lt;46,"",SUMPRODUCT(CC988:CK988,'تنظیمات وزن‌دهی'!$C$5:$C$13)/100))</f>
        <v/>
      </c>
      <c r="CM988" s="38" t="str">
        <f t="shared" si="174"/>
        <v/>
      </c>
      <c r="CN988" s="38">
        <v>12</v>
      </c>
      <c r="CO988" s="28" t="str">
        <f t="shared" si="175"/>
        <v/>
      </c>
      <c r="CP988" s="58"/>
    </row>
    <row r="989" spans="1:94" ht="17.25" hidden="1">
      <c r="A989" s="33">
        <v>985</v>
      </c>
      <c r="B989" s="55" t="s">
        <v>183</v>
      </c>
      <c r="C989" s="55" t="str">
        <f>IF(دانش‌آموزان!E87="","",دانش‌آموزان!B87)</f>
        <v/>
      </c>
      <c r="D989" s="55" t="str">
        <f>IF(دانش‌آموزان!C87="","",دانش‌آموزان!C87)</f>
        <v/>
      </c>
      <c r="E989" s="55" t="str">
        <f>IF(دانش‌آموزان!E87="","",دانش‌آموزان!E87&amp;" "&amp;دانش‌آموزان!F87)</f>
        <v/>
      </c>
      <c r="F989" s="34" t="str">
        <f>IF(دانش‌آموزان!I87="","",دانش‌آموزان!I87)</f>
        <v/>
      </c>
      <c r="G989" s="19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  <c r="BI989" s="20"/>
      <c r="BJ989" s="20"/>
      <c r="BK989" s="20"/>
      <c r="BL989" s="20"/>
      <c r="BM989" s="20"/>
      <c r="BN989" s="20"/>
      <c r="BO989" s="20"/>
      <c r="BP989" s="20"/>
      <c r="BQ989" s="20"/>
      <c r="BR989" s="20"/>
      <c r="BS989" s="20"/>
      <c r="BT989" s="20"/>
      <c r="BU989" s="20"/>
      <c r="BV989" s="20"/>
      <c r="BW989" s="20"/>
      <c r="BX989" s="20"/>
      <c r="BY989" s="20"/>
      <c r="BZ989" s="20"/>
      <c r="CA989" s="20"/>
      <c r="CB989" s="21"/>
      <c r="CC989" s="27" t="str">
        <f t="shared" si="165"/>
        <v/>
      </c>
      <c r="CD989" s="38" t="str">
        <f t="shared" si="166"/>
        <v/>
      </c>
      <c r="CE989" s="38" t="str">
        <f t="shared" si="167"/>
        <v/>
      </c>
      <c r="CF989" s="38" t="str">
        <f t="shared" si="168"/>
        <v/>
      </c>
      <c r="CG989" s="38" t="str">
        <f t="shared" si="169"/>
        <v/>
      </c>
      <c r="CH989" s="38" t="str">
        <f t="shared" si="170"/>
        <v/>
      </c>
      <c r="CI989" s="38" t="str">
        <f t="shared" si="171"/>
        <v/>
      </c>
      <c r="CJ989" s="38" t="str">
        <f t="shared" si="172"/>
        <v/>
      </c>
      <c r="CK989" s="38" t="str">
        <f t="shared" si="173"/>
        <v/>
      </c>
      <c r="CL989" s="38" t="str">
        <f>IF(C989="","",IF(COUNT(G989:AZ989)&lt;46,"",SUMPRODUCT(CC989:CK989,'تنظیمات وزن‌دهی'!$C$5:$C$13)/100))</f>
        <v/>
      </c>
      <c r="CM989" s="38" t="str">
        <f t="shared" si="174"/>
        <v/>
      </c>
      <c r="CN989" s="38">
        <v>1</v>
      </c>
      <c r="CO989" s="28" t="str">
        <f t="shared" si="175"/>
        <v/>
      </c>
      <c r="CP989" s="58"/>
    </row>
    <row r="990" spans="1:94" ht="17.25" hidden="1">
      <c r="A990" s="33">
        <v>986</v>
      </c>
      <c r="B990" s="55" t="s">
        <v>184</v>
      </c>
      <c r="C990" s="55" t="str">
        <f>IF(دانش‌آموزان!E87="","",دانش‌آموزان!B87)</f>
        <v/>
      </c>
      <c r="D990" s="55" t="str">
        <f>IF(دانش‌آموزان!C87="","",دانش‌آموزان!C87)</f>
        <v/>
      </c>
      <c r="E990" s="55" t="str">
        <f>IF(دانش‌آموزان!E87="","",دانش‌آموزان!E87&amp;" "&amp;دانش‌آموزان!F87)</f>
        <v/>
      </c>
      <c r="F990" s="34" t="str">
        <f>IF(دانش‌آموزان!I87="","",دانش‌آموزان!I87)</f>
        <v/>
      </c>
      <c r="G990" s="19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  <c r="BJ990" s="20"/>
      <c r="BK990" s="20"/>
      <c r="BL990" s="20"/>
      <c r="BM990" s="20"/>
      <c r="BN990" s="20"/>
      <c r="BO990" s="20"/>
      <c r="BP990" s="20"/>
      <c r="BQ990" s="20"/>
      <c r="BR990" s="20"/>
      <c r="BS990" s="20"/>
      <c r="BT990" s="20"/>
      <c r="BU990" s="20"/>
      <c r="BV990" s="20"/>
      <c r="BW990" s="20"/>
      <c r="BX990" s="20"/>
      <c r="BY990" s="20"/>
      <c r="BZ990" s="20"/>
      <c r="CA990" s="20"/>
      <c r="CB990" s="21"/>
      <c r="CC990" s="27" t="str">
        <f t="shared" si="165"/>
        <v/>
      </c>
      <c r="CD990" s="38" t="str">
        <f t="shared" si="166"/>
        <v/>
      </c>
      <c r="CE990" s="38" t="str">
        <f t="shared" si="167"/>
        <v/>
      </c>
      <c r="CF990" s="38" t="str">
        <f t="shared" si="168"/>
        <v/>
      </c>
      <c r="CG990" s="38" t="str">
        <f t="shared" si="169"/>
        <v/>
      </c>
      <c r="CH990" s="38" t="str">
        <f t="shared" si="170"/>
        <v/>
      </c>
      <c r="CI990" s="38" t="str">
        <f t="shared" si="171"/>
        <v/>
      </c>
      <c r="CJ990" s="38" t="str">
        <f t="shared" si="172"/>
        <v/>
      </c>
      <c r="CK990" s="38" t="str">
        <f t="shared" si="173"/>
        <v/>
      </c>
      <c r="CL990" s="38" t="str">
        <f>IF(C990="","",IF(COUNT(G990:AZ990)&lt;46,"",SUMPRODUCT(CC990:CK990,'تنظیمات وزن‌دهی'!$C$5:$C$13)/100))</f>
        <v/>
      </c>
      <c r="CM990" s="38" t="str">
        <f t="shared" si="174"/>
        <v/>
      </c>
      <c r="CN990" s="38">
        <v>2</v>
      </c>
      <c r="CO990" s="28" t="str">
        <f t="shared" si="175"/>
        <v/>
      </c>
      <c r="CP990" s="58"/>
    </row>
    <row r="991" spans="1:94" ht="17.25">
      <c r="A991" s="33">
        <v>987</v>
      </c>
      <c r="B991" s="55" t="s">
        <v>185</v>
      </c>
      <c r="C991" s="55" t="str">
        <f>IF(دانش‌آموزان!E87="","",دانش‌آموزان!B87)</f>
        <v/>
      </c>
      <c r="D991" s="55" t="str">
        <f>IF(دانش‌آموزان!C87="","",دانش‌آموزان!C87)</f>
        <v/>
      </c>
      <c r="E991" s="55" t="str">
        <f>IF(دانش‌آموزان!E87="","",دانش‌آموزان!E87&amp;" "&amp;دانش‌آموزان!F87)</f>
        <v/>
      </c>
      <c r="F991" s="34" t="str">
        <f>IF(دانش‌آموزان!I87="","",دانش‌آموزان!I87)</f>
        <v/>
      </c>
      <c r="G991" s="19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  <c r="BJ991" s="20"/>
      <c r="BK991" s="20"/>
      <c r="BL991" s="20"/>
      <c r="BM991" s="20"/>
      <c r="BN991" s="20"/>
      <c r="BO991" s="20"/>
      <c r="BP991" s="20"/>
      <c r="BQ991" s="20"/>
      <c r="BR991" s="20"/>
      <c r="BS991" s="20"/>
      <c r="BT991" s="20"/>
      <c r="BU991" s="20"/>
      <c r="BV991" s="20"/>
      <c r="BW991" s="20"/>
      <c r="BX991" s="20"/>
      <c r="BY991" s="20"/>
      <c r="BZ991" s="20"/>
      <c r="CA991" s="20"/>
      <c r="CB991" s="21"/>
      <c r="CC991" s="27" t="str">
        <f t="shared" si="165"/>
        <v/>
      </c>
      <c r="CD991" s="38" t="str">
        <f t="shared" si="166"/>
        <v/>
      </c>
      <c r="CE991" s="38" t="str">
        <f t="shared" si="167"/>
        <v/>
      </c>
      <c r="CF991" s="38" t="str">
        <f t="shared" si="168"/>
        <v/>
      </c>
      <c r="CG991" s="38" t="str">
        <f t="shared" si="169"/>
        <v/>
      </c>
      <c r="CH991" s="38" t="str">
        <f t="shared" si="170"/>
        <v/>
      </c>
      <c r="CI991" s="38" t="str">
        <f t="shared" si="171"/>
        <v/>
      </c>
      <c r="CJ991" s="38" t="str">
        <f t="shared" si="172"/>
        <v/>
      </c>
      <c r="CK991" s="38" t="str">
        <f t="shared" si="173"/>
        <v/>
      </c>
      <c r="CL991" s="38" t="str">
        <f>IF(C991="","",IF(COUNT(G991:AZ991)&lt;46,"",SUMPRODUCT(CC991:CK991,'تنظیمات وزن‌دهی'!$C$5:$C$13)/100))</f>
        <v/>
      </c>
      <c r="CM991" s="38" t="str">
        <f t="shared" si="174"/>
        <v/>
      </c>
      <c r="CN991" s="38">
        <v>3</v>
      </c>
      <c r="CO991" s="28" t="str">
        <f t="shared" si="175"/>
        <v/>
      </c>
      <c r="CP991" s="58"/>
    </row>
    <row r="992" spans="1:94" ht="17.25" hidden="1">
      <c r="A992" s="33">
        <v>988</v>
      </c>
      <c r="B992" s="55" t="s">
        <v>186</v>
      </c>
      <c r="C992" s="55" t="str">
        <f>IF(دانش‌آموزان!E87="","",دانش‌آموزان!B87)</f>
        <v/>
      </c>
      <c r="D992" s="55" t="str">
        <f>IF(دانش‌آموزان!C87="","",دانش‌آموزان!C87)</f>
        <v/>
      </c>
      <c r="E992" s="55" t="str">
        <f>IF(دانش‌آموزان!E87="","",دانش‌آموزان!E87&amp;" "&amp;دانش‌آموزان!F87)</f>
        <v/>
      </c>
      <c r="F992" s="34" t="str">
        <f>IF(دانش‌آموزان!I87="","",دانش‌آموزان!I87)</f>
        <v/>
      </c>
      <c r="G992" s="19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  <c r="BJ992" s="20"/>
      <c r="BK992" s="20"/>
      <c r="BL992" s="20"/>
      <c r="BM992" s="20"/>
      <c r="BN992" s="20"/>
      <c r="BO992" s="20"/>
      <c r="BP992" s="20"/>
      <c r="BQ992" s="20"/>
      <c r="BR992" s="20"/>
      <c r="BS992" s="20"/>
      <c r="BT992" s="20"/>
      <c r="BU992" s="20"/>
      <c r="BV992" s="20"/>
      <c r="BW992" s="20"/>
      <c r="BX992" s="20"/>
      <c r="BY992" s="20"/>
      <c r="BZ992" s="20"/>
      <c r="CA992" s="20"/>
      <c r="CB992" s="21"/>
      <c r="CC992" s="27" t="str">
        <f t="shared" si="165"/>
        <v/>
      </c>
      <c r="CD992" s="38" t="str">
        <f t="shared" si="166"/>
        <v/>
      </c>
      <c r="CE992" s="38" t="str">
        <f t="shared" si="167"/>
        <v/>
      </c>
      <c r="CF992" s="38" t="str">
        <f t="shared" si="168"/>
        <v/>
      </c>
      <c r="CG992" s="38" t="str">
        <f t="shared" si="169"/>
        <v/>
      </c>
      <c r="CH992" s="38" t="str">
        <f t="shared" si="170"/>
        <v/>
      </c>
      <c r="CI992" s="38" t="str">
        <f t="shared" si="171"/>
        <v/>
      </c>
      <c r="CJ992" s="38" t="str">
        <f t="shared" si="172"/>
        <v/>
      </c>
      <c r="CK992" s="38" t="str">
        <f t="shared" si="173"/>
        <v/>
      </c>
      <c r="CL992" s="38" t="str">
        <f>IF(C992="","",IF(COUNT(G992:AZ992)&lt;46,"",SUMPRODUCT(CC992:CK992,'تنظیمات وزن‌دهی'!$C$5:$C$13)/100))</f>
        <v/>
      </c>
      <c r="CM992" s="38" t="str">
        <f t="shared" si="174"/>
        <v/>
      </c>
      <c r="CN992" s="38">
        <v>4</v>
      </c>
      <c r="CO992" s="28" t="str">
        <f t="shared" si="175"/>
        <v/>
      </c>
      <c r="CP992" s="58"/>
    </row>
    <row r="993" spans="1:94" ht="17.25" hidden="1">
      <c r="A993" s="33">
        <v>989</v>
      </c>
      <c r="B993" s="55" t="s">
        <v>187</v>
      </c>
      <c r="C993" s="55" t="str">
        <f>IF(دانش‌آموزان!E87="","",دانش‌آموزان!B87)</f>
        <v/>
      </c>
      <c r="D993" s="55" t="str">
        <f>IF(دانش‌آموزان!C87="","",دانش‌آموزان!C87)</f>
        <v/>
      </c>
      <c r="E993" s="55" t="str">
        <f>IF(دانش‌آموزان!E87="","",دانش‌آموزان!E87&amp;" "&amp;دانش‌آموزان!F87)</f>
        <v/>
      </c>
      <c r="F993" s="34" t="str">
        <f>IF(دانش‌آموزان!I87="","",دانش‌آموزان!I87)</f>
        <v/>
      </c>
      <c r="G993" s="19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  <c r="BJ993" s="20"/>
      <c r="BK993" s="20"/>
      <c r="BL993" s="20"/>
      <c r="BM993" s="20"/>
      <c r="BN993" s="20"/>
      <c r="BO993" s="20"/>
      <c r="BP993" s="20"/>
      <c r="BQ993" s="20"/>
      <c r="BR993" s="20"/>
      <c r="BS993" s="20"/>
      <c r="BT993" s="20"/>
      <c r="BU993" s="20"/>
      <c r="BV993" s="20"/>
      <c r="BW993" s="20"/>
      <c r="BX993" s="20"/>
      <c r="BY993" s="20"/>
      <c r="BZ993" s="20"/>
      <c r="CA993" s="20"/>
      <c r="CB993" s="21"/>
      <c r="CC993" s="27" t="str">
        <f t="shared" si="165"/>
        <v/>
      </c>
      <c r="CD993" s="38" t="str">
        <f t="shared" si="166"/>
        <v/>
      </c>
      <c r="CE993" s="38" t="str">
        <f t="shared" si="167"/>
        <v/>
      </c>
      <c r="CF993" s="38" t="str">
        <f t="shared" si="168"/>
        <v/>
      </c>
      <c r="CG993" s="38" t="str">
        <f t="shared" si="169"/>
        <v/>
      </c>
      <c r="CH993" s="38" t="str">
        <f t="shared" si="170"/>
        <v/>
      </c>
      <c r="CI993" s="38" t="str">
        <f t="shared" si="171"/>
        <v/>
      </c>
      <c r="CJ993" s="38" t="str">
        <f t="shared" si="172"/>
        <v/>
      </c>
      <c r="CK993" s="38" t="str">
        <f t="shared" si="173"/>
        <v/>
      </c>
      <c r="CL993" s="38" t="str">
        <f>IF(C993="","",IF(COUNT(G993:AZ993)&lt;46,"",SUMPRODUCT(CC993:CK993,'تنظیمات وزن‌دهی'!$C$5:$C$13)/100))</f>
        <v/>
      </c>
      <c r="CM993" s="38" t="str">
        <f t="shared" si="174"/>
        <v/>
      </c>
      <c r="CN993" s="38">
        <v>5</v>
      </c>
      <c r="CO993" s="28" t="str">
        <f t="shared" si="175"/>
        <v/>
      </c>
      <c r="CP993" s="58"/>
    </row>
    <row r="994" spans="1:94" ht="17.25" hidden="1">
      <c r="A994" s="33">
        <v>990</v>
      </c>
      <c r="B994" s="55" t="s">
        <v>188</v>
      </c>
      <c r="C994" s="55" t="str">
        <f>IF(دانش‌آموزان!E87="","",دانش‌آموزان!B87)</f>
        <v/>
      </c>
      <c r="D994" s="55" t="str">
        <f>IF(دانش‌آموزان!C87="","",دانش‌آموزان!C87)</f>
        <v/>
      </c>
      <c r="E994" s="55" t="str">
        <f>IF(دانش‌آموزان!E87="","",دانش‌آموزان!E87&amp;" "&amp;دانش‌آموزان!F87)</f>
        <v/>
      </c>
      <c r="F994" s="34" t="str">
        <f>IF(دانش‌آموزان!I87="","",دانش‌آموزان!I87)</f>
        <v/>
      </c>
      <c r="G994" s="19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  <c r="BJ994" s="20"/>
      <c r="BK994" s="20"/>
      <c r="BL994" s="20"/>
      <c r="BM994" s="20"/>
      <c r="BN994" s="20"/>
      <c r="BO994" s="20"/>
      <c r="BP994" s="20"/>
      <c r="BQ994" s="20"/>
      <c r="BR994" s="20"/>
      <c r="BS994" s="20"/>
      <c r="BT994" s="20"/>
      <c r="BU994" s="20"/>
      <c r="BV994" s="20"/>
      <c r="BW994" s="20"/>
      <c r="BX994" s="20"/>
      <c r="BY994" s="20"/>
      <c r="BZ994" s="20"/>
      <c r="CA994" s="20"/>
      <c r="CB994" s="21"/>
      <c r="CC994" s="27" t="str">
        <f t="shared" si="165"/>
        <v/>
      </c>
      <c r="CD994" s="38" t="str">
        <f t="shared" si="166"/>
        <v/>
      </c>
      <c r="CE994" s="38" t="str">
        <f t="shared" si="167"/>
        <v/>
      </c>
      <c r="CF994" s="38" t="str">
        <f t="shared" si="168"/>
        <v/>
      </c>
      <c r="CG994" s="38" t="str">
        <f t="shared" si="169"/>
        <v/>
      </c>
      <c r="CH994" s="38" t="str">
        <f t="shared" si="170"/>
        <v/>
      </c>
      <c r="CI994" s="38" t="str">
        <f t="shared" si="171"/>
        <v/>
      </c>
      <c r="CJ994" s="38" t="str">
        <f t="shared" si="172"/>
        <v/>
      </c>
      <c r="CK994" s="38" t="str">
        <f t="shared" si="173"/>
        <v/>
      </c>
      <c r="CL994" s="38" t="str">
        <f>IF(C994="","",IF(COUNT(G994:AZ994)&lt;46,"",SUMPRODUCT(CC994:CK994,'تنظیمات وزن‌دهی'!$C$5:$C$13)/100))</f>
        <v/>
      </c>
      <c r="CM994" s="38" t="str">
        <f t="shared" si="174"/>
        <v/>
      </c>
      <c r="CN994" s="38">
        <v>6</v>
      </c>
      <c r="CO994" s="28" t="str">
        <f t="shared" si="175"/>
        <v/>
      </c>
      <c r="CP994" s="58"/>
    </row>
    <row r="995" spans="1:94" ht="17.25" hidden="1">
      <c r="A995" s="33">
        <v>991</v>
      </c>
      <c r="B995" s="55" t="s">
        <v>189</v>
      </c>
      <c r="C995" s="55" t="str">
        <f>IF(دانش‌آموزان!E87="","",دانش‌آموزان!B87)</f>
        <v/>
      </c>
      <c r="D995" s="55" t="str">
        <f>IF(دانش‌آموزان!C87="","",دانش‌آموزان!C87)</f>
        <v/>
      </c>
      <c r="E995" s="55" t="str">
        <f>IF(دانش‌آموزان!E87="","",دانش‌آموزان!E87&amp;" "&amp;دانش‌آموزان!F87)</f>
        <v/>
      </c>
      <c r="F995" s="34" t="str">
        <f>IF(دانش‌آموزان!I87="","",دانش‌آموزان!I87)</f>
        <v/>
      </c>
      <c r="G995" s="19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  <c r="BH995" s="20"/>
      <c r="BI995" s="20"/>
      <c r="BJ995" s="20"/>
      <c r="BK995" s="20"/>
      <c r="BL995" s="20"/>
      <c r="BM995" s="20"/>
      <c r="BN995" s="20"/>
      <c r="BO995" s="20"/>
      <c r="BP995" s="20"/>
      <c r="BQ995" s="20"/>
      <c r="BR995" s="20"/>
      <c r="BS995" s="20"/>
      <c r="BT995" s="20"/>
      <c r="BU995" s="20"/>
      <c r="BV995" s="20"/>
      <c r="BW995" s="20"/>
      <c r="BX995" s="20"/>
      <c r="BY995" s="20"/>
      <c r="BZ995" s="20"/>
      <c r="CA995" s="20"/>
      <c r="CB995" s="21"/>
      <c r="CC995" s="27" t="str">
        <f t="shared" si="165"/>
        <v/>
      </c>
      <c r="CD995" s="38" t="str">
        <f t="shared" si="166"/>
        <v/>
      </c>
      <c r="CE995" s="38" t="str">
        <f t="shared" si="167"/>
        <v/>
      </c>
      <c r="CF995" s="38" t="str">
        <f t="shared" si="168"/>
        <v/>
      </c>
      <c r="CG995" s="38" t="str">
        <f t="shared" si="169"/>
        <v/>
      </c>
      <c r="CH995" s="38" t="str">
        <f t="shared" si="170"/>
        <v/>
      </c>
      <c r="CI995" s="38" t="str">
        <f t="shared" si="171"/>
        <v/>
      </c>
      <c r="CJ995" s="38" t="str">
        <f t="shared" si="172"/>
        <v/>
      </c>
      <c r="CK995" s="38" t="str">
        <f t="shared" si="173"/>
        <v/>
      </c>
      <c r="CL995" s="38" t="str">
        <f>IF(C995="","",IF(COUNT(G995:AZ995)&lt;46,"",SUMPRODUCT(CC995:CK995,'تنظیمات وزن‌دهی'!$C$5:$C$13)/100))</f>
        <v/>
      </c>
      <c r="CM995" s="38" t="str">
        <f t="shared" si="174"/>
        <v/>
      </c>
      <c r="CN995" s="38">
        <v>7</v>
      </c>
      <c r="CO995" s="28" t="str">
        <f t="shared" si="175"/>
        <v/>
      </c>
      <c r="CP995" s="58"/>
    </row>
    <row r="996" spans="1:94" ht="17.25" hidden="1">
      <c r="A996" s="33">
        <v>992</v>
      </c>
      <c r="B996" s="55" t="s">
        <v>190</v>
      </c>
      <c r="C996" s="55" t="str">
        <f>IF(دانش‌آموزان!E87="","",دانش‌آموزان!B87)</f>
        <v/>
      </c>
      <c r="D996" s="55" t="str">
        <f>IF(دانش‌آموزان!C87="","",دانش‌آموزان!C87)</f>
        <v/>
      </c>
      <c r="E996" s="55" t="str">
        <f>IF(دانش‌آموزان!E87="","",دانش‌آموزان!E87&amp;" "&amp;دانش‌آموزان!F87)</f>
        <v/>
      </c>
      <c r="F996" s="34" t="str">
        <f>IF(دانش‌آموزان!I87="","",دانش‌آموزان!I87)</f>
        <v/>
      </c>
      <c r="G996" s="19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  <c r="BH996" s="20"/>
      <c r="BI996" s="20"/>
      <c r="BJ996" s="20"/>
      <c r="BK996" s="20"/>
      <c r="BL996" s="20"/>
      <c r="BM996" s="20"/>
      <c r="BN996" s="20"/>
      <c r="BO996" s="20"/>
      <c r="BP996" s="20"/>
      <c r="BQ996" s="20"/>
      <c r="BR996" s="20"/>
      <c r="BS996" s="20"/>
      <c r="BT996" s="20"/>
      <c r="BU996" s="20"/>
      <c r="BV996" s="20"/>
      <c r="BW996" s="20"/>
      <c r="BX996" s="20"/>
      <c r="BY996" s="20"/>
      <c r="BZ996" s="20"/>
      <c r="CA996" s="20"/>
      <c r="CB996" s="21"/>
      <c r="CC996" s="27" t="str">
        <f t="shared" si="165"/>
        <v/>
      </c>
      <c r="CD996" s="38" t="str">
        <f t="shared" si="166"/>
        <v/>
      </c>
      <c r="CE996" s="38" t="str">
        <f t="shared" si="167"/>
        <v/>
      </c>
      <c r="CF996" s="38" t="str">
        <f t="shared" si="168"/>
        <v/>
      </c>
      <c r="CG996" s="38" t="str">
        <f t="shared" si="169"/>
        <v/>
      </c>
      <c r="CH996" s="38" t="str">
        <f t="shared" si="170"/>
        <v/>
      </c>
      <c r="CI996" s="38" t="str">
        <f t="shared" si="171"/>
        <v/>
      </c>
      <c r="CJ996" s="38" t="str">
        <f t="shared" si="172"/>
        <v/>
      </c>
      <c r="CK996" s="38" t="str">
        <f t="shared" si="173"/>
        <v/>
      </c>
      <c r="CL996" s="38" t="str">
        <f>IF(C996="","",IF(COUNT(G996:AZ996)&lt;46,"",SUMPRODUCT(CC996:CK996,'تنظیمات وزن‌دهی'!$C$5:$C$13)/100))</f>
        <v/>
      </c>
      <c r="CM996" s="38" t="str">
        <f t="shared" si="174"/>
        <v/>
      </c>
      <c r="CN996" s="38">
        <v>8</v>
      </c>
      <c r="CO996" s="28" t="str">
        <f t="shared" si="175"/>
        <v/>
      </c>
      <c r="CP996" s="58"/>
    </row>
    <row r="997" spans="1:94" ht="17.25" hidden="1">
      <c r="A997" s="33">
        <v>993</v>
      </c>
      <c r="B997" s="55" t="s">
        <v>191</v>
      </c>
      <c r="C997" s="55" t="str">
        <f>IF(دانش‌آموزان!E87="","",دانش‌آموزان!B87)</f>
        <v/>
      </c>
      <c r="D997" s="55" t="str">
        <f>IF(دانش‌آموزان!C87="","",دانش‌آموزان!C87)</f>
        <v/>
      </c>
      <c r="E997" s="55" t="str">
        <f>IF(دانش‌آموزان!E87="","",دانش‌آموزان!E87&amp;" "&amp;دانش‌آموزان!F87)</f>
        <v/>
      </c>
      <c r="F997" s="34" t="str">
        <f>IF(دانش‌آموزان!I87="","",دانش‌آموزان!I87)</f>
        <v/>
      </c>
      <c r="G997" s="19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  <c r="BJ997" s="20"/>
      <c r="BK997" s="20"/>
      <c r="BL997" s="20"/>
      <c r="BM997" s="20"/>
      <c r="BN997" s="20"/>
      <c r="BO997" s="20"/>
      <c r="BP997" s="20"/>
      <c r="BQ997" s="20"/>
      <c r="BR997" s="20"/>
      <c r="BS997" s="20"/>
      <c r="BT997" s="20"/>
      <c r="BU997" s="20"/>
      <c r="BV997" s="20"/>
      <c r="BW997" s="20"/>
      <c r="BX997" s="20"/>
      <c r="BY997" s="20"/>
      <c r="BZ997" s="20"/>
      <c r="CA997" s="20"/>
      <c r="CB997" s="21"/>
      <c r="CC997" s="27" t="str">
        <f t="shared" si="165"/>
        <v/>
      </c>
      <c r="CD997" s="38" t="str">
        <f t="shared" si="166"/>
        <v/>
      </c>
      <c r="CE997" s="38" t="str">
        <f t="shared" si="167"/>
        <v/>
      </c>
      <c r="CF997" s="38" t="str">
        <f t="shared" si="168"/>
        <v/>
      </c>
      <c r="CG997" s="38" t="str">
        <f t="shared" si="169"/>
        <v/>
      </c>
      <c r="CH997" s="38" t="str">
        <f t="shared" si="170"/>
        <v/>
      </c>
      <c r="CI997" s="38" t="str">
        <f t="shared" si="171"/>
        <v/>
      </c>
      <c r="CJ997" s="38" t="str">
        <f t="shared" si="172"/>
        <v/>
      </c>
      <c r="CK997" s="38" t="str">
        <f t="shared" si="173"/>
        <v/>
      </c>
      <c r="CL997" s="38" t="str">
        <f>IF(C997="","",IF(COUNT(G997:AZ997)&lt;46,"",SUMPRODUCT(CC997:CK997,'تنظیمات وزن‌دهی'!$C$5:$C$13)/100))</f>
        <v/>
      </c>
      <c r="CM997" s="38" t="str">
        <f t="shared" si="174"/>
        <v/>
      </c>
      <c r="CN997" s="38">
        <v>9</v>
      </c>
      <c r="CO997" s="28" t="str">
        <f t="shared" si="175"/>
        <v/>
      </c>
      <c r="CP997" s="58"/>
    </row>
    <row r="998" spans="1:94" ht="17.25" hidden="1">
      <c r="A998" s="33">
        <v>994</v>
      </c>
      <c r="B998" s="55" t="s">
        <v>192</v>
      </c>
      <c r="C998" s="55" t="str">
        <f>IF(دانش‌آموزان!E87="","",دانش‌آموزان!B87)</f>
        <v/>
      </c>
      <c r="D998" s="55" t="str">
        <f>IF(دانش‌آموزان!C87="","",دانش‌آموزان!C87)</f>
        <v/>
      </c>
      <c r="E998" s="55" t="str">
        <f>IF(دانش‌آموزان!E87="","",دانش‌آموزان!E87&amp;" "&amp;دانش‌آموزان!F87)</f>
        <v/>
      </c>
      <c r="F998" s="34" t="str">
        <f>IF(دانش‌آموزان!I87="","",دانش‌آموزان!I87)</f>
        <v/>
      </c>
      <c r="G998" s="19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  <c r="BH998" s="20"/>
      <c r="BI998" s="20"/>
      <c r="BJ998" s="20"/>
      <c r="BK998" s="20"/>
      <c r="BL998" s="20"/>
      <c r="BM998" s="20"/>
      <c r="BN998" s="20"/>
      <c r="BO998" s="20"/>
      <c r="BP998" s="20"/>
      <c r="BQ998" s="20"/>
      <c r="BR998" s="20"/>
      <c r="BS998" s="20"/>
      <c r="BT998" s="20"/>
      <c r="BU998" s="20"/>
      <c r="BV998" s="20"/>
      <c r="BW998" s="20"/>
      <c r="BX998" s="20"/>
      <c r="BY998" s="20"/>
      <c r="BZ998" s="20"/>
      <c r="CA998" s="20"/>
      <c r="CB998" s="21"/>
      <c r="CC998" s="27" t="str">
        <f t="shared" si="165"/>
        <v/>
      </c>
      <c r="CD998" s="38" t="str">
        <f t="shared" si="166"/>
        <v/>
      </c>
      <c r="CE998" s="38" t="str">
        <f t="shared" si="167"/>
        <v/>
      </c>
      <c r="CF998" s="38" t="str">
        <f t="shared" si="168"/>
        <v/>
      </c>
      <c r="CG998" s="38" t="str">
        <f t="shared" si="169"/>
        <v/>
      </c>
      <c r="CH998" s="38" t="str">
        <f t="shared" si="170"/>
        <v/>
      </c>
      <c r="CI998" s="38" t="str">
        <f t="shared" si="171"/>
        <v/>
      </c>
      <c r="CJ998" s="38" t="str">
        <f t="shared" si="172"/>
        <v/>
      </c>
      <c r="CK998" s="38" t="str">
        <f t="shared" si="173"/>
        <v/>
      </c>
      <c r="CL998" s="38" t="str">
        <f>IF(C998="","",IF(COUNT(G998:AZ998)&lt;46,"",SUMPRODUCT(CC998:CK998,'تنظیمات وزن‌دهی'!$C$5:$C$13)/100))</f>
        <v/>
      </c>
      <c r="CM998" s="38" t="str">
        <f t="shared" si="174"/>
        <v/>
      </c>
      <c r="CN998" s="38">
        <v>10</v>
      </c>
      <c r="CO998" s="28" t="str">
        <f t="shared" si="175"/>
        <v/>
      </c>
      <c r="CP998" s="58"/>
    </row>
    <row r="999" spans="1:94" ht="17.25" hidden="1">
      <c r="A999" s="33">
        <v>995</v>
      </c>
      <c r="B999" s="55" t="s">
        <v>193</v>
      </c>
      <c r="C999" s="55" t="str">
        <f>IF(دانش‌آموزان!E87="","",دانش‌آموزان!B87)</f>
        <v/>
      </c>
      <c r="D999" s="55" t="str">
        <f>IF(دانش‌آموزان!C87="","",دانش‌آموزان!C87)</f>
        <v/>
      </c>
      <c r="E999" s="55" t="str">
        <f>IF(دانش‌آموزان!E87="","",دانش‌آموزان!E87&amp;" "&amp;دانش‌آموزان!F87)</f>
        <v/>
      </c>
      <c r="F999" s="34" t="str">
        <f>IF(دانش‌آموزان!I87="","",دانش‌آموزان!I87)</f>
        <v/>
      </c>
      <c r="G999" s="19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  <c r="BG999" s="20"/>
      <c r="BH999" s="20"/>
      <c r="BI999" s="20"/>
      <c r="BJ999" s="20"/>
      <c r="BK999" s="20"/>
      <c r="BL999" s="20"/>
      <c r="BM999" s="20"/>
      <c r="BN999" s="20"/>
      <c r="BO999" s="20"/>
      <c r="BP999" s="20"/>
      <c r="BQ999" s="20"/>
      <c r="BR999" s="20"/>
      <c r="BS999" s="20"/>
      <c r="BT999" s="20"/>
      <c r="BU999" s="20"/>
      <c r="BV999" s="20"/>
      <c r="BW999" s="20"/>
      <c r="BX999" s="20"/>
      <c r="BY999" s="20"/>
      <c r="BZ999" s="20"/>
      <c r="CA999" s="20"/>
      <c r="CB999" s="21"/>
      <c r="CC999" s="27" t="str">
        <f t="shared" si="165"/>
        <v/>
      </c>
      <c r="CD999" s="38" t="str">
        <f t="shared" si="166"/>
        <v/>
      </c>
      <c r="CE999" s="38" t="str">
        <f t="shared" si="167"/>
        <v/>
      </c>
      <c r="CF999" s="38" t="str">
        <f t="shared" si="168"/>
        <v/>
      </c>
      <c r="CG999" s="38" t="str">
        <f t="shared" si="169"/>
        <v/>
      </c>
      <c r="CH999" s="38" t="str">
        <f t="shared" si="170"/>
        <v/>
      </c>
      <c r="CI999" s="38" t="str">
        <f t="shared" si="171"/>
        <v/>
      </c>
      <c r="CJ999" s="38" t="str">
        <f t="shared" si="172"/>
        <v/>
      </c>
      <c r="CK999" s="38" t="str">
        <f t="shared" si="173"/>
        <v/>
      </c>
      <c r="CL999" s="38" t="str">
        <f>IF(C999="","",IF(COUNT(G999:AZ999)&lt;46,"",SUMPRODUCT(CC999:CK999,'تنظیمات وزن‌دهی'!$C$5:$C$13)/100))</f>
        <v/>
      </c>
      <c r="CM999" s="38" t="str">
        <f t="shared" si="174"/>
        <v/>
      </c>
      <c r="CN999" s="38">
        <v>11</v>
      </c>
      <c r="CO999" s="28" t="str">
        <f t="shared" si="175"/>
        <v/>
      </c>
      <c r="CP999" s="58"/>
    </row>
    <row r="1000" spans="1:94" ht="17.25" hidden="1">
      <c r="A1000" s="33">
        <v>996</v>
      </c>
      <c r="B1000" s="55" t="s">
        <v>194</v>
      </c>
      <c r="C1000" s="55" t="str">
        <f>IF(دانش‌آموزان!E87="","",دانش‌آموزان!B87)</f>
        <v/>
      </c>
      <c r="D1000" s="55" t="str">
        <f>IF(دانش‌آموزان!C87="","",دانش‌آموزان!C87)</f>
        <v/>
      </c>
      <c r="E1000" s="55" t="str">
        <f>IF(دانش‌آموزان!E87="","",دانش‌آموزان!E87&amp;" "&amp;دانش‌آموزان!F87)</f>
        <v/>
      </c>
      <c r="F1000" s="34" t="str">
        <f>IF(دانش‌آموزان!I87="","",دانش‌آموزان!I87)</f>
        <v/>
      </c>
      <c r="G1000" s="19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  <c r="BD1000" s="20"/>
      <c r="BE1000" s="20"/>
      <c r="BF1000" s="20"/>
      <c r="BG1000" s="20"/>
      <c r="BH1000" s="20"/>
      <c r="BI1000" s="20"/>
      <c r="BJ1000" s="20"/>
      <c r="BK1000" s="20"/>
      <c r="BL1000" s="20"/>
      <c r="BM1000" s="20"/>
      <c r="BN1000" s="20"/>
      <c r="BO1000" s="20"/>
      <c r="BP1000" s="20"/>
      <c r="BQ1000" s="20"/>
      <c r="BR1000" s="20"/>
      <c r="BS1000" s="20"/>
      <c r="BT1000" s="20"/>
      <c r="BU1000" s="20"/>
      <c r="BV1000" s="20"/>
      <c r="BW1000" s="20"/>
      <c r="BX1000" s="20"/>
      <c r="BY1000" s="20"/>
      <c r="BZ1000" s="20"/>
      <c r="CA1000" s="20"/>
      <c r="CB1000" s="21"/>
      <c r="CC1000" s="27" t="str">
        <f t="shared" si="165"/>
        <v/>
      </c>
      <c r="CD1000" s="38" t="str">
        <f t="shared" si="166"/>
        <v/>
      </c>
      <c r="CE1000" s="38" t="str">
        <f t="shared" si="167"/>
        <v/>
      </c>
      <c r="CF1000" s="38" t="str">
        <f t="shared" si="168"/>
        <v/>
      </c>
      <c r="CG1000" s="38" t="str">
        <f t="shared" si="169"/>
        <v/>
      </c>
      <c r="CH1000" s="38" t="str">
        <f t="shared" si="170"/>
        <v/>
      </c>
      <c r="CI1000" s="38" t="str">
        <f t="shared" si="171"/>
        <v/>
      </c>
      <c r="CJ1000" s="38" t="str">
        <f t="shared" si="172"/>
        <v/>
      </c>
      <c r="CK1000" s="38" t="str">
        <f t="shared" si="173"/>
        <v/>
      </c>
      <c r="CL1000" s="38" t="str">
        <f>IF(C1000="","",IF(COUNT(G1000:AZ1000)&lt;46,"",SUMPRODUCT(CC1000:CK1000,'تنظیمات وزن‌دهی'!$C$5:$C$13)/100))</f>
        <v/>
      </c>
      <c r="CM1000" s="38" t="str">
        <f t="shared" si="174"/>
        <v/>
      </c>
      <c r="CN1000" s="38">
        <v>12</v>
      </c>
      <c r="CO1000" s="28" t="str">
        <f t="shared" si="175"/>
        <v/>
      </c>
      <c r="CP1000" s="58"/>
    </row>
    <row r="1001" spans="1:94" ht="17.25" hidden="1">
      <c r="A1001" s="33">
        <v>997</v>
      </c>
      <c r="B1001" s="55" t="s">
        <v>183</v>
      </c>
      <c r="C1001" s="55" t="str">
        <f>IF(دانش‌آموزان!E88="","",دانش‌آموزان!B88)</f>
        <v/>
      </c>
      <c r="D1001" s="55" t="str">
        <f>IF(دانش‌آموزان!C88="","",دانش‌آموزان!C88)</f>
        <v/>
      </c>
      <c r="E1001" s="55" t="str">
        <f>IF(دانش‌آموزان!E88="","",دانش‌آموزان!E88&amp;" "&amp;دانش‌آموزان!F88)</f>
        <v/>
      </c>
      <c r="F1001" s="34" t="str">
        <f>IF(دانش‌آموزان!I88="","",دانش‌آموزان!I88)</f>
        <v/>
      </c>
      <c r="G1001" s="19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  <c r="AN1001" s="20"/>
      <c r="AO1001" s="20"/>
      <c r="AP1001" s="20"/>
      <c r="AQ1001" s="20"/>
      <c r="AR1001" s="20"/>
      <c r="AS1001" s="20"/>
      <c r="AT1001" s="20"/>
      <c r="AU1001" s="20"/>
      <c r="AV1001" s="20"/>
      <c r="AW1001" s="20"/>
      <c r="AX1001" s="20"/>
      <c r="AY1001" s="20"/>
      <c r="AZ1001" s="20"/>
      <c r="BA1001" s="20"/>
      <c r="BB1001" s="20"/>
      <c r="BC1001" s="20"/>
      <c r="BD1001" s="20"/>
      <c r="BE1001" s="20"/>
      <c r="BF1001" s="20"/>
      <c r="BG1001" s="20"/>
      <c r="BH1001" s="20"/>
      <c r="BI1001" s="20"/>
      <c r="BJ1001" s="20"/>
      <c r="BK1001" s="20"/>
      <c r="BL1001" s="20"/>
      <c r="BM1001" s="20"/>
      <c r="BN1001" s="20"/>
      <c r="BO1001" s="20"/>
      <c r="BP1001" s="20"/>
      <c r="BQ1001" s="20"/>
      <c r="BR1001" s="20"/>
      <c r="BS1001" s="20"/>
      <c r="BT1001" s="20"/>
      <c r="BU1001" s="20"/>
      <c r="BV1001" s="20"/>
      <c r="BW1001" s="20"/>
      <c r="BX1001" s="20"/>
      <c r="BY1001" s="20"/>
      <c r="BZ1001" s="20"/>
      <c r="CA1001" s="20"/>
      <c r="CB1001" s="21"/>
      <c r="CC1001" s="27" t="str">
        <f t="shared" si="165"/>
        <v/>
      </c>
      <c r="CD1001" s="38" t="str">
        <f t="shared" si="166"/>
        <v/>
      </c>
      <c r="CE1001" s="38" t="str">
        <f t="shared" si="167"/>
        <v/>
      </c>
      <c r="CF1001" s="38" t="str">
        <f t="shared" si="168"/>
        <v/>
      </c>
      <c r="CG1001" s="38" t="str">
        <f t="shared" si="169"/>
        <v/>
      </c>
      <c r="CH1001" s="38" t="str">
        <f t="shared" si="170"/>
        <v/>
      </c>
      <c r="CI1001" s="38" t="str">
        <f t="shared" si="171"/>
        <v/>
      </c>
      <c r="CJ1001" s="38" t="str">
        <f t="shared" si="172"/>
        <v/>
      </c>
      <c r="CK1001" s="38" t="str">
        <f t="shared" si="173"/>
        <v/>
      </c>
      <c r="CL1001" s="38" t="str">
        <f>IF(C1001="","",IF(COUNT(G1001:AZ1001)&lt;46,"",SUMPRODUCT(CC1001:CK1001,'تنظیمات وزن‌دهی'!$C$5:$C$13)/100))</f>
        <v/>
      </c>
      <c r="CM1001" s="38" t="str">
        <f t="shared" si="174"/>
        <v/>
      </c>
      <c r="CN1001" s="38">
        <v>1</v>
      </c>
      <c r="CO1001" s="28" t="str">
        <f t="shared" si="175"/>
        <v/>
      </c>
      <c r="CP1001" s="58"/>
    </row>
    <row r="1002" spans="1:94" ht="17.25" hidden="1">
      <c r="A1002" s="33">
        <v>998</v>
      </c>
      <c r="B1002" s="55" t="s">
        <v>184</v>
      </c>
      <c r="C1002" s="55" t="str">
        <f>IF(دانش‌آموزان!E88="","",دانش‌آموزان!B88)</f>
        <v/>
      </c>
      <c r="D1002" s="55" t="str">
        <f>IF(دانش‌آموزان!C88="","",دانش‌آموزان!C88)</f>
        <v/>
      </c>
      <c r="E1002" s="55" t="str">
        <f>IF(دانش‌آموزان!E88="","",دانش‌آموزان!E88&amp;" "&amp;دانش‌آموزان!F88)</f>
        <v/>
      </c>
      <c r="F1002" s="34" t="str">
        <f>IF(دانش‌آموزان!I88="","",دانش‌آموزان!I88)</f>
        <v/>
      </c>
      <c r="G1002" s="19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20"/>
      <c r="AN1002" s="20"/>
      <c r="AO1002" s="20"/>
      <c r="AP1002" s="20"/>
      <c r="AQ1002" s="20"/>
      <c r="AR1002" s="20"/>
      <c r="AS1002" s="20"/>
      <c r="AT1002" s="20"/>
      <c r="AU1002" s="20"/>
      <c r="AV1002" s="20"/>
      <c r="AW1002" s="20"/>
      <c r="AX1002" s="20"/>
      <c r="AY1002" s="20"/>
      <c r="AZ1002" s="20"/>
      <c r="BA1002" s="20"/>
      <c r="BB1002" s="20"/>
      <c r="BC1002" s="20"/>
      <c r="BD1002" s="20"/>
      <c r="BE1002" s="20"/>
      <c r="BF1002" s="20"/>
      <c r="BG1002" s="20"/>
      <c r="BH1002" s="20"/>
      <c r="BI1002" s="20"/>
      <c r="BJ1002" s="20"/>
      <c r="BK1002" s="20"/>
      <c r="BL1002" s="20"/>
      <c r="BM1002" s="20"/>
      <c r="BN1002" s="20"/>
      <c r="BO1002" s="20"/>
      <c r="BP1002" s="20"/>
      <c r="BQ1002" s="20"/>
      <c r="BR1002" s="20"/>
      <c r="BS1002" s="20"/>
      <c r="BT1002" s="20"/>
      <c r="BU1002" s="20"/>
      <c r="BV1002" s="20"/>
      <c r="BW1002" s="20"/>
      <c r="BX1002" s="20"/>
      <c r="BY1002" s="20"/>
      <c r="BZ1002" s="20"/>
      <c r="CA1002" s="20"/>
      <c r="CB1002" s="21"/>
      <c r="CC1002" s="27" t="str">
        <f t="shared" si="165"/>
        <v/>
      </c>
      <c r="CD1002" s="38" t="str">
        <f t="shared" si="166"/>
        <v/>
      </c>
      <c r="CE1002" s="38" t="str">
        <f t="shared" si="167"/>
        <v/>
      </c>
      <c r="CF1002" s="38" t="str">
        <f t="shared" si="168"/>
        <v/>
      </c>
      <c r="CG1002" s="38" t="str">
        <f t="shared" si="169"/>
        <v/>
      </c>
      <c r="CH1002" s="38" t="str">
        <f t="shared" si="170"/>
        <v/>
      </c>
      <c r="CI1002" s="38" t="str">
        <f t="shared" si="171"/>
        <v/>
      </c>
      <c r="CJ1002" s="38" t="str">
        <f t="shared" si="172"/>
        <v/>
      </c>
      <c r="CK1002" s="38" t="str">
        <f t="shared" si="173"/>
        <v/>
      </c>
      <c r="CL1002" s="38" t="str">
        <f>IF(C1002="","",IF(COUNT(G1002:AZ1002)&lt;46,"",SUMPRODUCT(CC1002:CK1002,'تنظیمات وزن‌دهی'!$C$5:$C$13)/100))</f>
        <v/>
      </c>
      <c r="CM1002" s="38" t="str">
        <f t="shared" si="174"/>
        <v/>
      </c>
      <c r="CN1002" s="38">
        <v>2</v>
      </c>
      <c r="CO1002" s="28" t="str">
        <f t="shared" si="175"/>
        <v/>
      </c>
      <c r="CP1002" s="58"/>
    </row>
    <row r="1003" spans="1:94" ht="17.25">
      <c r="A1003" s="33">
        <v>999</v>
      </c>
      <c r="B1003" s="55" t="s">
        <v>185</v>
      </c>
      <c r="C1003" s="55" t="str">
        <f>IF(دانش‌آموزان!E88="","",دانش‌آموزان!B88)</f>
        <v/>
      </c>
      <c r="D1003" s="55" t="str">
        <f>IF(دانش‌آموزان!C88="","",دانش‌آموزان!C88)</f>
        <v/>
      </c>
      <c r="E1003" s="55" t="str">
        <f>IF(دانش‌آموزان!E88="","",دانش‌آموزان!E88&amp;" "&amp;دانش‌آموزان!F88)</f>
        <v/>
      </c>
      <c r="F1003" s="34" t="str">
        <f>IF(دانش‌آموزان!I88="","",دانش‌آموزان!I88)</f>
        <v/>
      </c>
      <c r="G1003" s="19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  <c r="AJ1003" s="20"/>
      <c r="AK1003" s="20"/>
      <c r="AL1003" s="20"/>
      <c r="AM1003" s="20"/>
      <c r="AN1003" s="20"/>
      <c r="AO1003" s="20"/>
      <c r="AP1003" s="20"/>
      <c r="AQ1003" s="20"/>
      <c r="AR1003" s="20"/>
      <c r="AS1003" s="20"/>
      <c r="AT1003" s="20"/>
      <c r="AU1003" s="20"/>
      <c r="AV1003" s="20"/>
      <c r="AW1003" s="20"/>
      <c r="AX1003" s="20"/>
      <c r="AY1003" s="20"/>
      <c r="AZ1003" s="20"/>
      <c r="BA1003" s="20"/>
      <c r="BB1003" s="20"/>
      <c r="BC1003" s="20"/>
      <c r="BD1003" s="20"/>
      <c r="BE1003" s="20"/>
      <c r="BF1003" s="20"/>
      <c r="BG1003" s="20"/>
      <c r="BH1003" s="20"/>
      <c r="BI1003" s="20"/>
      <c r="BJ1003" s="20"/>
      <c r="BK1003" s="20"/>
      <c r="BL1003" s="20"/>
      <c r="BM1003" s="20"/>
      <c r="BN1003" s="20"/>
      <c r="BO1003" s="20"/>
      <c r="BP1003" s="20"/>
      <c r="BQ1003" s="20"/>
      <c r="BR1003" s="20"/>
      <c r="BS1003" s="20"/>
      <c r="BT1003" s="20"/>
      <c r="BU1003" s="20"/>
      <c r="BV1003" s="20"/>
      <c r="BW1003" s="20"/>
      <c r="BX1003" s="20"/>
      <c r="BY1003" s="20"/>
      <c r="BZ1003" s="20"/>
      <c r="CA1003" s="20"/>
      <c r="CB1003" s="21"/>
      <c r="CC1003" s="27" t="str">
        <f t="shared" si="165"/>
        <v/>
      </c>
      <c r="CD1003" s="38" t="str">
        <f t="shared" si="166"/>
        <v/>
      </c>
      <c r="CE1003" s="38" t="str">
        <f t="shared" si="167"/>
        <v/>
      </c>
      <c r="CF1003" s="38" t="str">
        <f t="shared" si="168"/>
        <v/>
      </c>
      <c r="CG1003" s="38" t="str">
        <f t="shared" si="169"/>
        <v/>
      </c>
      <c r="CH1003" s="38" t="str">
        <f t="shared" si="170"/>
        <v/>
      </c>
      <c r="CI1003" s="38" t="str">
        <f t="shared" si="171"/>
        <v/>
      </c>
      <c r="CJ1003" s="38" t="str">
        <f t="shared" si="172"/>
        <v/>
      </c>
      <c r="CK1003" s="38" t="str">
        <f t="shared" si="173"/>
        <v/>
      </c>
      <c r="CL1003" s="38" t="str">
        <f>IF(C1003="","",IF(COUNT(G1003:AZ1003)&lt;46,"",SUMPRODUCT(CC1003:CK1003,'تنظیمات وزن‌دهی'!$C$5:$C$13)/100))</f>
        <v/>
      </c>
      <c r="CM1003" s="38" t="str">
        <f t="shared" si="174"/>
        <v/>
      </c>
      <c r="CN1003" s="38">
        <v>3</v>
      </c>
      <c r="CO1003" s="28" t="str">
        <f t="shared" si="175"/>
        <v/>
      </c>
      <c r="CP1003" s="58"/>
    </row>
    <row r="1004" spans="1:94" ht="17.25" hidden="1">
      <c r="A1004" s="33">
        <v>1000</v>
      </c>
      <c r="B1004" s="55" t="s">
        <v>186</v>
      </c>
      <c r="C1004" s="55" t="str">
        <f>IF(دانش‌آموزان!E88="","",دانش‌آموزان!B88)</f>
        <v/>
      </c>
      <c r="D1004" s="55" t="str">
        <f>IF(دانش‌آموزان!C88="","",دانش‌آموزان!C88)</f>
        <v/>
      </c>
      <c r="E1004" s="55" t="str">
        <f>IF(دانش‌آموزان!E88="","",دانش‌آموزان!E88&amp;" "&amp;دانش‌آموزان!F88)</f>
        <v/>
      </c>
      <c r="F1004" s="34" t="str">
        <f>IF(دانش‌آموزان!I88="","",دانش‌آموزان!I88)</f>
        <v/>
      </c>
      <c r="G1004" s="19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  <c r="AJ1004" s="20"/>
      <c r="AK1004" s="20"/>
      <c r="AL1004" s="20"/>
      <c r="AM1004" s="20"/>
      <c r="AN1004" s="20"/>
      <c r="AO1004" s="20"/>
      <c r="AP1004" s="20"/>
      <c r="AQ1004" s="20"/>
      <c r="AR1004" s="20"/>
      <c r="AS1004" s="20"/>
      <c r="AT1004" s="20"/>
      <c r="AU1004" s="20"/>
      <c r="AV1004" s="20"/>
      <c r="AW1004" s="20"/>
      <c r="AX1004" s="20"/>
      <c r="AY1004" s="20"/>
      <c r="AZ1004" s="20"/>
      <c r="BA1004" s="20"/>
      <c r="BB1004" s="20"/>
      <c r="BC1004" s="20"/>
      <c r="BD1004" s="20"/>
      <c r="BE1004" s="20"/>
      <c r="BF1004" s="20"/>
      <c r="BG1004" s="20"/>
      <c r="BH1004" s="20"/>
      <c r="BI1004" s="20"/>
      <c r="BJ1004" s="20"/>
      <c r="BK1004" s="20"/>
      <c r="BL1004" s="20"/>
      <c r="BM1004" s="20"/>
      <c r="BN1004" s="20"/>
      <c r="BO1004" s="20"/>
      <c r="BP1004" s="20"/>
      <c r="BQ1004" s="20"/>
      <c r="BR1004" s="20"/>
      <c r="BS1004" s="20"/>
      <c r="BT1004" s="20"/>
      <c r="BU1004" s="20"/>
      <c r="BV1004" s="20"/>
      <c r="BW1004" s="20"/>
      <c r="BX1004" s="20"/>
      <c r="BY1004" s="20"/>
      <c r="BZ1004" s="20"/>
      <c r="CA1004" s="20"/>
      <c r="CB1004" s="21"/>
      <c r="CC1004" s="27" t="str">
        <f t="shared" si="165"/>
        <v/>
      </c>
      <c r="CD1004" s="38" t="str">
        <f t="shared" si="166"/>
        <v/>
      </c>
      <c r="CE1004" s="38" t="str">
        <f t="shared" si="167"/>
        <v/>
      </c>
      <c r="CF1004" s="38" t="str">
        <f t="shared" si="168"/>
        <v/>
      </c>
      <c r="CG1004" s="38" t="str">
        <f t="shared" si="169"/>
        <v/>
      </c>
      <c r="CH1004" s="38" t="str">
        <f t="shared" si="170"/>
        <v/>
      </c>
      <c r="CI1004" s="38" t="str">
        <f t="shared" si="171"/>
        <v/>
      </c>
      <c r="CJ1004" s="38" t="str">
        <f t="shared" si="172"/>
        <v/>
      </c>
      <c r="CK1004" s="38" t="str">
        <f t="shared" si="173"/>
        <v/>
      </c>
      <c r="CL1004" s="38" t="str">
        <f>IF(C1004="","",IF(COUNT(G1004:AZ1004)&lt;46,"",SUMPRODUCT(CC1004:CK1004,'تنظیمات وزن‌دهی'!$C$5:$C$13)/100))</f>
        <v/>
      </c>
      <c r="CM1004" s="38" t="str">
        <f t="shared" si="174"/>
        <v/>
      </c>
      <c r="CN1004" s="38">
        <v>4</v>
      </c>
      <c r="CO1004" s="28" t="str">
        <f t="shared" si="175"/>
        <v/>
      </c>
      <c r="CP1004" s="58"/>
    </row>
    <row r="1005" spans="1:94" ht="17.25" hidden="1">
      <c r="A1005" s="33">
        <v>1001</v>
      </c>
      <c r="B1005" s="55" t="s">
        <v>187</v>
      </c>
      <c r="C1005" s="55" t="str">
        <f>IF(دانش‌آموزان!E88="","",دانش‌آموزان!B88)</f>
        <v/>
      </c>
      <c r="D1005" s="55" t="str">
        <f>IF(دانش‌آموزان!C88="","",دانش‌آموزان!C88)</f>
        <v/>
      </c>
      <c r="E1005" s="55" t="str">
        <f>IF(دانش‌آموزان!E88="","",دانش‌آموزان!E88&amp;" "&amp;دانش‌آموزان!F88)</f>
        <v/>
      </c>
      <c r="F1005" s="34" t="str">
        <f>IF(دانش‌آموزان!I88="","",دانش‌آموزان!I88)</f>
        <v/>
      </c>
      <c r="G1005" s="19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  <c r="AJ1005" s="20"/>
      <c r="AK1005" s="20"/>
      <c r="AL1005" s="20"/>
      <c r="AM1005" s="20"/>
      <c r="AN1005" s="20"/>
      <c r="AO1005" s="20"/>
      <c r="AP1005" s="20"/>
      <c r="AQ1005" s="20"/>
      <c r="AR1005" s="20"/>
      <c r="AS1005" s="20"/>
      <c r="AT1005" s="20"/>
      <c r="AU1005" s="20"/>
      <c r="AV1005" s="20"/>
      <c r="AW1005" s="20"/>
      <c r="AX1005" s="20"/>
      <c r="AY1005" s="20"/>
      <c r="AZ1005" s="20"/>
      <c r="BA1005" s="20"/>
      <c r="BB1005" s="20"/>
      <c r="BC1005" s="20"/>
      <c r="BD1005" s="20"/>
      <c r="BE1005" s="20"/>
      <c r="BF1005" s="20"/>
      <c r="BG1005" s="20"/>
      <c r="BH1005" s="20"/>
      <c r="BI1005" s="20"/>
      <c r="BJ1005" s="20"/>
      <c r="BK1005" s="20"/>
      <c r="BL1005" s="20"/>
      <c r="BM1005" s="20"/>
      <c r="BN1005" s="20"/>
      <c r="BO1005" s="20"/>
      <c r="BP1005" s="20"/>
      <c r="BQ1005" s="20"/>
      <c r="BR1005" s="20"/>
      <c r="BS1005" s="20"/>
      <c r="BT1005" s="20"/>
      <c r="BU1005" s="20"/>
      <c r="BV1005" s="20"/>
      <c r="BW1005" s="20"/>
      <c r="BX1005" s="20"/>
      <c r="BY1005" s="20"/>
      <c r="BZ1005" s="20"/>
      <c r="CA1005" s="20"/>
      <c r="CB1005" s="21"/>
      <c r="CC1005" s="27" t="str">
        <f t="shared" si="165"/>
        <v/>
      </c>
      <c r="CD1005" s="38" t="str">
        <f t="shared" si="166"/>
        <v/>
      </c>
      <c r="CE1005" s="38" t="str">
        <f t="shared" si="167"/>
        <v/>
      </c>
      <c r="CF1005" s="38" t="str">
        <f t="shared" si="168"/>
        <v/>
      </c>
      <c r="CG1005" s="38" t="str">
        <f t="shared" si="169"/>
        <v/>
      </c>
      <c r="CH1005" s="38" t="str">
        <f t="shared" si="170"/>
        <v/>
      </c>
      <c r="CI1005" s="38" t="str">
        <f t="shared" si="171"/>
        <v/>
      </c>
      <c r="CJ1005" s="38" t="str">
        <f t="shared" si="172"/>
        <v/>
      </c>
      <c r="CK1005" s="38" t="str">
        <f t="shared" si="173"/>
        <v/>
      </c>
      <c r="CL1005" s="38" t="str">
        <f>IF(C1005="","",IF(COUNT(G1005:AZ1005)&lt;46,"",SUMPRODUCT(CC1005:CK1005,'تنظیمات وزن‌دهی'!$C$5:$C$13)/100))</f>
        <v/>
      </c>
      <c r="CM1005" s="38" t="str">
        <f t="shared" si="174"/>
        <v/>
      </c>
      <c r="CN1005" s="38">
        <v>5</v>
      </c>
      <c r="CO1005" s="28" t="str">
        <f t="shared" si="175"/>
        <v/>
      </c>
      <c r="CP1005" s="58"/>
    </row>
    <row r="1006" spans="1:94" ht="17.25" hidden="1">
      <c r="A1006" s="33">
        <v>1002</v>
      </c>
      <c r="B1006" s="55" t="s">
        <v>188</v>
      </c>
      <c r="C1006" s="55" t="str">
        <f>IF(دانش‌آموزان!E88="","",دانش‌آموزان!B88)</f>
        <v/>
      </c>
      <c r="D1006" s="55" t="str">
        <f>IF(دانش‌آموزان!C88="","",دانش‌آموزان!C88)</f>
        <v/>
      </c>
      <c r="E1006" s="55" t="str">
        <f>IF(دانش‌آموزان!E88="","",دانش‌آموزان!E88&amp;" "&amp;دانش‌آموزان!F88)</f>
        <v/>
      </c>
      <c r="F1006" s="34" t="str">
        <f>IF(دانش‌آموزان!I88="","",دانش‌آموزان!I88)</f>
        <v/>
      </c>
      <c r="G1006" s="19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  <c r="AJ1006" s="20"/>
      <c r="AK1006" s="20"/>
      <c r="AL1006" s="20"/>
      <c r="AM1006" s="20"/>
      <c r="AN1006" s="20"/>
      <c r="AO1006" s="20"/>
      <c r="AP1006" s="20"/>
      <c r="AQ1006" s="20"/>
      <c r="AR1006" s="20"/>
      <c r="AS1006" s="20"/>
      <c r="AT1006" s="20"/>
      <c r="AU1006" s="20"/>
      <c r="AV1006" s="20"/>
      <c r="AW1006" s="20"/>
      <c r="AX1006" s="20"/>
      <c r="AY1006" s="20"/>
      <c r="AZ1006" s="20"/>
      <c r="BA1006" s="20"/>
      <c r="BB1006" s="20"/>
      <c r="BC1006" s="20"/>
      <c r="BD1006" s="20"/>
      <c r="BE1006" s="20"/>
      <c r="BF1006" s="20"/>
      <c r="BG1006" s="20"/>
      <c r="BH1006" s="20"/>
      <c r="BI1006" s="20"/>
      <c r="BJ1006" s="20"/>
      <c r="BK1006" s="20"/>
      <c r="BL1006" s="20"/>
      <c r="BM1006" s="20"/>
      <c r="BN1006" s="20"/>
      <c r="BO1006" s="20"/>
      <c r="BP1006" s="20"/>
      <c r="BQ1006" s="20"/>
      <c r="BR1006" s="20"/>
      <c r="BS1006" s="20"/>
      <c r="BT1006" s="20"/>
      <c r="BU1006" s="20"/>
      <c r="BV1006" s="20"/>
      <c r="BW1006" s="20"/>
      <c r="BX1006" s="20"/>
      <c r="BY1006" s="20"/>
      <c r="BZ1006" s="20"/>
      <c r="CA1006" s="20"/>
      <c r="CB1006" s="21"/>
      <c r="CC1006" s="27" t="str">
        <f t="shared" si="165"/>
        <v/>
      </c>
      <c r="CD1006" s="38" t="str">
        <f t="shared" si="166"/>
        <v/>
      </c>
      <c r="CE1006" s="38" t="str">
        <f t="shared" si="167"/>
        <v/>
      </c>
      <c r="CF1006" s="38" t="str">
        <f t="shared" si="168"/>
        <v/>
      </c>
      <c r="CG1006" s="38" t="str">
        <f t="shared" si="169"/>
        <v/>
      </c>
      <c r="CH1006" s="38" t="str">
        <f t="shared" si="170"/>
        <v/>
      </c>
      <c r="CI1006" s="38" t="str">
        <f t="shared" si="171"/>
        <v/>
      </c>
      <c r="CJ1006" s="38" t="str">
        <f t="shared" si="172"/>
        <v/>
      </c>
      <c r="CK1006" s="38" t="str">
        <f t="shared" si="173"/>
        <v/>
      </c>
      <c r="CL1006" s="38" t="str">
        <f>IF(C1006="","",IF(COUNT(G1006:AZ1006)&lt;46,"",SUMPRODUCT(CC1006:CK1006,'تنظیمات وزن‌دهی'!$C$5:$C$13)/100))</f>
        <v/>
      </c>
      <c r="CM1006" s="38" t="str">
        <f t="shared" si="174"/>
        <v/>
      </c>
      <c r="CN1006" s="38">
        <v>6</v>
      </c>
      <c r="CO1006" s="28" t="str">
        <f t="shared" si="175"/>
        <v/>
      </c>
      <c r="CP1006" s="58"/>
    </row>
    <row r="1007" spans="1:94" ht="17.25" hidden="1">
      <c r="A1007" s="33">
        <v>1003</v>
      </c>
      <c r="B1007" s="55" t="s">
        <v>189</v>
      </c>
      <c r="C1007" s="55" t="str">
        <f>IF(دانش‌آموزان!E88="","",دانش‌آموزان!B88)</f>
        <v/>
      </c>
      <c r="D1007" s="55" t="str">
        <f>IF(دانش‌آموزان!C88="","",دانش‌آموزان!C88)</f>
        <v/>
      </c>
      <c r="E1007" s="55" t="str">
        <f>IF(دانش‌آموزان!E88="","",دانش‌آموزان!E88&amp;" "&amp;دانش‌آموزان!F88)</f>
        <v/>
      </c>
      <c r="F1007" s="34" t="str">
        <f>IF(دانش‌آموزان!I88="","",دانش‌آموزان!I88)</f>
        <v/>
      </c>
      <c r="G1007" s="19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/>
      <c r="AL1007" s="20"/>
      <c r="AM1007" s="20"/>
      <c r="AN1007" s="20"/>
      <c r="AO1007" s="20"/>
      <c r="AP1007" s="20"/>
      <c r="AQ1007" s="20"/>
      <c r="AR1007" s="20"/>
      <c r="AS1007" s="20"/>
      <c r="AT1007" s="20"/>
      <c r="AU1007" s="20"/>
      <c r="AV1007" s="20"/>
      <c r="AW1007" s="20"/>
      <c r="AX1007" s="20"/>
      <c r="AY1007" s="20"/>
      <c r="AZ1007" s="20"/>
      <c r="BA1007" s="20"/>
      <c r="BB1007" s="20"/>
      <c r="BC1007" s="20"/>
      <c r="BD1007" s="20"/>
      <c r="BE1007" s="20"/>
      <c r="BF1007" s="20"/>
      <c r="BG1007" s="20"/>
      <c r="BH1007" s="20"/>
      <c r="BI1007" s="20"/>
      <c r="BJ1007" s="20"/>
      <c r="BK1007" s="20"/>
      <c r="BL1007" s="20"/>
      <c r="BM1007" s="20"/>
      <c r="BN1007" s="20"/>
      <c r="BO1007" s="20"/>
      <c r="BP1007" s="20"/>
      <c r="BQ1007" s="20"/>
      <c r="BR1007" s="20"/>
      <c r="BS1007" s="20"/>
      <c r="BT1007" s="20"/>
      <c r="BU1007" s="20"/>
      <c r="BV1007" s="20"/>
      <c r="BW1007" s="20"/>
      <c r="BX1007" s="20"/>
      <c r="BY1007" s="20"/>
      <c r="BZ1007" s="20"/>
      <c r="CA1007" s="20"/>
      <c r="CB1007" s="21"/>
      <c r="CC1007" s="27" t="str">
        <f t="shared" si="165"/>
        <v/>
      </c>
      <c r="CD1007" s="38" t="str">
        <f t="shared" si="166"/>
        <v/>
      </c>
      <c r="CE1007" s="38" t="str">
        <f t="shared" si="167"/>
        <v/>
      </c>
      <c r="CF1007" s="38" t="str">
        <f t="shared" si="168"/>
        <v/>
      </c>
      <c r="CG1007" s="38" t="str">
        <f t="shared" si="169"/>
        <v/>
      </c>
      <c r="CH1007" s="38" t="str">
        <f t="shared" si="170"/>
        <v/>
      </c>
      <c r="CI1007" s="38" t="str">
        <f t="shared" si="171"/>
        <v/>
      </c>
      <c r="CJ1007" s="38" t="str">
        <f t="shared" si="172"/>
        <v/>
      </c>
      <c r="CK1007" s="38" t="str">
        <f t="shared" si="173"/>
        <v/>
      </c>
      <c r="CL1007" s="38" t="str">
        <f>IF(C1007="","",IF(COUNT(G1007:AZ1007)&lt;46,"",SUMPRODUCT(CC1007:CK1007,'تنظیمات وزن‌دهی'!$C$5:$C$13)/100))</f>
        <v/>
      </c>
      <c r="CM1007" s="38" t="str">
        <f t="shared" si="174"/>
        <v/>
      </c>
      <c r="CN1007" s="38">
        <v>7</v>
      </c>
      <c r="CO1007" s="28" t="str">
        <f t="shared" si="175"/>
        <v/>
      </c>
      <c r="CP1007" s="58"/>
    </row>
    <row r="1008" spans="1:94" ht="17.25" hidden="1">
      <c r="A1008" s="33">
        <v>1004</v>
      </c>
      <c r="B1008" s="55" t="s">
        <v>190</v>
      </c>
      <c r="C1008" s="55" t="str">
        <f>IF(دانش‌آموزان!E88="","",دانش‌آموزان!B88)</f>
        <v/>
      </c>
      <c r="D1008" s="55" t="str">
        <f>IF(دانش‌آموزان!C88="","",دانش‌آموزان!C88)</f>
        <v/>
      </c>
      <c r="E1008" s="55" t="str">
        <f>IF(دانش‌آموزان!E88="","",دانش‌آموزان!E88&amp;" "&amp;دانش‌آموزان!F88)</f>
        <v/>
      </c>
      <c r="F1008" s="34" t="str">
        <f>IF(دانش‌آموزان!I88="","",دانش‌آموزان!I88)</f>
        <v/>
      </c>
      <c r="G1008" s="19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20"/>
      <c r="AL1008" s="20"/>
      <c r="AM1008" s="20"/>
      <c r="AN1008" s="20"/>
      <c r="AO1008" s="20"/>
      <c r="AP1008" s="20"/>
      <c r="AQ1008" s="20"/>
      <c r="AR1008" s="20"/>
      <c r="AS1008" s="20"/>
      <c r="AT1008" s="20"/>
      <c r="AU1008" s="20"/>
      <c r="AV1008" s="20"/>
      <c r="AW1008" s="20"/>
      <c r="AX1008" s="20"/>
      <c r="AY1008" s="20"/>
      <c r="AZ1008" s="20"/>
      <c r="BA1008" s="20"/>
      <c r="BB1008" s="20"/>
      <c r="BC1008" s="20"/>
      <c r="BD1008" s="20"/>
      <c r="BE1008" s="20"/>
      <c r="BF1008" s="20"/>
      <c r="BG1008" s="20"/>
      <c r="BH1008" s="20"/>
      <c r="BI1008" s="20"/>
      <c r="BJ1008" s="20"/>
      <c r="BK1008" s="20"/>
      <c r="BL1008" s="20"/>
      <c r="BM1008" s="20"/>
      <c r="BN1008" s="20"/>
      <c r="BO1008" s="20"/>
      <c r="BP1008" s="20"/>
      <c r="BQ1008" s="20"/>
      <c r="BR1008" s="20"/>
      <c r="BS1008" s="20"/>
      <c r="BT1008" s="20"/>
      <c r="BU1008" s="20"/>
      <c r="BV1008" s="20"/>
      <c r="BW1008" s="20"/>
      <c r="BX1008" s="20"/>
      <c r="BY1008" s="20"/>
      <c r="BZ1008" s="20"/>
      <c r="CA1008" s="20"/>
      <c r="CB1008" s="21"/>
      <c r="CC1008" s="27" t="str">
        <f t="shared" si="165"/>
        <v/>
      </c>
      <c r="CD1008" s="38" t="str">
        <f t="shared" si="166"/>
        <v/>
      </c>
      <c r="CE1008" s="38" t="str">
        <f t="shared" si="167"/>
        <v/>
      </c>
      <c r="CF1008" s="38" t="str">
        <f t="shared" si="168"/>
        <v/>
      </c>
      <c r="CG1008" s="38" t="str">
        <f t="shared" si="169"/>
        <v/>
      </c>
      <c r="CH1008" s="38" t="str">
        <f t="shared" si="170"/>
        <v/>
      </c>
      <c r="CI1008" s="38" t="str">
        <f t="shared" si="171"/>
        <v/>
      </c>
      <c r="CJ1008" s="38" t="str">
        <f t="shared" si="172"/>
        <v/>
      </c>
      <c r="CK1008" s="38" t="str">
        <f t="shared" si="173"/>
        <v/>
      </c>
      <c r="CL1008" s="38" t="str">
        <f>IF(C1008="","",IF(COUNT(G1008:AZ1008)&lt;46,"",SUMPRODUCT(CC1008:CK1008,'تنظیمات وزن‌دهی'!$C$5:$C$13)/100))</f>
        <v/>
      </c>
      <c r="CM1008" s="38" t="str">
        <f t="shared" si="174"/>
        <v/>
      </c>
      <c r="CN1008" s="38">
        <v>8</v>
      </c>
      <c r="CO1008" s="28" t="str">
        <f t="shared" si="175"/>
        <v/>
      </c>
      <c r="CP1008" s="58"/>
    </row>
    <row r="1009" spans="1:94" ht="17.25" hidden="1">
      <c r="A1009" s="33">
        <v>1005</v>
      </c>
      <c r="B1009" s="55" t="s">
        <v>191</v>
      </c>
      <c r="C1009" s="55" t="str">
        <f>IF(دانش‌آموزان!E88="","",دانش‌آموزان!B88)</f>
        <v/>
      </c>
      <c r="D1009" s="55" t="str">
        <f>IF(دانش‌آموزان!C88="","",دانش‌آموزان!C88)</f>
        <v/>
      </c>
      <c r="E1009" s="55" t="str">
        <f>IF(دانش‌آموزان!E88="","",دانش‌آموزان!E88&amp;" "&amp;دانش‌آموزان!F88)</f>
        <v/>
      </c>
      <c r="F1009" s="34" t="str">
        <f>IF(دانش‌آموزان!I88="","",دانش‌آموزان!I88)</f>
        <v/>
      </c>
      <c r="G1009" s="19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  <c r="AE1009" s="20"/>
      <c r="AF1009" s="20"/>
      <c r="AG1009" s="20"/>
      <c r="AH1009" s="20"/>
      <c r="AI1009" s="20"/>
      <c r="AJ1009" s="20"/>
      <c r="AK1009" s="20"/>
      <c r="AL1009" s="20"/>
      <c r="AM1009" s="20"/>
      <c r="AN1009" s="20"/>
      <c r="AO1009" s="20"/>
      <c r="AP1009" s="20"/>
      <c r="AQ1009" s="20"/>
      <c r="AR1009" s="20"/>
      <c r="AS1009" s="20"/>
      <c r="AT1009" s="20"/>
      <c r="AU1009" s="20"/>
      <c r="AV1009" s="20"/>
      <c r="AW1009" s="20"/>
      <c r="AX1009" s="20"/>
      <c r="AY1009" s="20"/>
      <c r="AZ1009" s="20"/>
      <c r="BA1009" s="20"/>
      <c r="BB1009" s="20"/>
      <c r="BC1009" s="20"/>
      <c r="BD1009" s="20"/>
      <c r="BE1009" s="20"/>
      <c r="BF1009" s="20"/>
      <c r="BG1009" s="20"/>
      <c r="BH1009" s="20"/>
      <c r="BI1009" s="20"/>
      <c r="BJ1009" s="20"/>
      <c r="BK1009" s="20"/>
      <c r="BL1009" s="20"/>
      <c r="BM1009" s="20"/>
      <c r="BN1009" s="20"/>
      <c r="BO1009" s="20"/>
      <c r="BP1009" s="20"/>
      <c r="BQ1009" s="20"/>
      <c r="BR1009" s="20"/>
      <c r="BS1009" s="20"/>
      <c r="BT1009" s="20"/>
      <c r="BU1009" s="20"/>
      <c r="BV1009" s="20"/>
      <c r="BW1009" s="20"/>
      <c r="BX1009" s="20"/>
      <c r="BY1009" s="20"/>
      <c r="BZ1009" s="20"/>
      <c r="CA1009" s="20"/>
      <c r="CB1009" s="21"/>
      <c r="CC1009" s="27" t="str">
        <f t="shared" si="165"/>
        <v/>
      </c>
      <c r="CD1009" s="38" t="str">
        <f t="shared" si="166"/>
        <v/>
      </c>
      <c r="CE1009" s="38" t="str">
        <f t="shared" si="167"/>
        <v/>
      </c>
      <c r="CF1009" s="38" t="str">
        <f t="shared" si="168"/>
        <v/>
      </c>
      <c r="CG1009" s="38" t="str">
        <f t="shared" si="169"/>
        <v/>
      </c>
      <c r="CH1009" s="38" t="str">
        <f t="shared" si="170"/>
        <v/>
      </c>
      <c r="CI1009" s="38" t="str">
        <f t="shared" si="171"/>
        <v/>
      </c>
      <c r="CJ1009" s="38" t="str">
        <f t="shared" si="172"/>
        <v/>
      </c>
      <c r="CK1009" s="38" t="str">
        <f t="shared" si="173"/>
        <v/>
      </c>
      <c r="CL1009" s="38" t="str">
        <f>IF(C1009="","",IF(COUNT(G1009:AZ1009)&lt;46,"",SUMPRODUCT(CC1009:CK1009,'تنظیمات وزن‌دهی'!$C$5:$C$13)/100))</f>
        <v/>
      </c>
      <c r="CM1009" s="38" t="str">
        <f t="shared" si="174"/>
        <v/>
      </c>
      <c r="CN1009" s="38">
        <v>9</v>
      </c>
      <c r="CO1009" s="28" t="str">
        <f t="shared" si="175"/>
        <v/>
      </c>
      <c r="CP1009" s="58"/>
    </row>
    <row r="1010" spans="1:94" ht="17.25" hidden="1">
      <c r="A1010" s="33">
        <v>1006</v>
      </c>
      <c r="B1010" s="55" t="s">
        <v>192</v>
      </c>
      <c r="C1010" s="55" t="str">
        <f>IF(دانش‌آموزان!E88="","",دانش‌آموزان!B88)</f>
        <v/>
      </c>
      <c r="D1010" s="55" t="str">
        <f>IF(دانش‌آموزان!C88="","",دانش‌آموزان!C88)</f>
        <v/>
      </c>
      <c r="E1010" s="55" t="str">
        <f>IF(دانش‌آموزان!E88="","",دانش‌آموزان!E88&amp;" "&amp;دانش‌آموزان!F88)</f>
        <v/>
      </c>
      <c r="F1010" s="34" t="str">
        <f>IF(دانش‌آموزان!I88="","",دانش‌آموزان!I88)</f>
        <v/>
      </c>
      <c r="G1010" s="19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  <c r="AE1010" s="20"/>
      <c r="AF1010" s="20"/>
      <c r="AG1010" s="20"/>
      <c r="AH1010" s="20"/>
      <c r="AI1010" s="20"/>
      <c r="AJ1010" s="20"/>
      <c r="AK1010" s="20"/>
      <c r="AL1010" s="20"/>
      <c r="AM1010" s="20"/>
      <c r="AN1010" s="20"/>
      <c r="AO1010" s="20"/>
      <c r="AP1010" s="20"/>
      <c r="AQ1010" s="20"/>
      <c r="AR1010" s="20"/>
      <c r="AS1010" s="20"/>
      <c r="AT1010" s="20"/>
      <c r="AU1010" s="20"/>
      <c r="AV1010" s="20"/>
      <c r="AW1010" s="20"/>
      <c r="AX1010" s="20"/>
      <c r="AY1010" s="20"/>
      <c r="AZ1010" s="20"/>
      <c r="BA1010" s="20"/>
      <c r="BB1010" s="20"/>
      <c r="BC1010" s="20"/>
      <c r="BD1010" s="20"/>
      <c r="BE1010" s="20"/>
      <c r="BF1010" s="20"/>
      <c r="BG1010" s="20"/>
      <c r="BH1010" s="20"/>
      <c r="BI1010" s="20"/>
      <c r="BJ1010" s="20"/>
      <c r="BK1010" s="20"/>
      <c r="BL1010" s="20"/>
      <c r="BM1010" s="20"/>
      <c r="BN1010" s="20"/>
      <c r="BO1010" s="20"/>
      <c r="BP1010" s="20"/>
      <c r="BQ1010" s="20"/>
      <c r="BR1010" s="20"/>
      <c r="BS1010" s="20"/>
      <c r="BT1010" s="20"/>
      <c r="BU1010" s="20"/>
      <c r="BV1010" s="20"/>
      <c r="BW1010" s="20"/>
      <c r="BX1010" s="20"/>
      <c r="BY1010" s="20"/>
      <c r="BZ1010" s="20"/>
      <c r="CA1010" s="20"/>
      <c r="CB1010" s="21"/>
      <c r="CC1010" s="27" t="str">
        <f t="shared" si="165"/>
        <v/>
      </c>
      <c r="CD1010" s="38" t="str">
        <f t="shared" si="166"/>
        <v/>
      </c>
      <c r="CE1010" s="38" t="str">
        <f t="shared" si="167"/>
        <v/>
      </c>
      <c r="CF1010" s="38" t="str">
        <f t="shared" si="168"/>
        <v/>
      </c>
      <c r="CG1010" s="38" t="str">
        <f t="shared" si="169"/>
        <v/>
      </c>
      <c r="CH1010" s="38" t="str">
        <f t="shared" si="170"/>
        <v/>
      </c>
      <c r="CI1010" s="38" t="str">
        <f t="shared" si="171"/>
        <v/>
      </c>
      <c r="CJ1010" s="38" t="str">
        <f t="shared" si="172"/>
        <v/>
      </c>
      <c r="CK1010" s="38" t="str">
        <f t="shared" si="173"/>
        <v/>
      </c>
      <c r="CL1010" s="38" t="str">
        <f>IF(C1010="","",IF(COUNT(G1010:AZ1010)&lt;46,"",SUMPRODUCT(CC1010:CK1010,'تنظیمات وزن‌دهی'!$C$5:$C$13)/100))</f>
        <v/>
      </c>
      <c r="CM1010" s="38" t="str">
        <f t="shared" si="174"/>
        <v/>
      </c>
      <c r="CN1010" s="38">
        <v>10</v>
      </c>
      <c r="CO1010" s="28" t="str">
        <f t="shared" si="175"/>
        <v/>
      </c>
      <c r="CP1010" s="58"/>
    </row>
    <row r="1011" spans="1:94" ht="17.25" hidden="1">
      <c r="A1011" s="33">
        <v>1007</v>
      </c>
      <c r="B1011" s="55" t="s">
        <v>193</v>
      </c>
      <c r="C1011" s="55" t="str">
        <f>IF(دانش‌آموزان!E88="","",دانش‌آموزان!B88)</f>
        <v/>
      </c>
      <c r="D1011" s="55" t="str">
        <f>IF(دانش‌آموزان!C88="","",دانش‌آموزان!C88)</f>
        <v/>
      </c>
      <c r="E1011" s="55" t="str">
        <f>IF(دانش‌آموزان!E88="","",دانش‌آموزان!E88&amp;" "&amp;دانش‌آموزان!F88)</f>
        <v/>
      </c>
      <c r="F1011" s="34" t="str">
        <f>IF(دانش‌آموزان!I88="","",دانش‌آموزان!I88)</f>
        <v/>
      </c>
      <c r="G1011" s="19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  <c r="AE1011" s="20"/>
      <c r="AF1011" s="20"/>
      <c r="AG1011" s="20"/>
      <c r="AH1011" s="20"/>
      <c r="AI1011" s="20"/>
      <c r="AJ1011" s="20"/>
      <c r="AK1011" s="20"/>
      <c r="AL1011" s="20"/>
      <c r="AM1011" s="20"/>
      <c r="AN1011" s="20"/>
      <c r="AO1011" s="20"/>
      <c r="AP1011" s="20"/>
      <c r="AQ1011" s="20"/>
      <c r="AR1011" s="20"/>
      <c r="AS1011" s="20"/>
      <c r="AT1011" s="20"/>
      <c r="AU1011" s="20"/>
      <c r="AV1011" s="20"/>
      <c r="AW1011" s="20"/>
      <c r="AX1011" s="20"/>
      <c r="AY1011" s="20"/>
      <c r="AZ1011" s="20"/>
      <c r="BA1011" s="20"/>
      <c r="BB1011" s="20"/>
      <c r="BC1011" s="20"/>
      <c r="BD1011" s="20"/>
      <c r="BE1011" s="20"/>
      <c r="BF1011" s="20"/>
      <c r="BG1011" s="20"/>
      <c r="BH1011" s="20"/>
      <c r="BI1011" s="20"/>
      <c r="BJ1011" s="20"/>
      <c r="BK1011" s="20"/>
      <c r="BL1011" s="20"/>
      <c r="BM1011" s="20"/>
      <c r="BN1011" s="20"/>
      <c r="BO1011" s="20"/>
      <c r="BP1011" s="20"/>
      <c r="BQ1011" s="20"/>
      <c r="BR1011" s="20"/>
      <c r="BS1011" s="20"/>
      <c r="BT1011" s="20"/>
      <c r="BU1011" s="20"/>
      <c r="BV1011" s="20"/>
      <c r="BW1011" s="20"/>
      <c r="BX1011" s="20"/>
      <c r="BY1011" s="20"/>
      <c r="BZ1011" s="20"/>
      <c r="CA1011" s="20"/>
      <c r="CB1011" s="21"/>
      <c r="CC1011" s="27" t="str">
        <f t="shared" si="165"/>
        <v/>
      </c>
      <c r="CD1011" s="38" t="str">
        <f t="shared" si="166"/>
        <v/>
      </c>
      <c r="CE1011" s="38" t="str">
        <f t="shared" si="167"/>
        <v/>
      </c>
      <c r="CF1011" s="38" t="str">
        <f t="shared" si="168"/>
        <v/>
      </c>
      <c r="CG1011" s="38" t="str">
        <f t="shared" si="169"/>
        <v/>
      </c>
      <c r="CH1011" s="38" t="str">
        <f t="shared" si="170"/>
        <v/>
      </c>
      <c r="CI1011" s="38" t="str">
        <f t="shared" si="171"/>
        <v/>
      </c>
      <c r="CJ1011" s="38" t="str">
        <f t="shared" si="172"/>
        <v/>
      </c>
      <c r="CK1011" s="38" t="str">
        <f t="shared" si="173"/>
        <v/>
      </c>
      <c r="CL1011" s="38" t="str">
        <f>IF(C1011="","",IF(COUNT(G1011:AZ1011)&lt;46,"",SUMPRODUCT(CC1011:CK1011,'تنظیمات وزن‌دهی'!$C$5:$C$13)/100))</f>
        <v/>
      </c>
      <c r="CM1011" s="38" t="str">
        <f t="shared" si="174"/>
        <v/>
      </c>
      <c r="CN1011" s="38">
        <v>11</v>
      </c>
      <c r="CO1011" s="28" t="str">
        <f t="shared" si="175"/>
        <v/>
      </c>
      <c r="CP1011" s="58"/>
    </row>
    <row r="1012" spans="1:94" ht="17.25" hidden="1">
      <c r="A1012" s="33">
        <v>1008</v>
      </c>
      <c r="B1012" s="55" t="s">
        <v>194</v>
      </c>
      <c r="C1012" s="55" t="str">
        <f>IF(دانش‌آموزان!E88="","",دانش‌آموزان!B88)</f>
        <v/>
      </c>
      <c r="D1012" s="55" t="str">
        <f>IF(دانش‌آموزان!C88="","",دانش‌آموزان!C88)</f>
        <v/>
      </c>
      <c r="E1012" s="55" t="str">
        <f>IF(دانش‌آموزان!E88="","",دانش‌آموزان!E88&amp;" "&amp;دانش‌آموزان!F88)</f>
        <v/>
      </c>
      <c r="F1012" s="34" t="str">
        <f>IF(دانش‌آموزان!I88="","",دانش‌آموزان!I88)</f>
        <v/>
      </c>
      <c r="G1012" s="19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  <c r="AE1012" s="20"/>
      <c r="AF1012" s="20"/>
      <c r="AG1012" s="20"/>
      <c r="AH1012" s="20"/>
      <c r="AI1012" s="20"/>
      <c r="AJ1012" s="20"/>
      <c r="AK1012" s="20"/>
      <c r="AL1012" s="20"/>
      <c r="AM1012" s="20"/>
      <c r="AN1012" s="20"/>
      <c r="AO1012" s="20"/>
      <c r="AP1012" s="20"/>
      <c r="AQ1012" s="20"/>
      <c r="AR1012" s="20"/>
      <c r="AS1012" s="20"/>
      <c r="AT1012" s="20"/>
      <c r="AU1012" s="20"/>
      <c r="AV1012" s="20"/>
      <c r="AW1012" s="20"/>
      <c r="AX1012" s="20"/>
      <c r="AY1012" s="20"/>
      <c r="AZ1012" s="20"/>
      <c r="BA1012" s="20"/>
      <c r="BB1012" s="20"/>
      <c r="BC1012" s="20"/>
      <c r="BD1012" s="20"/>
      <c r="BE1012" s="20"/>
      <c r="BF1012" s="20"/>
      <c r="BG1012" s="20"/>
      <c r="BH1012" s="20"/>
      <c r="BI1012" s="20"/>
      <c r="BJ1012" s="20"/>
      <c r="BK1012" s="20"/>
      <c r="BL1012" s="20"/>
      <c r="BM1012" s="20"/>
      <c r="BN1012" s="20"/>
      <c r="BO1012" s="20"/>
      <c r="BP1012" s="20"/>
      <c r="BQ1012" s="20"/>
      <c r="BR1012" s="20"/>
      <c r="BS1012" s="20"/>
      <c r="BT1012" s="20"/>
      <c r="BU1012" s="20"/>
      <c r="BV1012" s="20"/>
      <c r="BW1012" s="20"/>
      <c r="BX1012" s="20"/>
      <c r="BY1012" s="20"/>
      <c r="BZ1012" s="20"/>
      <c r="CA1012" s="20"/>
      <c r="CB1012" s="21"/>
      <c r="CC1012" s="27" t="str">
        <f t="shared" si="165"/>
        <v/>
      </c>
      <c r="CD1012" s="38" t="str">
        <f t="shared" si="166"/>
        <v/>
      </c>
      <c r="CE1012" s="38" t="str">
        <f t="shared" si="167"/>
        <v/>
      </c>
      <c r="CF1012" s="38" t="str">
        <f t="shared" si="168"/>
        <v/>
      </c>
      <c r="CG1012" s="38" t="str">
        <f t="shared" si="169"/>
        <v/>
      </c>
      <c r="CH1012" s="38" t="str">
        <f t="shared" si="170"/>
        <v/>
      </c>
      <c r="CI1012" s="38" t="str">
        <f t="shared" si="171"/>
        <v/>
      </c>
      <c r="CJ1012" s="38" t="str">
        <f t="shared" si="172"/>
        <v/>
      </c>
      <c r="CK1012" s="38" t="str">
        <f t="shared" si="173"/>
        <v/>
      </c>
      <c r="CL1012" s="38" t="str">
        <f>IF(C1012="","",IF(COUNT(G1012:AZ1012)&lt;46,"",SUMPRODUCT(CC1012:CK1012,'تنظیمات وزن‌دهی'!$C$5:$C$13)/100))</f>
        <v/>
      </c>
      <c r="CM1012" s="38" t="str">
        <f t="shared" si="174"/>
        <v/>
      </c>
      <c r="CN1012" s="38">
        <v>12</v>
      </c>
      <c r="CO1012" s="28" t="str">
        <f t="shared" si="175"/>
        <v/>
      </c>
      <c r="CP1012" s="58"/>
    </row>
    <row r="1013" spans="1:94" ht="17.25" hidden="1">
      <c r="A1013" s="33">
        <v>1009</v>
      </c>
      <c r="B1013" s="55" t="s">
        <v>183</v>
      </c>
      <c r="C1013" s="55" t="str">
        <f>IF(دانش‌آموزان!E89="","",دانش‌آموزان!B89)</f>
        <v/>
      </c>
      <c r="D1013" s="55" t="str">
        <f>IF(دانش‌آموزان!C89="","",دانش‌آموزان!C89)</f>
        <v/>
      </c>
      <c r="E1013" s="55" t="str">
        <f>IF(دانش‌آموزان!E89="","",دانش‌آموزان!E89&amp;" "&amp;دانش‌آموزان!F89)</f>
        <v/>
      </c>
      <c r="F1013" s="34" t="str">
        <f>IF(دانش‌آموزان!I89="","",دانش‌آموزان!I89)</f>
        <v/>
      </c>
      <c r="G1013" s="19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  <c r="AE1013" s="20"/>
      <c r="AF1013" s="20"/>
      <c r="AG1013" s="20"/>
      <c r="AH1013" s="20"/>
      <c r="AI1013" s="20"/>
      <c r="AJ1013" s="20"/>
      <c r="AK1013" s="20"/>
      <c r="AL1013" s="20"/>
      <c r="AM1013" s="20"/>
      <c r="AN1013" s="20"/>
      <c r="AO1013" s="20"/>
      <c r="AP1013" s="20"/>
      <c r="AQ1013" s="20"/>
      <c r="AR1013" s="20"/>
      <c r="AS1013" s="20"/>
      <c r="AT1013" s="20"/>
      <c r="AU1013" s="20"/>
      <c r="AV1013" s="20"/>
      <c r="AW1013" s="20"/>
      <c r="AX1013" s="20"/>
      <c r="AY1013" s="20"/>
      <c r="AZ1013" s="20"/>
      <c r="BA1013" s="20"/>
      <c r="BB1013" s="20"/>
      <c r="BC1013" s="20"/>
      <c r="BD1013" s="20"/>
      <c r="BE1013" s="20"/>
      <c r="BF1013" s="20"/>
      <c r="BG1013" s="20"/>
      <c r="BH1013" s="20"/>
      <c r="BI1013" s="20"/>
      <c r="BJ1013" s="20"/>
      <c r="BK1013" s="20"/>
      <c r="BL1013" s="20"/>
      <c r="BM1013" s="20"/>
      <c r="BN1013" s="20"/>
      <c r="BO1013" s="20"/>
      <c r="BP1013" s="20"/>
      <c r="BQ1013" s="20"/>
      <c r="BR1013" s="20"/>
      <c r="BS1013" s="20"/>
      <c r="BT1013" s="20"/>
      <c r="BU1013" s="20"/>
      <c r="BV1013" s="20"/>
      <c r="BW1013" s="20"/>
      <c r="BX1013" s="20"/>
      <c r="BY1013" s="20"/>
      <c r="BZ1013" s="20"/>
      <c r="CA1013" s="20"/>
      <c r="CB1013" s="21"/>
      <c r="CC1013" s="27" t="str">
        <f t="shared" si="165"/>
        <v/>
      </c>
      <c r="CD1013" s="38" t="str">
        <f t="shared" si="166"/>
        <v/>
      </c>
      <c r="CE1013" s="38" t="str">
        <f t="shared" si="167"/>
        <v/>
      </c>
      <c r="CF1013" s="38" t="str">
        <f t="shared" si="168"/>
        <v/>
      </c>
      <c r="CG1013" s="38" t="str">
        <f t="shared" si="169"/>
        <v/>
      </c>
      <c r="CH1013" s="38" t="str">
        <f t="shared" si="170"/>
        <v/>
      </c>
      <c r="CI1013" s="38" t="str">
        <f t="shared" si="171"/>
        <v/>
      </c>
      <c r="CJ1013" s="38" t="str">
        <f t="shared" si="172"/>
        <v/>
      </c>
      <c r="CK1013" s="38" t="str">
        <f t="shared" si="173"/>
        <v/>
      </c>
      <c r="CL1013" s="38" t="str">
        <f>IF(C1013="","",IF(COUNT(G1013:AZ1013)&lt;46,"",SUMPRODUCT(CC1013:CK1013,'تنظیمات وزن‌دهی'!$C$5:$C$13)/100))</f>
        <v/>
      </c>
      <c r="CM1013" s="38" t="str">
        <f t="shared" si="174"/>
        <v/>
      </c>
      <c r="CN1013" s="38">
        <v>1</v>
      </c>
      <c r="CO1013" s="28" t="str">
        <f t="shared" si="175"/>
        <v/>
      </c>
      <c r="CP1013" s="58"/>
    </row>
    <row r="1014" spans="1:94" ht="17.25" hidden="1">
      <c r="A1014" s="33">
        <v>1010</v>
      </c>
      <c r="B1014" s="55" t="s">
        <v>184</v>
      </c>
      <c r="C1014" s="55" t="str">
        <f>IF(دانش‌آموزان!E89="","",دانش‌آموزان!B89)</f>
        <v/>
      </c>
      <c r="D1014" s="55" t="str">
        <f>IF(دانش‌آموزان!C89="","",دانش‌آموزان!C89)</f>
        <v/>
      </c>
      <c r="E1014" s="55" t="str">
        <f>IF(دانش‌آموزان!E89="","",دانش‌آموزان!E89&amp;" "&amp;دانش‌آموزان!F89)</f>
        <v/>
      </c>
      <c r="F1014" s="34" t="str">
        <f>IF(دانش‌آموزان!I89="","",دانش‌آموزان!I89)</f>
        <v/>
      </c>
      <c r="G1014" s="19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  <c r="AE1014" s="20"/>
      <c r="AF1014" s="20"/>
      <c r="AG1014" s="20"/>
      <c r="AH1014" s="20"/>
      <c r="AI1014" s="20"/>
      <c r="AJ1014" s="20"/>
      <c r="AK1014" s="20"/>
      <c r="AL1014" s="20"/>
      <c r="AM1014" s="20"/>
      <c r="AN1014" s="20"/>
      <c r="AO1014" s="20"/>
      <c r="AP1014" s="20"/>
      <c r="AQ1014" s="20"/>
      <c r="AR1014" s="20"/>
      <c r="AS1014" s="20"/>
      <c r="AT1014" s="20"/>
      <c r="AU1014" s="20"/>
      <c r="AV1014" s="20"/>
      <c r="AW1014" s="20"/>
      <c r="AX1014" s="20"/>
      <c r="AY1014" s="20"/>
      <c r="AZ1014" s="20"/>
      <c r="BA1014" s="20"/>
      <c r="BB1014" s="20"/>
      <c r="BC1014" s="20"/>
      <c r="BD1014" s="20"/>
      <c r="BE1014" s="20"/>
      <c r="BF1014" s="20"/>
      <c r="BG1014" s="20"/>
      <c r="BH1014" s="20"/>
      <c r="BI1014" s="20"/>
      <c r="BJ1014" s="20"/>
      <c r="BK1014" s="20"/>
      <c r="BL1014" s="20"/>
      <c r="BM1014" s="20"/>
      <c r="BN1014" s="20"/>
      <c r="BO1014" s="20"/>
      <c r="BP1014" s="20"/>
      <c r="BQ1014" s="20"/>
      <c r="BR1014" s="20"/>
      <c r="BS1014" s="20"/>
      <c r="BT1014" s="20"/>
      <c r="BU1014" s="20"/>
      <c r="BV1014" s="20"/>
      <c r="BW1014" s="20"/>
      <c r="BX1014" s="20"/>
      <c r="BY1014" s="20"/>
      <c r="BZ1014" s="20"/>
      <c r="CA1014" s="20"/>
      <c r="CB1014" s="21"/>
      <c r="CC1014" s="27" t="str">
        <f t="shared" si="165"/>
        <v/>
      </c>
      <c r="CD1014" s="38" t="str">
        <f t="shared" si="166"/>
        <v/>
      </c>
      <c r="CE1014" s="38" t="str">
        <f t="shared" si="167"/>
        <v/>
      </c>
      <c r="CF1014" s="38" t="str">
        <f t="shared" si="168"/>
        <v/>
      </c>
      <c r="CG1014" s="38" t="str">
        <f t="shared" si="169"/>
        <v/>
      </c>
      <c r="CH1014" s="38" t="str">
        <f t="shared" si="170"/>
        <v/>
      </c>
      <c r="CI1014" s="38" t="str">
        <f t="shared" si="171"/>
        <v/>
      </c>
      <c r="CJ1014" s="38" t="str">
        <f t="shared" si="172"/>
        <v/>
      </c>
      <c r="CK1014" s="38" t="str">
        <f t="shared" si="173"/>
        <v/>
      </c>
      <c r="CL1014" s="38" t="str">
        <f>IF(C1014="","",IF(COUNT(G1014:AZ1014)&lt;46,"",SUMPRODUCT(CC1014:CK1014,'تنظیمات وزن‌دهی'!$C$5:$C$13)/100))</f>
        <v/>
      </c>
      <c r="CM1014" s="38" t="str">
        <f t="shared" si="174"/>
        <v/>
      </c>
      <c r="CN1014" s="38">
        <v>2</v>
      </c>
      <c r="CO1014" s="28" t="str">
        <f t="shared" si="175"/>
        <v/>
      </c>
      <c r="CP1014" s="58"/>
    </row>
    <row r="1015" spans="1:94" ht="17.25">
      <c r="A1015" s="33">
        <v>1011</v>
      </c>
      <c r="B1015" s="55" t="s">
        <v>185</v>
      </c>
      <c r="C1015" s="55" t="str">
        <f>IF(دانش‌آموزان!E89="","",دانش‌آموزان!B89)</f>
        <v/>
      </c>
      <c r="D1015" s="55" t="str">
        <f>IF(دانش‌آموزان!C89="","",دانش‌آموزان!C89)</f>
        <v/>
      </c>
      <c r="E1015" s="55" t="str">
        <f>IF(دانش‌آموزان!E89="","",دانش‌آموزان!E89&amp;" "&amp;دانش‌آموزان!F89)</f>
        <v/>
      </c>
      <c r="F1015" s="34" t="str">
        <f>IF(دانش‌آموزان!I89="","",دانش‌آموزان!I89)</f>
        <v/>
      </c>
      <c r="G1015" s="19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  <c r="AE1015" s="20"/>
      <c r="AF1015" s="20"/>
      <c r="AG1015" s="20"/>
      <c r="AH1015" s="20"/>
      <c r="AI1015" s="20"/>
      <c r="AJ1015" s="20"/>
      <c r="AK1015" s="20"/>
      <c r="AL1015" s="20"/>
      <c r="AM1015" s="20"/>
      <c r="AN1015" s="20"/>
      <c r="AO1015" s="20"/>
      <c r="AP1015" s="20"/>
      <c r="AQ1015" s="20"/>
      <c r="AR1015" s="20"/>
      <c r="AS1015" s="20"/>
      <c r="AT1015" s="20"/>
      <c r="AU1015" s="20"/>
      <c r="AV1015" s="20"/>
      <c r="AW1015" s="20"/>
      <c r="AX1015" s="20"/>
      <c r="AY1015" s="20"/>
      <c r="AZ1015" s="20"/>
      <c r="BA1015" s="20"/>
      <c r="BB1015" s="20"/>
      <c r="BC1015" s="20"/>
      <c r="BD1015" s="20"/>
      <c r="BE1015" s="20"/>
      <c r="BF1015" s="20"/>
      <c r="BG1015" s="20"/>
      <c r="BH1015" s="20"/>
      <c r="BI1015" s="20"/>
      <c r="BJ1015" s="20"/>
      <c r="BK1015" s="20"/>
      <c r="BL1015" s="20"/>
      <c r="BM1015" s="20"/>
      <c r="BN1015" s="20"/>
      <c r="BO1015" s="20"/>
      <c r="BP1015" s="20"/>
      <c r="BQ1015" s="20"/>
      <c r="BR1015" s="20"/>
      <c r="BS1015" s="20"/>
      <c r="BT1015" s="20"/>
      <c r="BU1015" s="20"/>
      <c r="BV1015" s="20"/>
      <c r="BW1015" s="20"/>
      <c r="BX1015" s="20"/>
      <c r="BY1015" s="20"/>
      <c r="BZ1015" s="20"/>
      <c r="CA1015" s="20"/>
      <c r="CB1015" s="21"/>
      <c r="CC1015" s="27" t="str">
        <f t="shared" si="165"/>
        <v/>
      </c>
      <c r="CD1015" s="38" t="str">
        <f t="shared" si="166"/>
        <v/>
      </c>
      <c r="CE1015" s="38" t="str">
        <f t="shared" si="167"/>
        <v/>
      </c>
      <c r="CF1015" s="38" t="str">
        <f t="shared" si="168"/>
        <v/>
      </c>
      <c r="CG1015" s="38" t="str">
        <f t="shared" si="169"/>
        <v/>
      </c>
      <c r="CH1015" s="38" t="str">
        <f t="shared" si="170"/>
        <v/>
      </c>
      <c r="CI1015" s="38" t="str">
        <f t="shared" si="171"/>
        <v/>
      </c>
      <c r="CJ1015" s="38" t="str">
        <f t="shared" si="172"/>
        <v/>
      </c>
      <c r="CK1015" s="38" t="str">
        <f t="shared" si="173"/>
        <v/>
      </c>
      <c r="CL1015" s="38" t="str">
        <f>IF(C1015="","",IF(COUNT(G1015:AZ1015)&lt;46,"",SUMPRODUCT(CC1015:CK1015,'تنظیمات وزن‌دهی'!$C$5:$C$13)/100))</f>
        <v/>
      </c>
      <c r="CM1015" s="38" t="str">
        <f t="shared" si="174"/>
        <v/>
      </c>
      <c r="CN1015" s="38">
        <v>3</v>
      </c>
      <c r="CO1015" s="28" t="str">
        <f t="shared" si="175"/>
        <v/>
      </c>
      <c r="CP1015" s="58"/>
    </row>
    <row r="1016" spans="1:94" ht="17.25" hidden="1">
      <c r="A1016" s="33">
        <v>1012</v>
      </c>
      <c r="B1016" s="55" t="s">
        <v>186</v>
      </c>
      <c r="C1016" s="55" t="str">
        <f>IF(دانش‌آموزان!E89="","",دانش‌آموزان!B89)</f>
        <v/>
      </c>
      <c r="D1016" s="55" t="str">
        <f>IF(دانش‌آموزان!C89="","",دانش‌آموزان!C89)</f>
        <v/>
      </c>
      <c r="E1016" s="55" t="str">
        <f>IF(دانش‌آموزان!E89="","",دانش‌آموزان!E89&amp;" "&amp;دانش‌آموزان!F89)</f>
        <v/>
      </c>
      <c r="F1016" s="34" t="str">
        <f>IF(دانش‌آموزان!I89="","",دانش‌آموزان!I89)</f>
        <v/>
      </c>
      <c r="G1016" s="19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  <c r="AE1016" s="20"/>
      <c r="AF1016" s="20"/>
      <c r="AG1016" s="20"/>
      <c r="AH1016" s="20"/>
      <c r="AI1016" s="20"/>
      <c r="AJ1016" s="20"/>
      <c r="AK1016" s="20"/>
      <c r="AL1016" s="20"/>
      <c r="AM1016" s="20"/>
      <c r="AN1016" s="20"/>
      <c r="AO1016" s="20"/>
      <c r="AP1016" s="20"/>
      <c r="AQ1016" s="20"/>
      <c r="AR1016" s="20"/>
      <c r="AS1016" s="20"/>
      <c r="AT1016" s="20"/>
      <c r="AU1016" s="20"/>
      <c r="AV1016" s="20"/>
      <c r="AW1016" s="20"/>
      <c r="AX1016" s="20"/>
      <c r="AY1016" s="20"/>
      <c r="AZ1016" s="20"/>
      <c r="BA1016" s="20"/>
      <c r="BB1016" s="20"/>
      <c r="BC1016" s="20"/>
      <c r="BD1016" s="20"/>
      <c r="BE1016" s="20"/>
      <c r="BF1016" s="20"/>
      <c r="BG1016" s="20"/>
      <c r="BH1016" s="20"/>
      <c r="BI1016" s="20"/>
      <c r="BJ1016" s="20"/>
      <c r="BK1016" s="20"/>
      <c r="BL1016" s="20"/>
      <c r="BM1016" s="20"/>
      <c r="BN1016" s="20"/>
      <c r="BO1016" s="20"/>
      <c r="BP1016" s="20"/>
      <c r="BQ1016" s="20"/>
      <c r="BR1016" s="20"/>
      <c r="BS1016" s="20"/>
      <c r="BT1016" s="20"/>
      <c r="BU1016" s="20"/>
      <c r="BV1016" s="20"/>
      <c r="BW1016" s="20"/>
      <c r="BX1016" s="20"/>
      <c r="BY1016" s="20"/>
      <c r="BZ1016" s="20"/>
      <c r="CA1016" s="20"/>
      <c r="CB1016" s="21"/>
      <c r="CC1016" s="27" t="str">
        <f t="shared" si="165"/>
        <v/>
      </c>
      <c r="CD1016" s="38" t="str">
        <f t="shared" si="166"/>
        <v/>
      </c>
      <c r="CE1016" s="38" t="str">
        <f t="shared" si="167"/>
        <v/>
      </c>
      <c r="CF1016" s="38" t="str">
        <f t="shared" si="168"/>
        <v/>
      </c>
      <c r="CG1016" s="38" t="str">
        <f t="shared" si="169"/>
        <v/>
      </c>
      <c r="CH1016" s="38" t="str">
        <f t="shared" si="170"/>
        <v/>
      </c>
      <c r="CI1016" s="38" t="str">
        <f t="shared" si="171"/>
        <v/>
      </c>
      <c r="CJ1016" s="38" t="str">
        <f t="shared" si="172"/>
        <v/>
      </c>
      <c r="CK1016" s="38" t="str">
        <f t="shared" si="173"/>
        <v/>
      </c>
      <c r="CL1016" s="38" t="str">
        <f>IF(C1016="","",IF(COUNT(G1016:AZ1016)&lt;46,"",SUMPRODUCT(CC1016:CK1016,'تنظیمات وزن‌دهی'!$C$5:$C$13)/100))</f>
        <v/>
      </c>
      <c r="CM1016" s="38" t="str">
        <f t="shared" si="174"/>
        <v/>
      </c>
      <c r="CN1016" s="38">
        <v>4</v>
      </c>
      <c r="CO1016" s="28" t="str">
        <f t="shared" si="175"/>
        <v/>
      </c>
      <c r="CP1016" s="58"/>
    </row>
    <row r="1017" spans="1:94" ht="17.25" hidden="1">
      <c r="A1017" s="33">
        <v>1013</v>
      </c>
      <c r="B1017" s="55" t="s">
        <v>187</v>
      </c>
      <c r="C1017" s="55" t="str">
        <f>IF(دانش‌آموزان!E89="","",دانش‌آموزان!B89)</f>
        <v/>
      </c>
      <c r="D1017" s="55" t="str">
        <f>IF(دانش‌آموزان!C89="","",دانش‌آموزان!C89)</f>
        <v/>
      </c>
      <c r="E1017" s="55" t="str">
        <f>IF(دانش‌آموزان!E89="","",دانش‌آموزان!E89&amp;" "&amp;دانش‌آموزان!F89)</f>
        <v/>
      </c>
      <c r="F1017" s="34" t="str">
        <f>IF(دانش‌آموزان!I89="","",دانش‌آموزان!I89)</f>
        <v/>
      </c>
      <c r="G1017" s="19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20"/>
      <c r="AE1017" s="20"/>
      <c r="AF1017" s="20"/>
      <c r="AG1017" s="20"/>
      <c r="AH1017" s="20"/>
      <c r="AI1017" s="20"/>
      <c r="AJ1017" s="20"/>
      <c r="AK1017" s="20"/>
      <c r="AL1017" s="20"/>
      <c r="AM1017" s="20"/>
      <c r="AN1017" s="20"/>
      <c r="AO1017" s="20"/>
      <c r="AP1017" s="20"/>
      <c r="AQ1017" s="20"/>
      <c r="AR1017" s="20"/>
      <c r="AS1017" s="20"/>
      <c r="AT1017" s="20"/>
      <c r="AU1017" s="20"/>
      <c r="AV1017" s="20"/>
      <c r="AW1017" s="20"/>
      <c r="AX1017" s="20"/>
      <c r="AY1017" s="20"/>
      <c r="AZ1017" s="20"/>
      <c r="BA1017" s="20"/>
      <c r="BB1017" s="20"/>
      <c r="BC1017" s="20"/>
      <c r="BD1017" s="20"/>
      <c r="BE1017" s="20"/>
      <c r="BF1017" s="20"/>
      <c r="BG1017" s="20"/>
      <c r="BH1017" s="20"/>
      <c r="BI1017" s="20"/>
      <c r="BJ1017" s="20"/>
      <c r="BK1017" s="20"/>
      <c r="BL1017" s="20"/>
      <c r="BM1017" s="20"/>
      <c r="BN1017" s="20"/>
      <c r="BO1017" s="20"/>
      <c r="BP1017" s="20"/>
      <c r="BQ1017" s="20"/>
      <c r="BR1017" s="20"/>
      <c r="BS1017" s="20"/>
      <c r="BT1017" s="20"/>
      <c r="BU1017" s="20"/>
      <c r="BV1017" s="20"/>
      <c r="BW1017" s="20"/>
      <c r="BX1017" s="20"/>
      <c r="BY1017" s="20"/>
      <c r="BZ1017" s="20"/>
      <c r="CA1017" s="20"/>
      <c r="CB1017" s="21"/>
      <c r="CC1017" s="27" t="str">
        <f t="shared" si="165"/>
        <v/>
      </c>
      <c r="CD1017" s="38" t="str">
        <f t="shared" si="166"/>
        <v/>
      </c>
      <c r="CE1017" s="38" t="str">
        <f t="shared" si="167"/>
        <v/>
      </c>
      <c r="CF1017" s="38" t="str">
        <f t="shared" si="168"/>
        <v/>
      </c>
      <c r="CG1017" s="38" t="str">
        <f t="shared" si="169"/>
        <v/>
      </c>
      <c r="CH1017" s="38" t="str">
        <f t="shared" si="170"/>
        <v/>
      </c>
      <c r="CI1017" s="38" t="str">
        <f t="shared" si="171"/>
        <v/>
      </c>
      <c r="CJ1017" s="38" t="str">
        <f t="shared" si="172"/>
        <v/>
      </c>
      <c r="CK1017" s="38" t="str">
        <f t="shared" si="173"/>
        <v/>
      </c>
      <c r="CL1017" s="38" t="str">
        <f>IF(C1017="","",IF(COUNT(G1017:AZ1017)&lt;46,"",SUMPRODUCT(CC1017:CK1017,'تنظیمات وزن‌دهی'!$C$5:$C$13)/100))</f>
        <v/>
      </c>
      <c r="CM1017" s="38" t="str">
        <f t="shared" si="174"/>
        <v/>
      </c>
      <c r="CN1017" s="38">
        <v>5</v>
      </c>
      <c r="CO1017" s="28" t="str">
        <f t="shared" si="175"/>
        <v/>
      </c>
      <c r="CP1017" s="58"/>
    </row>
    <row r="1018" spans="1:94" ht="17.25" hidden="1">
      <c r="A1018" s="33">
        <v>1014</v>
      </c>
      <c r="B1018" s="55" t="s">
        <v>188</v>
      </c>
      <c r="C1018" s="55" t="str">
        <f>IF(دانش‌آموزان!E89="","",دانش‌آموزان!B89)</f>
        <v/>
      </c>
      <c r="D1018" s="55" t="str">
        <f>IF(دانش‌آموزان!C89="","",دانش‌آموزان!C89)</f>
        <v/>
      </c>
      <c r="E1018" s="55" t="str">
        <f>IF(دانش‌آموزان!E89="","",دانش‌آموزان!E89&amp;" "&amp;دانش‌آموزان!F89)</f>
        <v/>
      </c>
      <c r="F1018" s="34" t="str">
        <f>IF(دانش‌آموزان!I89="","",دانش‌آموزان!I89)</f>
        <v/>
      </c>
      <c r="G1018" s="19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  <c r="AD1018" s="20"/>
      <c r="AE1018" s="20"/>
      <c r="AF1018" s="20"/>
      <c r="AG1018" s="20"/>
      <c r="AH1018" s="20"/>
      <c r="AI1018" s="20"/>
      <c r="AJ1018" s="20"/>
      <c r="AK1018" s="20"/>
      <c r="AL1018" s="20"/>
      <c r="AM1018" s="20"/>
      <c r="AN1018" s="20"/>
      <c r="AO1018" s="20"/>
      <c r="AP1018" s="20"/>
      <c r="AQ1018" s="20"/>
      <c r="AR1018" s="20"/>
      <c r="AS1018" s="20"/>
      <c r="AT1018" s="20"/>
      <c r="AU1018" s="20"/>
      <c r="AV1018" s="20"/>
      <c r="AW1018" s="20"/>
      <c r="AX1018" s="20"/>
      <c r="AY1018" s="20"/>
      <c r="AZ1018" s="20"/>
      <c r="BA1018" s="20"/>
      <c r="BB1018" s="20"/>
      <c r="BC1018" s="20"/>
      <c r="BD1018" s="20"/>
      <c r="BE1018" s="20"/>
      <c r="BF1018" s="20"/>
      <c r="BG1018" s="20"/>
      <c r="BH1018" s="20"/>
      <c r="BI1018" s="20"/>
      <c r="BJ1018" s="20"/>
      <c r="BK1018" s="20"/>
      <c r="BL1018" s="20"/>
      <c r="BM1018" s="20"/>
      <c r="BN1018" s="20"/>
      <c r="BO1018" s="20"/>
      <c r="BP1018" s="20"/>
      <c r="BQ1018" s="20"/>
      <c r="BR1018" s="20"/>
      <c r="BS1018" s="20"/>
      <c r="BT1018" s="20"/>
      <c r="BU1018" s="20"/>
      <c r="BV1018" s="20"/>
      <c r="BW1018" s="20"/>
      <c r="BX1018" s="20"/>
      <c r="BY1018" s="20"/>
      <c r="BZ1018" s="20"/>
      <c r="CA1018" s="20"/>
      <c r="CB1018" s="21"/>
      <c r="CC1018" s="27" t="str">
        <f t="shared" si="165"/>
        <v/>
      </c>
      <c r="CD1018" s="38" t="str">
        <f t="shared" si="166"/>
        <v/>
      </c>
      <c r="CE1018" s="38" t="str">
        <f t="shared" si="167"/>
        <v/>
      </c>
      <c r="CF1018" s="38" t="str">
        <f t="shared" si="168"/>
        <v/>
      </c>
      <c r="CG1018" s="38" t="str">
        <f t="shared" si="169"/>
        <v/>
      </c>
      <c r="CH1018" s="38" t="str">
        <f t="shared" si="170"/>
        <v/>
      </c>
      <c r="CI1018" s="38" t="str">
        <f t="shared" si="171"/>
        <v/>
      </c>
      <c r="CJ1018" s="38" t="str">
        <f t="shared" si="172"/>
        <v/>
      </c>
      <c r="CK1018" s="38" t="str">
        <f t="shared" si="173"/>
        <v/>
      </c>
      <c r="CL1018" s="38" t="str">
        <f>IF(C1018="","",IF(COUNT(G1018:AZ1018)&lt;46,"",SUMPRODUCT(CC1018:CK1018,'تنظیمات وزن‌دهی'!$C$5:$C$13)/100))</f>
        <v/>
      </c>
      <c r="CM1018" s="38" t="str">
        <f t="shared" si="174"/>
        <v/>
      </c>
      <c r="CN1018" s="38">
        <v>6</v>
      </c>
      <c r="CO1018" s="28" t="str">
        <f t="shared" si="175"/>
        <v/>
      </c>
      <c r="CP1018" s="58"/>
    </row>
    <row r="1019" spans="1:94" ht="17.25" hidden="1">
      <c r="A1019" s="33">
        <v>1015</v>
      </c>
      <c r="B1019" s="55" t="s">
        <v>189</v>
      </c>
      <c r="C1019" s="55" t="str">
        <f>IF(دانش‌آموزان!E89="","",دانش‌آموزان!B89)</f>
        <v/>
      </c>
      <c r="D1019" s="55" t="str">
        <f>IF(دانش‌آموزان!C89="","",دانش‌آموزان!C89)</f>
        <v/>
      </c>
      <c r="E1019" s="55" t="str">
        <f>IF(دانش‌آموزان!E89="","",دانش‌آموزان!E89&amp;" "&amp;دانش‌آموزان!F89)</f>
        <v/>
      </c>
      <c r="F1019" s="34" t="str">
        <f>IF(دانش‌آموزان!I89="","",دانش‌آموزان!I89)</f>
        <v/>
      </c>
      <c r="G1019" s="19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  <c r="AD1019" s="20"/>
      <c r="AE1019" s="20"/>
      <c r="AF1019" s="20"/>
      <c r="AG1019" s="20"/>
      <c r="AH1019" s="20"/>
      <c r="AI1019" s="20"/>
      <c r="AJ1019" s="20"/>
      <c r="AK1019" s="20"/>
      <c r="AL1019" s="20"/>
      <c r="AM1019" s="20"/>
      <c r="AN1019" s="20"/>
      <c r="AO1019" s="20"/>
      <c r="AP1019" s="20"/>
      <c r="AQ1019" s="20"/>
      <c r="AR1019" s="20"/>
      <c r="AS1019" s="20"/>
      <c r="AT1019" s="20"/>
      <c r="AU1019" s="20"/>
      <c r="AV1019" s="20"/>
      <c r="AW1019" s="20"/>
      <c r="AX1019" s="20"/>
      <c r="AY1019" s="20"/>
      <c r="AZ1019" s="20"/>
      <c r="BA1019" s="20"/>
      <c r="BB1019" s="20"/>
      <c r="BC1019" s="20"/>
      <c r="BD1019" s="20"/>
      <c r="BE1019" s="20"/>
      <c r="BF1019" s="20"/>
      <c r="BG1019" s="20"/>
      <c r="BH1019" s="20"/>
      <c r="BI1019" s="20"/>
      <c r="BJ1019" s="20"/>
      <c r="BK1019" s="20"/>
      <c r="BL1019" s="20"/>
      <c r="BM1019" s="20"/>
      <c r="BN1019" s="20"/>
      <c r="BO1019" s="20"/>
      <c r="BP1019" s="20"/>
      <c r="BQ1019" s="20"/>
      <c r="BR1019" s="20"/>
      <c r="BS1019" s="20"/>
      <c r="BT1019" s="20"/>
      <c r="BU1019" s="20"/>
      <c r="BV1019" s="20"/>
      <c r="BW1019" s="20"/>
      <c r="BX1019" s="20"/>
      <c r="BY1019" s="20"/>
      <c r="BZ1019" s="20"/>
      <c r="CA1019" s="20"/>
      <c r="CB1019" s="21"/>
      <c r="CC1019" s="27" t="str">
        <f t="shared" si="165"/>
        <v/>
      </c>
      <c r="CD1019" s="38" t="str">
        <f t="shared" si="166"/>
        <v/>
      </c>
      <c r="CE1019" s="38" t="str">
        <f t="shared" si="167"/>
        <v/>
      </c>
      <c r="CF1019" s="38" t="str">
        <f t="shared" si="168"/>
        <v/>
      </c>
      <c r="CG1019" s="38" t="str">
        <f t="shared" si="169"/>
        <v/>
      </c>
      <c r="CH1019" s="38" t="str">
        <f t="shared" si="170"/>
        <v/>
      </c>
      <c r="CI1019" s="38" t="str">
        <f t="shared" si="171"/>
        <v/>
      </c>
      <c r="CJ1019" s="38" t="str">
        <f t="shared" si="172"/>
        <v/>
      </c>
      <c r="CK1019" s="38" t="str">
        <f t="shared" si="173"/>
        <v/>
      </c>
      <c r="CL1019" s="38" t="str">
        <f>IF(C1019="","",IF(COUNT(G1019:AZ1019)&lt;46,"",SUMPRODUCT(CC1019:CK1019,'تنظیمات وزن‌دهی'!$C$5:$C$13)/100))</f>
        <v/>
      </c>
      <c r="CM1019" s="38" t="str">
        <f t="shared" si="174"/>
        <v/>
      </c>
      <c r="CN1019" s="38">
        <v>7</v>
      </c>
      <c r="CO1019" s="28" t="str">
        <f t="shared" si="175"/>
        <v/>
      </c>
      <c r="CP1019" s="58"/>
    </row>
    <row r="1020" spans="1:94" ht="17.25" hidden="1">
      <c r="A1020" s="33">
        <v>1016</v>
      </c>
      <c r="B1020" s="55" t="s">
        <v>190</v>
      </c>
      <c r="C1020" s="55" t="str">
        <f>IF(دانش‌آموزان!E89="","",دانش‌آموزان!B89)</f>
        <v/>
      </c>
      <c r="D1020" s="55" t="str">
        <f>IF(دانش‌آموزان!C89="","",دانش‌آموزان!C89)</f>
        <v/>
      </c>
      <c r="E1020" s="55" t="str">
        <f>IF(دانش‌آموزان!E89="","",دانش‌آموزان!E89&amp;" "&amp;دانش‌آموزان!F89)</f>
        <v/>
      </c>
      <c r="F1020" s="34" t="str">
        <f>IF(دانش‌آموزان!I89="","",دانش‌آموزان!I89)</f>
        <v/>
      </c>
      <c r="G1020" s="19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  <c r="AB1020" s="20"/>
      <c r="AC1020" s="20"/>
      <c r="AD1020" s="20"/>
      <c r="AE1020" s="20"/>
      <c r="AF1020" s="20"/>
      <c r="AG1020" s="20"/>
      <c r="AH1020" s="20"/>
      <c r="AI1020" s="20"/>
      <c r="AJ1020" s="20"/>
      <c r="AK1020" s="20"/>
      <c r="AL1020" s="20"/>
      <c r="AM1020" s="20"/>
      <c r="AN1020" s="20"/>
      <c r="AO1020" s="20"/>
      <c r="AP1020" s="20"/>
      <c r="AQ1020" s="20"/>
      <c r="AR1020" s="20"/>
      <c r="AS1020" s="20"/>
      <c r="AT1020" s="20"/>
      <c r="AU1020" s="20"/>
      <c r="AV1020" s="20"/>
      <c r="AW1020" s="20"/>
      <c r="AX1020" s="20"/>
      <c r="AY1020" s="20"/>
      <c r="AZ1020" s="20"/>
      <c r="BA1020" s="20"/>
      <c r="BB1020" s="20"/>
      <c r="BC1020" s="20"/>
      <c r="BD1020" s="20"/>
      <c r="BE1020" s="20"/>
      <c r="BF1020" s="20"/>
      <c r="BG1020" s="20"/>
      <c r="BH1020" s="20"/>
      <c r="BI1020" s="20"/>
      <c r="BJ1020" s="20"/>
      <c r="BK1020" s="20"/>
      <c r="BL1020" s="20"/>
      <c r="BM1020" s="20"/>
      <c r="BN1020" s="20"/>
      <c r="BO1020" s="20"/>
      <c r="BP1020" s="20"/>
      <c r="BQ1020" s="20"/>
      <c r="BR1020" s="20"/>
      <c r="BS1020" s="20"/>
      <c r="BT1020" s="20"/>
      <c r="BU1020" s="20"/>
      <c r="BV1020" s="20"/>
      <c r="BW1020" s="20"/>
      <c r="BX1020" s="20"/>
      <c r="BY1020" s="20"/>
      <c r="BZ1020" s="20"/>
      <c r="CA1020" s="20"/>
      <c r="CB1020" s="21"/>
      <c r="CC1020" s="27" t="str">
        <f t="shared" si="165"/>
        <v/>
      </c>
      <c r="CD1020" s="38" t="str">
        <f t="shared" si="166"/>
        <v/>
      </c>
      <c r="CE1020" s="38" t="str">
        <f t="shared" si="167"/>
        <v/>
      </c>
      <c r="CF1020" s="38" t="str">
        <f t="shared" si="168"/>
        <v/>
      </c>
      <c r="CG1020" s="38" t="str">
        <f t="shared" si="169"/>
        <v/>
      </c>
      <c r="CH1020" s="38" t="str">
        <f t="shared" si="170"/>
        <v/>
      </c>
      <c r="CI1020" s="38" t="str">
        <f t="shared" si="171"/>
        <v/>
      </c>
      <c r="CJ1020" s="38" t="str">
        <f t="shared" si="172"/>
        <v/>
      </c>
      <c r="CK1020" s="38" t="str">
        <f t="shared" si="173"/>
        <v/>
      </c>
      <c r="CL1020" s="38" t="str">
        <f>IF(C1020="","",IF(COUNT(G1020:AZ1020)&lt;46,"",SUMPRODUCT(CC1020:CK1020,'تنظیمات وزن‌دهی'!$C$5:$C$13)/100))</f>
        <v/>
      </c>
      <c r="CM1020" s="38" t="str">
        <f t="shared" si="174"/>
        <v/>
      </c>
      <c r="CN1020" s="38">
        <v>8</v>
      </c>
      <c r="CO1020" s="28" t="str">
        <f t="shared" si="175"/>
        <v/>
      </c>
      <c r="CP1020" s="58"/>
    </row>
    <row r="1021" spans="1:94" ht="17.25" hidden="1">
      <c r="A1021" s="33">
        <v>1017</v>
      </c>
      <c r="B1021" s="55" t="s">
        <v>191</v>
      </c>
      <c r="C1021" s="55" t="str">
        <f>IF(دانش‌آموزان!E89="","",دانش‌آموزان!B89)</f>
        <v/>
      </c>
      <c r="D1021" s="55" t="str">
        <f>IF(دانش‌آموزان!C89="","",دانش‌آموزان!C89)</f>
        <v/>
      </c>
      <c r="E1021" s="55" t="str">
        <f>IF(دانش‌آموزان!E89="","",دانش‌آموزان!E89&amp;" "&amp;دانش‌آموزان!F89)</f>
        <v/>
      </c>
      <c r="F1021" s="34" t="str">
        <f>IF(دانش‌آموزان!I89="","",دانش‌آموزان!I89)</f>
        <v/>
      </c>
      <c r="G1021" s="19"/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  <c r="AB1021" s="20"/>
      <c r="AC1021" s="20"/>
      <c r="AD1021" s="20"/>
      <c r="AE1021" s="20"/>
      <c r="AF1021" s="20"/>
      <c r="AG1021" s="20"/>
      <c r="AH1021" s="20"/>
      <c r="AI1021" s="20"/>
      <c r="AJ1021" s="20"/>
      <c r="AK1021" s="20"/>
      <c r="AL1021" s="20"/>
      <c r="AM1021" s="20"/>
      <c r="AN1021" s="20"/>
      <c r="AO1021" s="20"/>
      <c r="AP1021" s="20"/>
      <c r="AQ1021" s="20"/>
      <c r="AR1021" s="20"/>
      <c r="AS1021" s="20"/>
      <c r="AT1021" s="20"/>
      <c r="AU1021" s="20"/>
      <c r="AV1021" s="20"/>
      <c r="AW1021" s="20"/>
      <c r="AX1021" s="20"/>
      <c r="AY1021" s="20"/>
      <c r="AZ1021" s="20"/>
      <c r="BA1021" s="20"/>
      <c r="BB1021" s="20"/>
      <c r="BC1021" s="20"/>
      <c r="BD1021" s="20"/>
      <c r="BE1021" s="20"/>
      <c r="BF1021" s="20"/>
      <c r="BG1021" s="20"/>
      <c r="BH1021" s="20"/>
      <c r="BI1021" s="20"/>
      <c r="BJ1021" s="20"/>
      <c r="BK1021" s="20"/>
      <c r="BL1021" s="20"/>
      <c r="BM1021" s="20"/>
      <c r="BN1021" s="20"/>
      <c r="BO1021" s="20"/>
      <c r="BP1021" s="20"/>
      <c r="BQ1021" s="20"/>
      <c r="BR1021" s="20"/>
      <c r="BS1021" s="20"/>
      <c r="BT1021" s="20"/>
      <c r="BU1021" s="20"/>
      <c r="BV1021" s="20"/>
      <c r="BW1021" s="20"/>
      <c r="BX1021" s="20"/>
      <c r="BY1021" s="20"/>
      <c r="BZ1021" s="20"/>
      <c r="CA1021" s="20"/>
      <c r="CB1021" s="21"/>
      <c r="CC1021" s="27" t="str">
        <f t="shared" si="165"/>
        <v/>
      </c>
      <c r="CD1021" s="38" t="str">
        <f t="shared" si="166"/>
        <v/>
      </c>
      <c r="CE1021" s="38" t="str">
        <f t="shared" si="167"/>
        <v/>
      </c>
      <c r="CF1021" s="38" t="str">
        <f t="shared" si="168"/>
        <v/>
      </c>
      <c r="CG1021" s="38" t="str">
        <f t="shared" si="169"/>
        <v/>
      </c>
      <c r="CH1021" s="38" t="str">
        <f t="shared" si="170"/>
        <v/>
      </c>
      <c r="CI1021" s="38" t="str">
        <f t="shared" si="171"/>
        <v/>
      </c>
      <c r="CJ1021" s="38" t="str">
        <f t="shared" si="172"/>
        <v/>
      </c>
      <c r="CK1021" s="38" t="str">
        <f t="shared" si="173"/>
        <v/>
      </c>
      <c r="CL1021" s="38" t="str">
        <f>IF(C1021="","",IF(COUNT(G1021:AZ1021)&lt;46,"",SUMPRODUCT(CC1021:CK1021,'تنظیمات وزن‌دهی'!$C$5:$C$13)/100))</f>
        <v/>
      </c>
      <c r="CM1021" s="38" t="str">
        <f t="shared" si="174"/>
        <v/>
      </c>
      <c r="CN1021" s="38">
        <v>9</v>
      </c>
      <c r="CO1021" s="28" t="str">
        <f t="shared" si="175"/>
        <v/>
      </c>
      <c r="CP1021" s="58"/>
    </row>
    <row r="1022" spans="1:94" ht="17.25" hidden="1">
      <c r="A1022" s="33">
        <v>1018</v>
      </c>
      <c r="B1022" s="55" t="s">
        <v>192</v>
      </c>
      <c r="C1022" s="55" t="str">
        <f>IF(دانش‌آموزان!E89="","",دانش‌آموزان!B89)</f>
        <v/>
      </c>
      <c r="D1022" s="55" t="str">
        <f>IF(دانش‌آموزان!C89="","",دانش‌آموزان!C89)</f>
        <v/>
      </c>
      <c r="E1022" s="55" t="str">
        <f>IF(دانش‌آموزان!E89="","",دانش‌آموزان!E89&amp;" "&amp;دانش‌آموزان!F89)</f>
        <v/>
      </c>
      <c r="F1022" s="34" t="str">
        <f>IF(دانش‌آموزان!I89="","",دانش‌آموزان!I89)</f>
        <v/>
      </c>
      <c r="G1022" s="19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  <c r="AC1022" s="20"/>
      <c r="AD1022" s="20"/>
      <c r="AE1022" s="20"/>
      <c r="AF1022" s="20"/>
      <c r="AG1022" s="20"/>
      <c r="AH1022" s="20"/>
      <c r="AI1022" s="20"/>
      <c r="AJ1022" s="20"/>
      <c r="AK1022" s="20"/>
      <c r="AL1022" s="20"/>
      <c r="AM1022" s="20"/>
      <c r="AN1022" s="20"/>
      <c r="AO1022" s="20"/>
      <c r="AP1022" s="20"/>
      <c r="AQ1022" s="20"/>
      <c r="AR1022" s="20"/>
      <c r="AS1022" s="20"/>
      <c r="AT1022" s="20"/>
      <c r="AU1022" s="20"/>
      <c r="AV1022" s="20"/>
      <c r="AW1022" s="20"/>
      <c r="AX1022" s="20"/>
      <c r="AY1022" s="20"/>
      <c r="AZ1022" s="20"/>
      <c r="BA1022" s="20"/>
      <c r="BB1022" s="20"/>
      <c r="BC1022" s="20"/>
      <c r="BD1022" s="20"/>
      <c r="BE1022" s="20"/>
      <c r="BF1022" s="20"/>
      <c r="BG1022" s="20"/>
      <c r="BH1022" s="20"/>
      <c r="BI1022" s="20"/>
      <c r="BJ1022" s="20"/>
      <c r="BK1022" s="20"/>
      <c r="BL1022" s="20"/>
      <c r="BM1022" s="20"/>
      <c r="BN1022" s="20"/>
      <c r="BO1022" s="20"/>
      <c r="BP1022" s="20"/>
      <c r="BQ1022" s="20"/>
      <c r="BR1022" s="20"/>
      <c r="BS1022" s="20"/>
      <c r="BT1022" s="20"/>
      <c r="BU1022" s="20"/>
      <c r="BV1022" s="20"/>
      <c r="BW1022" s="20"/>
      <c r="BX1022" s="20"/>
      <c r="BY1022" s="20"/>
      <c r="BZ1022" s="20"/>
      <c r="CA1022" s="20"/>
      <c r="CB1022" s="21"/>
      <c r="CC1022" s="27" t="str">
        <f t="shared" si="165"/>
        <v/>
      </c>
      <c r="CD1022" s="38" t="str">
        <f t="shared" si="166"/>
        <v/>
      </c>
      <c r="CE1022" s="38" t="str">
        <f t="shared" si="167"/>
        <v/>
      </c>
      <c r="CF1022" s="38" t="str">
        <f t="shared" si="168"/>
        <v/>
      </c>
      <c r="CG1022" s="38" t="str">
        <f t="shared" si="169"/>
        <v/>
      </c>
      <c r="CH1022" s="38" t="str">
        <f t="shared" si="170"/>
        <v/>
      </c>
      <c r="CI1022" s="38" t="str">
        <f t="shared" si="171"/>
        <v/>
      </c>
      <c r="CJ1022" s="38" t="str">
        <f t="shared" si="172"/>
        <v/>
      </c>
      <c r="CK1022" s="38" t="str">
        <f t="shared" si="173"/>
        <v/>
      </c>
      <c r="CL1022" s="38" t="str">
        <f>IF(C1022="","",IF(COUNT(G1022:AZ1022)&lt;46,"",SUMPRODUCT(CC1022:CK1022,'تنظیمات وزن‌دهی'!$C$5:$C$13)/100))</f>
        <v/>
      </c>
      <c r="CM1022" s="38" t="str">
        <f t="shared" si="174"/>
        <v/>
      </c>
      <c r="CN1022" s="38">
        <v>10</v>
      </c>
      <c r="CO1022" s="28" t="str">
        <f t="shared" si="175"/>
        <v/>
      </c>
      <c r="CP1022" s="58"/>
    </row>
    <row r="1023" spans="1:94" ht="17.25" hidden="1">
      <c r="A1023" s="33">
        <v>1019</v>
      </c>
      <c r="B1023" s="55" t="s">
        <v>193</v>
      </c>
      <c r="C1023" s="55" t="str">
        <f>IF(دانش‌آموزان!E89="","",دانش‌آموزان!B89)</f>
        <v/>
      </c>
      <c r="D1023" s="55" t="str">
        <f>IF(دانش‌آموزان!C89="","",دانش‌آموزان!C89)</f>
        <v/>
      </c>
      <c r="E1023" s="55" t="str">
        <f>IF(دانش‌آموزان!E89="","",دانش‌آموزان!E89&amp;" "&amp;دانش‌آموزان!F89)</f>
        <v/>
      </c>
      <c r="F1023" s="34" t="str">
        <f>IF(دانش‌آموزان!I89="","",دانش‌آموزان!I89)</f>
        <v/>
      </c>
      <c r="G1023" s="19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  <c r="AB1023" s="20"/>
      <c r="AC1023" s="20"/>
      <c r="AD1023" s="20"/>
      <c r="AE1023" s="20"/>
      <c r="AF1023" s="20"/>
      <c r="AG1023" s="20"/>
      <c r="AH1023" s="20"/>
      <c r="AI1023" s="20"/>
      <c r="AJ1023" s="20"/>
      <c r="AK1023" s="20"/>
      <c r="AL1023" s="20"/>
      <c r="AM1023" s="20"/>
      <c r="AN1023" s="20"/>
      <c r="AO1023" s="20"/>
      <c r="AP1023" s="20"/>
      <c r="AQ1023" s="20"/>
      <c r="AR1023" s="20"/>
      <c r="AS1023" s="20"/>
      <c r="AT1023" s="20"/>
      <c r="AU1023" s="20"/>
      <c r="AV1023" s="20"/>
      <c r="AW1023" s="20"/>
      <c r="AX1023" s="20"/>
      <c r="AY1023" s="20"/>
      <c r="AZ1023" s="20"/>
      <c r="BA1023" s="20"/>
      <c r="BB1023" s="20"/>
      <c r="BC1023" s="20"/>
      <c r="BD1023" s="20"/>
      <c r="BE1023" s="20"/>
      <c r="BF1023" s="20"/>
      <c r="BG1023" s="20"/>
      <c r="BH1023" s="20"/>
      <c r="BI1023" s="20"/>
      <c r="BJ1023" s="20"/>
      <c r="BK1023" s="20"/>
      <c r="BL1023" s="20"/>
      <c r="BM1023" s="20"/>
      <c r="BN1023" s="20"/>
      <c r="BO1023" s="20"/>
      <c r="BP1023" s="20"/>
      <c r="BQ1023" s="20"/>
      <c r="BR1023" s="20"/>
      <c r="BS1023" s="20"/>
      <c r="BT1023" s="20"/>
      <c r="BU1023" s="20"/>
      <c r="BV1023" s="20"/>
      <c r="BW1023" s="20"/>
      <c r="BX1023" s="20"/>
      <c r="BY1023" s="20"/>
      <c r="BZ1023" s="20"/>
      <c r="CA1023" s="20"/>
      <c r="CB1023" s="21"/>
      <c r="CC1023" s="27" t="str">
        <f t="shared" si="165"/>
        <v/>
      </c>
      <c r="CD1023" s="38" t="str">
        <f t="shared" si="166"/>
        <v/>
      </c>
      <c r="CE1023" s="38" t="str">
        <f t="shared" si="167"/>
        <v/>
      </c>
      <c r="CF1023" s="38" t="str">
        <f t="shared" si="168"/>
        <v/>
      </c>
      <c r="CG1023" s="38" t="str">
        <f t="shared" si="169"/>
        <v/>
      </c>
      <c r="CH1023" s="38" t="str">
        <f t="shared" si="170"/>
        <v/>
      </c>
      <c r="CI1023" s="38" t="str">
        <f t="shared" si="171"/>
        <v/>
      </c>
      <c r="CJ1023" s="38" t="str">
        <f t="shared" si="172"/>
        <v/>
      </c>
      <c r="CK1023" s="38" t="str">
        <f t="shared" si="173"/>
        <v/>
      </c>
      <c r="CL1023" s="38" t="str">
        <f>IF(C1023="","",IF(COUNT(G1023:AZ1023)&lt;46,"",SUMPRODUCT(CC1023:CK1023,'تنظیمات وزن‌دهی'!$C$5:$C$13)/100))</f>
        <v/>
      </c>
      <c r="CM1023" s="38" t="str">
        <f t="shared" si="174"/>
        <v/>
      </c>
      <c r="CN1023" s="38">
        <v>11</v>
      </c>
      <c r="CO1023" s="28" t="str">
        <f t="shared" si="175"/>
        <v/>
      </c>
      <c r="CP1023" s="58"/>
    </row>
    <row r="1024" spans="1:94" ht="17.25" hidden="1">
      <c r="A1024" s="33">
        <v>1020</v>
      </c>
      <c r="B1024" s="55" t="s">
        <v>194</v>
      </c>
      <c r="C1024" s="55" t="str">
        <f>IF(دانش‌آموزان!E89="","",دانش‌آموزان!B89)</f>
        <v/>
      </c>
      <c r="D1024" s="55" t="str">
        <f>IF(دانش‌آموزان!C89="","",دانش‌آموزان!C89)</f>
        <v/>
      </c>
      <c r="E1024" s="55" t="str">
        <f>IF(دانش‌آموزان!E89="","",دانش‌آموزان!E89&amp;" "&amp;دانش‌آموزان!F89)</f>
        <v/>
      </c>
      <c r="F1024" s="34" t="str">
        <f>IF(دانش‌آموزان!I89="","",دانش‌آموزان!I89)</f>
        <v/>
      </c>
      <c r="G1024" s="19"/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  <c r="AB1024" s="20"/>
      <c r="AC1024" s="20"/>
      <c r="AD1024" s="20"/>
      <c r="AE1024" s="20"/>
      <c r="AF1024" s="20"/>
      <c r="AG1024" s="20"/>
      <c r="AH1024" s="20"/>
      <c r="AI1024" s="20"/>
      <c r="AJ1024" s="20"/>
      <c r="AK1024" s="20"/>
      <c r="AL1024" s="20"/>
      <c r="AM1024" s="20"/>
      <c r="AN1024" s="20"/>
      <c r="AO1024" s="20"/>
      <c r="AP1024" s="20"/>
      <c r="AQ1024" s="20"/>
      <c r="AR1024" s="20"/>
      <c r="AS1024" s="20"/>
      <c r="AT1024" s="20"/>
      <c r="AU1024" s="20"/>
      <c r="AV1024" s="20"/>
      <c r="AW1024" s="20"/>
      <c r="AX1024" s="20"/>
      <c r="AY1024" s="20"/>
      <c r="AZ1024" s="20"/>
      <c r="BA1024" s="20"/>
      <c r="BB1024" s="20"/>
      <c r="BC1024" s="20"/>
      <c r="BD1024" s="20"/>
      <c r="BE1024" s="20"/>
      <c r="BF1024" s="20"/>
      <c r="BG1024" s="20"/>
      <c r="BH1024" s="20"/>
      <c r="BI1024" s="20"/>
      <c r="BJ1024" s="20"/>
      <c r="BK1024" s="20"/>
      <c r="BL1024" s="20"/>
      <c r="BM1024" s="20"/>
      <c r="BN1024" s="20"/>
      <c r="BO1024" s="20"/>
      <c r="BP1024" s="20"/>
      <c r="BQ1024" s="20"/>
      <c r="BR1024" s="20"/>
      <c r="BS1024" s="20"/>
      <c r="BT1024" s="20"/>
      <c r="BU1024" s="20"/>
      <c r="BV1024" s="20"/>
      <c r="BW1024" s="20"/>
      <c r="BX1024" s="20"/>
      <c r="BY1024" s="20"/>
      <c r="BZ1024" s="20"/>
      <c r="CA1024" s="20"/>
      <c r="CB1024" s="21"/>
      <c r="CC1024" s="27" t="str">
        <f t="shared" si="165"/>
        <v/>
      </c>
      <c r="CD1024" s="38" t="str">
        <f t="shared" si="166"/>
        <v/>
      </c>
      <c r="CE1024" s="38" t="str">
        <f t="shared" si="167"/>
        <v/>
      </c>
      <c r="CF1024" s="38" t="str">
        <f t="shared" si="168"/>
        <v/>
      </c>
      <c r="CG1024" s="38" t="str">
        <f t="shared" si="169"/>
        <v/>
      </c>
      <c r="CH1024" s="38" t="str">
        <f t="shared" si="170"/>
        <v/>
      </c>
      <c r="CI1024" s="38" t="str">
        <f t="shared" si="171"/>
        <v/>
      </c>
      <c r="CJ1024" s="38" t="str">
        <f t="shared" si="172"/>
        <v/>
      </c>
      <c r="CK1024" s="38" t="str">
        <f t="shared" si="173"/>
        <v/>
      </c>
      <c r="CL1024" s="38" t="str">
        <f>IF(C1024="","",IF(COUNT(G1024:AZ1024)&lt;46,"",SUMPRODUCT(CC1024:CK1024,'تنظیمات وزن‌دهی'!$C$5:$C$13)/100))</f>
        <v/>
      </c>
      <c r="CM1024" s="38" t="str">
        <f t="shared" si="174"/>
        <v/>
      </c>
      <c r="CN1024" s="38">
        <v>12</v>
      </c>
      <c r="CO1024" s="28" t="str">
        <f t="shared" si="175"/>
        <v/>
      </c>
      <c r="CP1024" s="58"/>
    </row>
    <row r="1025" spans="1:94" ht="17.25" hidden="1">
      <c r="A1025" s="33">
        <v>1021</v>
      </c>
      <c r="B1025" s="55" t="s">
        <v>183</v>
      </c>
      <c r="C1025" s="55" t="str">
        <f>IF(دانش‌آموزان!E90="","",دانش‌آموزان!B90)</f>
        <v/>
      </c>
      <c r="D1025" s="55" t="str">
        <f>IF(دانش‌آموزان!C90="","",دانش‌آموزان!C90)</f>
        <v/>
      </c>
      <c r="E1025" s="55" t="str">
        <f>IF(دانش‌آموزان!E90="","",دانش‌آموزان!E90&amp;" "&amp;دانش‌آموزان!F90)</f>
        <v/>
      </c>
      <c r="F1025" s="34" t="str">
        <f>IF(دانش‌آموزان!I90="","",دانش‌آموزان!I90)</f>
        <v/>
      </c>
      <c r="G1025" s="19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  <c r="AB1025" s="20"/>
      <c r="AC1025" s="20"/>
      <c r="AD1025" s="20"/>
      <c r="AE1025" s="20"/>
      <c r="AF1025" s="20"/>
      <c r="AG1025" s="20"/>
      <c r="AH1025" s="20"/>
      <c r="AI1025" s="20"/>
      <c r="AJ1025" s="20"/>
      <c r="AK1025" s="20"/>
      <c r="AL1025" s="20"/>
      <c r="AM1025" s="20"/>
      <c r="AN1025" s="20"/>
      <c r="AO1025" s="20"/>
      <c r="AP1025" s="20"/>
      <c r="AQ1025" s="20"/>
      <c r="AR1025" s="20"/>
      <c r="AS1025" s="20"/>
      <c r="AT1025" s="20"/>
      <c r="AU1025" s="20"/>
      <c r="AV1025" s="20"/>
      <c r="AW1025" s="20"/>
      <c r="AX1025" s="20"/>
      <c r="AY1025" s="20"/>
      <c r="AZ1025" s="20"/>
      <c r="BA1025" s="20"/>
      <c r="BB1025" s="20"/>
      <c r="BC1025" s="20"/>
      <c r="BD1025" s="20"/>
      <c r="BE1025" s="20"/>
      <c r="BF1025" s="20"/>
      <c r="BG1025" s="20"/>
      <c r="BH1025" s="20"/>
      <c r="BI1025" s="20"/>
      <c r="BJ1025" s="20"/>
      <c r="BK1025" s="20"/>
      <c r="BL1025" s="20"/>
      <c r="BM1025" s="20"/>
      <c r="BN1025" s="20"/>
      <c r="BO1025" s="20"/>
      <c r="BP1025" s="20"/>
      <c r="BQ1025" s="20"/>
      <c r="BR1025" s="20"/>
      <c r="BS1025" s="20"/>
      <c r="BT1025" s="20"/>
      <c r="BU1025" s="20"/>
      <c r="BV1025" s="20"/>
      <c r="BW1025" s="20"/>
      <c r="BX1025" s="20"/>
      <c r="BY1025" s="20"/>
      <c r="BZ1025" s="20"/>
      <c r="CA1025" s="20"/>
      <c r="CB1025" s="21"/>
      <c r="CC1025" s="27" t="str">
        <f t="shared" si="165"/>
        <v/>
      </c>
      <c r="CD1025" s="38" t="str">
        <f t="shared" si="166"/>
        <v/>
      </c>
      <c r="CE1025" s="38" t="str">
        <f t="shared" si="167"/>
        <v/>
      </c>
      <c r="CF1025" s="38" t="str">
        <f t="shared" si="168"/>
        <v/>
      </c>
      <c r="CG1025" s="38" t="str">
        <f t="shared" si="169"/>
        <v/>
      </c>
      <c r="CH1025" s="38" t="str">
        <f t="shared" si="170"/>
        <v/>
      </c>
      <c r="CI1025" s="38" t="str">
        <f t="shared" si="171"/>
        <v/>
      </c>
      <c r="CJ1025" s="38" t="str">
        <f t="shared" si="172"/>
        <v/>
      </c>
      <c r="CK1025" s="38" t="str">
        <f t="shared" si="173"/>
        <v/>
      </c>
      <c r="CL1025" s="38" t="str">
        <f>IF(C1025="","",IF(COUNT(G1025:AZ1025)&lt;46,"",SUMPRODUCT(CC1025:CK1025,'تنظیمات وزن‌دهی'!$C$5:$C$13)/100))</f>
        <v/>
      </c>
      <c r="CM1025" s="38" t="str">
        <f t="shared" si="174"/>
        <v/>
      </c>
      <c r="CN1025" s="38">
        <v>1</v>
      </c>
      <c r="CO1025" s="28" t="str">
        <f t="shared" si="175"/>
        <v/>
      </c>
      <c r="CP1025" s="58"/>
    </row>
    <row r="1026" spans="1:94" ht="17.25" hidden="1">
      <c r="A1026" s="33">
        <v>1022</v>
      </c>
      <c r="B1026" s="55" t="s">
        <v>184</v>
      </c>
      <c r="C1026" s="55" t="str">
        <f>IF(دانش‌آموزان!E90="","",دانش‌آموزان!B90)</f>
        <v/>
      </c>
      <c r="D1026" s="55" t="str">
        <f>IF(دانش‌آموزان!C90="","",دانش‌آموزان!C90)</f>
        <v/>
      </c>
      <c r="E1026" s="55" t="str">
        <f>IF(دانش‌آموزان!E90="","",دانش‌آموزان!E90&amp;" "&amp;دانش‌آموزان!F90)</f>
        <v/>
      </c>
      <c r="F1026" s="34" t="str">
        <f>IF(دانش‌آموزان!I90="","",دانش‌آموزان!I90)</f>
        <v/>
      </c>
      <c r="G1026" s="19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  <c r="AC1026" s="20"/>
      <c r="AD1026" s="20"/>
      <c r="AE1026" s="20"/>
      <c r="AF1026" s="20"/>
      <c r="AG1026" s="20"/>
      <c r="AH1026" s="20"/>
      <c r="AI1026" s="20"/>
      <c r="AJ1026" s="20"/>
      <c r="AK1026" s="20"/>
      <c r="AL1026" s="20"/>
      <c r="AM1026" s="20"/>
      <c r="AN1026" s="20"/>
      <c r="AO1026" s="20"/>
      <c r="AP1026" s="20"/>
      <c r="AQ1026" s="20"/>
      <c r="AR1026" s="20"/>
      <c r="AS1026" s="20"/>
      <c r="AT1026" s="20"/>
      <c r="AU1026" s="20"/>
      <c r="AV1026" s="20"/>
      <c r="AW1026" s="20"/>
      <c r="AX1026" s="20"/>
      <c r="AY1026" s="20"/>
      <c r="AZ1026" s="20"/>
      <c r="BA1026" s="20"/>
      <c r="BB1026" s="20"/>
      <c r="BC1026" s="20"/>
      <c r="BD1026" s="20"/>
      <c r="BE1026" s="20"/>
      <c r="BF1026" s="20"/>
      <c r="BG1026" s="20"/>
      <c r="BH1026" s="20"/>
      <c r="BI1026" s="20"/>
      <c r="BJ1026" s="20"/>
      <c r="BK1026" s="20"/>
      <c r="BL1026" s="20"/>
      <c r="BM1026" s="20"/>
      <c r="BN1026" s="20"/>
      <c r="BO1026" s="20"/>
      <c r="BP1026" s="20"/>
      <c r="BQ1026" s="20"/>
      <c r="BR1026" s="20"/>
      <c r="BS1026" s="20"/>
      <c r="BT1026" s="20"/>
      <c r="BU1026" s="20"/>
      <c r="BV1026" s="20"/>
      <c r="BW1026" s="20"/>
      <c r="BX1026" s="20"/>
      <c r="BY1026" s="20"/>
      <c r="BZ1026" s="20"/>
      <c r="CA1026" s="20"/>
      <c r="CB1026" s="21"/>
      <c r="CC1026" s="27" t="str">
        <f t="shared" si="165"/>
        <v/>
      </c>
      <c r="CD1026" s="38" t="str">
        <f t="shared" si="166"/>
        <v/>
      </c>
      <c r="CE1026" s="38" t="str">
        <f t="shared" si="167"/>
        <v/>
      </c>
      <c r="CF1026" s="38" t="str">
        <f t="shared" si="168"/>
        <v/>
      </c>
      <c r="CG1026" s="38" t="str">
        <f t="shared" si="169"/>
        <v/>
      </c>
      <c r="CH1026" s="38" t="str">
        <f t="shared" si="170"/>
        <v/>
      </c>
      <c r="CI1026" s="38" t="str">
        <f t="shared" si="171"/>
        <v/>
      </c>
      <c r="CJ1026" s="38" t="str">
        <f t="shared" si="172"/>
        <v/>
      </c>
      <c r="CK1026" s="38" t="str">
        <f t="shared" si="173"/>
        <v/>
      </c>
      <c r="CL1026" s="38" t="str">
        <f>IF(C1026="","",IF(COUNT(G1026:AZ1026)&lt;46,"",SUMPRODUCT(CC1026:CK1026,'تنظیمات وزن‌دهی'!$C$5:$C$13)/100))</f>
        <v/>
      </c>
      <c r="CM1026" s="38" t="str">
        <f t="shared" si="174"/>
        <v/>
      </c>
      <c r="CN1026" s="38">
        <v>2</v>
      </c>
      <c r="CO1026" s="28" t="str">
        <f t="shared" si="175"/>
        <v/>
      </c>
      <c r="CP1026" s="58"/>
    </row>
    <row r="1027" spans="1:94" ht="17.25">
      <c r="A1027" s="33">
        <v>1023</v>
      </c>
      <c r="B1027" s="55" t="s">
        <v>185</v>
      </c>
      <c r="C1027" s="55" t="str">
        <f>IF(دانش‌آموزان!E90="","",دانش‌آموزان!B90)</f>
        <v/>
      </c>
      <c r="D1027" s="55" t="str">
        <f>IF(دانش‌آموزان!C90="","",دانش‌آموزان!C90)</f>
        <v/>
      </c>
      <c r="E1027" s="55" t="str">
        <f>IF(دانش‌آموزان!E90="","",دانش‌آموزان!E90&amp;" "&amp;دانش‌آموزان!F90)</f>
        <v/>
      </c>
      <c r="F1027" s="34" t="str">
        <f>IF(دانش‌آموزان!I90="","",دانش‌آموزان!I90)</f>
        <v/>
      </c>
      <c r="G1027" s="19"/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  <c r="AB1027" s="20"/>
      <c r="AC1027" s="20"/>
      <c r="AD1027" s="20"/>
      <c r="AE1027" s="20"/>
      <c r="AF1027" s="20"/>
      <c r="AG1027" s="20"/>
      <c r="AH1027" s="20"/>
      <c r="AI1027" s="20"/>
      <c r="AJ1027" s="20"/>
      <c r="AK1027" s="20"/>
      <c r="AL1027" s="20"/>
      <c r="AM1027" s="20"/>
      <c r="AN1027" s="20"/>
      <c r="AO1027" s="20"/>
      <c r="AP1027" s="20"/>
      <c r="AQ1027" s="20"/>
      <c r="AR1027" s="20"/>
      <c r="AS1027" s="20"/>
      <c r="AT1027" s="20"/>
      <c r="AU1027" s="20"/>
      <c r="AV1027" s="20"/>
      <c r="AW1027" s="20"/>
      <c r="AX1027" s="20"/>
      <c r="AY1027" s="20"/>
      <c r="AZ1027" s="20"/>
      <c r="BA1027" s="20"/>
      <c r="BB1027" s="20"/>
      <c r="BC1027" s="20"/>
      <c r="BD1027" s="20"/>
      <c r="BE1027" s="20"/>
      <c r="BF1027" s="20"/>
      <c r="BG1027" s="20"/>
      <c r="BH1027" s="20"/>
      <c r="BI1027" s="20"/>
      <c r="BJ1027" s="20"/>
      <c r="BK1027" s="20"/>
      <c r="BL1027" s="20"/>
      <c r="BM1027" s="20"/>
      <c r="BN1027" s="20"/>
      <c r="BO1027" s="20"/>
      <c r="BP1027" s="20"/>
      <c r="BQ1027" s="20"/>
      <c r="BR1027" s="20"/>
      <c r="BS1027" s="20"/>
      <c r="BT1027" s="20"/>
      <c r="BU1027" s="20"/>
      <c r="BV1027" s="20"/>
      <c r="BW1027" s="20"/>
      <c r="BX1027" s="20"/>
      <c r="BY1027" s="20"/>
      <c r="BZ1027" s="20"/>
      <c r="CA1027" s="20"/>
      <c r="CB1027" s="21"/>
      <c r="CC1027" s="27" t="str">
        <f t="shared" si="165"/>
        <v/>
      </c>
      <c r="CD1027" s="38" t="str">
        <f t="shared" si="166"/>
        <v/>
      </c>
      <c r="CE1027" s="38" t="str">
        <f t="shared" si="167"/>
        <v/>
      </c>
      <c r="CF1027" s="38" t="str">
        <f t="shared" si="168"/>
        <v/>
      </c>
      <c r="CG1027" s="38" t="str">
        <f t="shared" si="169"/>
        <v/>
      </c>
      <c r="CH1027" s="38" t="str">
        <f t="shared" si="170"/>
        <v/>
      </c>
      <c r="CI1027" s="38" t="str">
        <f t="shared" si="171"/>
        <v/>
      </c>
      <c r="CJ1027" s="38" t="str">
        <f t="shared" si="172"/>
        <v/>
      </c>
      <c r="CK1027" s="38" t="str">
        <f t="shared" si="173"/>
        <v/>
      </c>
      <c r="CL1027" s="38" t="str">
        <f>IF(C1027="","",IF(COUNT(G1027:AZ1027)&lt;46,"",SUMPRODUCT(CC1027:CK1027,'تنظیمات وزن‌دهی'!$C$5:$C$13)/100))</f>
        <v/>
      </c>
      <c r="CM1027" s="38" t="str">
        <f t="shared" si="174"/>
        <v/>
      </c>
      <c r="CN1027" s="38">
        <v>3</v>
      </c>
      <c r="CO1027" s="28" t="str">
        <f t="shared" si="175"/>
        <v/>
      </c>
      <c r="CP1027" s="58"/>
    </row>
    <row r="1028" spans="1:94" ht="17.25" hidden="1">
      <c r="A1028" s="33">
        <v>1024</v>
      </c>
      <c r="B1028" s="55" t="s">
        <v>186</v>
      </c>
      <c r="C1028" s="55" t="str">
        <f>IF(دانش‌آموزان!E90="","",دانش‌آموزان!B90)</f>
        <v/>
      </c>
      <c r="D1028" s="55" t="str">
        <f>IF(دانش‌آموزان!C90="","",دانش‌آموزان!C90)</f>
        <v/>
      </c>
      <c r="E1028" s="55" t="str">
        <f>IF(دانش‌آموزان!E90="","",دانش‌آموزان!E90&amp;" "&amp;دانش‌آموزان!F90)</f>
        <v/>
      </c>
      <c r="F1028" s="34" t="str">
        <f>IF(دانش‌آموزان!I90="","",دانش‌آموزان!I90)</f>
        <v/>
      </c>
      <c r="G1028" s="19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  <c r="AC1028" s="20"/>
      <c r="AD1028" s="20"/>
      <c r="AE1028" s="20"/>
      <c r="AF1028" s="20"/>
      <c r="AG1028" s="20"/>
      <c r="AH1028" s="20"/>
      <c r="AI1028" s="20"/>
      <c r="AJ1028" s="20"/>
      <c r="AK1028" s="20"/>
      <c r="AL1028" s="20"/>
      <c r="AM1028" s="20"/>
      <c r="AN1028" s="20"/>
      <c r="AO1028" s="20"/>
      <c r="AP1028" s="20"/>
      <c r="AQ1028" s="20"/>
      <c r="AR1028" s="20"/>
      <c r="AS1028" s="20"/>
      <c r="AT1028" s="20"/>
      <c r="AU1028" s="20"/>
      <c r="AV1028" s="20"/>
      <c r="AW1028" s="20"/>
      <c r="AX1028" s="20"/>
      <c r="AY1028" s="20"/>
      <c r="AZ1028" s="20"/>
      <c r="BA1028" s="20"/>
      <c r="BB1028" s="20"/>
      <c r="BC1028" s="20"/>
      <c r="BD1028" s="20"/>
      <c r="BE1028" s="20"/>
      <c r="BF1028" s="20"/>
      <c r="BG1028" s="20"/>
      <c r="BH1028" s="20"/>
      <c r="BI1028" s="20"/>
      <c r="BJ1028" s="20"/>
      <c r="BK1028" s="20"/>
      <c r="BL1028" s="20"/>
      <c r="BM1028" s="20"/>
      <c r="BN1028" s="20"/>
      <c r="BO1028" s="20"/>
      <c r="BP1028" s="20"/>
      <c r="BQ1028" s="20"/>
      <c r="BR1028" s="20"/>
      <c r="BS1028" s="20"/>
      <c r="BT1028" s="20"/>
      <c r="BU1028" s="20"/>
      <c r="BV1028" s="20"/>
      <c r="BW1028" s="20"/>
      <c r="BX1028" s="20"/>
      <c r="BY1028" s="20"/>
      <c r="BZ1028" s="20"/>
      <c r="CA1028" s="20"/>
      <c r="CB1028" s="21"/>
      <c r="CC1028" s="27" t="str">
        <f t="shared" si="165"/>
        <v/>
      </c>
      <c r="CD1028" s="38" t="str">
        <f t="shared" si="166"/>
        <v/>
      </c>
      <c r="CE1028" s="38" t="str">
        <f t="shared" si="167"/>
        <v/>
      </c>
      <c r="CF1028" s="38" t="str">
        <f t="shared" si="168"/>
        <v/>
      </c>
      <c r="CG1028" s="38" t="str">
        <f t="shared" si="169"/>
        <v/>
      </c>
      <c r="CH1028" s="38" t="str">
        <f t="shared" si="170"/>
        <v/>
      </c>
      <c r="CI1028" s="38" t="str">
        <f t="shared" si="171"/>
        <v/>
      </c>
      <c r="CJ1028" s="38" t="str">
        <f t="shared" si="172"/>
        <v/>
      </c>
      <c r="CK1028" s="38" t="str">
        <f t="shared" si="173"/>
        <v/>
      </c>
      <c r="CL1028" s="38" t="str">
        <f>IF(C1028="","",IF(COUNT(G1028:AZ1028)&lt;46,"",SUMPRODUCT(CC1028:CK1028,'تنظیمات وزن‌دهی'!$C$5:$C$13)/100))</f>
        <v/>
      </c>
      <c r="CM1028" s="38" t="str">
        <f t="shared" si="174"/>
        <v/>
      </c>
      <c r="CN1028" s="38">
        <v>4</v>
      </c>
      <c r="CO1028" s="28" t="str">
        <f t="shared" si="175"/>
        <v/>
      </c>
      <c r="CP1028" s="58"/>
    </row>
    <row r="1029" spans="1:94" ht="17.25" hidden="1">
      <c r="A1029" s="33">
        <v>1025</v>
      </c>
      <c r="B1029" s="55" t="s">
        <v>187</v>
      </c>
      <c r="C1029" s="55" t="str">
        <f>IF(دانش‌آموزان!E90="","",دانش‌آموزان!B90)</f>
        <v/>
      </c>
      <c r="D1029" s="55" t="str">
        <f>IF(دانش‌آموزان!C90="","",دانش‌آموزان!C90)</f>
        <v/>
      </c>
      <c r="E1029" s="55" t="str">
        <f>IF(دانش‌آموزان!E90="","",دانش‌آموزان!E90&amp;" "&amp;دانش‌آموزان!F90)</f>
        <v/>
      </c>
      <c r="F1029" s="34" t="str">
        <f>IF(دانش‌آموزان!I90="","",دانش‌آموزان!I90)</f>
        <v/>
      </c>
      <c r="G1029" s="19"/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  <c r="AB1029" s="20"/>
      <c r="AC1029" s="20"/>
      <c r="AD1029" s="20"/>
      <c r="AE1029" s="20"/>
      <c r="AF1029" s="20"/>
      <c r="AG1029" s="20"/>
      <c r="AH1029" s="20"/>
      <c r="AI1029" s="20"/>
      <c r="AJ1029" s="20"/>
      <c r="AK1029" s="20"/>
      <c r="AL1029" s="20"/>
      <c r="AM1029" s="20"/>
      <c r="AN1029" s="20"/>
      <c r="AO1029" s="20"/>
      <c r="AP1029" s="20"/>
      <c r="AQ1029" s="20"/>
      <c r="AR1029" s="20"/>
      <c r="AS1029" s="20"/>
      <c r="AT1029" s="20"/>
      <c r="AU1029" s="20"/>
      <c r="AV1029" s="20"/>
      <c r="AW1029" s="20"/>
      <c r="AX1029" s="20"/>
      <c r="AY1029" s="20"/>
      <c r="AZ1029" s="20"/>
      <c r="BA1029" s="20"/>
      <c r="BB1029" s="20"/>
      <c r="BC1029" s="20"/>
      <c r="BD1029" s="20"/>
      <c r="BE1029" s="20"/>
      <c r="BF1029" s="20"/>
      <c r="BG1029" s="20"/>
      <c r="BH1029" s="20"/>
      <c r="BI1029" s="20"/>
      <c r="BJ1029" s="20"/>
      <c r="BK1029" s="20"/>
      <c r="BL1029" s="20"/>
      <c r="BM1029" s="20"/>
      <c r="BN1029" s="20"/>
      <c r="BO1029" s="20"/>
      <c r="BP1029" s="20"/>
      <c r="BQ1029" s="20"/>
      <c r="BR1029" s="20"/>
      <c r="BS1029" s="20"/>
      <c r="BT1029" s="20"/>
      <c r="BU1029" s="20"/>
      <c r="BV1029" s="20"/>
      <c r="BW1029" s="20"/>
      <c r="BX1029" s="20"/>
      <c r="BY1029" s="20"/>
      <c r="BZ1029" s="20"/>
      <c r="CA1029" s="20"/>
      <c r="CB1029" s="21"/>
      <c r="CC1029" s="27" t="str">
        <f t="shared" ref="CC1029:CC1092" si="176">IF(COUNT(G1029:N1029)=0,"",AVERAGE(G1029:N1029)*4)</f>
        <v/>
      </c>
      <c r="CD1029" s="38" t="str">
        <f t="shared" ref="CD1029:CD1092" si="177">IF(COUNT(O1029:S1029)=0,"",AVERAGE(O1029:S1029)*4)</f>
        <v/>
      </c>
      <c r="CE1029" s="38" t="str">
        <f t="shared" ref="CE1029:CE1092" si="178">IF(COUNT(T1029:U1029)=0,"",AVERAGE(T1029:U1029)*4)</f>
        <v/>
      </c>
      <c r="CF1029" s="38" t="str">
        <f t="shared" ref="CF1029:CF1092" si="179">IF(COUNT(V1029:Z1029)=0,"",AVERAGE(V1029:Z1029)*4)</f>
        <v/>
      </c>
      <c r="CG1029" s="38" t="str">
        <f t="shared" ref="CG1029:CG1092" si="180">IF(COUNT(AA1029:AC1029)=0,"",AVERAGE(AA1029:AC1029)*4)</f>
        <v/>
      </c>
      <c r="CH1029" s="38" t="str">
        <f t="shared" ref="CH1029:CH1092" si="181">IF(COUNT(AD1029:AI1029)=0,"",AVERAGE(AD1029:AI1029)*4)</f>
        <v/>
      </c>
      <c r="CI1029" s="38" t="str">
        <f t="shared" ref="CI1029:CI1092" si="182">IF(COUNT(AJ1029:AP1029)=0,"",AVERAGE(AJ1029:AP1029)*4)</f>
        <v/>
      </c>
      <c r="CJ1029" s="38" t="str">
        <f t="shared" ref="CJ1029:CJ1092" si="183">IF(COUNT(AQ1029:AW1029)=0,"",AVERAGE(AQ1029:AW1029)*4)</f>
        <v/>
      </c>
      <c r="CK1029" s="38" t="str">
        <f t="shared" ref="CK1029:CK1092" si="184">IF(COUNT(AX1029:AZ1029)=0,"",AVERAGE(AX1029:AZ1029)*4)</f>
        <v/>
      </c>
      <c r="CL1029" s="38" t="str">
        <f>IF(C1029="","",IF(COUNT(G1029:AZ1029)&lt;46,"",SUMPRODUCT(CC1029:CK1029,'تنظیمات وزن‌دهی'!$C$5:$C$13)/100))</f>
        <v/>
      </c>
      <c r="CM1029" s="38" t="str">
        <f t="shared" ref="CM1029:CM1092" si="185">IF(C1029="","",IF(COUNT(G1029:AZ1029)=0,"",IF(COUNT(G1029:AZ1029)&lt;46,"موقت - اطلاعات ناقص",IF(CL1029&gt;=17,"عالی",IF(CL1029&gt;=14,"خوب",IF(CL1029&gt;=10,"متوسط","ضعیف"))))))</f>
        <v/>
      </c>
      <c r="CN1029" s="38">
        <v>5</v>
      </c>
      <c r="CO1029" s="28" t="str">
        <f t="shared" ref="CO1029:CO1092" si="186">IF(C1029="","",COUNT(G1029:AZ1029)/46)</f>
        <v/>
      </c>
      <c r="CP1029" s="58"/>
    </row>
    <row r="1030" spans="1:94" ht="17.25" hidden="1">
      <c r="A1030" s="33">
        <v>1026</v>
      </c>
      <c r="B1030" s="55" t="s">
        <v>188</v>
      </c>
      <c r="C1030" s="55" t="str">
        <f>IF(دانش‌آموزان!E90="","",دانش‌آموزان!B90)</f>
        <v/>
      </c>
      <c r="D1030" s="55" t="str">
        <f>IF(دانش‌آموزان!C90="","",دانش‌آموزان!C90)</f>
        <v/>
      </c>
      <c r="E1030" s="55" t="str">
        <f>IF(دانش‌آموزان!E90="","",دانش‌آموزان!E90&amp;" "&amp;دانش‌آموزان!F90)</f>
        <v/>
      </c>
      <c r="F1030" s="34" t="str">
        <f>IF(دانش‌آموزان!I90="","",دانش‌آموزان!I90)</f>
        <v/>
      </c>
      <c r="G1030" s="19"/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  <c r="AA1030" s="20"/>
      <c r="AB1030" s="20"/>
      <c r="AC1030" s="20"/>
      <c r="AD1030" s="20"/>
      <c r="AE1030" s="20"/>
      <c r="AF1030" s="20"/>
      <c r="AG1030" s="20"/>
      <c r="AH1030" s="20"/>
      <c r="AI1030" s="20"/>
      <c r="AJ1030" s="20"/>
      <c r="AK1030" s="20"/>
      <c r="AL1030" s="20"/>
      <c r="AM1030" s="20"/>
      <c r="AN1030" s="20"/>
      <c r="AO1030" s="20"/>
      <c r="AP1030" s="20"/>
      <c r="AQ1030" s="20"/>
      <c r="AR1030" s="20"/>
      <c r="AS1030" s="20"/>
      <c r="AT1030" s="20"/>
      <c r="AU1030" s="20"/>
      <c r="AV1030" s="20"/>
      <c r="AW1030" s="20"/>
      <c r="AX1030" s="20"/>
      <c r="AY1030" s="20"/>
      <c r="AZ1030" s="20"/>
      <c r="BA1030" s="20"/>
      <c r="BB1030" s="20"/>
      <c r="BC1030" s="20"/>
      <c r="BD1030" s="20"/>
      <c r="BE1030" s="20"/>
      <c r="BF1030" s="20"/>
      <c r="BG1030" s="20"/>
      <c r="BH1030" s="20"/>
      <c r="BI1030" s="20"/>
      <c r="BJ1030" s="20"/>
      <c r="BK1030" s="20"/>
      <c r="BL1030" s="20"/>
      <c r="BM1030" s="20"/>
      <c r="BN1030" s="20"/>
      <c r="BO1030" s="20"/>
      <c r="BP1030" s="20"/>
      <c r="BQ1030" s="20"/>
      <c r="BR1030" s="20"/>
      <c r="BS1030" s="20"/>
      <c r="BT1030" s="20"/>
      <c r="BU1030" s="20"/>
      <c r="BV1030" s="20"/>
      <c r="BW1030" s="20"/>
      <c r="BX1030" s="20"/>
      <c r="BY1030" s="20"/>
      <c r="BZ1030" s="20"/>
      <c r="CA1030" s="20"/>
      <c r="CB1030" s="21"/>
      <c r="CC1030" s="27" t="str">
        <f t="shared" si="176"/>
        <v/>
      </c>
      <c r="CD1030" s="38" t="str">
        <f t="shared" si="177"/>
        <v/>
      </c>
      <c r="CE1030" s="38" t="str">
        <f t="shared" si="178"/>
        <v/>
      </c>
      <c r="CF1030" s="38" t="str">
        <f t="shared" si="179"/>
        <v/>
      </c>
      <c r="CG1030" s="38" t="str">
        <f t="shared" si="180"/>
        <v/>
      </c>
      <c r="CH1030" s="38" t="str">
        <f t="shared" si="181"/>
        <v/>
      </c>
      <c r="CI1030" s="38" t="str">
        <f t="shared" si="182"/>
        <v/>
      </c>
      <c r="CJ1030" s="38" t="str">
        <f t="shared" si="183"/>
        <v/>
      </c>
      <c r="CK1030" s="38" t="str">
        <f t="shared" si="184"/>
        <v/>
      </c>
      <c r="CL1030" s="38" t="str">
        <f>IF(C1030="","",IF(COUNT(G1030:AZ1030)&lt;46,"",SUMPRODUCT(CC1030:CK1030,'تنظیمات وزن‌دهی'!$C$5:$C$13)/100))</f>
        <v/>
      </c>
      <c r="CM1030" s="38" t="str">
        <f t="shared" si="185"/>
        <v/>
      </c>
      <c r="CN1030" s="38">
        <v>6</v>
      </c>
      <c r="CO1030" s="28" t="str">
        <f t="shared" si="186"/>
        <v/>
      </c>
      <c r="CP1030" s="58"/>
    </row>
    <row r="1031" spans="1:94" ht="17.25" hidden="1">
      <c r="A1031" s="33">
        <v>1027</v>
      </c>
      <c r="B1031" s="55" t="s">
        <v>189</v>
      </c>
      <c r="C1031" s="55" t="str">
        <f>IF(دانش‌آموزان!E90="","",دانش‌آموزان!B90)</f>
        <v/>
      </c>
      <c r="D1031" s="55" t="str">
        <f>IF(دانش‌آموزان!C90="","",دانش‌آموزان!C90)</f>
        <v/>
      </c>
      <c r="E1031" s="55" t="str">
        <f>IF(دانش‌آموزان!E90="","",دانش‌آموزان!E90&amp;" "&amp;دانش‌آموزان!F90)</f>
        <v/>
      </c>
      <c r="F1031" s="34" t="str">
        <f>IF(دانش‌آموزان!I90="","",دانش‌آموزان!I90)</f>
        <v/>
      </c>
      <c r="G1031" s="19"/>
      <c r="H1031" s="20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  <c r="AA1031" s="20"/>
      <c r="AB1031" s="20"/>
      <c r="AC1031" s="20"/>
      <c r="AD1031" s="20"/>
      <c r="AE1031" s="20"/>
      <c r="AF1031" s="20"/>
      <c r="AG1031" s="20"/>
      <c r="AH1031" s="20"/>
      <c r="AI1031" s="20"/>
      <c r="AJ1031" s="20"/>
      <c r="AK1031" s="20"/>
      <c r="AL1031" s="20"/>
      <c r="AM1031" s="20"/>
      <c r="AN1031" s="20"/>
      <c r="AO1031" s="20"/>
      <c r="AP1031" s="20"/>
      <c r="AQ1031" s="20"/>
      <c r="AR1031" s="20"/>
      <c r="AS1031" s="20"/>
      <c r="AT1031" s="20"/>
      <c r="AU1031" s="20"/>
      <c r="AV1031" s="20"/>
      <c r="AW1031" s="20"/>
      <c r="AX1031" s="20"/>
      <c r="AY1031" s="20"/>
      <c r="AZ1031" s="20"/>
      <c r="BA1031" s="20"/>
      <c r="BB1031" s="20"/>
      <c r="BC1031" s="20"/>
      <c r="BD1031" s="20"/>
      <c r="BE1031" s="20"/>
      <c r="BF1031" s="20"/>
      <c r="BG1031" s="20"/>
      <c r="BH1031" s="20"/>
      <c r="BI1031" s="20"/>
      <c r="BJ1031" s="20"/>
      <c r="BK1031" s="20"/>
      <c r="BL1031" s="20"/>
      <c r="BM1031" s="20"/>
      <c r="BN1031" s="20"/>
      <c r="BO1031" s="20"/>
      <c r="BP1031" s="20"/>
      <c r="BQ1031" s="20"/>
      <c r="BR1031" s="20"/>
      <c r="BS1031" s="20"/>
      <c r="BT1031" s="20"/>
      <c r="BU1031" s="20"/>
      <c r="BV1031" s="20"/>
      <c r="BW1031" s="20"/>
      <c r="BX1031" s="20"/>
      <c r="BY1031" s="20"/>
      <c r="BZ1031" s="20"/>
      <c r="CA1031" s="20"/>
      <c r="CB1031" s="21"/>
      <c r="CC1031" s="27" t="str">
        <f t="shared" si="176"/>
        <v/>
      </c>
      <c r="CD1031" s="38" t="str">
        <f t="shared" si="177"/>
        <v/>
      </c>
      <c r="CE1031" s="38" t="str">
        <f t="shared" si="178"/>
        <v/>
      </c>
      <c r="CF1031" s="38" t="str">
        <f t="shared" si="179"/>
        <v/>
      </c>
      <c r="CG1031" s="38" t="str">
        <f t="shared" si="180"/>
        <v/>
      </c>
      <c r="CH1031" s="38" t="str">
        <f t="shared" si="181"/>
        <v/>
      </c>
      <c r="CI1031" s="38" t="str">
        <f t="shared" si="182"/>
        <v/>
      </c>
      <c r="CJ1031" s="38" t="str">
        <f t="shared" si="183"/>
        <v/>
      </c>
      <c r="CK1031" s="38" t="str">
        <f t="shared" si="184"/>
        <v/>
      </c>
      <c r="CL1031" s="38" t="str">
        <f>IF(C1031="","",IF(COUNT(G1031:AZ1031)&lt;46,"",SUMPRODUCT(CC1031:CK1031,'تنظیمات وزن‌دهی'!$C$5:$C$13)/100))</f>
        <v/>
      </c>
      <c r="CM1031" s="38" t="str">
        <f t="shared" si="185"/>
        <v/>
      </c>
      <c r="CN1031" s="38">
        <v>7</v>
      </c>
      <c r="CO1031" s="28" t="str">
        <f t="shared" si="186"/>
        <v/>
      </c>
      <c r="CP1031" s="58"/>
    </row>
    <row r="1032" spans="1:94" ht="17.25" hidden="1">
      <c r="A1032" s="33">
        <v>1028</v>
      </c>
      <c r="B1032" s="55" t="s">
        <v>190</v>
      </c>
      <c r="C1032" s="55" t="str">
        <f>IF(دانش‌آموزان!E90="","",دانش‌آموزان!B90)</f>
        <v/>
      </c>
      <c r="D1032" s="55" t="str">
        <f>IF(دانش‌آموزان!C90="","",دانش‌آموزان!C90)</f>
        <v/>
      </c>
      <c r="E1032" s="55" t="str">
        <f>IF(دانش‌آموزان!E90="","",دانش‌آموزان!E90&amp;" "&amp;دانش‌آموزان!F90)</f>
        <v/>
      </c>
      <c r="F1032" s="34" t="str">
        <f>IF(دانش‌آموزان!I90="","",دانش‌آموزان!I90)</f>
        <v/>
      </c>
      <c r="G1032" s="19"/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  <c r="AA1032" s="20"/>
      <c r="AB1032" s="20"/>
      <c r="AC1032" s="20"/>
      <c r="AD1032" s="20"/>
      <c r="AE1032" s="20"/>
      <c r="AF1032" s="20"/>
      <c r="AG1032" s="20"/>
      <c r="AH1032" s="20"/>
      <c r="AI1032" s="20"/>
      <c r="AJ1032" s="20"/>
      <c r="AK1032" s="20"/>
      <c r="AL1032" s="20"/>
      <c r="AM1032" s="20"/>
      <c r="AN1032" s="20"/>
      <c r="AO1032" s="20"/>
      <c r="AP1032" s="20"/>
      <c r="AQ1032" s="20"/>
      <c r="AR1032" s="20"/>
      <c r="AS1032" s="20"/>
      <c r="AT1032" s="20"/>
      <c r="AU1032" s="20"/>
      <c r="AV1032" s="20"/>
      <c r="AW1032" s="20"/>
      <c r="AX1032" s="20"/>
      <c r="AY1032" s="20"/>
      <c r="AZ1032" s="20"/>
      <c r="BA1032" s="20"/>
      <c r="BB1032" s="20"/>
      <c r="BC1032" s="20"/>
      <c r="BD1032" s="20"/>
      <c r="BE1032" s="20"/>
      <c r="BF1032" s="20"/>
      <c r="BG1032" s="20"/>
      <c r="BH1032" s="20"/>
      <c r="BI1032" s="20"/>
      <c r="BJ1032" s="20"/>
      <c r="BK1032" s="20"/>
      <c r="BL1032" s="20"/>
      <c r="BM1032" s="20"/>
      <c r="BN1032" s="20"/>
      <c r="BO1032" s="20"/>
      <c r="BP1032" s="20"/>
      <c r="BQ1032" s="20"/>
      <c r="BR1032" s="20"/>
      <c r="BS1032" s="20"/>
      <c r="BT1032" s="20"/>
      <c r="BU1032" s="20"/>
      <c r="BV1032" s="20"/>
      <c r="BW1032" s="20"/>
      <c r="BX1032" s="20"/>
      <c r="BY1032" s="20"/>
      <c r="BZ1032" s="20"/>
      <c r="CA1032" s="20"/>
      <c r="CB1032" s="21"/>
      <c r="CC1032" s="27" t="str">
        <f t="shared" si="176"/>
        <v/>
      </c>
      <c r="CD1032" s="38" t="str">
        <f t="shared" si="177"/>
        <v/>
      </c>
      <c r="CE1032" s="38" t="str">
        <f t="shared" si="178"/>
        <v/>
      </c>
      <c r="CF1032" s="38" t="str">
        <f t="shared" si="179"/>
        <v/>
      </c>
      <c r="CG1032" s="38" t="str">
        <f t="shared" si="180"/>
        <v/>
      </c>
      <c r="CH1032" s="38" t="str">
        <f t="shared" si="181"/>
        <v/>
      </c>
      <c r="CI1032" s="38" t="str">
        <f t="shared" si="182"/>
        <v/>
      </c>
      <c r="CJ1032" s="38" t="str">
        <f t="shared" si="183"/>
        <v/>
      </c>
      <c r="CK1032" s="38" t="str">
        <f t="shared" si="184"/>
        <v/>
      </c>
      <c r="CL1032" s="38" t="str">
        <f>IF(C1032="","",IF(COUNT(G1032:AZ1032)&lt;46,"",SUMPRODUCT(CC1032:CK1032,'تنظیمات وزن‌دهی'!$C$5:$C$13)/100))</f>
        <v/>
      </c>
      <c r="CM1032" s="38" t="str">
        <f t="shared" si="185"/>
        <v/>
      </c>
      <c r="CN1032" s="38">
        <v>8</v>
      </c>
      <c r="CO1032" s="28" t="str">
        <f t="shared" si="186"/>
        <v/>
      </c>
      <c r="CP1032" s="58"/>
    </row>
    <row r="1033" spans="1:94" ht="17.25" hidden="1">
      <c r="A1033" s="33">
        <v>1029</v>
      </c>
      <c r="B1033" s="55" t="s">
        <v>191</v>
      </c>
      <c r="C1033" s="55" t="str">
        <f>IF(دانش‌آموزان!E90="","",دانش‌آموزان!B90)</f>
        <v/>
      </c>
      <c r="D1033" s="55" t="str">
        <f>IF(دانش‌آموزان!C90="","",دانش‌آموزان!C90)</f>
        <v/>
      </c>
      <c r="E1033" s="55" t="str">
        <f>IF(دانش‌آموزان!E90="","",دانش‌آموزان!E90&amp;" "&amp;دانش‌آموزان!F90)</f>
        <v/>
      </c>
      <c r="F1033" s="34" t="str">
        <f>IF(دانش‌آموزان!I90="","",دانش‌آموزان!I90)</f>
        <v/>
      </c>
      <c r="G1033" s="19"/>
      <c r="H1033" s="20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  <c r="AB1033" s="20"/>
      <c r="AC1033" s="20"/>
      <c r="AD1033" s="20"/>
      <c r="AE1033" s="20"/>
      <c r="AF1033" s="20"/>
      <c r="AG1033" s="20"/>
      <c r="AH1033" s="20"/>
      <c r="AI1033" s="20"/>
      <c r="AJ1033" s="20"/>
      <c r="AK1033" s="20"/>
      <c r="AL1033" s="20"/>
      <c r="AM1033" s="20"/>
      <c r="AN1033" s="20"/>
      <c r="AO1033" s="20"/>
      <c r="AP1033" s="20"/>
      <c r="AQ1033" s="20"/>
      <c r="AR1033" s="20"/>
      <c r="AS1033" s="20"/>
      <c r="AT1033" s="20"/>
      <c r="AU1033" s="20"/>
      <c r="AV1033" s="20"/>
      <c r="AW1033" s="20"/>
      <c r="AX1033" s="20"/>
      <c r="AY1033" s="20"/>
      <c r="AZ1033" s="20"/>
      <c r="BA1033" s="20"/>
      <c r="BB1033" s="20"/>
      <c r="BC1033" s="20"/>
      <c r="BD1033" s="20"/>
      <c r="BE1033" s="20"/>
      <c r="BF1033" s="20"/>
      <c r="BG1033" s="20"/>
      <c r="BH1033" s="20"/>
      <c r="BI1033" s="20"/>
      <c r="BJ1033" s="20"/>
      <c r="BK1033" s="20"/>
      <c r="BL1033" s="20"/>
      <c r="BM1033" s="20"/>
      <c r="BN1033" s="20"/>
      <c r="BO1033" s="20"/>
      <c r="BP1033" s="20"/>
      <c r="BQ1033" s="20"/>
      <c r="BR1033" s="20"/>
      <c r="BS1033" s="20"/>
      <c r="BT1033" s="20"/>
      <c r="BU1033" s="20"/>
      <c r="BV1033" s="20"/>
      <c r="BW1033" s="20"/>
      <c r="BX1033" s="20"/>
      <c r="BY1033" s="20"/>
      <c r="BZ1033" s="20"/>
      <c r="CA1033" s="20"/>
      <c r="CB1033" s="21"/>
      <c r="CC1033" s="27" t="str">
        <f t="shared" si="176"/>
        <v/>
      </c>
      <c r="CD1033" s="38" t="str">
        <f t="shared" si="177"/>
        <v/>
      </c>
      <c r="CE1033" s="38" t="str">
        <f t="shared" si="178"/>
        <v/>
      </c>
      <c r="CF1033" s="38" t="str">
        <f t="shared" si="179"/>
        <v/>
      </c>
      <c r="CG1033" s="38" t="str">
        <f t="shared" si="180"/>
        <v/>
      </c>
      <c r="CH1033" s="38" t="str">
        <f t="shared" si="181"/>
        <v/>
      </c>
      <c r="CI1033" s="38" t="str">
        <f t="shared" si="182"/>
        <v/>
      </c>
      <c r="CJ1033" s="38" t="str">
        <f t="shared" si="183"/>
        <v/>
      </c>
      <c r="CK1033" s="38" t="str">
        <f t="shared" si="184"/>
        <v/>
      </c>
      <c r="CL1033" s="38" t="str">
        <f>IF(C1033="","",IF(COUNT(G1033:AZ1033)&lt;46,"",SUMPRODUCT(CC1033:CK1033,'تنظیمات وزن‌دهی'!$C$5:$C$13)/100))</f>
        <v/>
      </c>
      <c r="CM1033" s="38" t="str">
        <f t="shared" si="185"/>
        <v/>
      </c>
      <c r="CN1033" s="38">
        <v>9</v>
      </c>
      <c r="CO1033" s="28" t="str">
        <f t="shared" si="186"/>
        <v/>
      </c>
      <c r="CP1033" s="58"/>
    </row>
    <row r="1034" spans="1:94" ht="17.25" hidden="1">
      <c r="A1034" s="33">
        <v>1030</v>
      </c>
      <c r="B1034" s="55" t="s">
        <v>192</v>
      </c>
      <c r="C1034" s="55" t="str">
        <f>IF(دانش‌آموزان!E90="","",دانش‌آموزان!B90)</f>
        <v/>
      </c>
      <c r="D1034" s="55" t="str">
        <f>IF(دانش‌آموزان!C90="","",دانش‌آموزان!C90)</f>
        <v/>
      </c>
      <c r="E1034" s="55" t="str">
        <f>IF(دانش‌آموزان!E90="","",دانش‌آموزان!E90&amp;" "&amp;دانش‌آموزان!F90)</f>
        <v/>
      </c>
      <c r="F1034" s="34" t="str">
        <f>IF(دانش‌آموزان!I90="","",دانش‌آموزان!I90)</f>
        <v/>
      </c>
      <c r="G1034" s="19"/>
      <c r="H1034" s="20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  <c r="AB1034" s="20"/>
      <c r="AC1034" s="20"/>
      <c r="AD1034" s="20"/>
      <c r="AE1034" s="20"/>
      <c r="AF1034" s="20"/>
      <c r="AG1034" s="20"/>
      <c r="AH1034" s="20"/>
      <c r="AI1034" s="20"/>
      <c r="AJ1034" s="20"/>
      <c r="AK1034" s="20"/>
      <c r="AL1034" s="20"/>
      <c r="AM1034" s="20"/>
      <c r="AN1034" s="20"/>
      <c r="AO1034" s="20"/>
      <c r="AP1034" s="20"/>
      <c r="AQ1034" s="20"/>
      <c r="AR1034" s="20"/>
      <c r="AS1034" s="20"/>
      <c r="AT1034" s="20"/>
      <c r="AU1034" s="20"/>
      <c r="AV1034" s="20"/>
      <c r="AW1034" s="20"/>
      <c r="AX1034" s="20"/>
      <c r="AY1034" s="20"/>
      <c r="AZ1034" s="20"/>
      <c r="BA1034" s="20"/>
      <c r="BB1034" s="20"/>
      <c r="BC1034" s="20"/>
      <c r="BD1034" s="20"/>
      <c r="BE1034" s="20"/>
      <c r="BF1034" s="20"/>
      <c r="BG1034" s="20"/>
      <c r="BH1034" s="20"/>
      <c r="BI1034" s="20"/>
      <c r="BJ1034" s="20"/>
      <c r="BK1034" s="20"/>
      <c r="BL1034" s="20"/>
      <c r="BM1034" s="20"/>
      <c r="BN1034" s="20"/>
      <c r="BO1034" s="20"/>
      <c r="BP1034" s="20"/>
      <c r="BQ1034" s="20"/>
      <c r="BR1034" s="20"/>
      <c r="BS1034" s="20"/>
      <c r="BT1034" s="20"/>
      <c r="BU1034" s="20"/>
      <c r="BV1034" s="20"/>
      <c r="BW1034" s="20"/>
      <c r="BX1034" s="20"/>
      <c r="BY1034" s="20"/>
      <c r="BZ1034" s="20"/>
      <c r="CA1034" s="20"/>
      <c r="CB1034" s="21"/>
      <c r="CC1034" s="27" t="str">
        <f t="shared" si="176"/>
        <v/>
      </c>
      <c r="CD1034" s="38" t="str">
        <f t="shared" si="177"/>
        <v/>
      </c>
      <c r="CE1034" s="38" t="str">
        <f t="shared" si="178"/>
        <v/>
      </c>
      <c r="CF1034" s="38" t="str">
        <f t="shared" si="179"/>
        <v/>
      </c>
      <c r="CG1034" s="38" t="str">
        <f t="shared" si="180"/>
        <v/>
      </c>
      <c r="CH1034" s="38" t="str">
        <f t="shared" si="181"/>
        <v/>
      </c>
      <c r="CI1034" s="38" t="str">
        <f t="shared" si="182"/>
        <v/>
      </c>
      <c r="CJ1034" s="38" t="str">
        <f t="shared" si="183"/>
        <v/>
      </c>
      <c r="CK1034" s="38" t="str">
        <f t="shared" si="184"/>
        <v/>
      </c>
      <c r="CL1034" s="38" t="str">
        <f>IF(C1034="","",IF(COUNT(G1034:AZ1034)&lt;46,"",SUMPRODUCT(CC1034:CK1034,'تنظیمات وزن‌دهی'!$C$5:$C$13)/100))</f>
        <v/>
      </c>
      <c r="CM1034" s="38" t="str">
        <f t="shared" si="185"/>
        <v/>
      </c>
      <c r="CN1034" s="38">
        <v>10</v>
      </c>
      <c r="CO1034" s="28" t="str">
        <f t="shared" si="186"/>
        <v/>
      </c>
      <c r="CP1034" s="58"/>
    </row>
    <row r="1035" spans="1:94" ht="17.25" hidden="1">
      <c r="A1035" s="33">
        <v>1031</v>
      </c>
      <c r="B1035" s="55" t="s">
        <v>193</v>
      </c>
      <c r="C1035" s="55" t="str">
        <f>IF(دانش‌آموزان!E90="","",دانش‌آموزان!B90)</f>
        <v/>
      </c>
      <c r="D1035" s="55" t="str">
        <f>IF(دانش‌آموزان!C90="","",دانش‌آموزان!C90)</f>
        <v/>
      </c>
      <c r="E1035" s="55" t="str">
        <f>IF(دانش‌آموزان!E90="","",دانش‌آموزان!E90&amp;" "&amp;دانش‌آموزان!F90)</f>
        <v/>
      </c>
      <c r="F1035" s="34" t="str">
        <f>IF(دانش‌آموزان!I90="","",دانش‌آموزان!I90)</f>
        <v/>
      </c>
      <c r="G1035" s="19"/>
      <c r="H1035" s="20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  <c r="AA1035" s="20"/>
      <c r="AB1035" s="20"/>
      <c r="AC1035" s="20"/>
      <c r="AD1035" s="20"/>
      <c r="AE1035" s="20"/>
      <c r="AF1035" s="20"/>
      <c r="AG1035" s="20"/>
      <c r="AH1035" s="20"/>
      <c r="AI1035" s="20"/>
      <c r="AJ1035" s="20"/>
      <c r="AK1035" s="20"/>
      <c r="AL1035" s="20"/>
      <c r="AM1035" s="20"/>
      <c r="AN1035" s="20"/>
      <c r="AO1035" s="20"/>
      <c r="AP1035" s="20"/>
      <c r="AQ1035" s="20"/>
      <c r="AR1035" s="20"/>
      <c r="AS1035" s="20"/>
      <c r="AT1035" s="20"/>
      <c r="AU1035" s="20"/>
      <c r="AV1035" s="20"/>
      <c r="AW1035" s="20"/>
      <c r="AX1035" s="20"/>
      <c r="AY1035" s="20"/>
      <c r="AZ1035" s="20"/>
      <c r="BA1035" s="20"/>
      <c r="BB1035" s="20"/>
      <c r="BC1035" s="20"/>
      <c r="BD1035" s="20"/>
      <c r="BE1035" s="20"/>
      <c r="BF1035" s="20"/>
      <c r="BG1035" s="20"/>
      <c r="BH1035" s="20"/>
      <c r="BI1035" s="20"/>
      <c r="BJ1035" s="20"/>
      <c r="BK1035" s="20"/>
      <c r="BL1035" s="20"/>
      <c r="BM1035" s="20"/>
      <c r="BN1035" s="20"/>
      <c r="BO1035" s="20"/>
      <c r="BP1035" s="20"/>
      <c r="BQ1035" s="20"/>
      <c r="BR1035" s="20"/>
      <c r="BS1035" s="20"/>
      <c r="BT1035" s="20"/>
      <c r="BU1035" s="20"/>
      <c r="BV1035" s="20"/>
      <c r="BW1035" s="20"/>
      <c r="BX1035" s="20"/>
      <c r="BY1035" s="20"/>
      <c r="BZ1035" s="20"/>
      <c r="CA1035" s="20"/>
      <c r="CB1035" s="21"/>
      <c r="CC1035" s="27" t="str">
        <f t="shared" si="176"/>
        <v/>
      </c>
      <c r="CD1035" s="38" t="str">
        <f t="shared" si="177"/>
        <v/>
      </c>
      <c r="CE1035" s="38" t="str">
        <f t="shared" si="178"/>
        <v/>
      </c>
      <c r="CF1035" s="38" t="str">
        <f t="shared" si="179"/>
        <v/>
      </c>
      <c r="CG1035" s="38" t="str">
        <f t="shared" si="180"/>
        <v/>
      </c>
      <c r="CH1035" s="38" t="str">
        <f t="shared" si="181"/>
        <v/>
      </c>
      <c r="CI1035" s="38" t="str">
        <f t="shared" si="182"/>
        <v/>
      </c>
      <c r="CJ1035" s="38" t="str">
        <f t="shared" si="183"/>
        <v/>
      </c>
      <c r="CK1035" s="38" t="str">
        <f t="shared" si="184"/>
        <v/>
      </c>
      <c r="CL1035" s="38" t="str">
        <f>IF(C1035="","",IF(COUNT(G1035:AZ1035)&lt;46,"",SUMPRODUCT(CC1035:CK1035,'تنظیمات وزن‌دهی'!$C$5:$C$13)/100))</f>
        <v/>
      </c>
      <c r="CM1035" s="38" t="str">
        <f t="shared" si="185"/>
        <v/>
      </c>
      <c r="CN1035" s="38">
        <v>11</v>
      </c>
      <c r="CO1035" s="28" t="str">
        <f t="shared" si="186"/>
        <v/>
      </c>
      <c r="CP1035" s="58"/>
    </row>
    <row r="1036" spans="1:94" ht="17.25" hidden="1">
      <c r="A1036" s="33">
        <v>1032</v>
      </c>
      <c r="B1036" s="55" t="s">
        <v>194</v>
      </c>
      <c r="C1036" s="55" t="str">
        <f>IF(دانش‌آموزان!E90="","",دانش‌آموزان!B90)</f>
        <v/>
      </c>
      <c r="D1036" s="55" t="str">
        <f>IF(دانش‌آموزان!C90="","",دانش‌آموزان!C90)</f>
        <v/>
      </c>
      <c r="E1036" s="55" t="str">
        <f>IF(دانش‌آموزان!E90="","",دانش‌آموزان!E90&amp;" "&amp;دانش‌آموزان!F90)</f>
        <v/>
      </c>
      <c r="F1036" s="34" t="str">
        <f>IF(دانش‌آموزان!I90="","",دانش‌آموزان!I90)</f>
        <v/>
      </c>
      <c r="G1036" s="19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  <c r="AB1036" s="20"/>
      <c r="AC1036" s="20"/>
      <c r="AD1036" s="20"/>
      <c r="AE1036" s="20"/>
      <c r="AF1036" s="20"/>
      <c r="AG1036" s="20"/>
      <c r="AH1036" s="20"/>
      <c r="AI1036" s="20"/>
      <c r="AJ1036" s="20"/>
      <c r="AK1036" s="20"/>
      <c r="AL1036" s="20"/>
      <c r="AM1036" s="20"/>
      <c r="AN1036" s="20"/>
      <c r="AO1036" s="20"/>
      <c r="AP1036" s="20"/>
      <c r="AQ1036" s="20"/>
      <c r="AR1036" s="20"/>
      <c r="AS1036" s="20"/>
      <c r="AT1036" s="20"/>
      <c r="AU1036" s="20"/>
      <c r="AV1036" s="20"/>
      <c r="AW1036" s="20"/>
      <c r="AX1036" s="20"/>
      <c r="AY1036" s="20"/>
      <c r="AZ1036" s="20"/>
      <c r="BA1036" s="20"/>
      <c r="BB1036" s="20"/>
      <c r="BC1036" s="20"/>
      <c r="BD1036" s="20"/>
      <c r="BE1036" s="20"/>
      <c r="BF1036" s="20"/>
      <c r="BG1036" s="20"/>
      <c r="BH1036" s="20"/>
      <c r="BI1036" s="20"/>
      <c r="BJ1036" s="20"/>
      <c r="BK1036" s="20"/>
      <c r="BL1036" s="20"/>
      <c r="BM1036" s="20"/>
      <c r="BN1036" s="20"/>
      <c r="BO1036" s="20"/>
      <c r="BP1036" s="20"/>
      <c r="BQ1036" s="20"/>
      <c r="BR1036" s="20"/>
      <c r="BS1036" s="20"/>
      <c r="BT1036" s="20"/>
      <c r="BU1036" s="20"/>
      <c r="BV1036" s="20"/>
      <c r="BW1036" s="20"/>
      <c r="BX1036" s="20"/>
      <c r="BY1036" s="20"/>
      <c r="BZ1036" s="20"/>
      <c r="CA1036" s="20"/>
      <c r="CB1036" s="21"/>
      <c r="CC1036" s="27" t="str">
        <f t="shared" si="176"/>
        <v/>
      </c>
      <c r="CD1036" s="38" t="str">
        <f t="shared" si="177"/>
        <v/>
      </c>
      <c r="CE1036" s="38" t="str">
        <f t="shared" si="178"/>
        <v/>
      </c>
      <c r="CF1036" s="38" t="str">
        <f t="shared" si="179"/>
        <v/>
      </c>
      <c r="CG1036" s="38" t="str">
        <f t="shared" si="180"/>
        <v/>
      </c>
      <c r="CH1036" s="38" t="str">
        <f t="shared" si="181"/>
        <v/>
      </c>
      <c r="CI1036" s="38" t="str">
        <f t="shared" si="182"/>
        <v/>
      </c>
      <c r="CJ1036" s="38" t="str">
        <f t="shared" si="183"/>
        <v/>
      </c>
      <c r="CK1036" s="38" t="str">
        <f t="shared" si="184"/>
        <v/>
      </c>
      <c r="CL1036" s="38" t="str">
        <f>IF(C1036="","",IF(COUNT(G1036:AZ1036)&lt;46,"",SUMPRODUCT(CC1036:CK1036,'تنظیمات وزن‌دهی'!$C$5:$C$13)/100))</f>
        <v/>
      </c>
      <c r="CM1036" s="38" t="str">
        <f t="shared" si="185"/>
        <v/>
      </c>
      <c r="CN1036" s="38">
        <v>12</v>
      </c>
      <c r="CO1036" s="28" t="str">
        <f t="shared" si="186"/>
        <v/>
      </c>
      <c r="CP1036" s="58"/>
    </row>
    <row r="1037" spans="1:94" ht="17.25" hidden="1">
      <c r="A1037" s="33">
        <v>1033</v>
      </c>
      <c r="B1037" s="55" t="s">
        <v>183</v>
      </c>
      <c r="C1037" s="55" t="str">
        <f>IF(دانش‌آموزان!E91="","",دانش‌آموزان!B91)</f>
        <v/>
      </c>
      <c r="D1037" s="55" t="str">
        <f>IF(دانش‌آموزان!C91="","",دانش‌آموزان!C91)</f>
        <v/>
      </c>
      <c r="E1037" s="55" t="str">
        <f>IF(دانش‌آموزان!E91="","",دانش‌آموزان!E91&amp;" "&amp;دانش‌آموزان!F91)</f>
        <v/>
      </c>
      <c r="F1037" s="34" t="str">
        <f>IF(دانش‌آموزان!I91="","",دانش‌آموزان!I91)</f>
        <v/>
      </c>
      <c r="G1037" s="19"/>
      <c r="H1037" s="20"/>
      <c r="I1037" s="20"/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  <c r="AA1037" s="20"/>
      <c r="AB1037" s="20"/>
      <c r="AC1037" s="20"/>
      <c r="AD1037" s="20"/>
      <c r="AE1037" s="20"/>
      <c r="AF1037" s="20"/>
      <c r="AG1037" s="20"/>
      <c r="AH1037" s="20"/>
      <c r="AI1037" s="20"/>
      <c r="AJ1037" s="20"/>
      <c r="AK1037" s="20"/>
      <c r="AL1037" s="20"/>
      <c r="AM1037" s="20"/>
      <c r="AN1037" s="20"/>
      <c r="AO1037" s="20"/>
      <c r="AP1037" s="20"/>
      <c r="AQ1037" s="20"/>
      <c r="AR1037" s="20"/>
      <c r="AS1037" s="20"/>
      <c r="AT1037" s="20"/>
      <c r="AU1037" s="20"/>
      <c r="AV1037" s="20"/>
      <c r="AW1037" s="20"/>
      <c r="AX1037" s="20"/>
      <c r="AY1037" s="20"/>
      <c r="AZ1037" s="20"/>
      <c r="BA1037" s="20"/>
      <c r="BB1037" s="20"/>
      <c r="BC1037" s="20"/>
      <c r="BD1037" s="20"/>
      <c r="BE1037" s="20"/>
      <c r="BF1037" s="20"/>
      <c r="BG1037" s="20"/>
      <c r="BH1037" s="20"/>
      <c r="BI1037" s="20"/>
      <c r="BJ1037" s="20"/>
      <c r="BK1037" s="20"/>
      <c r="BL1037" s="20"/>
      <c r="BM1037" s="20"/>
      <c r="BN1037" s="20"/>
      <c r="BO1037" s="20"/>
      <c r="BP1037" s="20"/>
      <c r="BQ1037" s="20"/>
      <c r="BR1037" s="20"/>
      <c r="BS1037" s="20"/>
      <c r="BT1037" s="20"/>
      <c r="BU1037" s="20"/>
      <c r="BV1037" s="20"/>
      <c r="BW1037" s="20"/>
      <c r="BX1037" s="20"/>
      <c r="BY1037" s="20"/>
      <c r="BZ1037" s="20"/>
      <c r="CA1037" s="20"/>
      <c r="CB1037" s="21"/>
      <c r="CC1037" s="27" t="str">
        <f t="shared" si="176"/>
        <v/>
      </c>
      <c r="CD1037" s="38" t="str">
        <f t="shared" si="177"/>
        <v/>
      </c>
      <c r="CE1037" s="38" t="str">
        <f t="shared" si="178"/>
        <v/>
      </c>
      <c r="CF1037" s="38" t="str">
        <f t="shared" si="179"/>
        <v/>
      </c>
      <c r="CG1037" s="38" t="str">
        <f t="shared" si="180"/>
        <v/>
      </c>
      <c r="CH1037" s="38" t="str">
        <f t="shared" si="181"/>
        <v/>
      </c>
      <c r="CI1037" s="38" t="str">
        <f t="shared" si="182"/>
        <v/>
      </c>
      <c r="CJ1037" s="38" t="str">
        <f t="shared" si="183"/>
        <v/>
      </c>
      <c r="CK1037" s="38" t="str">
        <f t="shared" si="184"/>
        <v/>
      </c>
      <c r="CL1037" s="38" t="str">
        <f>IF(C1037="","",IF(COUNT(G1037:AZ1037)&lt;46,"",SUMPRODUCT(CC1037:CK1037,'تنظیمات وزن‌دهی'!$C$5:$C$13)/100))</f>
        <v/>
      </c>
      <c r="CM1037" s="38" t="str">
        <f t="shared" si="185"/>
        <v/>
      </c>
      <c r="CN1037" s="38">
        <v>1</v>
      </c>
      <c r="CO1037" s="28" t="str">
        <f t="shared" si="186"/>
        <v/>
      </c>
      <c r="CP1037" s="58"/>
    </row>
    <row r="1038" spans="1:94" ht="17.25" hidden="1">
      <c r="A1038" s="33">
        <v>1034</v>
      </c>
      <c r="B1038" s="55" t="s">
        <v>184</v>
      </c>
      <c r="C1038" s="55" t="str">
        <f>IF(دانش‌آموزان!E91="","",دانش‌آموزان!B91)</f>
        <v/>
      </c>
      <c r="D1038" s="55" t="str">
        <f>IF(دانش‌آموزان!C91="","",دانش‌آموزان!C91)</f>
        <v/>
      </c>
      <c r="E1038" s="55" t="str">
        <f>IF(دانش‌آموزان!E91="","",دانش‌آموزان!E91&amp;" "&amp;دانش‌آموزان!F91)</f>
        <v/>
      </c>
      <c r="F1038" s="34" t="str">
        <f>IF(دانش‌آموزان!I91="","",دانش‌آموزان!I91)</f>
        <v/>
      </c>
      <c r="G1038" s="19"/>
      <c r="H1038" s="20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  <c r="AA1038" s="20"/>
      <c r="AB1038" s="20"/>
      <c r="AC1038" s="20"/>
      <c r="AD1038" s="20"/>
      <c r="AE1038" s="20"/>
      <c r="AF1038" s="20"/>
      <c r="AG1038" s="20"/>
      <c r="AH1038" s="20"/>
      <c r="AI1038" s="20"/>
      <c r="AJ1038" s="20"/>
      <c r="AK1038" s="20"/>
      <c r="AL1038" s="20"/>
      <c r="AM1038" s="20"/>
      <c r="AN1038" s="20"/>
      <c r="AO1038" s="20"/>
      <c r="AP1038" s="20"/>
      <c r="AQ1038" s="20"/>
      <c r="AR1038" s="20"/>
      <c r="AS1038" s="20"/>
      <c r="AT1038" s="20"/>
      <c r="AU1038" s="20"/>
      <c r="AV1038" s="20"/>
      <c r="AW1038" s="20"/>
      <c r="AX1038" s="20"/>
      <c r="AY1038" s="20"/>
      <c r="AZ1038" s="20"/>
      <c r="BA1038" s="20"/>
      <c r="BB1038" s="20"/>
      <c r="BC1038" s="20"/>
      <c r="BD1038" s="20"/>
      <c r="BE1038" s="20"/>
      <c r="BF1038" s="20"/>
      <c r="BG1038" s="20"/>
      <c r="BH1038" s="20"/>
      <c r="BI1038" s="20"/>
      <c r="BJ1038" s="20"/>
      <c r="BK1038" s="20"/>
      <c r="BL1038" s="20"/>
      <c r="BM1038" s="20"/>
      <c r="BN1038" s="20"/>
      <c r="BO1038" s="20"/>
      <c r="BP1038" s="20"/>
      <c r="BQ1038" s="20"/>
      <c r="BR1038" s="20"/>
      <c r="BS1038" s="20"/>
      <c r="BT1038" s="20"/>
      <c r="BU1038" s="20"/>
      <c r="BV1038" s="20"/>
      <c r="BW1038" s="20"/>
      <c r="BX1038" s="20"/>
      <c r="BY1038" s="20"/>
      <c r="BZ1038" s="20"/>
      <c r="CA1038" s="20"/>
      <c r="CB1038" s="21"/>
      <c r="CC1038" s="27" t="str">
        <f t="shared" si="176"/>
        <v/>
      </c>
      <c r="CD1038" s="38" t="str">
        <f t="shared" si="177"/>
        <v/>
      </c>
      <c r="CE1038" s="38" t="str">
        <f t="shared" si="178"/>
        <v/>
      </c>
      <c r="CF1038" s="38" t="str">
        <f t="shared" si="179"/>
        <v/>
      </c>
      <c r="CG1038" s="38" t="str">
        <f t="shared" si="180"/>
        <v/>
      </c>
      <c r="CH1038" s="38" t="str">
        <f t="shared" si="181"/>
        <v/>
      </c>
      <c r="CI1038" s="38" t="str">
        <f t="shared" si="182"/>
        <v/>
      </c>
      <c r="CJ1038" s="38" t="str">
        <f t="shared" si="183"/>
        <v/>
      </c>
      <c r="CK1038" s="38" t="str">
        <f t="shared" si="184"/>
        <v/>
      </c>
      <c r="CL1038" s="38" t="str">
        <f>IF(C1038="","",IF(COUNT(G1038:AZ1038)&lt;46,"",SUMPRODUCT(CC1038:CK1038,'تنظیمات وزن‌دهی'!$C$5:$C$13)/100))</f>
        <v/>
      </c>
      <c r="CM1038" s="38" t="str">
        <f t="shared" si="185"/>
        <v/>
      </c>
      <c r="CN1038" s="38">
        <v>2</v>
      </c>
      <c r="CO1038" s="28" t="str">
        <f t="shared" si="186"/>
        <v/>
      </c>
      <c r="CP1038" s="58"/>
    </row>
    <row r="1039" spans="1:94" ht="17.25">
      <c r="A1039" s="33">
        <v>1035</v>
      </c>
      <c r="B1039" s="55" t="s">
        <v>185</v>
      </c>
      <c r="C1039" s="55" t="str">
        <f>IF(دانش‌آموزان!E91="","",دانش‌آموزان!B91)</f>
        <v/>
      </c>
      <c r="D1039" s="55" t="str">
        <f>IF(دانش‌آموزان!C91="","",دانش‌آموزان!C91)</f>
        <v/>
      </c>
      <c r="E1039" s="55" t="str">
        <f>IF(دانش‌آموزان!E91="","",دانش‌آموزان!E91&amp;" "&amp;دانش‌آموزان!F91)</f>
        <v/>
      </c>
      <c r="F1039" s="34" t="str">
        <f>IF(دانش‌آموزان!I91="","",دانش‌آموزان!I91)</f>
        <v/>
      </c>
      <c r="G1039" s="19"/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  <c r="AA1039" s="20"/>
      <c r="AB1039" s="20"/>
      <c r="AC1039" s="20"/>
      <c r="AD1039" s="20"/>
      <c r="AE1039" s="20"/>
      <c r="AF1039" s="20"/>
      <c r="AG1039" s="20"/>
      <c r="AH1039" s="20"/>
      <c r="AI1039" s="20"/>
      <c r="AJ1039" s="20"/>
      <c r="AK1039" s="20"/>
      <c r="AL1039" s="20"/>
      <c r="AM1039" s="20"/>
      <c r="AN1039" s="20"/>
      <c r="AO1039" s="20"/>
      <c r="AP1039" s="20"/>
      <c r="AQ1039" s="20"/>
      <c r="AR1039" s="20"/>
      <c r="AS1039" s="20"/>
      <c r="AT1039" s="20"/>
      <c r="AU1039" s="20"/>
      <c r="AV1039" s="20"/>
      <c r="AW1039" s="20"/>
      <c r="AX1039" s="20"/>
      <c r="AY1039" s="20"/>
      <c r="AZ1039" s="20"/>
      <c r="BA1039" s="20"/>
      <c r="BB1039" s="20"/>
      <c r="BC1039" s="20"/>
      <c r="BD1039" s="20"/>
      <c r="BE1039" s="20"/>
      <c r="BF1039" s="20"/>
      <c r="BG1039" s="20"/>
      <c r="BH1039" s="20"/>
      <c r="BI1039" s="20"/>
      <c r="BJ1039" s="20"/>
      <c r="BK1039" s="20"/>
      <c r="BL1039" s="20"/>
      <c r="BM1039" s="20"/>
      <c r="BN1039" s="20"/>
      <c r="BO1039" s="20"/>
      <c r="BP1039" s="20"/>
      <c r="BQ1039" s="20"/>
      <c r="BR1039" s="20"/>
      <c r="BS1039" s="20"/>
      <c r="BT1039" s="20"/>
      <c r="BU1039" s="20"/>
      <c r="BV1039" s="20"/>
      <c r="BW1039" s="20"/>
      <c r="BX1039" s="20"/>
      <c r="BY1039" s="20"/>
      <c r="BZ1039" s="20"/>
      <c r="CA1039" s="20"/>
      <c r="CB1039" s="21"/>
      <c r="CC1039" s="27" t="str">
        <f t="shared" si="176"/>
        <v/>
      </c>
      <c r="CD1039" s="38" t="str">
        <f t="shared" si="177"/>
        <v/>
      </c>
      <c r="CE1039" s="38" t="str">
        <f t="shared" si="178"/>
        <v/>
      </c>
      <c r="CF1039" s="38" t="str">
        <f t="shared" si="179"/>
        <v/>
      </c>
      <c r="CG1039" s="38" t="str">
        <f t="shared" si="180"/>
        <v/>
      </c>
      <c r="CH1039" s="38" t="str">
        <f t="shared" si="181"/>
        <v/>
      </c>
      <c r="CI1039" s="38" t="str">
        <f t="shared" si="182"/>
        <v/>
      </c>
      <c r="CJ1039" s="38" t="str">
        <f t="shared" si="183"/>
        <v/>
      </c>
      <c r="CK1039" s="38" t="str">
        <f t="shared" si="184"/>
        <v/>
      </c>
      <c r="CL1039" s="38" t="str">
        <f>IF(C1039="","",IF(COUNT(G1039:AZ1039)&lt;46,"",SUMPRODUCT(CC1039:CK1039,'تنظیمات وزن‌دهی'!$C$5:$C$13)/100))</f>
        <v/>
      </c>
      <c r="CM1039" s="38" t="str">
        <f t="shared" si="185"/>
        <v/>
      </c>
      <c r="CN1039" s="38">
        <v>3</v>
      </c>
      <c r="CO1039" s="28" t="str">
        <f t="shared" si="186"/>
        <v/>
      </c>
      <c r="CP1039" s="58"/>
    </row>
    <row r="1040" spans="1:94" ht="17.25" hidden="1">
      <c r="A1040" s="33">
        <v>1036</v>
      </c>
      <c r="B1040" s="55" t="s">
        <v>186</v>
      </c>
      <c r="C1040" s="55" t="str">
        <f>IF(دانش‌آموزان!E91="","",دانش‌آموزان!B91)</f>
        <v/>
      </c>
      <c r="D1040" s="55" t="str">
        <f>IF(دانش‌آموزان!C91="","",دانش‌آموزان!C91)</f>
        <v/>
      </c>
      <c r="E1040" s="55" t="str">
        <f>IF(دانش‌آموزان!E91="","",دانش‌آموزان!E91&amp;" "&amp;دانش‌آموزان!F91)</f>
        <v/>
      </c>
      <c r="F1040" s="34" t="str">
        <f>IF(دانش‌آموزان!I91="","",دانش‌آموزان!I91)</f>
        <v/>
      </c>
      <c r="G1040" s="19"/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  <c r="AA1040" s="20"/>
      <c r="AB1040" s="20"/>
      <c r="AC1040" s="20"/>
      <c r="AD1040" s="20"/>
      <c r="AE1040" s="20"/>
      <c r="AF1040" s="20"/>
      <c r="AG1040" s="20"/>
      <c r="AH1040" s="20"/>
      <c r="AI1040" s="20"/>
      <c r="AJ1040" s="20"/>
      <c r="AK1040" s="20"/>
      <c r="AL1040" s="20"/>
      <c r="AM1040" s="20"/>
      <c r="AN1040" s="20"/>
      <c r="AO1040" s="20"/>
      <c r="AP1040" s="20"/>
      <c r="AQ1040" s="20"/>
      <c r="AR1040" s="20"/>
      <c r="AS1040" s="20"/>
      <c r="AT1040" s="20"/>
      <c r="AU1040" s="20"/>
      <c r="AV1040" s="20"/>
      <c r="AW1040" s="20"/>
      <c r="AX1040" s="20"/>
      <c r="AY1040" s="20"/>
      <c r="AZ1040" s="20"/>
      <c r="BA1040" s="20"/>
      <c r="BB1040" s="20"/>
      <c r="BC1040" s="20"/>
      <c r="BD1040" s="20"/>
      <c r="BE1040" s="20"/>
      <c r="BF1040" s="20"/>
      <c r="BG1040" s="20"/>
      <c r="BH1040" s="20"/>
      <c r="BI1040" s="20"/>
      <c r="BJ1040" s="20"/>
      <c r="BK1040" s="20"/>
      <c r="BL1040" s="20"/>
      <c r="BM1040" s="20"/>
      <c r="BN1040" s="20"/>
      <c r="BO1040" s="20"/>
      <c r="BP1040" s="20"/>
      <c r="BQ1040" s="20"/>
      <c r="BR1040" s="20"/>
      <c r="BS1040" s="20"/>
      <c r="BT1040" s="20"/>
      <c r="BU1040" s="20"/>
      <c r="BV1040" s="20"/>
      <c r="BW1040" s="20"/>
      <c r="BX1040" s="20"/>
      <c r="BY1040" s="20"/>
      <c r="BZ1040" s="20"/>
      <c r="CA1040" s="20"/>
      <c r="CB1040" s="21"/>
      <c r="CC1040" s="27" t="str">
        <f t="shared" si="176"/>
        <v/>
      </c>
      <c r="CD1040" s="38" t="str">
        <f t="shared" si="177"/>
        <v/>
      </c>
      <c r="CE1040" s="38" t="str">
        <f t="shared" si="178"/>
        <v/>
      </c>
      <c r="CF1040" s="38" t="str">
        <f t="shared" si="179"/>
        <v/>
      </c>
      <c r="CG1040" s="38" t="str">
        <f t="shared" si="180"/>
        <v/>
      </c>
      <c r="CH1040" s="38" t="str">
        <f t="shared" si="181"/>
        <v/>
      </c>
      <c r="CI1040" s="38" t="str">
        <f t="shared" si="182"/>
        <v/>
      </c>
      <c r="CJ1040" s="38" t="str">
        <f t="shared" si="183"/>
        <v/>
      </c>
      <c r="CK1040" s="38" t="str">
        <f t="shared" si="184"/>
        <v/>
      </c>
      <c r="CL1040" s="38" t="str">
        <f>IF(C1040="","",IF(COUNT(G1040:AZ1040)&lt;46,"",SUMPRODUCT(CC1040:CK1040,'تنظیمات وزن‌دهی'!$C$5:$C$13)/100))</f>
        <v/>
      </c>
      <c r="CM1040" s="38" t="str">
        <f t="shared" si="185"/>
        <v/>
      </c>
      <c r="CN1040" s="38">
        <v>4</v>
      </c>
      <c r="CO1040" s="28" t="str">
        <f t="shared" si="186"/>
        <v/>
      </c>
      <c r="CP1040" s="58"/>
    </row>
    <row r="1041" spans="1:94" ht="17.25" hidden="1">
      <c r="A1041" s="33">
        <v>1037</v>
      </c>
      <c r="B1041" s="55" t="s">
        <v>187</v>
      </c>
      <c r="C1041" s="55" t="str">
        <f>IF(دانش‌آموزان!E91="","",دانش‌آموزان!B91)</f>
        <v/>
      </c>
      <c r="D1041" s="55" t="str">
        <f>IF(دانش‌آموزان!C91="","",دانش‌آموزان!C91)</f>
        <v/>
      </c>
      <c r="E1041" s="55" t="str">
        <f>IF(دانش‌آموزان!E91="","",دانش‌آموزان!E91&amp;" "&amp;دانش‌آموزان!F91)</f>
        <v/>
      </c>
      <c r="F1041" s="34" t="str">
        <f>IF(دانش‌آموزان!I91="","",دانش‌آموزان!I91)</f>
        <v/>
      </c>
      <c r="G1041" s="19"/>
      <c r="H1041" s="20"/>
      <c r="I1041" s="20"/>
      <c r="J1041" s="20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  <c r="AA1041" s="20"/>
      <c r="AB1041" s="20"/>
      <c r="AC1041" s="20"/>
      <c r="AD1041" s="20"/>
      <c r="AE1041" s="20"/>
      <c r="AF1041" s="20"/>
      <c r="AG1041" s="20"/>
      <c r="AH1041" s="20"/>
      <c r="AI1041" s="20"/>
      <c r="AJ1041" s="20"/>
      <c r="AK1041" s="20"/>
      <c r="AL1041" s="20"/>
      <c r="AM1041" s="20"/>
      <c r="AN1041" s="20"/>
      <c r="AO1041" s="20"/>
      <c r="AP1041" s="20"/>
      <c r="AQ1041" s="20"/>
      <c r="AR1041" s="20"/>
      <c r="AS1041" s="20"/>
      <c r="AT1041" s="20"/>
      <c r="AU1041" s="20"/>
      <c r="AV1041" s="20"/>
      <c r="AW1041" s="20"/>
      <c r="AX1041" s="20"/>
      <c r="AY1041" s="20"/>
      <c r="AZ1041" s="20"/>
      <c r="BA1041" s="20"/>
      <c r="BB1041" s="20"/>
      <c r="BC1041" s="20"/>
      <c r="BD1041" s="20"/>
      <c r="BE1041" s="20"/>
      <c r="BF1041" s="20"/>
      <c r="BG1041" s="20"/>
      <c r="BH1041" s="20"/>
      <c r="BI1041" s="20"/>
      <c r="BJ1041" s="20"/>
      <c r="BK1041" s="20"/>
      <c r="BL1041" s="20"/>
      <c r="BM1041" s="20"/>
      <c r="BN1041" s="20"/>
      <c r="BO1041" s="20"/>
      <c r="BP1041" s="20"/>
      <c r="BQ1041" s="20"/>
      <c r="BR1041" s="20"/>
      <c r="BS1041" s="20"/>
      <c r="BT1041" s="20"/>
      <c r="BU1041" s="20"/>
      <c r="BV1041" s="20"/>
      <c r="BW1041" s="20"/>
      <c r="BX1041" s="20"/>
      <c r="BY1041" s="20"/>
      <c r="BZ1041" s="20"/>
      <c r="CA1041" s="20"/>
      <c r="CB1041" s="21"/>
      <c r="CC1041" s="27" t="str">
        <f t="shared" si="176"/>
        <v/>
      </c>
      <c r="CD1041" s="38" t="str">
        <f t="shared" si="177"/>
        <v/>
      </c>
      <c r="CE1041" s="38" t="str">
        <f t="shared" si="178"/>
        <v/>
      </c>
      <c r="CF1041" s="38" t="str">
        <f t="shared" si="179"/>
        <v/>
      </c>
      <c r="CG1041" s="38" t="str">
        <f t="shared" si="180"/>
        <v/>
      </c>
      <c r="CH1041" s="38" t="str">
        <f t="shared" si="181"/>
        <v/>
      </c>
      <c r="CI1041" s="38" t="str">
        <f t="shared" si="182"/>
        <v/>
      </c>
      <c r="CJ1041" s="38" t="str">
        <f t="shared" si="183"/>
        <v/>
      </c>
      <c r="CK1041" s="38" t="str">
        <f t="shared" si="184"/>
        <v/>
      </c>
      <c r="CL1041" s="38" t="str">
        <f>IF(C1041="","",IF(COUNT(G1041:AZ1041)&lt;46,"",SUMPRODUCT(CC1041:CK1041,'تنظیمات وزن‌دهی'!$C$5:$C$13)/100))</f>
        <v/>
      </c>
      <c r="CM1041" s="38" t="str">
        <f t="shared" si="185"/>
        <v/>
      </c>
      <c r="CN1041" s="38">
        <v>5</v>
      </c>
      <c r="CO1041" s="28" t="str">
        <f t="shared" si="186"/>
        <v/>
      </c>
      <c r="CP1041" s="58"/>
    </row>
    <row r="1042" spans="1:94" ht="17.25" hidden="1">
      <c r="A1042" s="33">
        <v>1038</v>
      </c>
      <c r="B1042" s="55" t="s">
        <v>188</v>
      </c>
      <c r="C1042" s="55" t="str">
        <f>IF(دانش‌آموزان!E91="","",دانش‌آموزان!B91)</f>
        <v/>
      </c>
      <c r="D1042" s="55" t="str">
        <f>IF(دانش‌آموزان!C91="","",دانش‌آموزان!C91)</f>
        <v/>
      </c>
      <c r="E1042" s="55" t="str">
        <f>IF(دانش‌آموزان!E91="","",دانش‌آموزان!E91&amp;" "&amp;دانش‌آموزان!F91)</f>
        <v/>
      </c>
      <c r="F1042" s="34" t="str">
        <f>IF(دانش‌آموزان!I91="","",دانش‌آموزان!I91)</f>
        <v/>
      </c>
      <c r="G1042" s="19"/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  <c r="AA1042" s="20"/>
      <c r="AB1042" s="20"/>
      <c r="AC1042" s="20"/>
      <c r="AD1042" s="20"/>
      <c r="AE1042" s="20"/>
      <c r="AF1042" s="20"/>
      <c r="AG1042" s="20"/>
      <c r="AH1042" s="20"/>
      <c r="AI1042" s="20"/>
      <c r="AJ1042" s="20"/>
      <c r="AK1042" s="20"/>
      <c r="AL1042" s="20"/>
      <c r="AM1042" s="20"/>
      <c r="AN1042" s="20"/>
      <c r="AO1042" s="20"/>
      <c r="AP1042" s="20"/>
      <c r="AQ1042" s="20"/>
      <c r="AR1042" s="20"/>
      <c r="AS1042" s="20"/>
      <c r="AT1042" s="20"/>
      <c r="AU1042" s="20"/>
      <c r="AV1042" s="20"/>
      <c r="AW1042" s="20"/>
      <c r="AX1042" s="20"/>
      <c r="AY1042" s="20"/>
      <c r="AZ1042" s="20"/>
      <c r="BA1042" s="20"/>
      <c r="BB1042" s="20"/>
      <c r="BC1042" s="20"/>
      <c r="BD1042" s="20"/>
      <c r="BE1042" s="20"/>
      <c r="BF1042" s="20"/>
      <c r="BG1042" s="20"/>
      <c r="BH1042" s="20"/>
      <c r="BI1042" s="20"/>
      <c r="BJ1042" s="20"/>
      <c r="BK1042" s="20"/>
      <c r="BL1042" s="20"/>
      <c r="BM1042" s="20"/>
      <c r="BN1042" s="20"/>
      <c r="BO1042" s="20"/>
      <c r="BP1042" s="20"/>
      <c r="BQ1042" s="20"/>
      <c r="BR1042" s="20"/>
      <c r="BS1042" s="20"/>
      <c r="BT1042" s="20"/>
      <c r="BU1042" s="20"/>
      <c r="BV1042" s="20"/>
      <c r="BW1042" s="20"/>
      <c r="BX1042" s="20"/>
      <c r="BY1042" s="20"/>
      <c r="BZ1042" s="20"/>
      <c r="CA1042" s="20"/>
      <c r="CB1042" s="21"/>
      <c r="CC1042" s="27" t="str">
        <f t="shared" si="176"/>
        <v/>
      </c>
      <c r="CD1042" s="38" t="str">
        <f t="shared" si="177"/>
        <v/>
      </c>
      <c r="CE1042" s="38" t="str">
        <f t="shared" si="178"/>
        <v/>
      </c>
      <c r="CF1042" s="38" t="str">
        <f t="shared" si="179"/>
        <v/>
      </c>
      <c r="CG1042" s="38" t="str">
        <f t="shared" si="180"/>
        <v/>
      </c>
      <c r="CH1042" s="38" t="str">
        <f t="shared" si="181"/>
        <v/>
      </c>
      <c r="CI1042" s="38" t="str">
        <f t="shared" si="182"/>
        <v/>
      </c>
      <c r="CJ1042" s="38" t="str">
        <f t="shared" si="183"/>
        <v/>
      </c>
      <c r="CK1042" s="38" t="str">
        <f t="shared" si="184"/>
        <v/>
      </c>
      <c r="CL1042" s="38" t="str">
        <f>IF(C1042="","",IF(COUNT(G1042:AZ1042)&lt;46,"",SUMPRODUCT(CC1042:CK1042,'تنظیمات وزن‌دهی'!$C$5:$C$13)/100))</f>
        <v/>
      </c>
      <c r="CM1042" s="38" t="str">
        <f t="shared" si="185"/>
        <v/>
      </c>
      <c r="CN1042" s="38">
        <v>6</v>
      </c>
      <c r="CO1042" s="28" t="str">
        <f t="shared" si="186"/>
        <v/>
      </c>
      <c r="CP1042" s="58"/>
    </row>
    <row r="1043" spans="1:94" ht="17.25" hidden="1">
      <c r="A1043" s="33">
        <v>1039</v>
      </c>
      <c r="B1043" s="55" t="s">
        <v>189</v>
      </c>
      <c r="C1043" s="55" t="str">
        <f>IF(دانش‌آموزان!E91="","",دانش‌آموزان!B91)</f>
        <v/>
      </c>
      <c r="D1043" s="55" t="str">
        <f>IF(دانش‌آموزان!C91="","",دانش‌آموزان!C91)</f>
        <v/>
      </c>
      <c r="E1043" s="55" t="str">
        <f>IF(دانش‌آموزان!E91="","",دانش‌آموزان!E91&amp;" "&amp;دانش‌آموزان!F91)</f>
        <v/>
      </c>
      <c r="F1043" s="34" t="str">
        <f>IF(دانش‌آموزان!I91="","",دانش‌آموزان!I91)</f>
        <v/>
      </c>
      <c r="G1043" s="19"/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  <c r="AA1043" s="20"/>
      <c r="AB1043" s="20"/>
      <c r="AC1043" s="20"/>
      <c r="AD1043" s="20"/>
      <c r="AE1043" s="20"/>
      <c r="AF1043" s="20"/>
      <c r="AG1043" s="20"/>
      <c r="AH1043" s="20"/>
      <c r="AI1043" s="20"/>
      <c r="AJ1043" s="20"/>
      <c r="AK1043" s="20"/>
      <c r="AL1043" s="20"/>
      <c r="AM1043" s="20"/>
      <c r="AN1043" s="20"/>
      <c r="AO1043" s="20"/>
      <c r="AP1043" s="20"/>
      <c r="AQ1043" s="20"/>
      <c r="AR1043" s="20"/>
      <c r="AS1043" s="20"/>
      <c r="AT1043" s="20"/>
      <c r="AU1043" s="20"/>
      <c r="AV1043" s="20"/>
      <c r="AW1043" s="20"/>
      <c r="AX1043" s="20"/>
      <c r="AY1043" s="20"/>
      <c r="AZ1043" s="20"/>
      <c r="BA1043" s="20"/>
      <c r="BB1043" s="20"/>
      <c r="BC1043" s="20"/>
      <c r="BD1043" s="20"/>
      <c r="BE1043" s="20"/>
      <c r="BF1043" s="20"/>
      <c r="BG1043" s="20"/>
      <c r="BH1043" s="20"/>
      <c r="BI1043" s="20"/>
      <c r="BJ1043" s="20"/>
      <c r="BK1043" s="20"/>
      <c r="BL1043" s="20"/>
      <c r="BM1043" s="20"/>
      <c r="BN1043" s="20"/>
      <c r="BO1043" s="20"/>
      <c r="BP1043" s="20"/>
      <c r="BQ1043" s="20"/>
      <c r="BR1043" s="20"/>
      <c r="BS1043" s="20"/>
      <c r="BT1043" s="20"/>
      <c r="BU1043" s="20"/>
      <c r="BV1043" s="20"/>
      <c r="BW1043" s="20"/>
      <c r="BX1043" s="20"/>
      <c r="BY1043" s="20"/>
      <c r="BZ1043" s="20"/>
      <c r="CA1043" s="20"/>
      <c r="CB1043" s="21"/>
      <c r="CC1043" s="27" t="str">
        <f t="shared" si="176"/>
        <v/>
      </c>
      <c r="CD1043" s="38" t="str">
        <f t="shared" si="177"/>
        <v/>
      </c>
      <c r="CE1043" s="38" t="str">
        <f t="shared" si="178"/>
        <v/>
      </c>
      <c r="CF1043" s="38" t="str">
        <f t="shared" si="179"/>
        <v/>
      </c>
      <c r="CG1043" s="38" t="str">
        <f t="shared" si="180"/>
        <v/>
      </c>
      <c r="CH1043" s="38" t="str">
        <f t="shared" si="181"/>
        <v/>
      </c>
      <c r="CI1043" s="38" t="str">
        <f t="shared" si="182"/>
        <v/>
      </c>
      <c r="CJ1043" s="38" t="str">
        <f t="shared" si="183"/>
        <v/>
      </c>
      <c r="CK1043" s="38" t="str">
        <f t="shared" si="184"/>
        <v/>
      </c>
      <c r="CL1043" s="38" t="str">
        <f>IF(C1043="","",IF(COUNT(G1043:AZ1043)&lt;46,"",SUMPRODUCT(CC1043:CK1043,'تنظیمات وزن‌دهی'!$C$5:$C$13)/100))</f>
        <v/>
      </c>
      <c r="CM1043" s="38" t="str">
        <f t="shared" si="185"/>
        <v/>
      </c>
      <c r="CN1043" s="38">
        <v>7</v>
      </c>
      <c r="CO1043" s="28" t="str">
        <f t="shared" si="186"/>
        <v/>
      </c>
      <c r="CP1043" s="58"/>
    </row>
    <row r="1044" spans="1:94" ht="17.25" hidden="1">
      <c r="A1044" s="33">
        <v>1040</v>
      </c>
      <c r="B1044" s="55" t="s">
        <v>190</v>
      </c>
      <c r="C1044" s="55" t="str">
        <f>IF(دانش‌آموزان!E91="","",دانش‌آموزان!B91)</f>
        <v/>
      </c>
      <c r="D1044" s="55" t="str">
        <f>IF(دانش‌آموزان!C91="","",دانش‌آموزان!C91)</f>
        <v/>
      </c>
      <c r="E1044" s="55" t="str">
        <f>IF(دانش‌آموزان!E91="","",دانش‌آموزان!E91&amp;" "&amp;دانش‌آموزان!F91)</f>
        <v/>
      </c>
      <c r="F1044" s="34" t="str">
        <f>IF(دانش‌آموزان!I91="","",دانش‌آموزان!I91)</f>
        <v/>
      </c>
      <c r="G1044" s="19"/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  <c r="AA1044" s="20"/>
      <c r="AB1044" s="20"/>
      <c r="AC1044" s="20"/>
      <c r="AD1044" s="20"/>
      <c r="AE1044" s="20"/>
      <c r="AF1044" s="20"/>
      <c r="AG1044" s="20"/>
      <c r="AH1044" s="20"/>
      <c r="AI1044" s="20"/>
      <c r="AJ1044" s="20"/>
      <c r="AK1044" s="20"/>
      <c r="AL1044" s="20"/>
      <c r="AM1044" s="20"/>
      <c r="AN1044" s="20"/>
      <c r="AO1044" s="20"/>
      <c r="AP1044" s="20"/>
      <c r="AQ1044" s="20"/>
      <c r="AR1044" s="20"/>
      <c r="AS1044" s="20"/>
      <c r="AT1044" s="20"/>
      <c r="AU1044" s="20"/>
      <c r="AV1044" s="20"/>
      <c r="AW1044" s="20"/>
      <c r="AX1044" s="20"/>
      <c r="AY1044" s="20"/>
      <c r="AZ1044" s="20"/>
      <c r="BA1044" s="20"/>
      <c r="BB1044" s="20"/>
      <c r="BC1044" s="20"/>
      <c r="BD1044" s="20"/>
      <c r="BE1044" s="20"/>
      <c r="BF1044" s="20"/>
      <c r="BG1044" s="20"/>
      <c r="BH1044" s="20"/>
      <c r="BI1044" s="20"/>
      <c r="BJ1044" s="20"/>
      <c r="BK1044" s="20"/>
      <c r="BL1044" s="20"/>
      <c r="BM1044" s="20"/>
      <c r="BN1044" s="20"/>
      <c r="BO1044" s="20"/>
      <c r="BP1044" s="20"/>
      <c r="BQ1044" s="20"/>
      <c r="BR1044" s="20"/>
      <c r="BS1044" s="20"/>
      <c r="BT1044" s="20"/>
      <c r="BU1044" s="20"/>
      <c r="BV1044" s="20"/>
      <c r="BW1044" s="20"/>
      <c r="BX1044" s="20"/>
      <c r="BY1044" s="20"/>
      <c r="BZ1044" s="20"/>
      <c r="CA1044" s="20"/>
      <c r="CB1044" s="21"/>
      <c r="CC1044" s="27" t="str">
        <f t="shared" si="176"/>
        <v/>
      </c>
      <c r="CD1044" s="38" t="str">
        <f t="shared" si="177"/>
        <v/>
      </c>
      <c r="CE1044" s="38" t="str">
        <f t="shared" si="178"/>
        <v/>
      </c>
      <c r="CF1044" s="38" t="str">
        <f t="shared" si="179"/>
        <v/>
      </c>
      <c r="CG1044" s="38" t="str">
        <f t="shared" si="180"/>
        <v/>
      </c>
      <c r="CH1044" s="38" t="str">
        <f t="shared" si="181"/>
        <v/>
      </c>
      <c r="CI1044" s="38" t="str">
        <f t="shared" si="182"/>
        <v/>
      </c>
      <c r="CJ1044" s="38" t="str">
        <f t="shared" si="183"/>
        <v/>
      </c>
      <c r="CK1044" s="38" t="str">
        <f t="shared" si="184"/>
        <v/>
      </c>
      <c r="CL1044" s="38" t="str">
        <f>IF(C1044="","",IF(COUNT(G1044:AZ1044)&lt;46,"",SUMPRODUCT(CC1044:CK1044,'تنظیمات وزن‌دهی'!$C$5:$C$13)/100))</f>
        <v/>
      </c>
      <c r="CM1044" s="38" t="str">
        <f t="shared" si="185"/>
        <v/>
      </c>
      <c r="CN1044" s="38">
        <v>8</v>
      </c>
      <c r="CO1044" s="28" t="str">
        <f t="shared" si="186"/>
        <v/>
      </c>
      <c r="CP1044" s="58"/>
    </row>
    <row r="1045" spans="1:94" ht="17.25" hidden="1">
      <c r="A1045" s="33">
        <v>1041</v>
      </c>
      <c r="B1045" s="55" t="s">
        <v>191</v>
      </c>
      <c r="C1045" s="55" t="str">
        <f>IF(دانش‌آموزان!E91="","",دانش‌آموزان!B91)</f>
        <v/>
      </c>
      <c r="D1045" s="55" t="str">
        <f>IF(دانش‌آموزان!C91="","",دانش‌آموزان!C91)</f>
        <v/>
      </c>
      <c r="E1045" s="55" t="str">
        <f>IF(دانش‌آموزان!E91="","",دانش‌آموزان!E91&amp;" "&amp;دانش‌آموزان!F91)</f>
        <v/>
      </c>
      <c r="F1045" s="34" t="str">
        <f>IF(دانش‌آموزان!I91="","",دانش‌آموزان!I91)</f>
        <v/>
      </c>
      <c r="G1045" s="19"/>
      <c r="H1045" s="20"/>
      <c r="I1045" s="20"/>
      <c r="J1045" s="20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  <c r="W1045" s="20"/>
      <c r="X1045" s="20"/>
      <c r="Y1045" s="20"/>
      <c r="Z1045" s="20"/>
      <c r="AA1045" s="20"/>
      <c r="AB1045" s="20"/>
      <c r="AC1045" s="20"/>
      <c r="AD1045" s="20"/>
      <c r="AE1045" s="20"/>
      <c r="AF1045" s="20"/>
      <c r="AG1045" s="20"/>
      <c r="AH1045" s="20"/>
      <c r="AI1045" s="20"/>
      <c r="AJ1045" s="20"/>
      <c r="AK1045" s="20"/>
      <c r="AL1045" s="20"/>
      <c r="AM1045" s="20"/>
      <c r="AN1045" s="20"/>
      <c r="AO1045" s="20"/>
      <c r="AP1045" s="20"/>
      <c r="AQ1045" s="20"/>
      <c r="AR1045" s="20"/>
      <c r="AS1045" s="20"/>
      <c r="AT1045" s="20"/>
      <c r="AU1045" s="20"/>
      <c r="AV1045" s="20"/>
      <c r="AW1045" s="20"/>
      <c r="AX1045" s="20"/>
      <c r="AY1045" s="20"/>
      <c r="AZ1045" s="20"/>
      <c r="BA1045" s="20"/>
      <c r="BB1045" s="20"/>
      <c r="BC1045" s="20"/>
      <c r="BD1045" s="20"/>
      <c r="BE1045" s="20"/>
      <c r="BF1045" s="20"/>
      <c r="BG1045" s="20"/>
      <c r="BH1045" s="20"/>
      <c r="BI1045" s="20"/>
      <c r="BJ1045" s="20"/>
      <c r="BK1045" s="20"/>
      <c r="BL1045" s="20"/>
      <c r="BM1045" s="20"/>
      <c r="BN1045" s="20"/>
      <c r="BO1045" s="20"/>
      <c r="BP1045" s="20"/>
      <c r="BQ1045" s="20"/>
      <c r="BR1045" s="20"/>
      <c r="BS1045" s="20"/>
      <c r="BT1045" s="20"/>
      <c r="BU1045" s="20"/>
      <c r="BV1045" s="20"/>
      <c r="BW1045" s="20"/>
      <c r="BX1045" s="20"/>
      <c r="BY1045" s="20"/>
      <c r="BZ1045" s="20"/>
      <c r="CA1045" s="20"/>
      <c r="CB1045" s="21"/>
      <c r="CC1045" s="27" t="str">
        <f t="shared" si="176"/>
        <v/>
      </c>
      <c r="CD1045" s="38" t="str">
        <f t="shared" si="177"/>
        <v/>
      </c>
      <c r="CE1045" s="38" t="str">
        <f t="shared" si="178"/>
        <v/>
      </c>
      <c r="CF1045" s="38" t="str">
        <f t="shared" si="179"/>
        <v/>
      </c>
      <c r="CG1045" s="38" t="str">
        <f t="shared" si="180"/>
        <v/>
      </c>
      <c r="CH1045" s="38" t="str">
        <f t="shared" si="181"/>
        <v/>
      </c>
      <c r="CI1045" s="38" t="str">
        <f t="shared" si="182"/>
        <v/>
      </c>
      <c r="CJ1045" s="38" t="str">
        <f t="shared" si="183"/>
        <v/>
      </c>
      <c r="CK1045" s="38" t="str">
        <f t="shared" si="184"/>
        <v/>
      </c>
      <c r="CL1045" s="38" t="str">
        <f>IF(C1045="","",IF(COUNT(G1045:AZ1045)&lt;46,"",SUMPRODUCT(CC1045:CK1045,'تنظیمات وزن‌دهی'!$C$5:$C$13)/100))</f>
        <v/>
      </c>
      <c r="CM1045" s="38" t="str">
        <f t="shared" si="185"/>
        <v/>
      </c>
      <c r="CN1045" s="38">
        <v>9</v>
      </c>
      <c r="CO1045" s="28" t="str">
        <f t="shared" si="186"/>
        <v/>
      </c>
      <c r="CP1045" s="58"/>
    </row>
    <row r="1046" spans="1:94" ht="17.25" hidden="1">
      <c r="A1046" s="33">
        <v>1042</v>
      </c>
      <c r="B1046" s="55" t="s">
        <v>192</v>
      </c>
      <c r="C1046" s="55" t="str">
        <f>IF(دانش‌آموزان!E91="","",دانش‌آموزان!B91)</f>
        <v/>
      </c>
      <c r="D1046" s="55" t="str">
        <f>IF(دانش‌آموزان!C91="","",دانش‌آموزان!C91)</f>
        <v/>
      </c>
      <c r="E1046" s="55" t="str">
        <f>IF(دانش‌آموزان!E91="","",دانش‌آموزان!E91&amp;" "&amp;دانش‌آموزان!F91)</f>
        <v/>
      </c>
      <c r="F1046" s="34" t="str">
        <f>IF(دانش‌آموزان!I91="","",دانش‌آموزان!I91)</f>
        <v/>
      </c>
      <c r="G1046" s="19"/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  <c r="AA1046" s="20"/>
      <c r="AB1046" s="20"/>
      <c r="AC1046" s="20"/>
      <c r="AD1046" s="20"/>
      <c r="AE1046" s="20"/>
      <c r="AF1046" s="20"/>
      <c r="AG1046" s="20"/>
      <c r="AH1046" s="20"/>
      <c r="AI1046" s="20"/>
      <c r="AJ1046" s="20"/>
      <c r="AK1046" s="20"/>
      <c r="AL1046" s="20"/>
      <c r="AM1046" s="20"/>
      <c r="AN1046" s="20"/>
      <c r="AO1046" s="20"/>
      <c r="AP1046" s="20"/>
      <c r="AQ1046" s="20"/>
      <c r="AR1046" s="20"/>
      <c r="AS1046" s="20"/>
      <c r="AT1046" s="20"/>
      <c r="AU1046" s="20"/>
      <c r="AV1046" s="20"/>
      <c r="AW1046" s="20"/>
      <c r="AX1046" s="20"/>
      <c r="AY1046" s="20"/>
      <c r="AZ1046" s="20"/>
      <c r="BA1046" s="20"/>
      <c r="BB1046" s="20"/>
      <c r="BC1046" s="20"/>
      <c r="BD1046" s="20"/>
      <c r="BE1046" s="20"/>
      <c r="BF1046" s="20"/>
      <c r="BG1046" s="20"/>
      <c r="BH1046" s="20"/>
      <c r="BI1046" s="20"/>
      <c r="BJ1046" s="20"/>
      <c r="BK1046" s="20"/>
      <c r="BL1046" s="20"/>
      <c r="BM1046" s="20"/>
      <c r="BN1046" s="20"/>
      <c r="BO1046" s="20"/>
      <c r="BP1046" s="20"/>
      <c r="BQ1046" s="20"/>
      <c r="BR1046" s="20"/>
      <c r="BS1046" s="20"/>
      <c r="BT1046" s="20"/>
      <c r="BU1046" s="20"/>
      <c r="BV1046" s="20"/>
      <c r="BW1046" s="20"/>
      <c r="BX1046" s="20"/>
      <c r="BY1046" s="20"/>
      <c r="BZ1046" s="20"/>
      <c r="CA1046" s="20"/>
      <c r="CB1046" s="21"/>
      <c r="CC1046" s="27" t="str">
        <f t="shared" si="176"/>
        <v/>
      </c>
      <c r="CD1046" s="38" t="str">
        <f t="shared" si="177"/>
        <v/>
      </c>
      <c r="CE1046" s="38" t="str">
        <f t="shared" si="178"/>
        <v/>
      </c>
      <c r="CF1046" s="38" t="str">
        <f t="shared" si="179"/>
        <v/>
      </c>
      <c r="CG1046" s="38" t="str">
        <f t="shared" si="180"/>
        <v/>
      </c>
      <c r="CH1046" s="38" t="str">
        <f t="shared" si="181"/>
        <v/>
      </c>
      <c r="CI1046" s="38" t="str">
        <f t="shared" si="182"/>
        <v/>
      </c>
      <c r="CJ1046" s="38" t="str">
        <f t="shared" si="183"/>
        <v/>
      </c>
      <c r="CK1046" s="38" t="str">
        <f t="shared" si="184"/>
        <v/>
      </c>
      <c r="CL1046" s="38" t="str">
        <f>IF(C1046="","",IF(COUNT(G1046:AZ1046)&lt;46,"",SUMPRODUCT(CC1046:CK1046,'تنظیمات وزن‌دهی'!$C$5:$C$13)/100))</f>
        <v/>
      </c>
      <c r="CM1046" s="38" t="str">
        <f t="shared" si="185"/>
        <v/>
      </c>
      <c r="CN1046" s="38">
        <v>10</v>
      </c>
      <c r="CO1046" s="28" t="str">
        <f t="shared" si="186"/>
        <v/>
      </c>
      <c r="CP1046" s="58"/>
    </row>
    <row r="1047" spans="1:94" ht="17.25" hidden="1">
      <c r="A1047" s="33">
        <v>1043</v>
      </c>
      <c r="B1047" s="55" t="s">
        <v>193</v>
      </c>
      <c r="C1047" s="55" t="str">
        <f>IF(دانش‌آموزان!E91="","",دانش‌آموزان!B91)</f>
        <v/>
      </c>
      <c r="D1047" s="55" t="str">
        <f>IF(دانش‌آموزان!C91="","",دانش‌آموزان!C91)</f>
        <v/>
      </c>
      <c r="E1047" s="55" t="str">
        <f>IF(دانش‌آموزان!E91="","",دانش‌آموزان!E91&amp;" "&amp;دانش‌آموزان!F91)</f>
        <v/>
      </c>
      <c r="F1047" s="34" t="str">
        <f>IF(دانش‌آموزان!I91="","",دانش‌آموزان!I91)</f>
        <v/>
      </c>
      <c r="G1047" s="19"/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  <c r="AA1047" s="20"/>
      <c r="AB1047" s="20"/>
      <c r="AC1047" s="20"/>
      <c r="AD1047" s="20"/>
      <c r="AE1047" s="20"/>
      <c r="AF1047" s="20"/>
      <c r="AG1047" s="20"/>
      <c r="AH1047" s="20"/>
      <c r="AI1047" s="20"/>
      <c r="AJ1047" s="20"/>
      <c r="AK1047" s="20"/>
      <c r="AL1047" s="20"/>
      <c r="AM1047" s="20"/>
      <c r="AN1047" s="20"/>
      <c r="AO1047" s="20"/>
      <c r="AP1047" s="20"/>
      <c r="AQ1047" s="20"/>
      <c r="AR1047" s="20"/>
      <c r="AS1047" s="20"/>
      <c r="AT1047" s="20"/>
      <c r="AU1047" s="20"/>
      <c r="AV1047" s="20"/>
      <c r="AW1047" s="20"/>
      <c r="AX1047" s="20"/>
      <c r="AY1047" s="20"/>
      <c r="AZ1047" s="20"/>
      <c r="BA1047" s="20"/>
      <c r="BB1047" s="20"/>
      <c r="BC1047" s="20"/>
      <c r="BD1047" s="20"/>
      <c r="BE1047" s="20"/>
      <c r="BF1047" s="20"/>
      <c r="BG1047" s="20"/>
      <c r="BH1047" s="20"/>
      <c r="BI1047" s="20"/>
      <c r="BJ1047" s="20"/>
      <c r="BK1047" s="20"/>
      <c r="BL1047" s="20"/>
      <c r="BM1047" s="20"/>
      <c r="BN1047" s="20"/>
      <c r="BO1047" s="20"/>
      <c r="BP1047" s="20"/>
      <c r="BQ1047" s="20"/>
      <c r="BR1047" s="20"/>
      <c r="BS1047" s="20"/>
      <c r="BT1047" s="20"/>
      <c r="BU1047" s="20"/>
      <c r="BV1047" s="20"/>
      <c r="BW1047" s="20"/>
      <c r="BX1047" s="20"/>
      <c r="BY1047" s="20"/>
      <c r="BZ1047" s="20"/>
      <c r="CA1047" s="20"/>
      <c r="CB1047" s="21"/>
      <c r="CC1047" s="27" t="str">
        <f t="shared" si="176"/>
        <v/>
      </c>
      <c r="CD1047" s="38" t="str">
        <f t="shared" si="177"/>
        <v/>
      </c>
      <c r="CE1047" s="38" t="str">
        <f t="shared" si="178"/>
        <v/>
      </c>
      <c r="CF1047" s="38" t="str">
        <f t="shared" si="179"/>
        <v/>
      </c>
      <c r="CG1047" s="38" t="str">
        <f t="shared" si="180"/>
        <v/>
      </c>
      <c r="CH1047" s="38" t="str">
        <f t="shared" si="181"/>
        <v/>
      </c>
      <c r="CI1047" s="38" t="str">
        <f t="shared" si="182"/>
        <v/>
      </c>
      <c r="CJ1047" s="38" t="str">
        <f t="shared" si="183"/>
        <v/>
      </c>
      <c r="CK1047" s="38" t="str">
        <f t="shared" si="184"/>
        <v/>
      </c>
      <c r="CL1047" s="38" t="str">
        <f>IF(C1047="","",IF(COUNT(G1047:AZ1047)&lt;46,"",SUMPRODUCT(CC1047:CK1047,'تنظیمات وزن‌دهی'!$C$5:$C$13)/100))</f>
        <v/>
      </c>
      <c r="CM1047" s="38" t="str">
        <f t="shared" si="185"/>
        <v/>
      </c>
      <c r="CN1047" s="38">
        <v>11</v>
      </c>
      <c r="CO1047" s="28" t="str">
        <f t="shared" si="186"/>
        <v/>
      </c>
      <c r="CP1047" s="58"/>
    </row>
    <row r="1048" spans="1:94" ht="17.25" hidden="1">
      <c r="A1048" s="33">
        <v>1044</v>
      </c>
      <c r="B1048" s="55" t="s">
        <v>194</v>
      </c>
      <c r="C1048" s="55" t="str">
        <f>IF(دانش‌آموزان!E91="","",دانش‌آموزان!B91)</f>
        <v/>
      </c>
      <c r="D1048" s="55" t="str">
        <f>IF(دانش‌آموزان!C91="","",دانش‌آموزان!C91)</f>
        <v/>
      </c>
      <c r="E1048" s="55" t="str">
        <f>IF(دانش‌آموزان!E91="","",دانش‌آموزان!E91&amp;" "&amp;دانش‌آموزان!F91)</f>
        <v/>
      </c>
      <c r="F1048" s="34" t="str">
        <f>IF(دانش‌آموزان!I91="","",دانش‌آموزان!I91)</f>
        <v/>
      </c>
      <c r="G1048" s="19"/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  <c r="AA1048" s="20"/>
      <c r="AB1048" s="20"/>
      <c r="AC1048" s="20"/>
      <c r="AD1048" s="20"/>
      <c r="AE1048" s="20"/>
      <c r="AF1048" s="20"/>
      <c r="AG1048" s="20"/>
      <c r="AH1048" s="20"/>
      <c r="AI1048" s="20"/>
      <c r="AJ1048" s="20"/>
      <c r="AK1048" s="20"/>
      <c r="AL1048" s="20"/>
      <c r="AM1048" s="20"/>
      <c r="AN1048" s="20"/>
      <c r="AO1048" s="20"/>
      <c r="AP1048" s="20"/>
      <c r="AQ1048" s="20"/>
      <c r="AR1048" s="20"/>
      <c r="AS1048" s="20"/>
      <c r="AT1048" s="20"/>
      <c r="AU1048" s="20"/>
      <c r="AV1048" s="20"/>
      <c r="AW1048" s="20"/>
      <c r="AX1048" s="20"/>
      <c r="AY1048" s="20"/>
      <c r="AZ1048" s="20"/>
      <c r="BA1048" s="20"/>
      <c r="BB1048" s="20"/>
      <c r="BC1048" s="20"/>
      <c r="BD1048" s="20"/>
      <c r="BE1048" s="20"/>
      <c r="BF1048" s="20"/>
      <c r="BG1048" s="20"/>
      <c r="BH1048" s="20"/>
      <c r="BI1048" s="20"/>
      <c r="BJ1048" s="20"/>
      <c r="BK1048" s="20"/>
      <c r="BL1048" s="20"/>
      <c r="BM1048" s="20"/>
      <c r="BN1048" s="20"/>
      <c r="BO1048" s="20"/>
      <c r="BP1048" s="20"/>
      <c r="BQ1048" s="20"/>
      <c r="BR1048" s="20"/>
      <c r="BS1048" s="20"/>
      <c r="BT1048" s="20"/>
      <c r="BU1048" s="20"/>
      <c r="BV1048" s="20"/>
      <c r="BW1048" s="20"/>
      <c r="BX1048" s="20"/>
      <c r="BY1048" s="20"/>
      <c r="BZ1048" s="20"/>
      <c r="CA1048" s="20"/>
      <c r="CB1048" s="21"/>
      <c r="CC1048" s="27" t="str">
        <f t="shared" si="176"/>
        <v/>
      </c>
      <c r="CD1048" s="38" t="str">
        <f t="shared" si="177"/>
        <v/>
      </c>
      <c r="CE1048" s="38" t="str">
        <f t="shared" si="178"/>
        <v/>
      </c>
      <c r="CF1048" s="38" t="str">
        <f t="shared" si="179"/>
        <v/>
      </c>
      <c r="CG1048" s="38" t="str">
        <f t="shared" si="180"/>
        <v/>
      </c>
      <c r="CH1048" s="38" t="str">
        <f t="shared" si="181"/>
        <v/>
      </c>
      <c r="CI1048" s="38" t="str">
        <f t="shared" si="182"/>
        <v/>
      </c>
      <c r="CJ1048" s="38" t="str">
        <f t="shared" si="183"/>
        <v/>
      </c>
      <c r="CK1048" s="38" t="str">
        <f t="shared" si="184"/>
        <v/>
      </c>
      <c r="CL1048" s="38" t="str">
        <f>IF(C1048="","",IF(COUNT(G1048:AZ1048)&lt;46,"",SUMPRODUCT(CC1048:CK1048,'تنظیمات وزن‌دهی'!$C$5:$C$13)/100))</f>
        <v/>
      </c>
      <c r="CM1048" s="38" t="str">
        <f t="shared" si="185"/>
        <v/>
      </c>
      <c r="CN1048" s="38">
        <v>12</v>
      </c>
      <c r="CO1048" s="28" t="str">
        <f t="shared" si="186"/>
        <v/>
      </c>
      <c r="CP1048" s="58"/>
    </row>
    <row r="1049" spans="1:94" ht="17.25" hidden="1">
      <c r="A1049" s="33">
        <v>1045</v>
      </c>
      <c r="B1049" s="55" t="s">
        <v>183</v>
      </c>
      <c r="C1049" s="55" t="str">
        <f>IF(دانش‌آموزان!E92="","",دانش‌آموزان!B92)</f>
        <v/>
      </c>
      <c r="D1049" s="55" t="str">
        <f>IF(دانش‌آموزان!C92="","",دانش‌آموزان!C92)</f>
        <v/>
      </c>
      <c r="E1049" s="55" t="str">
        <f>IF(دانش‌آموزان!E92="","",دانش‌آموزان!E92&amp;" "&amp;دانش‌آموزان!F92)</f>
        <v/>
      </c>
      <c r="F1049" s="34" t="str">
        <f>IF(دانش‌آموزان!I92="","",دانش‌آموزان!I92)</f>
        <v/>
      </c>
      <c r="G1049" s="19"/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  <c r="AA1049" s="20"/>
      <c r="AB1049" s="20"/>
      <c r="AC1049" s="20"/>
      <c r="AD1049" s="20"/>
      <c r="AE1049" s="20"/>
      <c r="AF1049" s="20"/>
      <c r="AG1049" s="20"/>
      <c r="AH1049" s="20"/>
      <c r="AI1049" s="20"/>
      <c r="AJ1049" s="20"/>
      <c r="AK1049" s="20"/>
      <c r="AL1049" s="20"/>
      <c r="AM1049" s="20"/>
      <c r="AN1049" s="20"/>
      <c r="AO1049" s="20"/>
      <c r="AP1049" s="20"/>
      <c r="AQ1049" s="20"/>
      <c r="AR1049" s="20"/>
      <c r="AS1049" s="20"/>
      <c r="AT1049" s="20"/>
      <c r="AU1049" s="20"/>
      <c r="AV1049" s="20"/>
      <c r="AW1049" s="20"/>
      <c r="AX1049" s="20"/>
      <c r="AY1049" s="20"/>
      <c r="AZ1049" s="20"/>
      <c r="BA1049" s="20"/>
      <c r="BB1049" s="20"/>
      <c r="BC1049" s="20"/>
      <c r="BD1049" s="20"/>
      <c r="BE1049" s="20"/>
      <c r="BF1049" s="20"/>
      <c r="BG1049" s="20"/>
      <c r="BH1049" s="20"/>
      <c r="BI1049" s="20"/>
      <c r="BJ1049" s="20"/>
      <c r="BK1049" s="20"/>
      <c r="BL1049" s="20"/>
      <c r="BM1049" s="20"/>
      <c r="BN1049" s="20"/>
      <c r="BO1049" s="20"/>
      <c r="BP1049" s="20"/>
      <c r="BQ1049" s="20"/>
      <c r="BR1049" s="20"/>
      <c r="BS1049" s="20"/>
      <c r="BT1049" s="20"/>
      <c r="BU1049" s="20"/>
      <c r="BV1049" s="20"/>
      <c r="BW1049" s="20"/>
      <c r="BX1049" s="20"/>
      <c r="BY1049" s="20"/>
      <c r="BZ1049" s="20"/>
      <c r="CA1049" s="20"/>
      <c r="CB1049" s="21"/>
      <c r="CC1049" s="27" t="str">
        <f t="shared" si="176"/>
        <v/>
      </c>
      <c r="CD1049" s="38" t="str">
        <f t="shared" si="177"/>
        <v/>
      </c>
      <c r="CE1049" s="38" t="str">
        <f t="shared" si="178"/>
        <v/>
      </c>
      <c r="CF1049" s="38" t="str">
        <f t="shared" si="179"/>
        <v/>
      </c>
      <c r="CG1049" s="38" t="str">
        <f t="shared" si="180"/>
        <v/>
      </c>
      <c r="CH1049" s="38" t="str">
        <f t="shared" si="181"/>
        <v/>
      </c>
      <c r="CI1049" s="38" t="str">
        <f t="shared" si="182"/>
        <v/>
      </c>
      <c r="CJ1049" s="38" t="str">
        <f t="shared" si="183"/>
        <v/>
      </c>
      <c r="CK1049" s="38" t="str">
        <f t="shared" si="184"/>
        <v/>
      </c>
      <c r="CL1049" s="38" t="str">
        <f>IF(C1049="","",IF(COUNT(G1049:AZ1049)&lt;46,"",SUMPRODUCT(CC1049:CK1049,'تنظیمات وزن‌دهی'!$C$5:$C$13)/100))</f>
        <v/>
      </c>
      <c r="CM1049" s="38" t="str">
        <f t="shared" si="185"/>
        <v/>
      </c>
      <c r="CN1049" s="38">
        <v>1</v>
      </c>
      <c r="CO1049" s="28" t="str">
        <f t="shared" si="186"/>
        <v/>
      </c>
      <c r="CP1049" s="58"/>
    </row>
    <row r="1050" spans="1:94" ht="17.25" hidden="1">
      <c r="A1050" s="33">
        <v>1046</v>
      </c>
      <c r="B1050" s="55" t="s">
        <v>184</v>
      </c>
      <c r="C1050" s="55" t="str">
        <f>IF(دانش‌آموزان!E92="","",دانش‌آموزان!B92)</f>
        <v/>
      </c>
      <c r="D1050" s="55" t="str">
        <f>IF(دانش‌آموزان!C92="","",دانش‌آموزان!C92)</f>
        <v/>
      </c>
      <c r="E1050" s="55" t="str">
        <f>IF(دانش‌آموزان!E92="","",دانش‌آموزان!E92&amp;" "&amp;دانش‌آموزان!F92)</f>
        <v/>
      </c>
      <c r="F1050" s="34" t="str">
        <f>IF(دانش‌آموزان!I92="","",دانش‌آموزان!I92)</f>
        <v/>
      </c>
      <c r="G1050" s="19"/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  <c r="AA1050" s="20"/>
      <c r="AB1050" s="20"/>
      <c r="AC1050" s="20"/>
      <c r="AD1050" s="20"/>
      <c r="AE1050" s="20"/>
      <c r="AF1050" s="20"/>
      <c r="AG1050" s="20"/>
      <c r="AH1050" s="20"/>
      <c r="AI1050" s="20"/>
      <c r="AJ1050" s="20"/>
      <c r="AK1050" s="20"/>
      <c r="AL1050" s="20"/>
      <c r="AM1050" s="20"/>
      <c r="AN1050" s="20"/>
      <c r="AO1050" s="20"/>
      <c r="AP1050" s="20"/>
      <c r="AQ1050" s="20"/>
      <c r="AR1050" s="20"/>
      <c r="AS1050" s="20"/>
      <c r="AT1050" s="20"/>
      <c r="AU1050" s="20"/>
      <c r="AV1050" s="20"/>
      <c r="AW1050" s="20"/>
      <c r="AX1050" s="20"/>
      <c r="AY1050" s="20"/>
      <c r="AZ1050" s="20"/>
      <c r="BA1050" s="20"/>
      <c r="BB1050" s="20"/>
      <c r="BC1050" s="20"/>
      <c r="BD1050" s="20"/>
      <c r="BE1050" s="20"/>
      <c r="BF1050" s="20"/>
      <c r="BG1050" s="20"/>
      <c r="BH1050" s="20"/>
      <c r="BI1050" s="20"/>
      <c r="BJ1050" s="20"/>
      <c r="BK1050" s="20"/>
      <c r="BL1050" s="20"/>
      <c r="BM1050" s="20"/>
      <c r="BN1050" s="20"/>
      <c r="BO1050" s="20"/>
      <c r="BP1050" s="20"/>
      <c r="BQ1050" s="20"/>
      <c r="BR1050" s="20"/>
      <c r="BS1050" s="20"/>
      <c r="BT1050" s="20"/>
      <c r="BU1050" s="20"/>
      <c r="BV1050" s="20"/>
      <c r="BW1050" s="20"/>
      <c r="BX1050" s="20"/>
      <c r="BY1050" s="20"/>
      <c r="BZ1050" s="20"/>
      <c r="CA1050" s="20"/>
      <c r="CB1050" s="21"/>
      <c r="CC1050" s="27" t="str">
        <f t="shared" si="176"/>
        <v/>
      </c>
      <c r="CD1050" s="38" t="str">
        <f t="shared" si="177"/>
        <v/>
      </c>
      <c r="CE1050" s="38" t="str">
        <f t="shared" si="178"/>
        <v/>
      </c>
      <c r="CF1050" s="38" t="str">
        <f t="shared" si="179"/>
        <v/>
      </c>
      <c r="CG1050" s="38" t="str">
        <f t="shared" si="180"/>
        <v/>
      </c>
      <c r="CH1050" s="38" t="str">
        <f t="shared" si="181"/>
        <v/>
      </c>
      <c r="CI1050" s="38" t="str">
        <f t="shared" si="182"/>
        <v/>
      </c>
      <c r="CJ1050" s="38" t="str">
        <f t="shared" si="183"/>
        <v/>
      </c>
      <c r="CK1050" s="38" t="str">
        <f t="shared" si="184"/>
        <v/>
      </c>
      <c r="CL1050" s="38" t="str">
        <f>IF(C1050="","",IF(COUNT(G1050:AZ1050)&lt;46,"",SUMPRODUCT(CC1050:CK1050,'تنظیمات وزن‌دهی'!$C$5:$C$13)/100))</f>
        <v/>
      </c>
      <c r="CM1050" s="38" t="str">
        <f t="shared" si="185"/>
        <v/>
      </c>
      <c r="CN1050" s="38">
        <v>2</v>
      </c>
      <c r="CO1050" s="28" t="str">
        <f t="shared" si="186"/>
        <v/>
      </c>
      <c r="CP1050" s="58"/>
    </row>
    <row r="1051" spans="1:94" ht="17.25">
      <c r="A1051" s="33">
        <v>1047</v>
      </c>
      <c r="B1051" s="55" t="s">
        <v>185</v>
      </c>
      <c r="C1051" s="55" t="str">
        <f>IF(دانش‌آموزان!E92="","",دانش‌آموزان!B92)</f>
        <v/>
      </c>
      <c r="D1051" s="55" t="str">
        <f>IF(دانش‌آموزان!C92="","",دانش‌آموزان!C92)</f>
        <v/>
      </c>
      <c r="E1051" s="55" t="str">
        <f>IF(دانش‌آموزان!E92="","",دانش‌آموزان!E92&amp;" "&amp;دانش‌آموزان!F92)</f>
        <v/>
      </c>
      <c r="F1051" s="34" t="str">
        <f>IF(دانش‌آموزان!I92="","",دانش‌آموزان!I92)</f>
        <v/>
      </c>
      <c r="G1051" s="19"/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  <c r="W1051" s="20"/>
      <c r="X1051" s="20"/>
      <c r="Y1051" s="20"/>
      <c r="Z1051" s="20"/>
      <c r="AA1051" s="20"/>
      <c r="AB1051" s="20"/>
      <c r="AC1051" s="20"/>
      <c r="AD1051" s="20"/>
      <c r="AE1051" s="20"/>
      <c r="AF1051" s="20"/>
      <c r="AG1051" s="20"/>
      <c r="AH1051" s="20"/>
      <c r="AI1051" s="20"/>
      <c r="AJ1051" s="20"/>
      <c r="AK1051" s="20"/>
      <c r="AL1051" s="20"/>
      <c r="AM1051" s="20"/>
      <c r="AN1051" s="20"/>
      <c r="AO1051" s="20"/>
      <c r="AP1051" s="20"/>
      <c r="AQ1051" s="20"/>
      <c r="AR1051" s="20"/>
      <c r="AS1051" s="20"/>
      <c r="AT1051" s="20"/>
      <c r="AU1051" s="20"/>
      <c r="AV1051" s="20"/>
      <c r="AW1051" s="20"/>
      <c r="AX1051" s="20"/>
      <c r="AY1051" s="20"/>
      <c r="AZ1051" s="20"/>
      <c r="BA1051" s="20"/>
      <c r="BB1051" s="20"/>
      <c r="BC1051" s="20"/>
      <c r="BD1051" s="20"/>
      <c r="BE1051" s="20"/>
      <c r="BF1051" s="20"/>
      <c r="BG1051" s="20"/>
      <c r="BH1051" s="20"/>
      <c r="BI1051" s="20"/>
      <c r="BJ1051" s="20"/>
      <c r="BK1051" s="20"/>
      <c r="BL1051" s="20"/>
      <c r="BM1051" s="20"/>
      <c r="BN1051" s="20"/>
      <c r="BO1051" s="20"/>
      <c r="BP1051" s="20"/>
      <c r="BQ1051" s="20"/>
      <c r="BR1051" s="20"/>
      <c r="BS1051" s="20"/>
      <c r="BT1051" s="20"/>
      <c r="BU1051" s="20"/>
      <c r="BV1051" s="20"/>
      <c r="BW1051" s="20"/>
      <c r="BX1051" s="20"/>
      <c r="BY1051" s="20"/>
      <c r="BZ1051" s="20"/>
      <c r="CA1051" s="20"/>
      <c r="CB1051" s="21"/>
      <c r="CC1051" s="27" t="str">
        <f t="shared" si="176"/>
        <v/>
      </c>
      <c r="CD1051" s="38" t="str">
        <f t="shared" si="177"/>
        <v/>
      </c>
      <c r="CE1051" s="38" t="str">
        <f t="shared" si="178"/>
        <v/>
      </c>
      <c r="CF1051" s="38" t="str">
        <f t="shared" si="179"/>
        <v/>
      </c>
      <c r="CG1051" s="38" t="str">
        <f t="shared" si="180"/>
        <v/>
      </c>
      <c r="CH1051" s="38" t="str">
        <f t="shared" si="181"/>
        <v/>
      </c>
      <c r="CI1051" s="38" t="str">
        <f t="shared" si="182"/>
        <v/>
      </c>
      <c r="CJ1051" s="38" t="str">
        <f t="shared" si="183"/>
        <v/>
      </c>
      <c r="CK1051" s="38" t="str">
        <f t="shared" si="184"/>
        <v/>
      </c>
      <c r="CL1051" s="38" t="str">
        <f>IF(C1051="","",IF(COUNT(G1051:AZ1051)&lt;46,"",SUMPRODUCT(CC1051:CK1051,'تنظیمات وزن‌دهی'!$C$5:$C$13)/100))</f>
        <v/>
      </c>
      <c r="CM1051" s="38" t="str">
        <f t="shared" si="185"/>
        <v/>
      </c>
      <c r="CN1051" s="38">
        <v>3</v>
      </c>
      <c r="CO1051" s="28" t="str">
        <f t="shared" si="186"/>
        <v/>
      </c>
      <c r="CP1051" s="58"/>
    </row>
    <row r="1052" spans="1:94" ht="17.25" hidden="1">
      <c r="A1052" s="33">
        <v>1048</v>
      </c>
      <c r="B1052" s="55" t="s">
        <v>186</v>
      </c>
      <c r="C1052" s="55" t="str">
        <f>IF(دانش‌آموزان!E92="","",دانش‌آموزان!B92)</f>
        <v/>
      </c>
      <c r="D1052" s="55" t="str">
        <f>IF(دانش‌آموزان!C92="","",دانش‌آموزان!C92)</f>
        <v/>
      </c>
      <c r="E1052" s="55" t="str">
        <f>IF(دانش‌آموزان!E92="","",دانش‌آموزان!E92&amp;" "&amp;دانش‌آموزان!F92)</f>
        <v/>
      </c>
      <c r="F1052" s="34" t="str">
        <f>IF(دانش‌آموزان!I92="","",دانش‌آموزان!I92)</f>
        <v/>
      </c>
      <c r="G1052" s="19"/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  <c r="W1052" s="20"/>
      <c r="X1052" s="20"/>
      <c r="Y1052" s="20"/>
      <c r="Z1052" s="20"/>
      <c r="AA1052" s="20"/>
      <c r="AB1052" s="20"/>
      <c r="AC1052" s="20"/>
      <c r="AD1052" s="20"/>
      <c r="AE1052" s="20"/>
      <c r="AF1052" s="20"/>
      <c r="AG1052" s="20"/>
      <c r="AH1052" s="20"/>
      <c r="AI1052" s="20"/>
      <c r="AJ1052" s="20"/>
      <c r="AK1052" s="20"/>
      <c r="AL1052" s="20"/>
      <c r="AM1052" s="20"/>
      <c r="AN1052" s="20"/>
      <c r="AO1052" s="20"/>
      <c r="AP1052" s="20"/>
      <c r="AQ1052" s="20"/>
      <c r="AR1052" s="20"/>
      <c r="AS1052" s="20"/>
      <c r="AT1052" s="20"/>
      <c r="AU1052" s="20"/>
      <c r="AV1052" s="20"/>
      <c r="AW1052" s="20"/>
      <c r="AX1052" s="20"/>
      <c r="AY1052" s="20"/>
      <c r="AZ1052" s="20"/>
      <c r="BA1052" s="20"/>
      <c r="BB1052" s="20"/>
      <c r="BC1052" s="20"/>
      <c r="BD1052" s="20"/>
      <c r="BE1052" s="20"/>
      <c r="BF1052" s="20"/>
      <c r="BG1052" s="20"/>
      <c r="BH1052" s="20"/>
      <c r="BI1052" s="20"/>
      <c r="BJ1052" s="20"/>
      <c r="BK1052" s="20"/>
      <c r="BL1052" s="20"/>
      <c r="BM1052" s="20"/>
      <c r="BN1052" s="20"/>
      <c r="BO1052" s="20"/>
      <c r="BP1052" s="20"/>
      <c r="BQ1052" s="20"/>
      <c r="BR1052" s="20"/>
      <c r="BS1052" s="20"/>
      <c r="BT1052" s="20"/>
      <c r="BU1052" s="20"/>
      <c r="BV1052" s="20"/>
      <c r="BW1052" s="20"/>
      <c r="BX1052" s="20"/>
      <c r="BY1052" s="20"/>
      <c r="BZ1052" s="20"/>
      <c r="CA1052" s="20"/>
      <c r="CB1052" s="21"/>
      <c r="CC1052" s="27" t="str">
        <f t="shared" si="176"/>
        <v/>
      </c>
      <c r="CD1052" s="38" t="str">
        <f t="shared" si="177"/>
        <v/>
      </c>
      <c r="CE1052" s="38" t="str">
        <f t="shared" si="178"/>
        <v/>
      </c>
      <c r="CF1052" s="38" t="str">
        <f t="shared" si="179"/>
        <v/>
      </c>
      <c r="CG1052" s="38" t="str">
        <f t="shared" si="180"/>
        <v/>
      </c>
      <c r="CH1052" s="38" t="str">
        <f t="shared" si="181"/>
        <v/>
      </c>
      <c r="CI1052" s="38" t="str">
        <f t="shared" si="182"/>
        <v/>
      </c>
      <c r="CJ1052" s="38" t="str">
        <f t="shared" si="183"/>
        <v/>
      </c>
      <c r="CK1052" s="38" t="str">
        <f t="shared" si="184"/>
        <v/>
      </c>
      <c r="CL1052" s="38" t="str">
        <f>IF(C1052="","",IF(COUNT(G1052:AZ1052)&lt;46,"",SUMPRODUCT(CC1052:CK1052,'تنظیمات وزن‌دهی'!$C$5:$C$13)/100))</f>
        <v/>
      </c>
      <c r="CM1052" s="38" t="str">
        <f t="shared" si="185"/>
        <v/>
      </c>
      <c r="CN1052" s="38">
        <v>4</v>
      </c>
      <c r="CO1052" s="28" t="str">
        <f t="shared" si="186"/>
        <v/>
      </c>
      <c r="CP1052" s="58"/>
    </row>
    <row r="1053" spans="1:94" ht="17.25" hidden="1">
      <c r="A1053" s="33">
        <v>1049</v>
      </c>
      <c r="B1053" s="55" t="s">
        <v>187</v>
      </c>
      <c r="C1053" s="55" t="str">
        <f>IF(دانش‌آموزان!E92="","",دانش‌آموزان!B92)</f>
        <v/>
      </c>
      <c r="D1053" s="55" t="str">
        <f>IF(دانش‌آموزان!C92="","",دانش‌آموزان!C92)</f>
        <v/>
      </c>
      <c r="E1053" s="55" t="str">
        <f>IF(دانش‌آموزان!E92="","",دانش‌آموزان!E92&amp;" "&amp;دانش‌آموزان!F92)</f>
        <v/>
      </c>
      <c r="F1053" s="34" t="str">
        <f>IF(دانش‌آموزان!I92="","",دانش‌آموزان!I92)</f>
        <v/>
      </c>
      <c r="G1053" s="19"/>
      <c r="H1053" s="20"/>
      <c r="I1053" s="20"/>
      <c r="J1053" s="20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  <c r="W1053" s="20"/>
      <c r="X1053" s="20"/>
      <c r="Y1053" s="20"/>
      <c r="Z1053" s="20"/>
      <c r="AA1053" s="20"/>
      <c r="AB1053" s="20"/>
      <c r="AC1053" s="20"/>
      <c r="AD1053" s="20"/>
      <c r="AE1053" s="20"/>
      <c r="AF1053" s="20"/>
      <c r="AG1053" s="20"/>
      <c r="AH1053" s="20"/>
      <c r="AI1053" s="20"/>
      <c r="AJ1053" s="20"/>
      <c r="AK1053" s="20"/>
      <c r="AL1053" s="20"/>
      <c r="AM1053" s="20"/>
      <c r="AN1053" s="20"/>
      <c r="AO1053" s="20"/>
      <c r="AP1053" s="20"/>
      <c r="AQ1053" s="20"/>
      <c r="AR1053" s="20"/>
      <c r="AS1053" s="20"/>
      <c r="AT1053" s="20"/>
      <c r="AU1053" s="20"/>
      <c r="AV1053" s="20"/>
      <c r="AW1053" s="20"/>
      <c r="AX1053" s="20"/>
      <c r="AY1053" s="20"/>
      <c r="AZ1053" s="20"/>
      <c r="BA1053" s="20"/>
      <c r="BB1053" s="20"/>
      <c r="BC1053" s="20"/>
      <c r="BD1053" s="20"/>
      <c r="BE1053" s="20"/>
      <c r="BF1053" s="20"/>
      <c r="BG1053" s="20"/>
      <c r="BH1053" s="20"/>
      <c r="BI1053" s="20"/>
      <c r="BJ1053" s="20"/>
      <c r="BK1053" s="20"/>
      <c r="BL1053" s="20"/>
      <c r="BM1053" s="20"/>
      <c r="BN1053" s="20"/>
      <c r="BO1053" s="20"/>
      <c r="BP1053" s="20"/>
      <c r="BQ1053" s="20"/>
      <c r="BR1053" s="20"/>
      <c r="BS1053" s="20"/>
      <c r="BT1053" s="20"/>
      <c r="BU1053" s="20"/>
      <c r="BV1053" s="20"/>
      <c r="BW1053" s="20"/>
      <c r="BX1053" s="20"/>
      <c r="BY1053" s="20"/>
      <c r="BZ1053" s="20"/>
      <c r="CA1053" s="20"/>
      <c r="CB1053" s="21"/>
      <c r="CC1053" s="27" t="str">
        <f t="shared" si="176"/>
        <v/>
      </c>
      <c r="CD1053" s="38" t="str">
        <f t="shared" si="177"/>
        <v/>
      </c>
      <c r="CE1053" s="38" t="str">
        <f t="shared" si="178"/>
        <v/>
      </c>
      <c r="CF1053" s="38" t="str">
        <f t="shared" si="179"/>
        <v/>
      </c>
      <c r="CG1053" s="38" t="str">
        <f t="shared" si="180"/>
        <v/>
      </c>
      <c r="CH1053" s="38" t="str">
        <f t="shared" si="181"/>
        <v/>
      </c>
      <c r="CI1053" s="38" t="str">
        <f t="shared" si="182"/>
        <v/>
      </c>
      <c r="CJ1053" s="38" t="str">
        <f t="shared" si="183"/>
        <v/>
      </c>
      <c r="CK1053" s="38" t="str">
        <f t="shared" si="184"/>
        <v/>
      </c>
      <c r="CL1053" s="38" t="str">
        <f>IF(C1053="","",IF(COUNT(G1053:AZ1053)&lt;46,"",SUMPRODUCT(CC1053:CK1053,'تنظیمات وزن‌دهی'!$C$5:$C$13)/100))</f>
        <v/>
      </c>
      <c r="CM1053" s="38" t="str">
        <f t="shared" si="185"/>
        <v/>
      </c>
      <c r="CN1053" s="38">
        <v>5</v>
      </c>
      <c r="CO1053" s="28" t="str">
        <f t="shared" si="186"/>
        <v/>
      </c>
      <c r="CP1053" s="58"/>
    </row>
    <row r="1054" spans="1:94" ht="17.25" hidden="1">
      <c r="A1054" s="33">
        <v>1050</v>
      </c>
      <c r="B1054" s="55" t="s">
        <v>188</v>
      </c>
      <c r="C1054" s="55" t="str">
        <f>IF(دانش‌آموزان!E92="","",دانش‌آموزان!B92)</f>
        <v/>
      </c>
      <c r="D1054" s="55" t="str">
        <f>IF(دانش‌آموزان!C92="","",دانش‌آموزان!C92)</f>
        <v/>
      </c>
      <c r="E1054" s="55" t="str">
        <f>IF(دانش‌آموزان!E92="","",دانش‌آموزان!E92&amp;" "&amp;دانش‌آموزان!F92)</f>
        <v/>
      </c>
      <c r="F1054" s="34" t="str">
        <f>IF(دانش‌آموزان!I92="","",دانش‌آموزان!I92)</f>
        <v/>
      </c>
      <c r="G1054" s="19"/>
      <c r="H1054" s="20"/>
      <c r="I1054" s="20"/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  <c r="W1054" s="20"/>
      <c r="X1054" s="20"/>
      <c r="Y1054" s="20"/>
      <c r="Z1054" s="20"/>
      <c r="AA1054" s="20"/>
      <c r="AB1054" s="20"/>
      <c r="AC1054" s="20"/>
      <c r="AD1054" s="20"/>
      <c r="AE1054" s="20"/>
      <c r="AF1054" s="20"/>
      <c r="AG1054" s="20"/>
      <c r="AH1054" s="20"/>
      <c r="AI1054" s="20"/>
      <c r="AJ1054" s="20"/>
      <c r="AK1054" s="20"/>
      <c r="AL1054" s="20"/>
      <c r="AM1054" s="20"/>
      <c r="AN1054" s="20"/>
      <c r="AO1054" s="20"/>
      <c r="AP1054" s="20"/>
      <c r="AQ1054" s="20"/>
      <c r="AR1054" s="20"/>
      <c r="AS1054" s="20"/>
      <c r="AT1054" s="20"/>
      <c r="AU1054" s="20"/>
      <c r="AV1054" s="20"/>
      <c r="AW1054" s="20"/>
      <c r="AX1054" s="20"/>
      <c r="AY1054" s="20"/>
      <c r="AZ1054" s="20"/>
      <c r="BA1054" s="20"/>
      <c r="BB1054" s="20"/>
      <c r="BC1054" s="20"/>
      <c r="BD1054" s="20"/>
      <c r="BE1054" s="20"/>
      <c r="BF1054" s="20"/>
      <c r="BG1054" s="20"/>
      <c r="BH1054" s="20"/>
      <c r="BI1054" s="20"/>
      <c r="BJ1054" s="20"/>
      <c r="BK1054" s="20"/>
      <c r="BL1054" s="20"/>
      <c r="BM1054" s="20"/>
      <c r="BN1054" s="20"/>
      <c r="BO1054" s="20"/>
      <c r="BP1054" s="20"/>
      <c r="BQ1054" s="20"/>
      <c r="BR1054" s="20"/>
      <c r="BS1054" s="20"/>
      <c r="BT1054" s="20"/>
      <c r="BU1054" s="20"/>
      <c r="BV1054" s="20"/>
      <c r="BW1054" s="20"/>
      <c r="BX1054" s="20"/>
      <c r="BY1054" s="20"/>
      <c r="BZ1054" s="20"/>
      <c r="CA1054" s="20"/>
      <c r="CB1054" s="21"/>
      <c r="CC1054" s="27" t="str">
        <f t="shared" si="176"/>
        <v/>
      </c>
      <c r="CD1054" s="38" t="str">
        <f t="shared" si="177"/>
        <v/>
      </c>
      <c r="CE1054" s="38" t="str">
        <f t="shared" si="178"/>
        <v/>
      </c>
      <c r="CF1054" s="38" t="str">
        <f t="shared" si="179"/>
        <v/>
      </c>
      <c r="CG1054" s="38" t="str">
        <f t="shared" si="180"/>
        <v/>
      </c>
      <c r="CH1054" s="38" t="str">
        <f t="shared" si="181"/>
        <v/>
      </c>
      <c r="CI1054" s="38" t="str">
        <f t="shared" si="182"/>
        <v/>
      </c>
      <c r="CJ1054" s="38" t="str">
        <f t="shared" si="183"/>
        <v/>
      </c>
      <c r="CK1054" s="38" t="str">
        <f t="shared" si="184"/>
        <v/>
      </c>
      <c r="CL1054" s="38" t="str">
        <f>IF(C1054="","",IF(COUNT(G1054:AZ1054)&lt;46,"",SUMPRODUCT(CC1054:CK1054,'تنظیمات وزن‌دهی'!$C$5:$C$13)/100))</f>
        <v/>
      </c>
      <c r="CM1054" s="38" t="str">
        <f t="shared" si="185"/>
        <v/>
      </c>
      <c r="CN1054" s="38">
        <v>6</v>
      </c>
      <c r="CO1054" s="28" t="str">
        <f t="shared" si="186"/>
        <v/>
      </c>
      <c r="CP1054" s="58"/>
    </row>
    <row r="1055" spans="1:94" ht="17.25" hidden="1">
      <c r="A1055" s="33">
        <v>1051</v>
      </c>
      <c r="B1055" s="55" t="s">
        <v>189</v>
      </c>
      <c r="C1055" s="55" t="str">
        <f>IF(دانش‌آموزان!E92="","",دانش‌آموزان!B92)</f>
        <v/>
      </c>
      <c r="D1055" s="55" t="str">
        <f>IF(دانش‌آموزان!C92="","",دانش‌آموزان!C92)</f>
        <v/>
      </c>
      <c r="E1055" s="55" t="str">
        <f>IF(دانش‌آموزان!E92="","",دانش‌آموزان!E92&amp;" "&amp;دانش‌آموزان!F92)</f>
        <v/>
      </c>
      <c r="F1055" s="34" t="str">
        <f>IF(دانش‌آموزان!I92="","",دانش‌آموزان!I92)</f>
        <v/>
      </c>
      <c r="G1055" s="19"/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  <c r="W1055" s="20"/>
      <c r="X1055" s="20"/>
      <c r="Y1055" s="20"/>
      <c r="Z1055" s="20"/>
      <c r="AA1055" s="20"/>
      <c r="AB1055" s="20"/>
      <c r="AC1055" s="20"/>
      <c r="AD1055" s="20"/>
      <c r="AE1055" s="20"/>
      <c r="AF1055" s="20"/>
      <c r="AG1055" s="20"/>
      <c r="AH1055" s="20"/>
      <c r="AI1055" s="20"/>
      <c r="AJ1055" s="20"/>
      <c r="AK1055" s="20"/>
      <c r="AL1055" s="20"/>
      <c r="AM1055" s="20"/>
      <c r="AN1055" s="20"/>
      <c r="AO1055" s="20"/>
      <c r="AP1055" s="20"/>
      <c r="AQ1055" s="20"/>
      <c r="AR1055" s="20"/>
      <c r="AS1055" s="20"/>
      <c r="AT1055" s="20"/>
      <c r="AU1055" s="20"/>
      <c r="AV1055" s="20"/>
      <c r="AW1055" s="20"/>
      <c r="AX1055" s="20"/>
      <c r="AY1055" s="20"/>
      <c r="AZ1055" s="20"/>
      <c r="BA1055" s="20"/>
      <c r="BB1055" s="20"/>
      <c r="BC1055" s="20"/>
      <c r="BD1055" s="20"/>
      <c r="BE1055" s="20"/>
      <c r="BF1055" s="20"/>
      <c r="BG1055" s="20"/>
      <c r="BH1055" s="20"/>
      <c r="BI1055" s="20"/>
      <c r="BJ1055" s="20"/>
      <c r="BK1055" s="20"/>
      <c r="BL1055" s="20"/>
      <c r="BM1055" s="20"/>
      <c r="BN1055" s="20"/>
      <c r="BO1055" s="20"/>
      <c r="BP1055" s="20"/>
      <c r="BQ1055" s="20"/>
      <c r="BR1055" s="20"/>
      <c r="BS1055" s="20"/>
      <c r="BT1055" s="20"/>
      <c r="BU1055" s="20"/>
      <c r="BV1055" s="20"/>
      <c r="BW1055" s="20"/>
      <c r="BX1055" s="20"/>
      <c r="BY1055" s="20"/>
      <c r="BZ1055" s="20"/>
      <c r="CA1055" s="20"/>
      <c r="CB1055" s="21"/>
      <c r="CC1055" s="27" t="str">
        <f t="shared" si="176"/>
        <v/>
      </c>
      <c r="CD1055" s="38" t="str">
        <f t="shared" si="177"/>
        <v/>
      </c>
      <c r="CE1055" s="38" t="str">
        <f t="shared" si="178"/>
        <v/>
      </c>
      <c r="CF1055" s="38" t="str">
        <f t="shared" si="179"/>
        <v/>
      </c>
      <c r="CG1055" s="38" t="str">
        <f t="shared" si="180"/>
        <v/>
      </c>
      <c r="CH1055" s="38" t="str">
        <f t="shared" si="181"/>
        <v/>
      </c>
      <c r="CI1055" s="38" t="str">
        <f t="shared" si="182"/>
        <v/>
      </c>
      <c r="CJ1055" s="38" t="str">
        <f t="shared" si="183"/>
        <v/>
      </c>
      <c r="CK1055" s="38" t="str">
        <f t="shared" si="184"/>
        <v/>
      </c>
      <c r="CL1055" s="38" t="str">
        <f>IF(C1055="","",IF(COUNT(G1055:AZ1055)&lt;46,"",SUMPRODUCT(CC1055:CK1055,'تنظیمات وزن‌دهی'!$C$5:$C$13)/100))</f>
        <v/>
      </c>
      <c r="CM1055" s="38" t="str">
        <f t="shared" si="185"/>
        <v/>
      </c>
      <c r="CN1055" s="38">
        <v>7</v>
      </c>
      <c r="CO1055" s="28" t="str">
        <f t="shared" si="186"/>
        <v/>
      </c>
      <c r="CP1055" s="58"/>
    </row>
    <row r="1056" spans="1:94" ht="17.25" hidden="1">
      <c r="A1056" s="33">
        <v>1052</v>
      </c>
      <c r="B1056" s="55" t="s">
        <v>190</v>
      </c>
      <c r="C1056" s="55" t="str">
        <f>IF(دانش‌آموزان!E92="","",دانش‌آموزان!B92)</f>
        <v/>
      </c>
      <c r="D1056" s="55" t="str">
        <f>IF(دانش‌آموزان!C92="","",دانش‌آموزان!C92)</f>
        <v/>
      </c>
      <c r="E1056" s="55" t="str">
        <f>IF(دانش‌آموزان!E92="","",دانش‌آموزان!E92&amp;" "&amp;دانش‌آموزان!F92)</f>
        <v/>
      </c>
      <c r="F1056" s="34" t="str">
        <f>IF(دانش‌آموزان!I92="","",دانش‌آموزان!I92)</f>
        <v/>
      </c>
      <c r="G1056" s="19"/>
      <c r="H1056" s="20"/>
      <c r="I1056" s="20"/>
      <c r="J1056" s="20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  <c r="W1056" s="20"/>
      <c r="X1056" s="20"/>
      <c r="Y1056" s="20"/>
      <c r="Z1056" s="20"/>
      <c r="AA1056" s="20"/>
      <c r="AB1056" s="20"/>
      <c r="AC1056" s="20"/>
      <c r="AD1056" s="20"/>
      <c r="AE1056" s="20"/>
      <c r="AF1056" s="20"/>
      <c r="AG1056" s="20"/>
      <c r="AH1056" s="20"/>
      <c r="AI1056" s="20"/>
      <c r="AJ1056" s="20"/>
      <c r="AK1056" s="20"/>
      <c r="AL1056" s="20"/>
      <c r="AM1056" s="20"/>
      <c r="AN1056" s="20"/>
      <c r="AO1056" s="20"/>
      <c r="AP1056" s="20"/>
      <c r="AQ1056" s="20"/>
      <c r="AR1056" s="20"/>
      <c r="AS1056" s="20"/>
      <c r="AT1056" s="20"/>
      <c r="AU1056" s="20"/>
      <c r="AV1056" s="20"/>
      <c r="AW1056" s="20"/>
      <c r="AX1056" s="20"/>
      <c r="AY1056" s="20"/>
      <c r="AZ1056" s="20"/>
      <c r="BA1056" s="20"/>
      <c r="BB1056" s="20"/>
      <c r="BC1056" s="20"/>
      <c r="BD1056" s="20"/>
      <c r="BE1056" s="20"/>
      <c r="BF1056" s="20"/>
      <c r="BG1056" s="20"/>
      <c r="BH1056" s="20"/>
      <c r="BI1056" s="20"/>
      <c r="BJ1056" s="20"/>
      <c r="BK1056" s="20"/>
      <c r="BL1056" s="20"/>
      <c r="BM1056" s="20"/>
      <c r="BN1056" s="20"/>
      <c r="BO1056" s="20"/>
      <c r="BP1056" s="20"/>
      <c r="BQ1056" s="20"/>
      <c r="BR1056" s="20"/>
      <c r="BS1056" s="20"/>
      <c r="BT1056" s="20"/>
      <c r="BU1056" s="20"/>
      <c r="BV1056" s="20"/>
      <c r="BW1056" s="20"/>
      <c r="BX1056" s="20"/>
      <c r="BY1056" s="20"/>
      <c r="BZ1056" s="20"/>
      <c r="CA1056" s="20"/>
      <c r="CB1056" s="21"/>
      <c r="CC1056" s="27" t="str">
        <f t="shared" si="176"/>
        <v/>
      </c>
      <c r="CD1056" s="38" t="str">
        <f t="shared" si="177"/>
        <v/>
      </c>
      <c r="CE1056" s="38" t="str">
        <f t="shared" si="178"/>
        <v/>
      </c>
      <c r="CF1056" s="38" t="str">
        <f t="shared" si="179"/>
        <v/>
      </c>
      <c r="CG1056" s="38" t="str">
        <f t="shared" si="180"/>
        <v/>
      </c>
      <c r="CH1056" s="38" t="str">
        <f t="shared" si="181"/>
        <v/>
      </c>
      <c r="CI1056" s="38" t="str">
        <f t="shared" si="182"/>
        <v/>
      </c>
      <c r="CJ1056" s="38" t="str">
        <f t="shared" si="183"/>
        <v/>
      </c>
      <c r="CK1056" s="38" t="str">
        <f t="shared" si="184"/>
        <v/>
      </c>
      <c r="CL1056" s="38" t="str">
        <f>IF(C1056="","",IF(COUNT(G1056:AZ1056)&lt;46,"",SUMPRODUCT(CC1056:CK1056,'تنظیمات وزن‌دهی'!$C$5:$C$13)/100))</f>
        <v/>
      </c>
      <c r="CM1056" s="38" t="str">
        <f t="shared" si="185"/>
        <v/>
      </c>
      <c r="CN1056" s="38">
        <v>8</v>
      </c>
      <c r="CO1056" s="28" t="str">
        <f t="shared" si="186"/>
        <v/>
      </c>
      <c r="CP1056" s="58"/>
    </row>
    <row r="1057" spans="1:94" ht="17.25" hidden="1">
      <c r="A1057" s="33">
        <v>1053</v>
      </c>
      <c r="B1057" s="55" t="s">
        <v>191</v>
      </c>
      <c r="C1057" s="55" t="str">
        <f>IF(دانش‌آموزان!E92="","",دانش‌آموزان!B92)</f>
        <v/>
      </c>
      <c r="D1057" s="55" t="str">
        <f>IF(دانش‌آموزان!C92="","",دانش‌آموزان!C92)</f>
        <v/>
      </c>
      <c r="E1057" s="55" t="str">
        <f>IF(دانش‌آموزان!E92="","",دانش‌آموزان!E92&amp;" "&amp;دانش‌آموزان!F92)</f>
        <v/>
      </c>
      <c r="F1057" s="34" t="str">
        <f>IF(دانش‌آموزان!I92="","",دانش‌آموزان!I92)</f>
        <v/>
      </c>
      <c r="G1057" s="19"/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  <c r="W1057" s="20"/>
      <c r="X1057" s="20"/>
      <c r="Y1057" s="20"/>
      <c r="Z1057" s="20"/>
      <c r="AA1057" s="20"/>
      <c r="AB1057" s="20"/>
      <c r="AC1057" s="20"/>
      <c r="AD1057" s="20"/>
      <c r="AE1057" s="20"/>
      <c r="AF1057" s="20"/>
      <c r="AG1057" s="20"/>
      <c r="AH1057" s="20"/>
      <c r="AI1057" s="20"/>
      <c r="AJ1057" s="20"/>
      <c r="AK1057" s="20"/>
      <c r="AL1057" s="20"/>
      <c r="AM1057" s="20"/>
      <c r="AN1057" s="20"/>
      <c r="AO1057" s="20"/>
      <c r="AP1057" s="20"/>
      <c r="AQ1057" s="20"/>
      <c r="AR1057" s="20"/>
      <c r="AS1057" s="20"/>
      <c r="AT1057" s="20"/>
      <c r="AU1057" s="20"/>
      <c r="AV1057" s="20"/>
      <c r="AW1057" s="20"/>
      <c r="AX1057" s="20"/>
      <c r="AY1057" s="20"/>
      <c r="AZ1057" s="20"/>
      <c r="BA1057" s="20"/>
      <c r="BB1057" s="20"/>
      <c r="BC1057" s="20"/>
      <c r="BD1057" s="20"/>
      <c r="BE1057" s="20"/>
      <c r="BF1057" s="20"/>
      <c r="BG1057" s="20"/>
      <c r="BH1057" s="20"/>
      <c r="BI1057" s="20"/>
      <c r="BJ1057" s="20"/>
      <c r="BK1057" s="20"/>
      <c r="BL1057" s="20"/>
      <c r="BM1057" s="20"/>
      <c r="BN1057" s="20"/>
      <c r="BO1057" s="20"/>
      <c r="BP1057" s="20"/>
      <c r="BQ1057" s="20"/>
      <c r="BR1057" s="20"/>
      <c r="BS1057" s="20"/>
      <c r="BT1057" s="20"/>
      <c r="BU1057" s="20"/>
      <c r="BV1057" s="20"/>
      <c r="BW1057" s="20"/>
      <c r="BX1057" s="20"/>
      <c r="BY1057" s="20"/>
      <c r="BZ1057" s="20"/>
      <c r="CA1057" s="20"/>
      <c r="CB1057" s="21"/>
      <c r="CC1057" s="27" t="str">
        <f t="shared" si="176"/>
        <v/>
      </c>
      <c r="CD1057" s="38" t="str">
        <f t="shared" si="177"/>
        <v/>
      </c>
      <c r="CE1057" s="38" t="str">
        <f t="shared" si="178"/>
        <v/>
      </c>
      <c r="CF1057" s="38" t="str">
        <f t="shared" si="179"/>
        <v/>
      </c>
      <c r="CG1057" s="38" t="str">
        <f t="shared" si="180"/>
        <v/>
      </c>
      <c r="CH1057" s="38" t="str">
        <f t="shared" si="181"/>
        <v/>
      </c>
      <c r="CI1057" s="38" t="str">
        <f t="shared" si="182"/>
        <v/>
      </c>
      <c r="CJ1057" s="38" t="str">
        <f t="shared" si="183"/>
        <v/>
      </c>
      <c r="CK1057" s="38" t="str">
        <f t="shared" si="184"/>
        <v/>
      </c>
      <c r="CL1057" s="38" t="str">
        <f>IF(C1057="","",IF(COUNT(G1057:AZ1057)&lt;46,"",SUMPRODUCT(CC1057:CK1057,'تنظیمات وزن‌دهی'!$C$5:$C$13)/100))</f>
        <v/>
      </c>
      <c r="CM1057" s="38" t="str">
        <f t="shared" si="185"/>
        <v/>
      </c>
      <c r="CN1057" s="38">
        <v>9</v>
      </c>
      <c r="CO1057" s="28" t="str">
        <f t="shared" si="186"/>
        <v/>
      </c>
      <c r="CP1057" s="58"/>
    </row>
    <row r="1058" spans="1:94" ht="17.25" hidden="1">
      <c r="A1058" s="33">
        <v>1054</v>
      </c>
      <c r="B1058" s="55" t="s">
        <v>192</v>
      </c>
      <c r="C1058" s="55" t="str">
        <f>IF(دانش‌آموزان!E92="","",دانش‌آموزان!B92)</f>
        <v/>
      </c>
      <c r="D1058" s="55" t="str">
        <f>IF(دانش‌آموزان!C92="","",دانش‌آموزان!C92)</f>
        <v/>
      </c>
      <c r="E1058" s="55" t="str">
        <f>IF(دانش‌آموزان!E92="","",دانش‌آموزان!E92&amp;" "&amp;دانش‌آموزان!F92)</f>
        <v/>
      </c>
      <c r="F1058" s="34" t="str">
        <f>IF(دانش‌آموزان!I92="","",دانش‌آموزان!I92)</f>
        <v/>
      </c>
      <c r="G1058" s="19"/>
      <c r="H1058" s="20"/>
      <c r="I1058" s="20"/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/>
      <c r="W1058" s="20"/>
      <c r="X1058" s="20"/>
      <c r="Y1058" s="20"/>
      <c r="Z1058" s="20"/>
      <c r="AA1058" s="20"/>
      <c r="AB1058" s="20"/>
      <c r="AC1058" s="20"/>
      <c r="AD1058" s="20"/>
      <c r="AE1058" s="20"/>
      <c r="AF1058" s="20"/>
      <c r="AG1058" s="20"/>
      <c r="AH1058" s="20"/>
      <c r="AI1058" s="20"/>
      <c r="AJ1058" s="20"/>
      <c r="AK1058" s="20"/>
      <c r="AL1058" s="20"/>
      <c r="AM1058" s="20"/>
      <c r="AN1058" s="20"/>
      <c r="AO1058" s="20"/>
      <c r="AP1058" s="20"/>
      <c r="AQ1058" s="20"/>
      <c r="AR1058" s="20"/>
      <c r="AS1058" s="20"/>
      <c r="AT1058" s="20"/>
      <c r="AU1058" s="20"/>
      <c r="AV1058" s="20"/>
      <c r="AW1058" s="20"/>
      <c r="AX1058" s="20"/>
      <c r="AY1058" s="20"/>
      <c r="AZ1058" s="20"/>
      <c r="BA1058" s="20"/>
      <c r="BB1058" s="20"/>
      <c r="BC1058" s="20"/>
      <c r="BD1058" s="20"/>
      <c r="BE1058" s="20"/>
      <c r="BF1058" s="20"/>
      <c r="BG1058" s="20"/>
      <c r="BH1058" s="20"/>
      <c r="BI1058" s="20"/>
      <c r="BJ1058" s="20"/>
      <c r="BK1058" s="20"/>
      <c r="BL1058" s="20"/>
      <c r="BM1058" s="20"/>
      <c r="BN1058" s="20"/>
      <c r="BO1058" s="20"/>
      <c r="BP1058" s="20"/>
      <c r="BQ1058" s="20"/>
      <c r="BR1058" s="20"/>
      <c r="BS1058" s="20"/>
      <c r="BT1058" s="20"/>
      <c r="BU1058" s="20"/>
      <c r="BV1058" s="20"/>
      <c r="BW1058" s="20"/>
      <c r="BX1058" s="20"/>
      <c r="BY1058" s="20"/>
      <c r="BZ1058" s="20"/>
      <c r="CA1058" s="20"/>
      <c r="CB1058" s="21"/>
      <c r="CC1058" s="27" t="str">
        <f t="shared" si="176"/>
        <v/>
      </c>
      <c r="CD1058" s="38" t="str">
        <f t="shared" si="177"/>
        <v/>
      </c>
      <c r="CE1058" s="38" t="str">
        <f t="shared" si="178"/>
        <v/>
      </c>
      <c r="CF1058" s="38" t="str">
        <f t="shared" si="179"/>
        <v/>
      </c>
      <c r="CG1058" s="38" t="str">
        <f t="shared" si="180"/>
        <v/>
      </c>
      <c r="CH1058" s="38" t="str">
        <f t="shared" si="181"/>
        <v/>
      </c>
      <c r="CI1058" s="38" t="str">
        <f t="shared" si="182"/>
        <v/>
      </c>
      <c r="CJ1058" s="38" t="str">
        <f t="shared" si="183"/>
        <v/>
      </c>
      <c r="CK1058" s="38" t="str">
        <f t="shared" si="184"/>
        <v/>
      </c>
      <c r="CL1058" s="38" t="str">
        <f>IF(C1058="","",IF(COUNT(G1058:AZ1058)&lt;46,"",SUMPRODUCT(CC1058:CK1058,'تنظیمات وزن‌دهی'!$C$5:$C$13)/100))</f>
        <v/>
      </c>
      <c r="CM1058" s="38" t="str">
        <f t="shared" si="185"/>
        <v/>
      </c>
      <c r="CN1058" s="38">
        <v>10</v>
      </c>
      <c r="CO1058" s="28" t="str">
        <f t="shared" si="186"/>
        <v/>
      </c>
      <c r="CP1058" s="58"/>
    </row>
    <row r="1059" spans="1:94" ht="17.25" hidden="1">
      <c r="A1059" s="33">
        <v>1055</v>
      </c>
      <c r="B1059" s="55" t="s">
        <v>193</v>
      </c>
      <c r="C1059" s="55" t="str">
        <f>IF(دانش‌آموزان!E92="","",دانش‌آموزان!B92)</f>
        <v/>
      </c>
      <c r="D1059" s="55" t="str">
        <f>IF(دانش‌آموزان!C92="","",دانش‌آموزان!C92)</f>
        <v/>
      </c>
      <c r="E1059" s="55" t="str">
        <f>IF(دانش‌آموزان!E92="","",دانش‌آموزان!E92&amp;" "&amp;دانش‌آموزان!F92)</f>
        <v/>
      </c>
      <c r="F1059" s="34" t="str">
        <f>IF(دانش‌آموزان!I92="","",دانش‌آموزان!I92)</f>
        <v/>
      </c>
      <c r="G1059" s="19"/>
      <c r="H1059" s="20"/>
      <c r="I1059" s="20"/>
      <c r="J1059" s="20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20"/>
      <c r="W1059" s="20"/>
      <c r="X1059" s="20"/>
      <c r="Y1059" s="20"/>
      <c r="Z1059" s="20"/>
      <c r="AA1059" s="20"/>
      <c r="AB1059" s="20"/>
      <c r="AC1059" s="20"/>
      <c r="AD1059" s="20"/>
      <c r="AE1059" s="20"/>
      <c r="AF1059" s="20"/>
      <c r="AG1059" s="20"/>
      <c r="AH1059" s="20"/>
      <c r="AI1059" s="20"/>
      <c r="AJ1059" s="20"/>
      <c r="AK1059" s="20"/>
      <c r="AL1059" s="20"/>
      <c r="AM1059" s="20"/>
      <c r="AN1059" s="20"/>
      <c r="AO1059" s="20"/>
      <c r="AP1059" s="20"/>
      <c r="AQ1059" s="20"/>
      <c r="AR1059" s="20"/>
      <c r="AS1059" s="20"/>
      <c r="AT1059" s="20"/>
      <c r="AU1059" s="20"/>
      <c r="AV1059" s="20"/>
      <c r="AW1059" s="20"/>
      <c r="AX1059" s="20"/>
      <c r="AY1059" s="20"/>
      <c r="AZ1059" s="20"/>
      <c r="BA1059" s="20"/>
      <c r="BB1059" s="20"/>
      <c r="BC1059" s="20"/>
      <c r="BD1059" s="20"/>
      <c r="BE1059" s="20"/>
      <c r="BF1059" s="20"/>
      <c r="BG1059" s="20"/>
      <c r="BH1059" s="20"/>
      <c r="BI1059" s="20"/>
      <c r="BJ1059" s="20"/>
      <c r="BK1059" s="20"/>
      <c r="BL1059" s="20"/>
      <c r="BM1059" s="20"/>
      <c r="BN1059" s="20"/>
      <c r="BO1059" s="20"/>
      <c r="BP1059" s="20"/>
      <c r="BQ1059" s="20"/>
      <c r="BR1059" s="20"/>
      <c r="BS1059" s="20"/>
      <c r="BT1059" s="20"/>
      <c r="BU1059" s="20"/>
      <c r="BV1059" s="20"/>
      <c r="BW1059" s="20"/>
      <c r="BX1059" s="20"/>
      <c r="BY1059" s="20"/>
      <c r="BZ1059" s="20"/>
      <c r="CA1059" s="20"/>
      <c r="CB1059" s="21"/>
      <c r="CC1059" s="27" t="str">
        <f t="shared" si="176"/>
        <v/>
      </c>
      <c r="CD1059" s="38" t="str">
        <f t="shared" si="177"/>
        <v/>
      </c>
      <c r="CE1059" s="38" t="str">
        <f t="shared" si="178"/>
        <v/>
      </c>
      <c r="CF1059" s="38" t="str">
        <f t="shared" si="179"/>
        <v/>
      </c>
      <c r="CG1059" s="38" t="str">
        <f t="shared" si="180"/>
        <v/>
      </c>
      <c r="CH1059" s="38" t="str">
        <f t="shared" si="181"/>
        <v/>
      </c>
      <c r="CI1059" s="38" t="str">
        <f t="shared" si="182"/>
        <v/>
      </c>
      <c r="CJ1059" s="38" t="str">
        <f t="shared" si="183"/>
        <v/>
      </c>
      <c r="CK1059" s="38" t="str">
        <f t="shared" si="184"/>
        <v/>
      </c>
      <c r="CL1059" s="38" t="str">
        <f>IF(C1059="","",IF(COUNT(G1059:AZ1059)&lt;46,"",SUMPRODUCT(CC1059:CK1059,'تنظیمات وزن‌دهی'!$C$5:$C$13)/100))</f>
        <v/>
      </c>
      <c r="CM1059" s="38" t="str">
        <f t="shared" si="185"/>
        <v/>
      </c>
      <c r="CN1059" s="38">
        <v>11</v>
      </c>
      <c r="CO1059" s="28" t="str">
        <f t="shared" si="186"/>
        <v/>
      </c>
      <c r="CP1059" s="58"/>
    </row>
    <row r="1060" spans="1:94" ht="17.25" hidden="1">
      <c r="A1060" s="33">
        <v>1056</v>
      </c>
      <c r="B1060" s="55" t="s">
        <v>194</v>
      </c>
      <c r="C1060" s="55" t="str">
        <f>IF(دانش‌آموزان!E92="","",دانش‌آموزان!B92)</f>
        <v/>
      </c>
      <c r="D1060" s="55" t="str">
        <f>IF(دانش‌آموزان!C92="","",دانش‌آموزان!C92)</f>
        <v/>
      </c>
      <c r="E1060" s="55" t="str">
        <f>IF(دانش‌آموزان!E92="","",دانش‌آموزان!E92&amp;" "&amp;دانش‌آموزان!F92)</f>
        <v/>
      </c>
      <c r="F1060" s="34" t="str">
        <f>IF(دانش‌آموزان!I92="","",دانش‌آموزان!I92)</f>
        <v/>
      </c>
      <c r="G1060" s="19"/>
      <c r="H1060" s="20"/>
      <c r="I1060" s="20"/>
      <c r="J1060" s="20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  <c r="W1060" s="20"/>
      <c r="X1060" s="20"/>
      <c r="Y1060" s="20"/>
      <c r="Z1060" s="20"/>
      <c r="AA1060" s="20"/>
      <c r="AB1060" s="20"/>
      <c r="AC1060" s="20"/>
      <c r="AD1060" s="20"/>
      <c r="AE1060" s="20"/>
      <c r="AF1060" s="20"/>
      <c r="AG1060" s="20"/>
      <c r="AH1060" s="20"/>
      <c r="AI1060" s="20"/>
      <c r="AJ1060" s="20"/>
      <c r="AK1060" s="20"/>
      <c r="AL1060" s="20"/>
      <c r="AM1060" s="20"/>
      <c r="AN1060" s="20"/>
      <c r="AO1060" s="20"/>
      <c r="AP1060" s="20"/>
      <c r="AQ1060" s="20"/>
      <c r="AR1060" s="20"/>
      <c r="AS1060" s="20"/>
      <c r="AT1060" s="20"/>
      <c r="AU1060" s="20"/>
      <c r="AV1060" s="20"/>
      <c r="AW1060" s="20"/>
      <c r="AX1060" s="20"/>
      <c r="AY1060" s="20"/>
      <c r="AZ1060" s="20"/>
      <c r="BA1060" s="20"/>
      <c r="BB1060" s="20"/>
      <c r="BC1060" s="20"/>
      <c r="BD1060" s="20"/>
      <c r="BE1060" s="20"/>
      <c r="BF1060" s="20"/>
      <c r="BG1060" s="20"/>
      <c r="BH1060" s="20"/>
      <c r="BI1060" s="20"/>
      <c r="BJ1060" s="20"/>
      <c r="BK1060" s="20"/>
      <c r="BL1060" s="20"/>
      <c r="BM1060" s="20"/>
      <c r="BN1060" s="20"/>
      <c r="BO1060" s="20"/>
      <c r="BP1060" s="20"/>
      <c r="BQ1060" s="20"/>
      <c r="BR1060" s="20"/>
      <c r="BS1060" s="20"/>
      <c r="BT1060" s="20"/>
      <c r="BU1060" s="20"/>
      <c r="BV1060" s="20"/>
      <c r="BW1060" s="20"/>
      <c r="BX1060" s="20"/>
      <c r="BY1060" s="20"/>
      <c r="BZ1060" s="20"/>
      <c r="CA1060" s="20"/>
      <c r="CB1060" s="21"/>
      <c r="CC1060" s="27" t="str">
        <f t="shared" si="176"/>
        <v/>
      </c>
      <c r="CD1060" s="38" t="str">
        <f t="shared" si="177"/>
        <v/>
      </c>
      <c r="CE1060" s="38" t="str">
        <f t="shared" si="178"/>
        <v/>
      </c>
      <c r="CF1060" s="38" t="str">
        <f t="shared" si="179"/>
        <v/>
      </c>
      <c r="CG1060" s="38" t="str">
        <f t="shared" si="180"/>
        <v/>
      </c>
      <c r="CH1060" s="38" t="str">
        <f t="shared" si="181"/>
        <v/>
      </c>
      <c r="CI1060" s="38" t="str">
        <f t="shared" si="182"/>
        <v/>
      </c>
      <c r="CJ1060" s="38" t="str">
        <f t="shared" si="183"/>
        <v/>
      </c>
      <c r="CK1060" s="38" t="str">
        <f t="shared" si="184"/>
        <v/>
      </c>
      <c r="CL1060" s="38" t="str">
        <f>IF(C1060="","",IF(COUNT(G1060:AZ1060)&lt;46,"",SUMPRODUCT(CC1060:CK1060,'تنظیمات وزن‌دهی'!$C$5:$C$13)/100))</f>
        <v/>
      </c>
      <c r="CM1060" s="38" t="str">
        <f t="shared" si="185"/>
        <v/>
      </c>
      <c r="CN1060" s="38">
        <v>12</v>
      </c>
      <c r="CO1060" s="28" t="str">
        <f t="shared" si="186"/>
        <v/>
      </c>
      <c r="CP1060" s="58"/>
    </row>
    <row r="1061" spans="1:94" ht="17.25" hidden="1">
      <c r="A1061" s="33">
        <v>1057</v>
      </c>
      <c r="B1061" s="55" t="s">
        <v>183</v>
      </c>
      <c r="C1061" s="55" t="str">
        <f>IF(دانش‌آموزان!E93="","",دانش‌آموزان!B93)</f>
        <v/>
      </c>
      <c r="D1061" s="55" t="str">
        <f>IF(دانش‌آموزان!C93="","",دانش‌آموزان!C93)</f>
        <v/>
      </c>
      <c r="E1061" s="55" t="str">
        <f>IF(دانش‌آموزان!E93="","",دانش‌آموزان!E93&amp;" "&amp;دانش‌آموزان!F93)</f>
        <v/>
      </c>
      <c r="F1061" s="34" t="str">
        <f>IF(دانش‌آموزان!I93="","",دانش‌آموزان!I93)</f>
        <v/>
      </c>
      <c r="G1061" s="19"/>
      <c r="H1061" s="20"/>
      <c r="I1061" s="20"/>
      <c r="J1061" s="20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0"/>
      <c r="W1061" s="20"/>
      <c r="X1061" s="20"/>
      <c r="Y1061" s="20"/>
      <c r="Z1061" s="20"/>
      <c r="AA1061" s="20"/>
      <c r="AB1061" s="20"/>
      <c r="AC1061" s="20"/>
      <c r="AD1061" s="20"/>
      <c r="AE1061" s="20"/>
      <c r="AF1061" s="20"/>
      <c r="AG1061" s="20"/>
      <c r="AH1061" s="20"/>
      <c r="AI1061" s="20"/>
      <c r="AJ1061" s="20"/>
      <c r="AK1061" s="20"/>
      <c r="AL1061" s="20"/>
      <c r="AM1061" s="20"/>
      <c r="AN1061" s="20"/>
      <c r="AO1061" s="20"/>
      <c r="AP1061" s="20"/>
      <c r="AQ1061" s="20"/>
      <c r="AR1061" s="20"/>
      <c r="AS1061" s="20"/>
      <c r="AT1061" s="20"/>
      <c r="AU1061" s="20"/>
      <c r="AV1061" s="20"/>
      <c r="AW1061" s="20"/>
      <c r="AX1061" s="20"/>
      <c r="AY1061" s="20"/>
      <c r="AZ1061" s="20"/>
      <c r="BA1061" s="20"/>
      <c r="BB1061" s="20"/>
      <c r="BC1061" s="20"/>
      <c r="BD1061" s="20"/>
      <c r="BE1061" s="20"/>
      <c r="BF1061" s="20"/>
      <c r="BG1061" s="20"/>
      <c r="BH1061" s="20"/>
      <c r="BI1061" s="20"/>
      <c r="BJ1061" s="20"/>
      <c r="BK1061" s="20"/>
      <c r="BL1061" s="20"/>
      <c r="BM1061" s="20"/>
      <c r="BN1061" s="20"/>
      <c r="BO1061" s="20"/>
      <c r="BP1061" s="20"/>
      <c r="BQ1061" s="20"/>
      <c r="BR1061" s="20"/>
      <c r="BS1061" s="20"/>
      <c r="BT1061" s="20"/>
      <c r="BU1061" s="20"/>
      <c r="BV1061" s="20"/>
      <c r="BW1061" s="20"/>
      <c r="BX1061" s="20"/>
      <c r="BY1061" s="20"/>
      <c r="BZ1061" s="20"/>
      <c r="CA1061" s="20"/>
      <c r="CB1061" s="21"/>
      <c r="CC1061" s="27" t="str">
        <f t="shared" si="176"/>
        <v/>
      </c>
      <c r="CD1061" s="38" t="str">
        <f t="shared" si="177"/>
        <v/>
      </c>
      <c r="CE1061" s="38" t="str">
        <f t="shared" si="178"/>
        <v/>
      </c>
      <c r="CF1061" s="38" t="str">
        <f t="shared" si="179"/>
        <v/>
      </c>
      <c r="CG1061" s="38" t="str">
        <f t="shared" si="180"/>
        <v/>
      </c>
      <c r="CH1061" s="38" t="str">
        <f t="shared" si="181"/>
        <v/>
      </c>
      <c r="CI1061" s="38" t="str">
        <f t="shared" si="182"/>
        <v/>
      </c>
      <c r="CJ1061" s="38" t="str">
        <f t="shared" si="183"/>
        <v/>
      </c>
      <c r="CK1061" s="38" t="str">
        <f t="shared" si="184"/>
        <v/>
      </c>
      <c r="CL1061" s="38" t="str">
        <f>IF(C1061="","",IF(COUNT(G1061:AZ1061)&lt;46,"",SUMPRODUCT(CC1061:CK1061,'تنظیمات وزن‌دهی'!$C$5:$C$13)/100))</f>
        <v/>
      </c>
      <c r="CM1061" s="38" t="str">
        <f t="shared" si="185"/>
        <v/>
      </c>
      <c r="CN1061" s="38">
        <v>1</v>
      </c>
      <c r="CO1061" s="28" t="str">
        <f t="shared" si="186"/>
        <v/>
      </c>
      <c r="CP1061" s="58"/>
    </row>
    <row r="1062" spans="1:94" ht="17.25" hidden="1">
      <c r="A1062" s="33">
        <v>1058</v>
      </c>
      <c r="B1062" s="55" t="s">
        <v>184</v>
      </c>
      <c r="C1062" s="55" t="str">
        <f>IF(دانش‌آموزان!E93="","",دانش‌آموزان!B93)</f>
        <v/>
      </c>
      <c r="D1062" s="55" t="str">
        <f>IF(دانش‌آموزان!C93="","",دانش‌آموزان!C93)</f>
        <v/>
      </c>
      <c r="E1062" s="55" t="str">
        <f>IF(دانش‌آموزان!E93="","",دانش‌آموزان!E93&amp;" "&amp;دانش‌آموزان!F93)</f>
        <v/>
      </c>
      <c r="F1062" s="34" t="str">
        <f>IF(دانش‌آموزان!I93="","",دانش‌آموزان!I93)</f>
        <v/>
      </c>
      <c r="G1062" s="19"/>
      <c r="H1062" s="20"/>
      <c r="I1062" s="20"/>
      <c r="J1062" s="20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  <c r="AA1062" s="20"/>
      <c r="AB1062" s="20"/>
      <c r="AC1062" s="20"/>
      <c r="AD1062" s="20"/>
      <c r="AE1062" s="20"/>
      <c r="AF1062" s="20"/>
      <c r="AG1062" s="20"/>
      <c r="AH1062" s="20"/>
      <c r="AI1062" s="20"/>
      <c r="AJ1062" s="20"/>
      <c r="AK1062" s="20"/>
      <c r="AL1062" s="20"/>
      <c r="AM1062" s="20"/>
      <c r="AN1062" s="20"/>
      <c r="AO1062" s="20"/>
      <c r="AP1062" s="20"/>
      <c r="AQ1062" s="20"/>
      <c r="AR1062" s="20"/>
      <c r="AS1062" s="20"/>
      <c r="AT1062" s="20"/>
      <c r="AU1062" s="20"/>
      <c r="AV1062" s="20"/>
      <c r="AW1062" s="20"/>
      <c r="AX1062" s="20"/>
      <c r="AY1062" s="20"/>
      <c r="AZ1062" s="20"/>
      <c r="BA1062" s="20"/>
      <c r="BB1062" s="20"/>
      <c r="BC1062" s="20"/>
      <c r="BD1062" s="20"/>
      <c r="BE1062" s="20"/>
      <c r="BF1062" s="20"/>
      <c r="BG1062" s="20"/>
      <c r="BH1062" s="20"/>
      <c r="BI1062" s="20"/>
      <c r="BJ1062" s="20"/>
      <c r="BK1062" s="20"/>
      <c r="BL1062" s="20"/>
      <c r="BM1062" s="20"/>
      <c r="BN1062" s="20"/>
      <c r="BO1062" s="20"/>
      <c r="BP1062" s="20"/>
      <c r="BQ1062" s="20"/>
      <c r="BR1062" s="20"/>
      <c r="BS1062" s="20"/>
      <c r="BT1062" s="20"/>
      <c r="BU1062" s="20"/>
      <c r="BV1062" s="20"/>
      <c r="BW1062" s="20"/>
      <c r="BX1062" s="20"/>
      <c r="BY1062" s="20"/>
      <c r="BZ1062" s="20"/>
      <c r="CA1062" s="20"/>
      <c r="CB1062" s="21"/>
      <c r="CC1062" s="27" t="str">
        <f t="shared" si="176"/>
        <v/>
      </c>
      <c r="CD1062" s="38" t="str">
        <f t="shared" si="177"/>
        <v/>
      </c>
      <c r="CE1062" s="38" t="str">
        <f t="shared" si="178"/>
        <v/>
      </c>
      <c r="CF1062" s="38" t="str">
        <f t="shared" si="179"/>
        <v/>
      </c>
      <c r="CG1062" s="38" t="str">
        <f t="shared" si="180"/>
        <v/>
      </c>
      <c r="CH1062" s="38" t="str">
        <f t="shared" si="181"/>
        <v/>
      </c>
      <c r="CI1062" s="38" t="str">
        <f t="shared" si="182"/>
        <v/>
      </c>
      <c r="CJ1062" s="38" t="str">
        <f t="shared" si="183"/>
        <v/>
      </c>
      <c r="CK1062" s="38" t="str">
        <f t="shared" si="184"/>
        <v/>
      </c>
      <c r="CL1062" s="38" t="str">
        <f>IF(C1062="","",IF(COUNT(G1062:AZ1062)&lt;46,"",SUMPRODUCT(CC1062:CK1062,'تنظیمات وزن‌دهی'!$C$5:$C$13)/100))</f>
        <v/>
      </c>
      <c r="CM1062" s="38" t="str">
        <f t="shared" si="185"/>
        <v/>
      </c>
      <c r="CN1062" s="38">
        <v>2</v>
      </c>
      <c r="CO1062" s="28" t="str">
        <f t="shared" si="186"/>
        <v/>
      </c>
      <c r="CP1062" s="58"/>
    </row>
    <row r="1063" spans="1:94" ht="17.25">
      <c r="A1063" s="33">
        <v>1059</v>
      </c>
      <c r="B1063" s="55" t="s">
        <v>185</v>
      </c>
      <c r="C1063" s="55" t="str">
        <f>IF(دانش‌آموزان!E93="","",دانش‌آموزان!B93)</f>
        <v/>
      </c>
      <c r="D1063" s="55" t="str">
        <f>IF(دانش‌آموزان!C93="","",دانش‌آموزان!C93)</f>
        <v/>
      </c>
      <c r="E1063" s="55" t="str">
        <f>IF(دانش‌آموزان!E93="","",دانش‌آموزان!E93&amp;" "&amp;دانش‌آموزان!F93)</f>
        <v/>
      </c>
      <c r="F1063" s="34" t="str">
        <f>IF(دانش‌آموزان!I93="","",دانش‌آموزان!I93)</f>
        <v/>
      </c>
      <c r="G1063" s="19"/>
      <c r="H1063" s="20"/>
      <c r="I1063" s="20"/>
      <c r="J1063" s="20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  <c r="W1063" s="20"/>
      <c r="X1063" s="20"/>
      <c r="Y1063" s="20"/>
      <c r="Z1063" s="20"/>
      <c r="AA1063" s="20"/>
      <c r="AB1063" s="20"/>
      <c r="AC1063" s="20"/>
      <c r="AD1063" s="20"/>
      <c r="AE1063" s="20"/>
      <c r="AF1063" s="20"/>
      <c r="AG1063" s="20"/>
      <c r="AH1063" s="20"/>
      <c r="AI1063" s="20"/>
      <c r="AJ1063" s="20"/>
      <c r="AK1063" s="20"/>
      <c r="AL1063" s="20"/>
      <c r="AM1063" s="20"/>
      <c r="AN1063" s="20"/>
      <c r="AO1063" s="20"/>
      <c r="AP1063" s="20"/>
      <c r="AQ1063" s="20"/>
      <c r="AR1063" s="20"/>
      <c r="AS1063" s="20"/>
      <c r="AT1063" s="20"/>
      <c r="AU1063" s="20"/>
      <c r="AV1063" s="20"/>
      <c r="AW1063" s="20"/>
      <c r="AX1063" s="20"/>
      <c r="AY1063" s="20"/>
      <c r="AZ1063" s="20"/>
      <c r="BA1063" s="20"/>
      <c r="BB1063" s="20"/>
      <c r="BC1063" s="20"/>
      <c r="BD1063" s="20"/>
      <c r="BE1063" s="20"/>
      <c r="BF1063" s="20"/>
      <c r="BG1063" s="20"/>
      <c r="BH1063" s="20"/>
      <c r="BI1063" s="20"/>
      <c r="BJ1063" s="20"/>
      <c r="BK1063" s="20"/>
      <c r="BL1063" s="20"/>
      <c r="BM1063" s="20"/>
      <c r="BN1063" s="20"/>
      <c r="BO1063" s="20"/>
      <c r="BP1063" s="20"/>
      <c r="BQ1063" s="20"/>
      <c r="BR1063" s="20"/>
      <c r="BS1063" s="20"/>
      <c r="BT1063" s="20"/>
      <c r="BU1063" s="20"/>
      <c r="BV1063" s="20"/>
      <c r="BW1063" s="20"/>
      <c r="BX1063" s="20"/>
      <c r="BY1063" s="20"/>
      <c r="BZ1063" s="20"/>
      <c r="CA1063" s="20"/>
      <c r="CB1063" s="21"/>
      <c r="CC1063" s="27" t="str">
        <f t="shared" si="176"/>
        <v/>
      </c>
      <c r="CD1063" s="38" t="str">
        <f t="shared" si="177"/>
        <v/>
      </c>
      <c r="CE1063" s="38" t="str">
        <f t="shared" si="178"/>
        <v/>
      </c>
      <c r="CF1063" s="38" t="str">
        <f t="shared" si="179"/>
        <v/>
      </c>
      <c r="CG1063" s="38" t="str">
        <f t="shared" si="180"/>
        <v/>
      </c>
      <c r="CH1063" s="38" t="str">
        <f t="shared" si="181"/>
        <v/>
      </c>
      <c r="CI1063" s="38" t="str">
        <f t="shared" si="182"/>
        <v/>
      </c>
      <c r="CJ1063" s="38" t="str">
        <f t="shared" si="183"/>
        <v/>
      </c>
      <c r="CK1063" s="38" t="str">
        <f t="shared" si="184"/>
        <v/>
      </c>
      <c r="CL1063" s="38" t="str">
        <f>IF(C1063="","",IF(COUNT(G1063:AZ1063)&lt;46,"",SUMPRODUCT(CC1063:CK1063,'تنظیمات وزن‌دهی'!$C$5:$C$13)/100))</f>
        <v/>
      </c>
      <c r="CM1063" s="38" t="str">
        <f t="shared" si="185"/>
        <v/>
      </c>
      <c r="CN1063" s="38">
        <v>3</v>
      </c>
      <c r="CO1063" s="28" t="str">
        <f t="shared" si="186"/>
        <v/>
      </c>
      <c r="CP1063" s="58"/>
    </row>
    <row r="1064" spans="1:94" ht="17.25" hidden="1">
      <c r="A1064" s="33">
        <v>1060</v>
      </c>
      <c r="B1064" s="55" t="s">
        <v>186</v>
      </c>
      <c r="C1064" s="55" t="str">
        <f>IF(دانش‌آموزان!E93="","",دانش‌آموزان!B93)</f>
        <v/>
      </c>
      <c r="D1064" s="55" t="str">
        <f>IF(دانش‌آموزان!C93="","",دانش‌آموزان!C93)</f>
        <v/>
      </c>
      <c r="E1064" s="55" t="str">
        <f>IF(دانش‌آموزان!E93="","",دانش‌آموزان!E93&amp;" "&amp;دانش‌آموزان!F93)</f>
        <v/>
      </c>
      <c r="F1064" s="34" t="str">
        <f>IF(دانش‌آموزان!I93="","",دانش‌آموزان!I93)</f>
        <v/>
      </c>
      <c r="G1064" s="19"/>
      <c r="H1064" s="20"/>
      <c r="I1064" s="20"/>
      <c r="J1064" s="20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  <c r="W1064" s="20"/>
      <c r="X1064" s="20"/>
      <c r="Y1064" s="20"/>
      <c r="Z1064" s="20"/>
      <c r="AA1064" s="20"/>
      <c r="AB1064" s="20"/>
      <c r="AC1064" s="20"/>
      <c r="AD1064" s="20"/>
      <c r="AE1064" s="20"/>
      <c r="AF1064" s="20"/>
      <c r="AG1064" s="20"/>
      <c r="AH1064" s="20"/>
      <c r="AI1064" s="20"/>
      <c r="AJ1064" s="20"/>
      <c r="AK1064" s="20"/>
      <c r="AL1064" s="20"/>
      <c r="AM1064" s="20"/>
      <c r="AN1064" s="20"/>
      <c r="AO1064" s="20"/>
      <c r="AP1064" s="20"/>
      <c r="AQ1064" s="20"/>
      <c r="AR1064" s="20"/>
      <c r="AS1064" s="20"/>
      <c r="AT1064" s="20"/>
      <c r="AU1064" s="20"/>
      <c r="AV1064" s="20"/>
      <c r="AW1064" s="20"/>
      <c r="AX1064" s="20"/>
      <c r="AY1064" s="20"/>
      <c r="AZ1064" s="20"/>
      <c r="BA1064" s="20"/>
      <c r="BB1064" s="20"/>
      <c r="BC1064" s="20"/>
      <c r="BD1064" s="20"/>
      <c r="BE1064" s="20"/>
      <c r="BF1064" s="20"/>
      <c r="BG1064" s="20"/>
      <c r="BH1064" s="20"/>
      <c r="BI1064" s="20"/>
      <c r="BJ1064" s="20"/>
      <c r="BK1064" s="20"/>
      <c r="BL1064" s="20"/>
      <c r="BM1064" s="20"/>
      <c r="BN1064" s="20"/>
      <c r="BO1064" s="20"/>
      <c r="BP1064" s="20"/>
      <c r="BQ1064" s="20"/>
      <c r="BR1064" s="20"/>
      <c r="BS1064" s="20"/>
      <c r="BT1064" s="20"/>
      <c r="BU1064" s="20"/>
      <c r="BV1064" s="20"/>
      <c r="BW1064" s="20"/>
      <c r="BX1064" s="20"/>
      <c r="BY1064" s="20"/>
      <c r="BZ1064" s="20"/>
      <c r="CA1064" s="20"/>
      <c r="CB1064" s="21"/>
      <c r="CC1064" s="27" t="str">
        <f t="shared" si="176"/>
        <v/>
      </c>
      <c r="CD1064" s="38" t="str">
        <f t="shared" si="177"/>
        <v/>
      </c>
      <c r="CE1064" s="38" t="str">
        <f t="shared" si="178"/>
        <v/>
      </c>
      <c r="CF1064" s="38" t="str">
        <f t="shared" si="179"/>
        <v/>
      </c>
      <c r="CG1064" s="38" t="str">
        <f t="shared" si="180"/>
        <v/>
      </c>
      <c r="CH1064" s="38" t="str">
        <f t="shared" si="181"/>
        <v/>
      </c>
      <c r="CI1064" s="38" t="str">
        <f t="shared" si="182"/>
        <v/>
      </c>
      <c r="CJ1064" s="38" t="str">
        <f t="shared" si="183"/>
        <v/>
      </c>
      <c r="CK1064" s="38" t="str">
        <f t="shared" si="184"/>
        <v/>
      </c>
      <c r="CL1064" s="38" t="str">
        <f>IF(C1064="","",IF(COUNT(G1064:AZ1064)&lt;46,"",SUMPRODUCT(CC1064:CK1064,'تنظیمات وزن‌دهی'!$C$5:$C$13)/100))</f>
        <v/>
      </c>
      <c r="CM1064" s="38" t="str">
        <f t="shared" si="185"/>
        <v/>
      </c>
      <c r="CN1064" s="38">
        <v>4</v>
      </c>
      <c r="CO1064" s="28" t="str">
        <f t="shared" si="186"/>
        <v/>
      </c>
      <c r="CP1064" s="58"/>
    </row>
    <row r="1065" spans="1:94" ht="17.25" hidden="1">
      <c r="A1065" s="33">
        <v>1061</v>
      </c>
      <c r="B1065" s="55" t="s">
        <v>187</v>
      </c>
      <c r="C1065" s="55" t="str">
        <f>IF(دانش‌آموزان!E93="","",دانش‌آموزان!B93)</f>
        <v/>
      </c>
      <c r="D1065" s="55" t="str">
        <f>IF(دانش‌آموزان!C93="","",دانش‌آموزان!C93)</f>
        <v/>
      </c>
      <c r="E1065" s="55" t="str">
        <f>IF(دانش‌آموزان!E93="","",دانش‌آموزان!E93&amp;" "&amp;دانش‌آموزان!F93)</f>
        <v/>
      </c>
      <c r="F1065" s="34" t="str">
        <f>IF(دانش‌آموزان!I93="","",دانش‌آموزان!I93)</f>
        <v/>
      </c>
      <c r="G1065" s="19"/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  <c r="W1065" s="20"/>
      <c r="X1065" s="20"/>
      <c r="Y1065" s="20"/>
      <c r="Z1065" s="20"/>
      <c r="AA1065" s="20"/>
      <c r="AB1065" s="20"/>
      <c r="AC1065" s="20"/>
      <c r="AD1065" s="20"/>
      <c r="AE1065" s="20"/>
      <c r="AF1065" s="20"/>
      <c r="AG1065" s="20"/>
      <c r="AH1065" s="20"/>
      <c r="AI1065" s="20"/>
      <c r="AJ1065" s="20"/>
      <c r="AK1065" s="20"/>
      <c r="AL1065" s="20"/>
      <c r="AM1065" s="20"/>
      <c r="AN1065" s="20"/>
      <c r="AO1065" s="20"/>
      <c r="AP1065" s="20"/>
      <c r="AQ1065" s="20"/>
      <c r="AR1065" s="20"/>
      <c r="AS1065" s="20"/>
      <c r="AT1065" s="20"/>
      <c r="AU1065" s="20"/>
      <c r="AV1065" s="20"/>
      <c r="AW1065" s="20"/>
      <c r="AX1065" s="20"/>
      <c r="AY1065" s="20"/>
      <c r="AZ1065" s="20"/>
      <c r="BA1065" s="20"/>
      <c r="BB1065" s="20"/>
      <c r="BC1065" s="20"/>
      <c r="BD1065" s="20"/>
      <c r="BE1065" s="20"/>
      <c r="BF1065" s="20"/>
      <c r="BG1065" s="20"/>
      <c r="BH1065" s="20"/>
      <c r="BI1065" s="20"/>
      <c r="BJ1065" s="20"/>
      <c r="BK1065" s="20"/>
      <c r="BL1065" s="20"/>
      <c r="BM1065" s="20"/>
      <c r="BN1065" s="20"/>
      <c r="BO1065" s="20"/>
      <c r="BP1065" s="20"/>
      <c r="BQ1065" s="20"/>
      <c r="BR1065" s="20"/>
      <c r="BS1065" s="20"/>
      <c r="BT1065" s="20"/>
      <c r="BU1065" s="20"/>
      <c r="BV1065" s="20"/>
      <c r="BW1065" s="20"/>
      <c r="BX1065" s="20"/>
      <c r="BY1065" s="20"/>
      <c r="BZ1065" s="20"/>
      <c r="CA1065" s="20"/>
      <c r="CB1065" s="21"/>
      <c r="CC1065" s="27" t="str">
        <f t="shared" si="176"/>
        <v/>
      </c>
      <c r="CD1065" s="38" t="str">
        <f t="shared" si="177"/>
        <v/>
      </c>
      <c r="CE1065" s="38" t="str">
        <f t="shared" si="178"/>
        <v/>
      </c>
      <c r="CF1065" s="38" t="str">
        <f t="shared" si="179"/>
        <v/>
      </c>
      <c r="CG1065" s="38" t="str">
        <f t="shared" si="180"/>
        <v/>
      </c>
      <c r="CH1065" s="38" t="str">
        <f t="shared" si="181"/>
        <v/>
      </c>
      <c r="CI1065" s="38" t="str">
        <f t="shared" si="182"/>
        <v/>
      </c>
      <c r="CJ1065" s="38" t="str">
        <f t="shared" si="183"/>
        <v/>
      </c>
      <c r="CK1065" s="38" t="str">
        <f t="shared" si="184"/>
        <v/>
      </c>
      <c r="CL1065" s="38" t="str">
        <f>IF(C1065="","",IF(COUNT(G1065:AZ1065)&lt;46,"",SUMPRODUCT(CC1065:CK1065,'تنظیمات وزن‌دهی'!$C$5:$C$13)/100))</f>
        <v/>
      </c>
      <c r="CM1065" s="38" t="str">
        <f t="shared" si="185"/>
        <v/>
      </c>
      <c r="CN1065" s="38">
        <v>5</v>
      </c>
      <c r="CO1065" s="28" t="str">
        <f t="shared" si="186"/>
        <v/>
      </c>
      <c r="CP1065" s="58"/>
    </row>
    <row r="1066" spans="1:94" ht="17.25" hidden="1">
      <c r="A1066" s="33">
        <v>1062</v>
      </c>
      <c r="B1066" s="55" t="s">
        <v>188</v>
      </c>
      <c r="C1066" s="55" t="str">
        <f>IF(دانش‌آموزان!E93="","",دانش‌آموزان!B93)</f>
        <v/>
      </c>
      <c r="D1066" s="55" t="str">
        <f>IF(دانش‌آموزان!C93="","",دانش‌آموزان!C93)</f>
        <v/>
      </c>
      <c r="E1066" s="55" t="str">
        <f>IF(دانش‌آموزان!E93="","",دانش‌آموزان!E93&amp;" "&amp;دانش‌آموزان!F93)</f>
        <v/>
      </c>
      <c r="F1066" s="34" t="str">
        <f>IF(دانش‌آموزان!I93="","",دانش‌آموزان!I93)</f>
        <v/>
      </c>
      <c r="G1066" s="19"/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  <c r="W1066" s="20"/>
      <c r="X1066" s="20"/>
      <c r="Y1066" s="20"/>
      <c r="Z1066" s="20"/>
      <c r="AA1066" s="20"/>
      <c r="AB1066" s="20"/>
      <c r="AC1066" s="20"/>
      <c r="AD1066" s="20"/>
      <c r="AE1066" s="20"/>
      <c r="AF1066" s="20"/>
      <c r="AG1066" s="20"/>
      <c r="AH1066" s="20"/>
      <c r="AI1066" s="20"/>
      <c r="AJ1066" s="20"/>
      <c r="AK1066" s="20"/>
      <c r="AL1066" s="20"/>
      <c r="AM1066" s="20"/>
      <c r="AN1066" s="20"/>
      <c r="AO1066" s="20"/>
      <c r="AP1066" s="20"/>
      <c r="AQ1066" s="20"/>
      <c r="AR1066" s="20"/>
      <c r="AS1066" s="20"/>
      <c r="AT1066" s="20"/>
      <c r="AU1066" s="20"/>
      <c r="AV1066" s="20"/>
      <c r="AW1066" s="20"/>
      <c r="AX1066" s="20"/>
      <c r="AY1066" s="20"/>
      <c r="AZ1066" s="20"/>
      <c r="BA1066" s="20"/>
      <c r="BB1066" s="20"/>
      <c r="BC1066" s="20"/>
      <c r="BD1066" s="20"/>
      <c r="BE1066" s="20"/>
      <c r="BF1066" s="20"/>
      <c r="BG1066" s="20"/>
      <c r="BH1066" s="20"/>
      <c r="BI1066" s="20"/>
      <c r="BJ1066" s="20"/>
      <c r="BK1066" s="20"/>
      <c r="BL1066" s="20"/>
      <c r="BM1066" s="20"/>
      <c r="BN1066" s="20"/>
      <c r="BO1066" s="20"/>
      <c r="BP1066" s="20"/>
      <c r="BQ1066" s="20"/>
      <c r="BR1066" s="20"/>
      <c r="BS1066" s="20"/>
      <c r="BT1066" s="20"/>
      <c r="BU1066" s="20"/>
      <c r="BV1066" s="20"/>
      <c r="BW1066" s="20"/>
      <c r="BX1066" s="20"/>
      <c r="BY1066" s="20"/>
      <c r="BZ1066" s="20"/>
      <c r="CA1066" s="20"/>
      <c r="CB1066" s="21"/>
      <c r="CC1066" s="27" t="str">
        <f t="shared" si="176"/>
        <v/>
      </c>
      <c r="CD1066" s="38" t="str">
        <f t="shared" si="177"/>
        <v/>
      </c>
      <c r="CE1066" s="38" t="str">
        <f t="shared" si="178"/>
        <v/>
      </c>
      <c r="CF1066" s="38" t="str">
        <f t="shared" si="179"/>
        <v/>
      </c>
      <c r="CG1066" s="38" t="str">
        <f t="shared" si="180"/>
        <v/>
      </c>
      <c r="CH1066" s="38" t="str">
        <f t="shared" si="181"/>
        <v/>
      </c>
      <c r="CI1066" s="38" t="str">
        <f t="shared" si="182"/>
        <v/>
      </c>
      <c r="CJ1066" s="38" t="str">
        <f t="shared" si="183"/>
        <v/>
      </c>
      <c r="CK1066" s="38" t="str">
        <f t="shared" si="184"/>
        <v/>
      </c>
      <c r="CL1066" s="38" t="str">
        <f>IF(C1066="","",IF(COUNT(G1066:AZ1066)&lt;46,"",SUMPRODUCT(CC1066:CK1066,'تنظیمات وزن‌دهی'!$C$5:$C$13)/100))</f>
        <v/>
      </c>
      <c r="CM1066" s="38" t="str">
        <f t="shared" si="185"/>
        <v/>
      </c>
      <c r="CN1066" s="38">
        <v>6</v>
      </c>
      <c r="CO1066" s="28" t="str">
        <f t="shared" si="186"/>
        <v/>
      </c>
      <c r="CP1066" s="58"/>
    </row>
    <row r="1067" spans="1:94" ht="17.25" hidden="1">
      <c r="A1067" s="33">
        <v>1063</v>
      </c>
      <c r="B1067" s="55" t="s">
        <v>189</v>
      </c>
      <c r="C1067" s="55" t="str">
        <f>IF(دانش‌آموزان!E93="","",دانش‌آموزان!B93)</f>
        <v/>
      </c>
      <c r="D1067" s="55" t="str">
        <f>IF(دانش‌آموزان!C93="","",دانش‌آموزان!C93)</f>
        <v/>
      </c>
      <c r="E1067" s="55" t="str">
        <f>IF(دانش‌آموزان!E93="","",دانش‌آموزان!E93&amp;" "&amp;دانش‌آموزان!F93)</f>
        <v/>
      </c>
      <c r="F1067" s="34" t="str">
        <f>IF(دانش‌آموزان!I93="","",دانش‌آموزان!I93)</f>
        <v/>
      </c>
      <c r="G1067" s="19"/>
      <c r="H1067" s="20"/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  <c r="W1067" s="20"/>
      <c r="X1067" s="20"/>
      <c r="Y1067" s="20"/>
      <c r="Z1067" s="20"/>
      <c r="AA1067" s="20"/>
      <c r="AB1067" s="20"/>
      <c r="AC1067" s="20"/>
      <c r="AD1067" s="20"/>
      <c r="AE1067" s="20"/>
      <c r="AF1067" s="20"/>
      <c r="AG1067" s="20"/>
      <c r="AH1067" s="20"/>
      <c r="AI1067" s="20"/>
      <c r="AJ1067" s="20"/>
      <c r="AK1067" s="20"/>
      <c r="AL1067" s="20"/>
      <c r="AM1067" s="20"/>
      <c r="AN1067" s="20"/>
      <c r="AO1067" s="20"/>
      <c r="AP1067" s="20"/>
      <c r="AQ1067" s="20"/>
      <c r="AR1067" s="20"/>
      <c r="AS1067" s="20"/>
      <c r="AT1067" s="20"/>
      <c r="AU1067" s="20"/>
      <c r="AV1067" s="20"/>
      <c r="AW1067" s="20"/>
      <c r="AX1067" s="20"/>
      <c r="AY1067" s="20"/>
      <c r="AZ1067" s="20"/>
      <c r="BA1067" s="20"/>
      <c r="BB1067" s="20"/>
      <c r="BC1067" s="20"/>
      <c r="BD1067" s="20"/>
      <c r="BE1067" s="20"/>
      <c r="BF1067" s="20"/>
      <c r="BG1067" s="20"/>
      <c r="BH1067" s="20"/>
      <c r="BI1067" s="20"/>
      <c r="BJ1067" s="20"/>
      <c r="BK1067" s="20"/>
      <c r="BL1067" s="20"/>
      <c r="BM1067" s="20"/>
      <c r="BN1067" s="20"/>
      <c r="BO1067" s="20"/>
      <c r="BP1067" s="20"/>
      <c r="BQ1067" s="20"/>
      <c r="BR1067" s="20"/>
      <c r="BS1067" s="20"/>
      <c r="BT1067" s="20"/>
      <c r="BU1067" s="20"/>
      <c r="BV1067" s="20"/>
      <c r="BW1067" s="20"/>
      <c r="BX1067" s="20"/>
      <c r="BY1067" s="20"/>
      <c r="BZ1067" s="20"/>
      <c r="CA1067" s="20"/>
      <c r="CB1067" s="21"/>
      <c r="CC1067" s="27" t="str">
        <f t="shared" si="176"/>
        <v/>
      </c>
      <c r="CD1067" s="38" t="str">
        <f t="shared" si="177"/>
        <v/>
      </c>
      <c r="CE1067" s="38" t="str">
        <f t="shared" si="178"/>
        <v/>
      </c>
      <c r="CF1067" s="38" t="str">
        <f t="shared" si="179"/>
        <v/>
      </c>
      <c r="CG1067" s="38" t="str">
        <f t="shared" si="180"/>
        <v/>
      </c>
      <c r="CH1067" s="38" t="str">
        <f t="shared" si="181"/>
        <v/>
      </c>
      <c r="CI1067" s="38" t="str">
        <f t="shared" si="182"/>
        <v/>
      </c>
      <c r="CJ1067" s="38" t="str">
        <f t="shared" si="183"/>
        <v/>
      </c>
      <c r="CK1067" s="38" t="str">
        <f t="shared" si="184"/>
        <v/>
      </c>
      <c r="CL1067" s="38" t="str">
        <f>IF(C1067="","",IF(COUNT(G1067:AZ1067)&lt;46,"",SUMPRODUCT(CC1067:CK1067,'تنظیمات وزن‌دهی'!$C$5:$C$13)/100))</f>
        <v/>
      </c>
      <c r="CM1067" s="38" t="str">
        <f t="shared" si="185"/>
        <v/>
      </c>
      <c r="CN1067" s="38">
        <v>7</v>
      </c>
      <c r="CO1067" s="28" t="str">
        <f t="shared" si="186"/>
        <v/>
      </c>
      <c r="CP1067" s="58"/>
    </row>
    <row r="1068" spans="1:94" ht="17.25" hidden="1">
      <c r="A1068" s="33">
        <v>1064</v>
      </c>
      <c r="B1068" s="55" t="s">
        <v>190</v>
      </c>
      <c r="C1068" s="55" t="str">
        <f>IF(دانش‌آموزان!E93="","",دانش‌آموزان!B93)</f>
        <v/>
      </c>
      <c r="D1068" s="55" t="str">
        <f>IF(دانش‌آموزان!C93="","",دانش‌آموزان!C93)</f>
        <v/>
      </c>
      <c r="E1068" s="55" t="str">
        <f>IF(دانش‌آموزان!E93="","",دانش‌آموزان!E93&amp;" "&amp;دانش‌آموزان!F93)</f>
        <v/>
      </c>
      <c r="F1068" s="34" t="str">
        <f>IF(دانش‌آموزان!I93="","",دانش‌آموزان!I93)</f>
        <v/>
      </c>
      <c r="G1068" s="19"/>
      <c r="H1068" s="20"/>
      <c r="I1068" s="20"/>
      <c r="J1068" s="20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0"/>
      <c r="W1068" s="20"/>
      <c r="X1068" s="20"/>
      <c r="Y1068" s="20"/>
      <c r="Z1068" s="20"/>
      <c r="AA1068" s="20"/>
      <c r="AB1068" s="20"/>
      <c r="AC1068" s="20"/>
      <c r="AD1068" s="20"/>
      <c r="AE1068" s="20"/>
      <c r="AF1068" s="20"/>
      <c r="AG1068" s="20"/>
      <c r="AH1068" s="20"/>
      <c r="AI1068" s="20"/>
      <c r="AJ1068" s="20"/>
      <c r="AK1068" s="20"/>
      <c r="AL1068" s="20"/>
      <c r="AM1068" s="20"/>
      <c r="AN1068" s="20"/>
      <c r="AO1068" s="20"/>
      <c r="AP1068" s="20"/>
      <c r="AQ1068" s="20"/>
      <c r="AR1068" s="20"/>
      <c r="AS1068" s="20"/>
      <c r="AT1068" s="20"/>
      <c r="AU1068" s="20"/>
      <c r="AV1068" s="20"/>
      <c r="AW1068" s="20"/>
      <c r="AX1068" s="20"/>
      <c r="AY1068" s="20"/>
      <c r="AZ1068" s="20"/>
      <c r="BA1068" s="20"/>
      <c r="BB1068" s="20"/>
      <c r="BC1068" s="20"/>
      <c r="BD1068" s="20"/>
      <c r="BE1068" s="20"/>
      <c r="BF1068" s="20"/>
      <c r="BG1068" s="20"/>
      <c r="BH1068" s="20"/>
      <c r="BI1068" s="20"/>
      <c r="BJ1068" s="20"/>
      <c r="BK1068" s="20"/>
      <c r="BL1068" s="20"/>
      <c r="BM1068" s="20"/>
      <c r="BN1068" s="20"/>
      <c r="BO1068" s="20"/>
      <c r="BP1068" s="20"/>
      <c r="BQ1068" s="20"/>
      <c r="BR1068" s="20"/>
      <c r="BS1068" s="20"/>
      <c r="BT1068" s="20"/>
      <c r="BU1068" s="20"/>
      <c r="BV1068" s="20"/>
      <c r="BW1068" s="20"/>
      <c r="BX1068" s="20"/>
      <c r="BY1068" s="20"/>
      <c r="BZ1068" s="20"/>
      <c r="CA1068" s="20"/>
      <c r="CB1068" s="21"/>
      <c r="CC1068" s="27" t="str">
        <f t="shared" si="176"/>
        <v/>
      </c>
      <c r="CD1068" s="38" t="str">
        <f t="shared" si="177"/>
        <v/>
      </c>
      <c r="CE1068" s="38" t="str">
        <f t="shared" si="178"/>
        <v/>
      </c>
      <c r="CF1068" s="38" t="str">
        <f t="shared" si="179"/>
        <v/>
      </c>
      <c r="CG1068" s="38" t="str">
        <f t="shared" si="180"/>
        <v/>
      </c>
      <c r="CH1068" s="38" t="str">
        <f t="shared" si="181"/>
        <v/>
      </c>
      <c r="CI1068" s="38" t="str">
        <f t="shared" si="182"/>
        <v/>
      </c>
      <c r="CJ1068" s="38" t="str">
        <f t="shared" si="183"/>
        <v/>
      </c>
      <c r="CK1068" s="38" t="str">
        <f t="shared" si="184"/>
        <v/>
      </c>
      <c r="CL1068" s="38" t="str">
        <f>IF(C1068="","",IF(COUNT(G1068:AZ1068)&lt;46,"",SUMPRODUCT(CC1068:CK1068,'تنظیمات وزن‌دهی'!$C$5:$C$13)/100))</f>
        <v/>
      </c>
      <c r="CM1068" s="38" t="str">
        <f t="shared" si="185"/>
        <v/>
      </c>
      <c r="CN1068" s="38">
        <v>8</v>
      </c>
      <c r="CO1068" s="28" t="str">
        <f t="shared" si="186"/>
        <v/>
      </c>
      <c r="CP1068" s="58"/>
    </row>
    <row r="1069" spans="1:94" ht="17.25" hidden="1">
      <c r="A1069" s="33">
        <v>1065</v>
      </c>
      <c r="B1069" s="55" t="s">
        <v>191</v>
      </c>
      <c r="C1069" s="55" t="str">
        <f>IF(دانش‌آموزان!E93="","",دانش‌آموزان!B93)</f>
        <v/>
      </c>
      <c r="D1069" s="55" t="str">
        <f>IF(دانش‌آموزان!C93="","",دانش‌آموزان!C93)</f>
        <v/>
      </c>
      <c r="E1069" s="55" t="str">
        <f>IF(دانش‌آموزان!E93="","",دانش‌آموزان!E93&amp;" "&amp;دانش‌آموزان!F93)</f>
        <v/>
      </c>
      <c r="F1069" s="34" t="str">
        <f>IF(دانش‌آموزان!I93="","",دانش‌آموزان!I93)</f>
        <v/>
      </c>
      <c r="G1069" s="19"/>
      <c r="H1069" s="20"/>
      <c r="I1069" s="20"/>
      <c r="J1069" s="20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0"/>
      <c r="W1069" s="20"/>
      <c r="X1069" s="20"/>
      <c r="Y1069" s="20"/>
      <c r="Z1069" s="20"/>
      <c r="AA1069" s="20"/>
      <c r="AB1069" s="20"/>
      <c r="AC1069" s="20"/>
      <c r="AD1069" s="20"/>
      <c r="AE1069" s="20"/>
      <c r="AF1069" s="20"/>
      <c r="AG1069" s="20"/>
      <c r="AH1069" s="20"/>
      <c r="AI1069" s="20"/>
      <c r="AJ1069" s="20"/>
      <c r="AK1069" s="20"/>
      <c r="AL1069" s="20"/>
      <c r="AM1069" s="20"/>
      <c r="AN1069" s="20"/>
      <c r="AO1069" s="20"/>
      <c r="AP1069" s="20"/>
      <c r="AQ1069" s="20"/>
      <c r="AR1069" s="20"/>
      <c r="AS1069" s="20"/>
      <c r="AT1069" s="20"/>
      <c r="AU1069" s="20"/>
      <c r="AV1069" s="20"/>
      <c r="AW1069" s="20"/>
      <c r="AX1069" s="20"/>
      <c r="AY1069" s="20"/>
      <c r="AZ1069" s="20"/>
      <c r="BA1069" s="20"/>
      <c r="BB1069" s="20"/>
      <c r="BC1069" s="20"/>
      <c r="BD1069" s="20"/>
      <c r="BE1069" s="20"/>
      <c r="BF1069" s="20"/>
      <c r="BG1069" s="20"/>
      <c r="BH1069" s="20"/>
      <c r="BI1069" s="20"/>
      <c r="BJ1069" s="20"/>
      <c r="BK1069" s="20"/>
      <c r="BL1069" s="20"/>
      <c r="BM1069" s="20"/>
      <c r="BN1069" s="20"/>
      <c r="BO1069" s="20"/>
      <c r="BP1069" s="20"/>
      <c r="BQ1069" s="20"/>
      <c r="BR1069" s="20"/>
      <c r="BS1069" s="20"/>
      <c r="BT1069" s="20"/>
      <c r="BU1069" s="20"/>
      <c r="BV1069" s="20"/>
      <c r="BW1069" s="20"/>
      <c r="BX1069" s="20"/>
      <c r="BY1069" s="20"/>
      <c r="BZ1069" s="20"/>
      <c r="CA1069" s="20"/>
      <c r="CB1069" s="21"/>
      <c r="CC1069" s="27" t="str">
        <f t="shared" si="176"/>
        <v/>
      </c>
      <c r="CD1069" s="38" t="str">
        <f t="shared" si="177"/>
        <v/>
      </c>
      <c r="CE1069" s="38" t="str">
        <f t="shared" si="178"/>
        <v/>
      </c>
      <c r="CF1069" s="38" t="str">
        <f t="shared" si="179"/>
        <v/>
      </c>
      <c r="CG1069" s="38" t="str">
        <f t="shared" si="180"/>
        <v/>
      </c>
      <c r="CH1069" s="38" t="str">
        <f t="shared" si="181"/>
        <v/>
      </c>
      <c r="CI1069" s="38" t="str">
        <f t="shared" si="182"/>
        <v/>
      </c>
      <c r="CJ1069" s="38" t="str">
        <f t="shared" si="183"/>
        <v/>
      </c>
      <c r="CK1069" s="38" t="str">
        <f t="shared" si="184"/>
        <v/>
      </c>
      <c r="CL1069" s="38" t="str">
        <f>IF(C1069="","",IF(COUNT(G1069:AZ1069)&lt;46,"",SUMPRODUCT(CC1069:CK1069,'تنظیمات وزن‌دهی'!$C$5:$C$13)/100))</f>
        <v/>
      </c>
      <c r="CM1069" s="38" t="str">
        <f t="shared" si="185"/>
        <v/>
      </c>
      <c r="CN1069" s="38">
        <v>9</v>
      </c>
      <c r="CO1069" s="28" t="str">
        <f t="shared" si="186"/>
        <v/>
      </c>
      <c r="CP1069" s="58"/>
    </row>
    <row r="1070" spans="1:94" ht="17.25" hidden="1">
      <c r="A1070" s="33">
        <v>1066</v>
      </c>
      <c r="B1070" s="55" t="s">
        <v>192</v>
      </c>
      <c r="C1070" s="55" t="str">
        <f>IF(دانش‌آموزان!E93="","",دانش‌آموزان!B93)</f>
        <v/>
      </c>
      <c r="D1070" s="55" t="str">
        <f>IF(دانش‌آموزان!C93="","",دانش‌آموزان!C93)</f>
        <v/>
      </c>
      <c r="E1070" s="55" t="str">
        <f>IF(دانش‌آموزان!E93="","",دانش‌آموزان!E93&amp;" "&amp;دانش‌آموزان!F93)</f>
        <v/>
      </c>
      <c r="F1070" s="34" t="str">
        <f>IF(دانش‌آموزان!I93="","",دانش‌آموزان!I93)</f>
        <v/>
      </c>
      <c r="G1070" s="19"/>
      <c r="H1070" s="20"/>
      <c r="I1070" s="20"/>
      <c r="J1070" s="20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0"/>
      <c r="W1070" s="20"/>
      <c r="X1070" s="20"/>
      <c r="Y1070" s="20"/>
      <c r="Z1070" s="20"/>
      <c r="AA1070" s="20"/>
      <c r="AB1070" s="20"/>
      <c r="AC1070" s="20"/>
      <c r="AD1070" s="20"/>
      <c r="AE1070" s="20"/>
      <c r="AF1070" s="20"/>
      <c r="AG1070" s="20"/>
      <c r="AH1070" s="20"/>
      <c r="AI1070" s="20"/>
      <c r="AJ1070" s="20"/>
      <c r="AK1070" s="20"/>
      <c r="AL1070" s="20"/>
      <c r="AM1070" s="20"/>
      <c r="AN1070" s="20"/>
      <c r="AO1070" s="20"/>
      <c r="AP1070" s="20"/>
      <c r="AQ1070" s="20"/>
      <c r="AR1070" s="20"/>
      <c r="AS1070" s="20"/>
      <c r="AT1070" s="20"/>
      <c r="AU1070" s="20"/>
      <c r="AV1070" s="20"/>
      <c r="AW1070" s="20"/>
      <c r="AX1070" s="20"/>
      <c r="AY1070" s="20"/>
      <c r="AZ1070" s="20"/>
      <c r="BA1070" s="20"/>
      <c r="BB1070" s="20"/>
      <c r="BC1070" s="20"/>
      <c r="BD1070" s="20"/>
      <c r="BE1070" s="20"/>
      <c r="BF1070" s="20"/>
      <c r="BG1070" s="20"/>
      <c r="BH1070" s="20"/>
      <c r="BI1070" s="20"/>
      <c r="BJ1070" s="20"/>
      <c r="BK1070" s="20"/>
      <c r="BL1070" s="20"/>
      <c r="BM1070" s="20"/>
      <c r="BN1070" s="20"/>
      <c r="BO1070" s="20"/>
      <c r="BP1070" s="20"/>
      <c r="BQ1070" s="20"/>
      <c r="BR1070" s="20"/>
      <c r="BS1070" s="20"/>
      <c r="BT1070" s="20"/>
      <c r="BU1070" s="20"/>
      <c r="BV1070" s="20"/>
      <c r="BW1070" s="20"/>
      <c r="BX1070" s="20"/>
      <c r="BY1070" s="20"/>
      <c r="BZ1070" s="20"/>
      <c r="CA1070" s="20"/>
      <c r="CB1070" s="21"/>
      <c r="CC1070" s="27" t="str">
        <f t="shared" si="176"/>
        <v/>
      </c>
      <c r="CD1070" s="38" t="str">
        <f t="shared" si="177"/>
        <v/>
      </c>
      <c r="CE1070" s="38" t="str">
        <f t="shared" si="178"/>
        <v/>
      </c>
      <c r="CF1070" s="38" t="str">
        <f t="shared" si="179"/>
        <v/>
      </c>
      <c r="CG1070" s="38" t="str">
        <f t="shared" si="180"/>
        <v/>
      </c>
      <c r="CH1070" s="38" t="str">
        <f t="shared" si="181"/>
        <v/>
      </c>
      <c r="CI1070" s="38" t="str">
        <f t="shared" si="182"/>
        <v/>
      </c>
      <c r="CJ1070" s="38" t="str">
        <f t="shared" si="183"/>
        <v/>
      </c>
      <c r="CK1070" s="38" t="str">
        <f t="shared" si="184"/>
        <v/>
      </c>
      <c r="CL1070" s="38" t="str">
        <f>IF(C1070="","",IF(COUNT(G1070:AZ1070)&lt;46,"",SUMPRODUCT(CC1070:CK1070,'تنظیمات وزن‌دهی'!$C$5:$C$13)/100))</f>
        <v/>
      </c>
      <c r="CM1070" s="38" t="str">
        <f t="shared" si="185"/>
        <v/>
      </c>
      <c r="CN1070" s="38">
        <v>10</v>
      </c>
      <c r="CO1070" s="28" t="str">
        <f t="shared" si="186"/>
        <v/>
      </c>
      <c r="CP1070" s="58"/>
    </row>
    <row r="1071" spans="1:94" ht="17.25" hidden="1">
      <c r="A1071" s="33">
        <v>1067</v>
      </c>
      <c r="B1071" s="55" t="s">
        <v>193</v>
      </c>
      <c r="C1071" s="55" t="str">
        <f>IF(دانش‌آموزان!E93="","",دانش‌آموزان!B93)</f>
        <v/>
      </c>
      <c r="D1071" s="55" t="str">
        <f>IF(دانش‌آموزان!C93="","",دانش‌آموزان!C93)</f>
        <v/>
      </c>
      <c r="E1071" s="55" t="str">
        <f>IF(دانش‌آموزان!E93="","",دانش‌آموزان!E93&amp;" "&amp;دانش‌آموزان!F93)</f>
        <v/>
      </c>
      <c r="F1071" s="34" t="str">
        <f>IF(دانش‌آموزان!I93="","",دانش‌آموزان!I93)</f>
        <v/>
      </c>
      <c r="G1071" s="19"/>
      <c r="H1071" s="20"/>
      <c r="I1071" s="20"/>
      <c r="J1071" s="20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20"/>
      <c r="W1071" s="20"/>
      <c r="X1071" s="20"/>
      <c r="Y1071" s="20"/>
      <c r="Z1071" s="20"/>
      <c r="AA1071" s="20"/>
      <c r="AB1071" s="20"/>
      <c r="AC1071" s="20"/>
      <c r="AD1071" s="20"/>
      <c r="AE1071" s="20"/>
      <c r="AF1071" s="20"/>
      <c r="AG1071" s="20"/>
      <c r="AH1071" s="20"/>
      <c r="AI1071" s="20"/>
      <c r="AJ1071" s="20"/>
      <c r="AK1071" s="20"/>
      <c r="AL1071" s="20"/>
      <c r="AM1071" s="20"/>
      <c r="AN1071" s="20"/>
      <c r="AO1071" s="20"/>
      <c r="AP1071" s="20"/>
      <c r="AQ1071" s="20"/>
      <c r="AR1071" s="20"/>
      <c r="AS1071" s="20"/>
      <c r="AT1071" s="20"/>
      <c r="AU1071" s="20"/>
      <c r="AV1071" s="20"/>
      <c r="AW1071" s="20"/>
      <c r="AX1071" s="20"/>
      <c r="AY1071" s="20"/>
      <c r="AZ1071" s="20"/>
      <c r="BA1071" s="20"/>
      <c r="BB1071" s="20"/>
      <c r="BC1071" s="20"/>
      <c r="BD1071" s="20"/>
      <c r="BE1071" s="20"/>
      <c r="BF1071" s="20"/>
      <c r="BG1071" s="20"/>
      <c r="BH1071" s="20"/>
      <c r="BI1071" s="20"/>
      <c r="BJ1071" s="20"/>
      <c r="BK1071" s="20"/>
      <c r="BL1071" s="20"/>
      <c r="BM1071" s="20"/>
      <c r="BN1071" s="20"/>
      <c r="BO1071" s="20"/>
      <c r="BP1071" s="20"/>
      <c r="BQ1071" s="20"/>
      <c r="BR1071" s="20"/>
      <c r="BS1071" s="20"/>
      <c r="BT1071" s="20"/>
      <c r="BU1071" s="20"/>
      <c r="BV1071" s="20"/>
      <c r="BW1071" s="20"/>
      <c r="BX1071" s="20"/>
      <c r="BY1071" s="20"/>
      <c r="BZ1071" s="20"/>
      <c r="CA1071" s="20"/>
      <c r="CB1071" s="21"/>
      <c r="CC1071" s="27" t="str">
        <f t="shared" si="176"/>
        <v/>
      </c>
      <c r="CD1071" s="38" t="str">
        <f t="shared" si="177"/>
        <v/>
      </c>
      <c r="CE1071" s="38" t="str">
        <f t="shared" si="178"/>
        <v/>
      </c>
      <c r="CF1071" s="38" t="str">
        <f t="shared" si="179"/>
        <v/>
      </c>
      <c r="CG1071" s="38" t="str">
        <f t="shared" si="180"/>
        <v/>
      </c>
      <c r="CH1071" s="38" t="str">
        <f t="shared" si="181"/>
        <v/>
      </c>
      <c r="CI1071" s="38" t="str">
        <f t="shared" si="182"/>
        <v/>
      </c>
      <c r="CJ1071" s="38" t="str">
        <f t="shared" si="183"/>
        <v/>
      </c>
      <c r="CK1071" s="38" t="str">
        <f t="shared" si="184"/>
        <v/>
      </c>
      <c r="CL1071" s="38" t="str">
        <f>IF(C1071="","",IF(COUNT(G1071:AZ1071)&lt;46,"",SUMPRODUCT(CC1071:CK1071,'تنظیمات وزن‌دهی'!$C$5:$C$13)/100))</f>
        <v/>
      </c>
      <c r="CM1071" s="38" t="str">
        <f t="shared" si="185"/>
        <v/>
      </c>
      <c r="CN1071" s="38">
        <v>11</v>
      </c>
      <c r="CO1071" s="28" t="str">
        <f t="shared" si="186"/>
        <v/>
      </c>
      <c r="CP1071" s="58"/>
    </row>
    <row r="1072" spans="1:94" ht="17.25" hidden="1">
      <c r="A1072" s="33">
        <v>1068</v>
      </c>
      <c r="B1072" s="55" t="s">
        <v>194</v>
      </c>
      <c r="C1072" s="55" t="str">
        <f>IF(دانش‌آموزان!E93="","",دانش‌آموزان!B93)</f>
        <v/>
      </c>
      <c r="D1072" s="55" t="str">
        <f>IF(دانش‌آموزان!C93="","",دانش‌آموزان!C93)</f>
        <v/>
      </c>
      <c r="E1072" s="55" t="str">
        <f>IF(دانش‌آموزان!E93="","",دانش‌آموزان!E93&amp;" "&amp;دانش‌آموزان!F93)</f>
        <v/>
      </c>
      <c r="F1072" s="34" t="str">
        <f>IF(دانش‌آموزان!I93="","",دانش‌آموزان!I93)</f>
        <v/>
      </c>
      <c r="G1072" s="19"/>
      <c r="H1072" s="20"/>
      <c r="I1072" s="20"/>
      <c r="J1072" s="20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  <c r="W1072" s="20"/>
      <c r="X1072" s="20"/>
      <c r="Y1072" s="20"/>
      <c r="Z1072" s="20"/>
      <c r="AA1072" s="20"/>
      <c r="AB1072" s="20"/>
      <c r="AC1072" s="20"/>
      <c r="AD1072" s="20"/>
      <c r="AE1072" s="20"/>
      <c r="AF1072" s="20"/>
      <c r="AG1072" s="20"/>
      <c r="AH1072" s="20"/>
      <c r="AI1072" s="20"/>
      <c r="AJ1072" s="20"/>
      <c r="AK1072" s="20"/>
      <c r="AL1072" s="20"/>
      <c r="AM1072" s="20"/>
      <c r="AN1072" s="20"/>
      <c r="AO1072" s="20"/>
      <c r="AP1072" s="20"/>
      <c r="AQ1072" s="20"/>
      <c r="AR1072" s="20"/>
      <c r="AS1072" s="20"/>
      <c r="AT1072" s="20"/>
      <c r="AU1072" s="20"/>
      <c r="AV1072" s="20"/>
      <c r="AW1072" s="20"/>
      <c r="AX1072" s="20"/>
      <c r="AY1072" s="20"/>
      <c r="AZ1072" s="20"/>
      <c r="BA1072" s="20"/>
      <c r="BB1072" s="20"/>
      <c r="BC1072" s="20"/>
      <c r="BD1072" s="20"/>
      <c r="BE1072" s="20"/>
      <c r="BF1072" s="20"/>
      <c r="BG1072" s="20"/>
      <c r="BH1072" s="20"/>
      <c r="BI1072" s="20"/>
      <c r="BJ1072" s="20"/>
      <c r="BK1072" s="20"/>
      <c r="BL1072" s="20"/>
      <c r="BM1072" s="20"/>
      <c r="BN1072" s="20"/>
      <c r="BO1072" s="20"/>
      <c r="BP1072" s="20"/>
      <c r="BQ1072" s="20"/>
      <c r="BR1072" s="20"/>
      <c r="BS1072" s="20"/>
      <c r="BT1072" s="20"/>
      <c r="BU1072" s="20"/>
      <c r="BV1072" s="20"/>
      <c r="BW1072" s="20"/>
      <c r="BX1072" s="20"/>
      <c r="BY1072" s="20"/>
      <c r="BZ1072" s="20"/>
      <c r="CA1072" s="20"/>
      <c r="CB1072" s="21"/>
      <c r="CC1072" s="27" t="str">
        <f t="shared" si="176"/>
        <v/>
      </c>
      <c r="CD1072" s="38" t="str">
        <f t="shared" si="177"/>
        <v/>
      </c>
      <c r="CE1072" s="38" t="str">
        <f t="shared" si="178"/>
        <v/>
      </c>
      <c r="CF1072" s="38" t="str">
        <f t="shared" si="179"/>
        <v/>
      </c>
      <c r="CG1072" s="38" t="str">
        <f t="shared" si="180"/>
        <v/>
      </c>
      <c r="CH1072" s="38" t="str">
        <f t="shared" si="181"/>
        <v/>
      </c>
      <c r="CI1072" s="38" t="str">
        <f t="shared" si="182"/>
        <v/>
      </c>
      <c r="CJ1072" s="38" t="str">
        <f t="shared" si="183"/>
        <v/>
      </c>
      <c r="CK1072" s="38" t="str">
        <f t="shared" si="184"/>
        <v/>
      </c>
      <c r="CL1072" s="38" t="str">
        <f>IF(C1072="","",IF(COUNT(G1072:AZ1072)&lt;46,"",SUMPRODUCT(CC1072:CK1072,'تنظیمات وزن‌دهی'!$C$5:$C$13)/100))</f>
        <v/>
      </c>
      <c r="CM1072" s="38" t="str">
        <f t="shared" si="185"/>
        <v/>
      </c>
      <c r="CN1072" s="38">
        <v>12</v>
      </c>
      <c r="CO1072" s="28" t="str">
        <f t="shared" si="186"/>
        <v/>
      </c>
      <c r="CP1072" s="58"/>
    </row>
    <row r="1073" spans="1:94" ht="17.25" hidden="1">
      <c r="A1073" s="33">
        <v>1069</v>
      </c>
      <c r="B1073" s="55" t="s">
        <v>183</v>
      </c>
      <c r="C1073" s="55" t="str">
        <f>IF(دانش‌آموزان!E94="","",دانش‌آموزان!B94)</f>
        <v/>
      </c>
      <c r="D1073" s="55" t="str">
        <f>IF(دانش‌آموزان!C94="","",دانش‌آموزان!C94)</f>
        <v/>
      </c>
      <c r="E1073" s="55" t="str">
        <f>IF(دانش‌آموزان!E94="","",دانش‌آموزان!E94&amp;" "&amp;دانش‌آموزان!F94)</f>
        <v/>
      </c>
      <c r="F1073" s="34" t="str">
        <f>IF(دانش‌آموزان!I94="","",دانش‌آموزان!I94)</f>
        <v/>
      </c>
      <c r="G1073" s="19"/>
      <c r="H1073" s="20"/>
      <c r="I1073" s="20"/>
      <c r="J1073" s="20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20"/>
      <c r="W1073" s="20"/>
      <c r="X1073" s="20"/>
      <c r="Y1073" s="20"/>
      <c r="Z1073" s="20"/>
      <c r="AA1073" s="20"/>
      <c r="AB1073" s="20"/>
      <c r="AC1073" s="20"/>
      <c r="AD1073" s="20"/>
      <c r="AE1073" s="20"/>
      <c r="AF1073" s="20"/>
      <c r="AG1073" s="20"/>
      <c r="AH1073" s="20"/>
      <c r="AI1073" s="20"/>
      <c r="AJ1073" s="20"/>
      <c r="AK1073" s="20"/>
      <c r="AL1073" s="20"/>
      <c r="AM1073" s="20"/>
      <c r="AN1073" s="20"/>
      <c r="AO1073" s="20"/>
      <c r="AP1073" s="20"/>
      <c r="AQ1073" s="20"/>
      <c r="AR1073" s="20"/>
      <c r="AS1073" s="20"/>
      <c r="AT1073" s="20"/>
      <c r="AU1073" s="20"/>
      <c r="AV1073" s="20"/>
      <c r="AW1073" s="20"/>
      <c r="AX1073" s="20"/>
      <c r="AY1073" s="20"/>
      <c r="AZ1073" s="20"/>
      <c r="BA1073" s="20"/>
      <c r="BB1073" s="20"/>
      <c r="BC1073" s="20"/>
      <c r="BD1073" s="20"/>
      <c r="BE1073" s="20"/>
      <c r="BF1073" s="20"/>
      <c r="BG1073" s="20"/>
      <c r="BH1073" s="20"/>
      <c r="BI1073" s="20"/>
      <c r="BJ1073" s="20"/>
      <c r="BK1073" s="20"/>
      <c r="BL1073" s="20"/>
      <c r="BM1073" s="20"/>
      <c r="BN1073" s="20"/>
      <c r="BO1073" s="20"/>
      <c r="BP1073" s="20"/>
      <c r="BQ1073" s="20"/>
      <c r="BR1073" s="20"/>
      <c r="BS1073" s="20"/>
      <c r="BT1073" s="20"/>
      <c r="BU1073" s="20"/>
      <c r="BV1073" s="20"/>
      <c r="BW1073" s="20"/>
      <c r="BX1073" s="20"/>
      <c r="BY1073" s="20"/>
      <c r="BZ1073" s="20"/>
      <c r="CA1073" s="20"/>
      <c r="CB1073" s="21"/>
      <c r="CC1073" s="27" t="str">
        <f t="shared" si="176"/>
        <v/>
      </c>
      <c r="CD1073" s="38" t="str">
        <f t="shared" si="177"/>
        <v/>
      </c>
      <c r="CE1073" s="38" t="str">
        <f t="shared" si="178"/>
        <v/>
      </c>
      <c r="CF1073" s="38" t="str">
        <f t="shared" si="179"/>
        <v/>
      </c>
      <c r="CG1073" s="38" t="str">
        <f t="shared" si="180"/>
        <v/>
      </c>
      <c r="CH1073" s="38" t="str">
        <f t="shared" si="181"/>
        <v/>
      </c>
      <c r="CI1073" s="38" t="str">
        <f t="shared" si="182"/>
        <v/>
      </c>
      <c r="CJ1073" s="38" t="str">
        <f t="shared" si="183"/>
        <v/>
      </c>
      <c r="CK1073" s="38" t="str">
        <f t="shared" si="184"/>
        <v/>
      </c>
      <c r="CL1073" s="38" t="str">
        <f>IF(C1073="","",IF(COUNT(G1073:AZ1073)&lt;46,"",SUMPRODUCT(CC1073:CK1073,'تنظیمات وزن‌دهی'!$C$5:$C$13)/100))</f>
        <v/>
      </c>
      <c r="CM1073" s="38" t="str">
        <f t="shared" si="185"/>
        <v/>
      </c>
      <c r="CN1073" s="38">
        <v>1</v>
      </c>
      <c r="CO1073" s="28" t="str">
        <f t="shared" si="186"/>
        <v/>
      </c>
      <c r="CP1073" s="58"/>
    </row>
    <row r="1074" spans="1:94" ht="17.25" hidden="1">
      <c r="A1074" s="33">
        <v>1070</v>
      </c>
      <c r="B1074" s="55" t="s">
        <v>184</v>
      </c>
      <c r="C1074" s="55" t="str">
        <f>IF(دانش‌آموزان!E94="","",دانش‌آموزان!B94)</f>
        <v/>
      </c>
      <c r="D1074" s="55" t="str">
        <f>IF(دانش‌آموزان!C94="","",دانش‌آموزان!C94)</f>
        <v/>
      </c>
      <c r="E1074" s="55" t="str">
        <f>IF(دانش‌آموزان!E94="","",دانش‌آموزان!E94&amp;" "&amp;دانش‌آموزان!F94)</f>
        <v/>
      </c>
      <c r="F1074" s="34" t="str">
        <f>IF(دانش‌آموزان!I94="","",دانش‌آموزان!I94)</f>
        <v/>
      </c>
      <c r="G1074" s="19"/>
      <c r="H1074" s="20"/>
      <c r="I1074" s="20"/>
      <c r="J1074" s="20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0"/>
      <c r="W1074" s="20"/>
      <c r="X1074" s="20"/>
      <c r="Y1074" s="20"/>
      <c r="Z1074" s="20"/>
      <c r="AA1074" s="20"/>
      <c r="AB1074" s="20"/>
      <c r="AC1074" s="20"/>
      <c r="AD1074" s="20"/>
      <c r="AE1074" s="20"/>
      <c r="AF1074" s="20"/>
      <c r="AG1074" s="20"/>
      <c r="AH1074" s="20"/>
      <c r="AI1074" s="20"/>
      <c r="AJ1074" s="20"/>
      <c r="AK1074" s="20"/>
      <c r="AL1074" s="20"/>
      <c r="AM1074" s="20"/>
      <c r="AN1074" s="20"/>
      <c r="AO1074" s="20"/>
      <c r="AP1074" s="20"/>
      <c r="AQ1074" s="20"/>
      <c r="AR1074" s="20"/>
      <c r="AS1074" s="20"/>
      <c r="AT1074" s="20"/>
      <c r="AU1074" s="20"/>
      <c r="AV1074" s="20"/>
      <c r="AW1074" s="20"/>
      <c r="AX1074" s="20"/>
      <c r="AY1074" s="20"/>
      <c r="AZ1074" s="20"/>
      <c r="BA1074" s="20"/>
      <c r="BB1074" s="20"/>
      <c r="BC1074" s="20"/>
      <c r="BD1074" s="20"/>
      <c r="BE1074" s="20"/>
      <c r="BF1074" s="20"/>
      <c r="BG1074" s="20"/>
      <c r="BH1074" s="20"/>
      <c r="BI1074" s="20"/>
      <c r="BJ1074" s="20"/>
      <c r="BK1074" s="20"/>
      <c r="BL1074" s="20"/>
      <c r="BM1074" s="20"/>
      <c r="BN1074" s="20"/>
      <c r="BO1074" s="20"/>
      <c r="BP1074" s="20"/>
      <c r="BQ1074" s="20"/>
      <c r="BR1074" s="20"/>
      <c r="BS1074" s="20"/>
      <c r="BT1074" s="20"/>
      <c r="BU1074" s="20"/>
      <c r="BV1074" s="20"/>
      <c r="BW1074" s="20"/>
      <c r="BX1074" s="20"/>
      <c r="BY1074" s="20"/>
      <c r="BZ1074" s="20"/>
      <c r="CA1074" s="20"/>
      <c r="CB1074" s="21"/>
      <c r="CC1074" s="27" t="str">
        <f t="shared" si="176"/>
        <v/>
      </c>
      <c r="CD1074" s="38" t="str">
        <f t="shared" si="177"/>
        <v/>
      </c>
      <c r="CE1074" s="38" t="str">
        <f t="shared" si="178"/>
        <v/>
      </c>
      <c r="CF1074" s="38" t="str">
        <f t="shared" si="179"/>
        <v/>
      </c>
      <c r="CG1074" s="38" t="str">
        <f t="shared" si="180"/>
        <v/>
      </c>
      <c r="CH1074" s="38" t="str">
        <f t="shared" si="181"/>
        <v/>
      </c>
      <c r="CI1074" s="38" t="str">
        <f t="shared" si="182"/>
        <v/>
      </c>
      <c r="CJ1074" s="38" t="str">
        <f t="shared" si="183"/>
        <v/>
      </c>
      <c r="CK1074" s="38" t="str">
        <f t="shared" si="184"/>
        <v/>
      </c>
      <c r="CL1074" s="38" t="str">
        <f>IF(C1074="","",IF(COUNT(G1074:AZ1074)&lt;46,"",SUMPRODUCT(CC1074:CK1074,'تنظیمات وزن‌دهی'!$C$5:$C$13)/100))</f>
        <v/>
      </c>
      <c r="CM1074" s="38" t="str">
        <f t="shared" si="185"/>
        <v/>
      </c>
      <c r="CN1074" s="38">
        <v>2</v>
      </c>
      <c r="CO1074" s="28" t="str">
        <f t="shared" si="186"/>
        <v/>
      </c>
      <c r="CP1074" s="58"/>
    </row>
    <row r="1075" spans="1:94" ht="17.25">
      <c r="A1075" s="33">
        <v>1071</v>
      </c>
      <c r="B1075" s="55" t="s">
        <v>185</v>
      </c>
      <c r="C1075" s="55" t="str">
        <f>IF(دانش‌آموزان!E94="","",دانش‌آموزان!B94)</f>
        <v/>
      </c>
      <c r="D1075" s="55" t="str">
        <f>IF(دانش‌آموزان!C94="","",دانش‌آموزان!C94)</f>
        <v/>
      </c>
      <c r="E1075" s="55" t="str">
        <f>IF(دانش‌آموزان!E94="","",دانش‌آموزان!E94&amp;" "&amp;دانش‌آموزان!F94)</f>
        <v/>
      </c>
      <c r="F1075" s="34" t="str">
        <f>IF(دانش‌آموزان!I94="","",دانش‌آموزان!I94)</f>
        <v/>
      </c>
      <c r="G1075" s="19"/>
      <c r="H1075" s="20"/>
      <c r="I1075" s="20"/>
      <c r="J1075" s="20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20"/>
      <c r="W1075" s="20"/>
      <c r="X1075" s="20"/>
      <c r="Y1075" s="20"/>
      <c r="Z1075" s="20"/>
      <c r="AA1075" s="20"/>
      <c r="AB1075" s="20"/>
      <c r="AC1075" s="20"/>
      <c r="AD1075" s="20"/>
      <c r="AE1075" s="20"/>
      <c r="AF1075" s="20"/>
      <c r="AG1075" s="20"/>
      <c r="AH1075" s="20"/>
      <c r="AI1075" s="20"/>
      <c r="AJ1075" s="20"/>
      <c r="AK1075" s="20"/>
      <c r="AL1075" s="20"/>
      <c r="AM1075" s="20"/>
      <c r="AN1075" s="20"/>
      <c r="AO1075" s="20"/>
      <c r="AP1075" s="20"/>
      <c r="AQ1075" s="20"/>
      <c r="AR1075" s="20"/>
      <c r="AS1075" s="20"/>
      <c r="AT1075" s="20"/>
      <c r="AU1075" s="20"/>
      <c r="AV1075" s="20"/>
      <c r="AW1075" s="20"/>
      <c r="AX1075" s="20"/>
      <c r="AY1075" s="20"/>
      <c r="AZ1075" s="20"/>
      <c r="BA1075" s="20"/>
      <c r="BB1075" s="20"/>
      <c r="BC1075" s="20"/>
      <c r="BD1075" s="20"/>
      <c r="BE1075" s="20"/>
      <c r="BF1075" s="20"/>
      <c r="BG1075" s="20"/>
      <c r="BH1075" s="20"/>
      <c r="BI1075" s="20"/>
      <c r="BJ1075" s="20"/>
      <c r="BK1075" s="20"/>
      <c r="BL1075" s="20"/>
      <c r="BM1075" s="20"/>
      <c r="BN1075" s="20"/>
      <c r="BO1075" s="20"/>
      <c r="BP1075" s="20"/>
      <c r="BQ1075" s="20"/>
      <c r="BR1075" s="20"/>
      <c r="BS1075" s="20"/>
      <c r="BT1075" s="20"/>
      <c r="BU1075" s="20"/>
      <c r="BV1075" s="20"/>
      <c r="BW1075" s="20"/>
      <c r="BX1075" s="20"/>
      <c r="BY1075" s="20"/>
      <c r="BZ1075" s="20"/>
      <c r="CA1075" s="20"/>
      <c r="CB1075" s="21"/>
      <c r="CC1075" s="27" t="str">
        <f t="shared" si="176"/>
        <v/>
      </c>
      <c r="CD1075" s="38" t="str">
        <f t="shared" si="177"/>
        <v/>
      </c>
      <c r="CE1075" s="38" t="str">
        <f t="shared" si="178"/>
        <v/>
      </c>
      <c r="CF1075" s="38" t="str">
        <f t="shared" si="179"/>
        <v/>
      </c>
      <c r="CG1075" s="38" t="str">
        <f t="shared" si="180"/>
        <v/>
      </c>
      <c r="CH1075" s="38" t="str">
        <f t="shared" si="181"/>
        <v/>
      </c>
      <c r="CI1075" s="38" t="str">
        <f t="shared" si="182"/>
        <v/>
      </c>
      <c r="CJ1075" s="38" t="str">
        <f t="shared" si="183"/>
        <v/>
      </c>
      <c r="CK1075" s="38" t="str">
        <f t="shared" si="184"/>
        <v/>
      </c>
      <c r="CL1075" s="38" t="str">
        <f>IF(C1075="","",IF(COUNT(G1075:AZ1075)&lt;46,"",SUMPRODUCT(CC1075:CK1075,'تنظیمات وزن‌دهی'!$C$5:$C$13)/100))</f>
        <v/>
      </c>
      <c r="CM1075" s="38" t="str">
        <f t="shared" si="185"/>
        <v/>
      </c>
      <c r="CN1075" s="38">
        <v>3</v>
      </c>
      <c r="CO1075" s="28" t="str">
        <f t="shared" si="186"/>
        <v/>
      </c>
      <c r="CP1075" s="58"/>
    </row>
    <row r="1076" spans="1:94" ht="17.25" hidden="1">
      <c r="A1076" s="33">
        <v>1072</v>
      </c>
      <c r="B1076" s="55" t="s">
        <v>186</v>
      </c>
      <c r="C1076" s="55" t="str">
        <f>IF(دانش‌آموزان!E94="","",دانش‌آموزان!B94)</f>
        <v/>
      </c>
      <c r="D1076" s="55" t="str">
        <f>IF(دانش‌آموزان!C94="","",دانش‌آموزان!C94)</f>
        <v/>
      </c>
      <c r="E1076" s="55" t="str">
        <f>IF(دانش‌آموزان!E94="","",دانش‌آموزان!E94&amp;" "&amp;دانش‌آموزان!F94)</f>
        <v/>
      </c>
      <c r="F1076" s="34" t="str">
        <f>IF(دانش‌آموزان!I94="","",دانش‌آموزان!I94)</f>
        <v/>
      </c>
      <c r="G1076" s="19"/>
      <c r="H1076" s="20"/>
      <c r="I1076" s="20"/>
      <c r="J1076" s="20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20"/>
      <c r="W1076" s="20"/>
      <c r="X1076" s="20"/>
      <c r="Y1076" s="20"/>
      <c r="Z1076" s="20"/>
      <c r="AA1076" s="20"/>
      <c r="AB1076" s="20"/>
      <c r="AC1076" s="20"/>
      <c r="AD1076" s="20"/>
      <c r="AE1076" s="20"/>
      <c r="AF1076" s="20"/>
      <c r="AG1076" s="20"/>
      <c r="AH1076" s="20"/>
      <c r="AI1076" s="20"/>
      <c r="AJ1076" s="20"/>
      <c r="AK1076" s="20"/>
      <c r="AL1076" s="20"/>
      <c r="AM1076" s="20"/>
      <c r="AN1076" s="20"/>
      <c r="AO1076" s="20"/>
      <c r="AP1076" s="20"/>
      <c r="AQ1076" s="20"/>
      <c r="AR1076" s="20"/>
      <c r="AS1076" s="20"/>
      <c r="AT1076" s="20"/>
      <c r="AU1076" s="20"/>
      <c r="AV1076" s="20"/>
      <c r="AW1076" s="20"/>
      <c r="AX1076" s="20"/>
      <c r="AY1076" s="20"/>
      <c r="AZ1076" s="20"/>
      <c r="BA1076" s="20"/>
      <c r="BB1076" s="20"/>
      <c r="BC1076" s="20"/>
      <c r="BD1076" s="20"/>
      <c r="BE1076" s="20"/>
      <c r="BF1076" s="20"/>
      <c r="BG1076" s="20"/>
      <c r="BH1076" s="20"/>
      <c r="BI1076" s="20"/>
      <c r="BJ1076" s="20"/>
      <c r="BK1076" s="20"/>
      <c r="BL1076" s="20"/>
      <c r="BM1076" s="20"/>
      <c r="BN1076" s="20"/>
      <c r="BO1076" s="20"/>
      <c r="BP1076" s="20"/>
      <c r="BQ1076" s="20"/>
      <c r="BR1076" s="20"/>
      <c r="BS1076" s="20"/>
      <c r="BT1076" s="20"/>
      <c r="BU1076" s="20"/>
      <c r="BV1076" s="20"/>
      <c r="BW1076" s="20"/>
      <c r="BX1076" s="20"/>
      <c r="BY1076" s="20"/>
      <c r="BZ1076" s="20"/>
      <c r="CA1076" s="20"/>
      <c r="CB1076" s="21"/>
      <c r="CC1076" s="27" t="str">
        <f t="shared" si="176"/>
        <v/>
      </c>
      <c r="CD1076" s="38" t="str">
        <f t="shared" si="177"/>
        <v/>
      </c>
      <c r="CE1076" s="38" t="str">
        <f t="shared" si="178"/>
        <v/>
      </c>
      <c r="CF1076" s="38" t="str">
        <f t="shared" si="179"/>
        <v/>
      </c>
      <c r="CG1076" s="38" t="str">
        <f t="shared" si="180"/>
        <v/>
      </c>
      <c r="CH1076" s="38" t="str">
        <f t="shared" si="181"/>
        <v/>
      </c>
      <c r="CI1076" s="38" t="str">
        <f t="shared" si="182"/>
        <v/>
      </c>
      <c r="CJ1076" s="38" t="str">
        <f t="shared" si="183"/>
        <v/>
      </c>
      <c r="CK1076" s="38" t="str">
        <f t="shared" si="184"/>
        <v/>
      </c>
      <c r="CL1076" s="38" t="str">
        <f>IF(C1076="","",IF(COUNT(G1076:AZ1076)&lt;46,"",SUMPRODUCT(CC1076:CK1076,'تنظیمات وزن‌دهی'!$C$5:$C$13)/100))</f>
        <v/>
      </c>
      <c r="CM1076" s="38" t="str">
        <f t="shared" si="185"/>
        <v/>
      </c>
      <c r="CN1076" s="38">
        <v>4</v>
      </c>
      <c r="CO1076" s="28" t="str">
        <f t="shared" si="186"/>
        <v/>
      </c>
      <c r="CP1076" s="58"/>
    </row>
    <row r="1077" spans="1:94" ht="17.25" hidden="1">
      <c r="A1077" s="33">
        <v>1073</v>
      </c>
      <c r="B1077" s="55" t="s">
        <v>187</v>
      </c>
      <c r="C1077" s="55" t="str">
        <f>IF(دانش‌آموزان!E94="","",دانش‌آموزان!B94)</f>
        <v/>
      </c>
      <c r="D1077" s="55" t="str">
        <f>IF(دانش‌آموزان!C94="","",دانش‌آموزان!C94)</f>
        <v/>
      </c>
      <c r="E1077" s="55" t="str">
        <f>IF(دانش‌آموزان!E94="","",دانش‌آموزان!E94&amp;" "&amp;دانش‌آموزان!F94)</f>
        <v/>
      </c>
      <c r="F1077" s="34" t="str">
        <f>IF(دانش‌آموزان!I94="","",دانش‌آموزان!I94)</f>
        <v/>
      </c>
      <c r="G1077" s="19"/>
      <c r="H1077" s="20"/>
      <c r="I1077" s="20"/>
      <c r="J1077" s="20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20"/>
      <c r="W1077" s="20"/>
      <c r="X1077" s="20"/>
      <c r="Y1077" s="20"/>
      <c r="Z1077" s="20"/>
      <c r="AA1077" s="20"/>
      <c r="AB1077" s="20"/>
      <c r="AC1077" s="20"/>
      <c r="AD1077" s="20"/>
      <c r="AE1077" s="20"/>
      <c r="AF1077" s="20"/>
      <c r="AG1077" s="20"/>
      <c r="AH1077" s="20"/>
      <c r="AI1077" s="20"/>
      <c r="AJ1077" s="20"/>
      <c r="AK1077" s="20"/>
      <c r="AL1077" s="20"/>
      <c r="AM1077" s="20"/>
      <c r="AN1077" s="20"/>
      <c r="AO1077" s="20"/>
      <c r="AP1077" s="20"/>
      <c r="AQ1077" s="20"/>
      <c r="AR1077" s="20"/>
      <c r="AS1077" s="20"/>
      <c r="AT1077" s="20"/>
      <c r="AU1077" s="20"/>
      <c r="AV1077" s="20"/>
      <c r="AW1077" s="20"/>
      <c r="AX1077" s="20"/>
      <c r="AY1077" s="20"/>
      <c r="AZ1077" s="20"/>
      <c r="BA1077" s="20"/>
      <c r="BB1077" s="20"/>
      <c r="BC1077" s="20"/>
      <c r="BD1077" s="20"/>
      <c r="BE1077" s="20"/>
      <c r="BF1077" s="20"/>
      <c r="BG1077" s="20"/>
      <c r="BH1077" s="20"/>
      <c r="BI1077" s="20"/>
      <c r="BJ1077" s="20"/>
      <c r="BK1077" s="20"/>
      <c r="BL1077" s="20"/>
      <c r="BM1077" s="20"/>
      <c r="BN1077" s="20"/>
      <c r="BO1077" s="20"/>
      <c r="BP1077" s="20"/>
      <c r="BQ1077" s="20"/>
      <c r="BR1077" s="20"/>
      <c r="BS1077" s="20"/>
      <c r="BT1077" s="20"/>
      <c r="BU1077" s="20"/>
      <c r="BV1077" s="20"/>
      <c r="BW1077" s="20"/>
      <c r="BX1077" s="20"/>
      <c r="BY1077" s="20"/>
      <c r="BZ1077" s="20"/>
      <c r="CA1077" s="20"/>
      <c r="CB1077" s="21"/>
      <c r="CC1077" s="27" t="str">
        <f t="shared" si="176"/>
        <v/>
      </c>
      <c r="CD1077" s="38" t="str">
        <f t="shared" si="177"/>
        <v/>
      </c>
      <c r="CE1077" s="38" t="str">
        <f t="shared" si="178"/>
        <v/>
      </c>
      <c r="CF1077" s="38" t="str">
        <f t="shared" si="179"/>
        <v/>
      </c>
      <c r="CG1077" s="38" t="str">
        <f t="shared" si="180"/>
        <v/>
      </c>
      <c r="CH1077" s="38" t="str">
        <f t="shared" si="181"/>
        <v/>
      </c>
      <c r="CI1077" s="38" t="str">
        <f t="shared" si="182"/>
        <v/>
      </c>
      <c r="CJ1077" s="38" t="str">
        <f t="shared" si="183"/>
        <v/>
      </c>
      <c r="CK1077" s="38" t="str">
        <f t="shared" si="184"/>
        <v/>
      </c>
      <c r="CL1077" s="38" t="str">
        <f>IF(C1077="","",IF(COUNT(G1077:AZ1077)&lt;46,"",SUMPRODUCT(CC1077:CK1077,'تنظیمات وزن‌دهی'!$C$5:$C$13)/100))</f>
        <v/>
      </c>
      <c r="CM1077" s="38" t="str">
        <f t="shared" si="185"/>
        <v/>
      </c>
      <c r="CN1077" s="38">
        <v>5</v>
      </c>
      <c r="CO1077" s="28" t="str">
        <f t="shared" si="186"/>
        <v/>
      </c>
      <c r="CP1077" s="58"/>
    </row>
    <row r="1078" spans="1:94" ht="17.25" hidden="1">
      <c r="A1078" s="33">
        <v>1074</v>
      </c>
      <c r="B1078" s="55" t="s">
        <v>188</v>
      </c>
      <c r="C1078" s="55" t="str">
        <f>IF(دانش‌آموزان!E94="","",دانش‌آموزان!B94)</f>
        <v/>
      </c>
      <c r="D1078" s="55" t="str">
        <f>IF(دانش‌آموزان!C94="","",دانش‌آموزان!C94)</f>
        <v/>
      </c>
      <c r="E1078" s="55" t="str">
        <f>IF(دانش‌آموزان!E94="","",دانش‌آموزان!E94&amp;" "&amp;دانش‌آموزان!F94)</f>
        <v/>
      </c>
      <c r="F1078" s="34" t="str">
        <f>IF(دانش‌آموزان!I94="","",دانش‌آموزان!I94)</f>
        <v/>
      </c>
      <c r="G1078" s="19"/>
      <c r="H1078" s="20"/>
      <c r="I1078" s="20"/>
      <c r="J1078" s="20"/>
      <c r="K1078" s="20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20"/>
      <c r="W1078" s="20"/>
      <c r="X1078" s="20"/>
      <c r="Y1078" s="20"/>
      <c r="Z1078" s="20"/>
      <c r="AA1078" s="20"/>
      <c r="AB1078" s="20"/>
      <c r="AC1078" s="20"/>
      <c r="AD1078" s="20"/>
      <c r="AE1078" s="20"/>
      <c r="AF1078" s="20"/>
      <c r="AG1078" s="20"/>
      <c r="AH1078" s="20"/>
      <c r="AI1078" s="20"/>
      <c r="AJ1078" s="20"/>
      <c r="AK1078" s="20"/>
      <c r="AL1078" s="20"/>
      <c r="AM1078" s="20"/>
      <c r="AN1078" s="20"/>
      <c r="AO1078" s="20"/>
      <c r="AP1078" s="20"/>
      <c r="AQ1078" s="20"/>
      <c r="AR1078" s="20"/>
      <c r="AS1078" s="20"/>
      <c r="AT1078" s="20"/>
      <c r="AU1078" s="20"/>
      <c r="AV1078" s="20"/>
      <c r="AW1078" s="20"/>
      <c r="AX1078" s="20"/>
      <c r="AY1078" s="20"/>
      <c r="AZ1078" s="20"/>
      <c r="BA1078" s="20"/>
      <c r="BB1078" s="20"/>
      <c r="BC1078" s="20"/>
      <c r="BD1078" s="20"/>
      <c r="BE1078" s="20"/>
      <c r="BF1078" s="20"/>
      <c r="BG1078" s="20"/>
      <c r="BH1078" s="20"/>
      <c r="BI1078" s="20"/>
      <c r="BJ1078" s="20"/>
      <c r="BK1078" s="20"/>
      <c r="BL1078" s="20"/>
      <c r="BM1078" s="20"/>
      <c r="BN1078" s="20"/>
      <c r="BO1078" s="20"/>
      <c r="BP1078" s="20"/>
      <c r="BQ1078" s="20"/>
      <c r="BR1078" s="20"/>
      <c r="BS1078" s="20"/>
      <c r="BT1078" s="20"/>
      <c r="BU1078" s="20"/>
      <c r="BV1078" s="20"/>
      <c r="BW1078" s="20"/>
      <c r="BX1078" s="20"/>
      <c r="BY1078" s="20"/>
      <c r="BZ1078" s="20"/>
      <c r="CA1078" s="20"/>
      <c r="CB1078" s="21"/>
      <c r="CC1078" s="27" t="str">
        <f t="shared" si="176"/>
        <v/>
      </c>
      <c r="CD1078" s="38" t="str">
        <f t="shared" si="177"/>
        <v/>
      </c>
      <c r="CE1078" s="38" t="str">
        <f t="shared" si="178"/>
        <v/>
      </c>
      <c r="CF1078" s="38" t="str">
        <f t="shared" si="179"/>
        <v/>
      </c>
      <c r="CG1078" s="38" t="str">
        <f t="shared" si="180"/>
        <v/>
      </c>
      <c r="CH1078" s="38" t="str">
        <f t="shared" si="181"/>
        <v/>
      </c>
      <c r="CI1078" s="38" t="str">
        <f t="shared" si="182"/>
        <v/>
      </c>
      <c r="CJ1078" s="38" t="str">
        <f t="shared" si="183"/>
        <v/>
      </c>
      <c r="CK1078" s="38" t="str">
        <f t="shared" si="184"/>
        <v/>
      </c>
      <c r="CL1078" s="38" t="str">
        <f>IF(C1078="","",IF(COUNT(G1078:AZ1078)&lt;46,"",SUMPRODUCT(CC1078:CK1078,'تنظیمات وزن‌دهی'!$C$5:$C$13)/100))</f>
        <v/>
      </c>
      <c r="CM1078" s="38" t="str">
        <f t="shared" si="185"/>
        <v/>
      </c>
      <c r="CN1078" s="38">
        <v>6</v>
      </c>
      <c r="CO1078" s="28" t="str">
        <f t="shared" si="186"/>
        <v/>
      </c>
      <c r="CP1078" s="58"/>
    </row>
    <row r="1079" spans="1:94" ht="17.25" hidden="1">
      <c r="A1079" s="33">
        <v>1075</v>
      </c>
      <c r="B1079" s="55" t="s">
        <v>189</v>
      </c>
      <c r="C1079" s="55" t="str">
        <f>IF(دانش‌آموزان!E94="","",دانش‌آموزان!B94)</f>
        <v/>
      </c>
      <c r="D1079" s="55" t="str">
        <f>IF(دانش‌آموزان!C94="","",دانش‌آموزان!C94)</f>
        <v/>
      </c>
      <c r="E1079" s="55" t="str">
        <f>IF(دانش‌آموزان!E94="","",دانش‌آموزان!E94&amp;" "&amp;دانش‌آموزان!F94)</f>
        <v/>
      </c>
      <c r="F1079" s="34" t="str">
        <f>IF(دانش‌آموزان!I94="","",دانش‌آموزان!I94)</f>
        <v/>
      </c>
      <c r="G1079" s="19"/>
      <c r="H1079" s="20"/>
      <c r="I1079" s="20"/>
      <c r="J1079" s="20"/>
      <c r="K1079" s="20"/>
      <c r="L1079" s="20"/>
      <c r="M1079" s="20"/>
      <c r="N1079" s="20"/>
      <c r="O1079" s="20"/>
      <c r="P1079" s="20"/>
      <c r="Q1079" s="20"/>
      <c r="R1079" s="20"/>
      <c r="S1079" s="20"/>
      <c r="T1079" s="20"/>
      <c r="U1079" s="20"/>
      <c r="V1079" s="20"/>
      <c r="W1079" s="20"/>
      <c r="X1079" s="20"/>
      <c r="Y1079" s="20"/>
      <c r="Z1079" s="20"/>
      <c r="AA1079" s="20"/>
      <c r="AB1079" s="20"/>
      <c r="AC1079" s="20"/>
      <c r="AD1079" s="20"/>
      <c r="AE1079" s="20"/>
      <c r="AF1079" s="20"/>
      <c r="AG1079" s="20"/>
      <c r="AH1079" s="20"/>
      <c r="AI1079" s="20"/>
      <c r="AJ1079" s="20"/>
      <c r="AK1079" s="20"/>
      <c r="AL1079" s="20"/>
      <c r="AM1079" s="20"/>
      <c r="AN1079" s="20"/>
      <c r="AO1079" s="20"/>
      <c r="AP1079" s="20"/>
      <c r="AQ1079" s="20"/>
      <c r="AR1079" s="20"/>
      <c r="AS1079" s="20"/>
      <c r="AT1079" s="20"/>
      <c r="AU1079" s="20"/>
      <c r="AV1079" s="20"/>
      <c r="AW1079" s="20"/>
      <c r="AX1079" s="20"/>
      <c r="AY1079" s="20"/>
      <c r="AZ1079" s="20"/>
      <c r="BA1079" s="20"/>
      <c r="BB1079" s="20"/>
      <c r="BC1079" s="20"/>
      <c r="BD1079" s="20"/>
      <c r="BE1079" s="20"/>
      <c r="BF1079" s="20"/>
      <c r="BG1079" s="20"/>
      <c r="BH1079" s="20"/>
      <c r="BI1079" s="20"/>
      <c r="BJ1079" s="20"/>
      <c r="BK1079" s="20"/>
      <c r="BL1079" s="20"/>
      <c r="BM1079" s="20"/>
      <c r="BN1079" s="20"/>
      <c r="BO1079" s="20"/>
      <c r="BP1079" s="20"/>
      <c r="BQ1079" s="20"/>
      <c r="BR1079" s="20"/>
      <c r="BS1079" s="20"/>
      <c r="BT1079" s="20"/>
      <c r="BU1079" s="20"/>
      <c r="BV1079" s="20"/>
      <c r="BW1079" s="20"/>
      <c r="BX1079" s="20"/>
      <c r="BY1079" s="20"/>
      <c r="BZ1079" s="20"/>
      <c r="CA1079" s="20"/>
      <c r="CB1079" s="21"/>
      <c r="CC1079" s="27" t="str">
        <f t="shared" si="176"/>
        <v/>
      </c>
      <c r="CD1079" s="38" t="str">
        <f t="shared" si="177"/>
        <v/>
      </c>
      <c r="CE1079" s="38" t="str">
        <f t="shared" si="178"/>
        <v/>
      </c>
      <c r="CF1079" s="38" t="str">
        <f t="shared" si="179"/>
        <v/>
      </c>
      <c r="CG1079" s="38" t="str">
        <f t="shared" si="180"/>
        <v/>
      </c>
      <c r="CH1079" s="38" t="str">
        <f t="shared" si="181"/>
        <v/>
      </c>
      <c r="CI1079" s="38" t="str">
        <f t="shared" si="182"/>
        <v/>
      </c>
      <c r="CJ1079" s="38" t="str">
        <f t="shared" si="183"/>
        <v/>
      </c>
      <c r="CK1079" s="38" t="str">
        <f t="shared" si="184"/>
        <v/>
      </c>
      <c r="CL1079" s="38" t="str">
        <f>IF(C1079="","",IF(COUNT(G1079:AZ1079)&lt;46,"",SUMPRODUCT(CC1079:CK1079,'تنظیمات وزن‌دهی'!$C$5:$C$13)/100))</f>
        <v/>
      </c>
      <c r="CM1079" s="38" t="str">
        <f t="shared" si="185"/>
        <v/>
      </c>
      <c r="CN1079" s="38">
        <v>7</v>
      </c>
      <c r="CO1079" s="28" t="str">
        <f t="shared" si="186"/>
        <v/>
      </c>
      <c r="CP1079" s="58"/>
    </row>
    <row r="1080" spans="1:94" ht="17.25" hidden="1">
      <c r="A1080" s="33">
        <v>1076</v>
      </c>
      <c r="B1080" s="55" t="s">
        <v>190</v>
      </c>
      <c r="C1080" s="55" t="str">
        <f>IF(دانش‌آموزان!E94="","",دانش‌آموزان!B94)</f>
        <v/>
      </c>
      <c r="D1080" s="55" t="str">
        <f>IF(دانش‌آموزان!C94="","",دانش‌آموزان!C94)</f>
        <v/>
      </c>
      <c r="E1080" s="55" t="str">
        <f>IF(دانش‌آموزان!E94="","",دانش‌آموزان!E94&amp;" "&amp;دانش‌آموزان!F94)</f>
        <v/>
      </c>
      <c r="F1080" s="34" t="str">
        <f>IF(دانش‌آموزان!I94="","",دانش‌آموزان!I94)</f>
        <v/>
      </c>
      <c r="G1080" s="19"/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20"/>
      <c r="W1080" s="20"/>
      <c r="X1080" s="20"/>
      <c r="Y1080" s="20"/>
      <c r="Z1080" s="20"/>
      <c r="AA1080" s="20"/>
      <c r="AB1080" s="20"/>
      <c r="AC1080" s="20"/>
      <c r="AD1080" s="20"/>
      <c r="AE1080" s="20"/>
      <c r="AF1080" s="20"/>
      <c r="AG1080" s="20"/>
      <c r="AH1080" s="20"/>
      <c r="AI1080" s="20"/>
      <c r="AJ1080" s="20"/>
      <c r="AK1080" s="20"/>
      <c r="AL1080" s="20"/>
      <c r="AM1080" s="20"/>
      <c r="AN1080" s="20"/>
      <c r="AO1080" s="20"/>
      <c r="AP1080" s="20"/>
      <c r="AQ1080" s="20"/>
      <c r="AR1080" s="20"/>
      <c r="AS1080" s="20"/>
      <c r="AT1080" s="20"/>
      <c r="AU1080" s="20"/>
      <c r="AV1080" s="20"/>
      <c r="AW1080" s="20"/>
      <c r="AX1080" s="20"/>
      <c r="AY1080" s="20"/>
      <c r="AZ1080" s="20"/>
      <c r="BA1080" s="20"/>
      <c r="BB1080" s="20"/>
      <c r="BC1080" s="20"/>
      <c r="BD1080" s="20"/>
      <c r="BE1080" s="20"/>
      <c r="BF1080" s="20"/>
      <c r="BG1080" s="20"/>
      <c r="BH1080" s="20"/>
      <c r="BI1080" s="20"/>
      <c r="BJ1080" s="20"/>
      <c r="BK1080" s="20"/>
      <c r="BL1080" s="20"/>
      <c r="BM1080" s="20"/>
      <c r="BN1080" s="20"/>
      <c r="BO1080" s="20"/>
      <c r="BP1080" s="20"/>
      <c r="BQ1080" s="20"/>
      <c r="BR1080" s="20"/>
      <c r="BS1080" s="20"/>
      <c r="BT1080" s="20"/>
      <c r="BU1080" s="20"/>
      <c r="BV1080" s="20"/>
      <c r="BW1080" s="20"/>
      <c r="BX1080" s="20"/>
      <c r="BY1080" s="20"/>
      <c r="BZ1080" s="20"/>
      <c r="CA1080" s="20"/>
      <c r="CB1080" s="21"/>
      <c r="CC1080" s="27" t="str">
        <f t="shared" si="176"/>
        <v/>
      </c>
      <c r="CD1080" s="38" t="str">
        <f t="shared" si="177"/>
        <v/>
      </c>
      <c r="CE1080" s="38" t="str">
        <f t="shared" si="178"/>
        <v/>
      </c>
      <c r="CF1080" s="38" t="str">
        <f t="shared" si="179"/>
        <v/>
      </c>
      <c r="CG1080" s="38" t="str">
        <f t="shared" si="180"/>
        <v/>
      </c>
      <c r="CH1080" s="38" t="str">
        <f t="shared" si="181"/>
        <v/>
      </c>
      <c r="CI1080" s="38" t="str">
        <f t="shared" si="182"/>
        <v/>
      </c>
      <c r="CJ1080" s="38" t="str">
        <f t="shared" si="183"/>
        <v/>
      </c>
      <c r="CK1080" s="38" t="str">
        <f t="shared" si="184"/>
        <v/>
      </c>
      <c r="CL1080" s="38" t="str">
        <f>IF(C1080="","",IF(COUNT(G1080:AZ1080)&lt;46,"",SUMPRODUCT(CC1080:CK1080,'تنظیمات وزن‌دهی'!$C$5:$C$13)/100))</f>
        <v/>
      </c>
      <c r="CM1080" s="38" t="str">
        <f t="shared" si="185"/>
        <v/>
      </c>
      <c r="CN1080" s="38">
        <v>8</v>
      </c>
      <c r="CO1080" s="28" t="str">
        <f t="shared" si="186"/>
        <v/>
      </c>
      <c r="CP1080" s="58"/>
    </row>
    <row r="1081" spans="1:94" ht="17.25" hidden="1">
      <c r="A1081" s="33">
        <v>1077</v>
      </c>
      <c r="B1081" s="55" t="s">
        <v>191</v>
      </c>
      <c r="C1081" s="55" t="str">
        <f>IF(دانش‌آموزان!E94="","",دانش‌آموزان!B94)</f>
        <v/>
      </c>
      <c r="D1081" s="55" t="str">
        <f>IF(دانش‌آموزان!C94="","",دانش‌آموزان!C94)</f>
        <v/>
      </c>
      <c r="E1081" s="55" t="str">
        <f>IF(دانش‌آموزان!E94="","",دانش‌آموزان!E94&amp;" "&amp;دانش‌آموزان!F94)</f>
        <v/>
      </c>
      <c r="F1081" s="34" t="str">
        <f>IF(دانش‌آموزان!I94="","",دانش‌آموزان!I94)</f>
        <v/>
      </c>
      <c r="G1081" s="19"/>
      <c r="H1081" s="20"/>
      <c r="I1081" s="20"/>
      <c r="J1081" s="20"/>
      <c r="K1081" s="20"/>
      <c r="L1081" s="20"/>
      <c r="M1081" s="20"/>
      <c r="N1081" s="20"/>
      <c r="O1081" s="20"/>
      <c r="P1081" s="20"/>
      <c r="Q1081" s="20"/>
      <c r="R1081" s="20"/>
      <c r="S1081" s="20"/>
      <c r="T1081" s="20"/>
      <c r="U1081" s="20"/>
      <c r="V1081" s="20"/>
      <c r="W1081" s="20"/>
      <c r="X1081" s="20"/>
      <c r="Y1081" s="20"/>
      <c r="Z1081" s="20"/>
      <c r="AA1081" s="20"/>
      <c r="AB1081" s="20"/>
      <c r="AC1081" s="20"/>
      <c r="AD1081" s="20"/>
      <c r="AE1081" s="20"/>
      <c r="AF1081" s="20"/>
      <c r="AG1081" s="20"/>
      <c r="AH1081" s="20"/>
      <c r="AI1081" s="20"/>
      <c r="AJ1081" s="20"/>
      <c r="AK1081" s="20"/>
      <c r="AL1081" s="20"/>
      <c r="AM1081" s="20"/>
      <c r="AN1081" s="20"/>
      <c r="AO1081" s="20"/>
      <c r="AP1081" s="20"/>
      <c r="AQ1081" s="20"/>
      <c r="AR1081" s="20"/>
      <c r="AS1081" s="20"/>
      <c r="AT1081" s="20"/>
      <c r="AU1081" s="20"/>
      <c r="AV1081" s="20"/>
      <c r="AW1081" s="20"/>
      <c r="AX1081" s="20"/>
      <c r="AY1081" s="20"/>
      <c r="AZ1081" s="20"/>
      <c r="BA1081" s="20"/>
      <c r="BB1081" s="20"/>
      <c r="BC1081" s="20"/>
      <c r="BD1081" s="20"/>
      <c r="BE1081" s="20"/>
      <c r="BF1081" s="20"/>
      <c r="BG1081" s="20"/>
      <c r="BH1081" s="20"/>
      <c r="BI1081" s="20"/>
      <c r="BJ1081" s="20"/>
      <c r="BK1081" s="20"/>
      <c r="BL1081" s="20"/>
      <c r="BM1081" s="20"/>
      <c r="BN1081" s="20"/>
      <c r="BO1081" s="20"/>
      <c r="BP1081" s="20"/>
      <c r="BQ1081" s="20"/>
      <c r="BR1081" s="20"/>
      <c r="BS1081" s="20"/>
      <c r="BT1081" s="20"/>
      <c r="BU1081" s="20"/>
      <c r="BV1081" s="20"/>
      <c r="BW1081" s="20"/>
      <c r="BX1081" s="20"/>
      <c r="BY1081" s="20"/>
      <c r="BZ1081" s="20"/>
      <c r="CA1081" s="20"/>
      <c r="CB1081" s="21"/>
      <c r="CC1081" s="27" t="str">
        <f t="shared" si="176"/>
        <v/>
      </c>
      <c r="CD1081" s="38" t="str">
        <f t="shared" si="177"/>
        <v/>
      </c>
      <c r="CE1081" s="38" t="str">
        <f t="shared" si="178"/>
        <v/>
      </c>
      <c r="CF1081" s="38" t="str">
        <f t="shared" si="179"/>
        <v/>
      </c>
      <c r="CG1081" s="38" t="str">
        <f t="shared" si="180"/>
        <v/>
      </c>
      <c r="CH1081" s="38" t="str">
        <f t="shared" si="181"/>
        <v/>
      </c>
      <c r="CI1081" s="38" t="str">
        <f t="shared" si="182"/>
        <v/>
      </c>
      <c r="CJ1081" s="38" t="str">
        <f t="shared" si="183"/>
        <v/>
      </c>
      <c r="CK1081" s="38" t="str">
        <f t="shared" si="184"/>
        <v/>
      </c>
      <c r="CL1081" s="38" t="str">
        <f>IF(C1081="","",IF(COUNT(G1081:AZ1081)&lt;46,"",SUMPRODUCT(CC1081:CK1081,'تنظیمات وزن‌دهی'!$C$5:$C$13)/100))</f>
        <v/>
      </c>
      <c r="CM1081" s="38" t="str">
        <f t="shared" si="185"/>
        <v/>
      </c>
      <c r="CN1081" s="38">
        <v>9</v>
      </c>
      <c r="CO1081" s="28" t="str">
        <f t="shared" si="186"/>
        <v/>
      </c>
      <c r="CP1081" s="58"/>
    </row>
    <row r="1082" spans="1:94" ht="17.25" hidden="1">
      <c r="A1082" s="33">
        <v>1078</v>
      </c>
      <c r="B1082" s="55" t="s">
        <v>192</v>
      </c>
      <c r="C1082" s="55" t="str">
        <f>IF(دانش‌آموزان!E94="","",دانش‌آموزان!B94)</f>
        <v/>
      </c>
      <c r="D1082" s="55" t="str">
        <f>IF(دانش‌آموزان!C94="","",دانش‌آموزان!C94)</f>
        <v/>
      </c>
      <c r="E1082" s="55" t="str">
        <f>IF(دانش‌آموزان!E94="","",دانش‌آموزان!E94&amp;" "&amp;دانش‌آموزان!F94)</f>
        <v/>
      </c>
      <c r="F1082" s="34" t="str">
        <f>IF(دانش‌آموزان!I94="","",دانش‌آموزان!I94)</f>
        <v/>
      </c>
      <c r="G1082" s="19"/>
      <c r="H1082" s="20"/>
      <c r="I1082" s="20"/>
      <c r="J1082" s="20"/>
      <c r="K1082" s="20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20"/>
      <c r="W1082" s="20"/>
      <c r="X1082" s="20"/>
      <c r="Y1082" s="20"/>
      <c r="Z1082" s="20"/>
      <c r="AA1082" s="20"/>
      <c r="AB1082" s="20"/>
      <c r="AC1082" s="20"/>
      <c r="AD1082" s="20"/>
      <c r="AE1082" s="20"/>
      <c r="AF1082" s="20"/>
      <c r="AG1082" s="20"/>
      <c r="AH1082" s="20"/>
      <c r="AI1082" s="20"/>
      <c r="AJ1082" s="20"/>
      <c r="AK1082" s="20"/>
      <c r="AL1082" s="20"/>
      <c r="AM1082" s="20"/>
      <c r="AN1082" s="20"/>
      <c r="AO1082" s="20"/>
      <c r="AP1082" s="20"/>
      <c r="AQ1082" s="20"/>
      <c r="AR1082" s="20"/>
      <c r="AS1082" s="20"/>
      <c r="AT1082" s="20"/>
      <c r="AU1082" s="20"/>
      <c r="AV1082" s="20"/>
      <c r="AW1082" s="20"/>
      <c r="AX1082" s="20"/>
      <c r="AY1082" s="20"/>
      <c r="AZ1082" s="20"/>
      <c r="BA1082" s="20"/>
      <c r="BB1082" s="20"/>
      <c r="BC1082" s="20"/>
      <c r="BD1082" s="20"/>
      <c r="BE1082" s="20"/>
      <c r="BF1082" s="20"/>
      <c r="BG1082" s="20"/>
      <c r="BH1082" s="20"/>
      <c r="BI1082" s="20"/>
      <c r="BJ1082" s="20"/>
      <c r="BK1082" s="20"/>
      <c r="BL1082" s="20"/>
      <c r="BM1082" s="20"/>
      <c r="BN1082" s="20"/>
      <c r="BO1082" s="20"/>
      <c r="BP1082" s="20"/>
      <c r="BQ1082" s="20"/>
      <c r="BR1082" s="20"/>
      <c r="BS1082" s="20"/>
      <c r="BT1082" s="20"/>
      <c r="BU1082" s="20"/>
      <c r="BV1082" s="20"/>
      <c r="BW1082" s="20"/>
      <c r="BX1082" s="20"/>
      <c r="BY1082" s="20"/>
      <c r="BZ1082" s="20"/>
      <c r="CA1082" s="20"/>
      <c r="CB1082" s="21"/>
      <c r="CC1082" s="27" t="str">
        <f t="shared" si="176"/>
        <v/>
      </c>
      <c r="CD1082" s="38" t="str">
        <f t="shared" si="177"/>
        <v/>
      </c>
      <c r="CE1082" s="38" t="str">
        <f t="shared" si="178"/>
        <v/>
      </c>
      <c r="CF1082" s="38" t="str">
        <f t="shared" si="179"/>
        <v/>
      </c>
      <c r="CG1082" s="38" t="str">
        <f t="shared" si="180"/>
        <v/>
      </c>
      <c r="CH1082" s="38" t="str">
        <f t="shared" si="181"/>
        <v/>
      </c>
      <c r="CI1082" s="38" t="str">
        <f t="shared" si="182"/>
        <v/>
      </c>
      <c r="CJ1082" s="38" t="str">
        <f t="shared" si="183"/>
        <v/>
      </c>
      <c r="CK1082" s="38" t="str">
        <f t="shared" si="184"/>
        <v/>
      </c>
      <c r="CL1082" s="38" t="str">
        <f>IF(C1082="","",IF(COUNT(G1082:AZ1082)&lt;46,"",SUMPRODUCT(CC1082:CK1082,'تنظیمات وزن‌دهی'!$C$5:$C$13)/100))</f>
        <v/>
      </c>
      <c r="CM1082" s="38" t="str">
        <f t="shared" si="185"/>
        <v/>
      </c>
      <c r="CN1082" s="38">
        <v>10</v>
      </c>
      <c r="CO1082" s="28" t="str">
        <f t="shared" si="186"/>
        <v/>
      </c>
      <c r="CP1082" s="58"/>
    </row>
    <row r="1083" spans="1:94" ht="17.25" hidden="1">
      <c r="A1083" s="33">
        <v>1079</v>
      </c>
      <c r="B1083" s="55" t="s">
        <v>193</v>
      </c>
      <c r="C1083" s="55" t="str">
        <f>IF(دانش‌آموزان!E94="","",دانش‌آموزان!B94)</f>
        <v/>
      </c>
      <c r="D1083" s="55" t="str">
        <f>IF(دانش‌آموزان!C94="","",دانش‌آموزان!C94)</f>
        <v/>
      </c>
      <c r="E1083" s="55" t="str">
        <f>IF(دانش‌آموزان!E94="","",دانش‌آموزان!E94&amp;" "&amp;دانش‌آموزان!F94)</f>
        <v/>
      </c>
      <c r="F1083" s="34" t="str">
        <f>IF(دانش‌آموزان!I94="","",دانش‌آموزان!I94)</f>
        <v/>
      </c>
      <c r="G1083" s="19"/>
      <c r="H1083" s="20"/>
      <c r="I1083" s="20"/>
      <c r="J1083" s="20"/>
      <c r="K1083" s="20"/>
      <c r="L1083" s="20"/>
      <c r="M1083" s="20"/>
      <c r="N1083" s="20"/>
      <c r="O1083" s="20"/>
      <c r="P1083" s="20"/>
      <c r="Q1083" s="20"/>
      <c r="R1083" s="20"/>
      <c r="S1083" s="20"/>
      <c r="T1083" s="20"/>
      <c r="U1083" s="20"/>
      <c r="V1083" s="20"/>
      <c r="W1083" s="20"/>
      <c r="X1083" s="20"/>
      <c r="Y1083" s="20"/>
      <c r="Z1083" s="20"/>
      <c r="AA1083" s="20"/>
      <c r="AB1083" s="20"/>
      <c r="AC1083" s="20"/>
      <c r="AD1083" s="20"/>
      <c r="AE1083" s="20"/>
      <c r="AF1083" s="20"/>
      <c r="AG1083" s="20"/>
      <c r="AH1083" s="20"/>
      <c r="AI1083" s="20"/>
      <c r="AJ1083" s="20"/>
      <c r="AK1083" s="20"/>
      <c r="AL1083" s="20"/>
      <c r="AM1083" s="20"/>
      <c r="AN1083" s="20"/>
      <c r="AO1083" s="20"/>
      <c r="AP1083" s="20"/>
      <c r="AQ1083" s="20"/>
      <c r="AR1083" s="20"/>
      <c r="AS1083" s="20"/>
      <c r="AT1083" s="20"/>
      <c r="AU1083" s="20"/>
      <c r="AV1083" s="20"/>
      <c r="AW1083" s="20"/>
      <c r="AX1083" s="20"/>
      <c r="AY1083" s="20"/>
      <c r="AZ1083" s="20"/>
      <c r="BA1083" s="20"/>
      <c r="BB1083" s="20"/>
      <c r="BC1083" s="20"/>
      <c r="BD1083" s="20"/>
      <c r="BE1083" s="20"/>
      <c r="BF1083" s="20"/>
      <c r="BG1083" s="20"/>
      <c r="BH1083" s="20"/>
      <c r="BI1083" s="20"/>
      <c r="BJ1083" s="20"/>
      <c r="BK1083" s="20"/>
      <c r="BL1083" s="20"/>
      <c r="BM1083" s="20"/>
      <c r="BN1083" s="20"/>
      <c r="BO1083" s="20"/>
      <c r="BP1083" s="20"/>
      <c r="BQ1083" s="20"/>
      <c r="BR1083" s="20"/>
      <c r="BS1083" s="20"/>
      <c r="BT1083" s="20"/>
      <c r="BU1083" s="20"/>
      <c r="BV1083" s="20"/>
      <c r="BW1083" s="20"/>
      <c r="BX1083" s="20"/>
      <c r="BY1083" s="20"/>
      <c r="BZ1083" s="20"/>
      <c r="CA1083" s="20"/>
      <c r="CB1083" s="21"/>
      <c r="CC1083" s="27" t="str">
        <f t="shared" si="176"/>
        <v/>
      </c>
      <c r="CD1083" s="38" t="str">
        <f t="shared" si="177"/>
        <v/>
      </c>
      <c r="CE1083" s="38" t="str">
        <f t="shared" si="178"/>
        <v/>
      </c>
      <c r="CF1083" s="38" t="str">
        <f t="shared" si="179"/>
        <v/>
      </c>
      <c r="CG1083" s="38" t="str">
        <f t="shared" si="180"/>
        <v/>
      </c>
      <c r="CH1083" s="38" t="str">
        <f t="shared" si="181"/>
        <v/>
      </c>
      <c r="CI1083" s="38" t="str">
        <f t="shared" si="182"/>
        <v/>
      </c>
      <c r="CJ1083" s="38" t="str">
        <f t="shared" si="183"/>
        <v/>
      </c>
      <c r="CK1083" s="38" t="str">
        <f t="shared" si="184"/>
        <v/>
      </c>
      <c r="CL1083" s="38" t="str">
        <f>IF(C1083="","",IF(COUNT(G1083:AZ1083)&lt;46,"",SUMPRODUCT(CC1083:CK1083,'تنظیمات وزن‌دهی'!$C$5:$C$13)/100))</f>
        <v/>
      </c>
      <c r="CM1083" s="38" t="str">
        <f t="shared" si="185"/>
        <v/>
      </c>
      <c r="CN1083" s="38">
        <v>11</v>
      </c>
      <c r="CO1083" s="28" t="str">
        <f t="shared" si="186"/>
        <v/>
      </c>
      <c r="CP1083" s="58"/>
    </row>
    <row r="1084" spans="1:94" ht="17.25" hidden="1">
      <c r="A1084" s="33">
        <v>1080</v>
      </c>
      <c r="B1084" s="55" t="s">
        <v>194</v>
      </c>
      <c r="C1084" s="55" t="str">
        <f>IF(دانش‌آموزان!E94="","",دانش‌آموزان!B94)</f>
        <v/>
      </c>
      <c r="D1084" s="55" t="str">
        <f>IF(دانش‌آموزان!C94="","",دانش‌آموزان!C94)</f>
        <v/>
      </c>
      <c r="E1084" s="55" t="str">
        <f>IF(دانش‌آموزان!E94="","",دانش‌آموزان!E94&amp;" "&amp;دانش‌آموزان!F94)</f>
        <v/>
      </c>
      <c r="F1084" s="34" t="str">
        <f>IF(دانش‌آموزان!I94="","",دانش‌آموزان!I94)</f>
        <v/>
      </c>
      <c r="G1084" s="19"/>
      <c r="H1084" s="20"/>
      <c r="I1084" s="20"/>
      <c r="J1084" s="20"/>
      <c r="K1084" s="20"/>
      <c r="L1084" s="20"/>
      <c r="M1084" s="20"/>
      <c r="N1084" s="20"/>
      <c r="O1084" s="20"/>
      <c r="P1084" s="20"/>
      <c r="Q1084" s="20"/>
      <c r="R1084" s="20"/>
      <c r="S1084" s="20"/>
      <c r="T1084" s="20"/>
      <c r="U1084" s="20"/>
      <c r="V1084" s="20"/>
      <c r="W1084" s="20"/>
      <c r="X1084" s="20"/>
      <c r="Y1084" s="20"/>
      <c r="Z1084" s="20"/>
      <c r="AA1084" s="20"/>
      <c r="AB1084" s="20"/>
      <c r="AC1084" s="20"/>
      <c r="AD1084" s="20"/>
      <c r="AE1084" s="20"/>
      <c r="AF1084" s="20"/>
      <c r="AG1084" s="20"/>
      <c r="AH1084" s="20"/>
      <c r="AI1084" s="20"/>
      <c r="AJ1084" s="20"/>
      <c r="AK1084" s="20"/>
      <c r="AL1084" s="20"/>
      <c r="AM1084" s="20"/>
      <c r="AN1084" s="20"/>
      <c r="AO1084" s="20"/>
      <c r="AP1084" s="20"/>
      <c r="AQ1084" s="20"/>
      <c r="AR1084" s="20"/>
      <c r="AS1084" s="20"/>
      <c r="AT1084" s="20"/>
      <c r="AU1084" s="20"/>
      <c r="AV1084" s="20"/>
      <c r="AW1084" s="20"/>
      <c r="AX1084" s="20"/>
      <c r="AY1084" s="20"/>
      <c r="AZ1084" s="20"/>
      <c r="BA1084" s="20"/>
      <c r="BB1084" s="20"/>
      <c r="BC1084" s="20"/>
      <c r="BD1084" s="20"/>
      <c r="BE1084" s="20"/>
      <c r="BF1084" s="20"/>
      <c r="BG1084" s="20"/>
      <c r="BH1084" s="20"/>
      <c r="BI1084" s="20"/>
      <c r="BJ1084" s="20"/>
      <c r="BK1084" s="20"/>
      <c r="BL1084" s="20"/>
      <c r="BM1084" s="20"/>
      <c r="BN1084" s="20"/>
      <c r="BO1084" s="20"/>
      <c r="BP1084" s="20"/>
      <c r="BQ1084" s="20"/>
      <c r="BR1084" s="20"/>
      <c r="BS1084" s="20"/>
      <c r="BT1084" s="20"/>
      <c r="BU1084" s="20"/>
      <c r="BV1084" s="20"/>
      <c r="BW1084" s="20"/>
      <c r="BX1084" s="20"/>
      <c r="BY1084" s="20"/>
      <c r="BZ1084" s="20"/>
      <c r="CA1084" s="20"/>
      <c r="CB1084" s="21"/>
      <c r="CC1084" s="27" t="str">
        <f t="shared" si="176"/>
        <v/>
      </c>
      <c r="CD1084" s="38" t="str">
        <f t="shared" si="177"/>
        <v/>
      </c>
      <c r="CE1084" s="38" t="str">
        <f t="shared" si="178"/>
        <v/>
      </c>
      <c r="CF1084" s="38" t="str">
        <f t="shared" si="179"/>
        <v/>
      </c>
      <c r="CG1084" s="38" t="str">
        <f t="shared" si="180"/>
        <v/>
      </c>
      <c r="CH1084" s="38" t="str">
        <f t="shared" si="181"/>
        <v/>
      </c>
      <c r="CI1084" s="38" t="str">
        <f t="shared" si="182"/>
        <v/>
      </c>
      <c r="CJ1084" s="38" t="str">
        <f t="shared" si="183"/>
        <v/>
      </c>
      <c r="CK1084" s="38" t="str">
        <f t="shared" si="184"/>
        <v/>
      </c>
      <c r="CL1084" s="38" t="str">
        <f>IF(C1084="","",IF(COUNT(G1084:AZ1084)&lt;46,"",SUMPRODUCT(CC1084:CK1084,'تنظیمات وزن‌دهی'!$C$5:$C$13)/100))</f>
        <v/>
      </c>
      <c r="CM1084" s="38" t="str">
        <f t="shared" si="185"/>
        <v/>
      </c>
      <c r="CN1084" s="38">
        <v>12</v>
      </c>
      <c r="CO1084" s="28" t="str">
        <f t="shared" si="186"/>
        <v/>
      </c>
      <c r="CP1084" s="58"/>
    </row>
    <row r="1085" spans="1:94" ht="17.25" hidden="1">
      <c r="A1085" s="33">
        <v>1081</v>
      </c>
      <c r="B1085" s="55" t="s">
        <v>183</v>
      </c>
      <c r="C1085" s="55" t="str">
        <f>IF(دانش‌آموزان!E95="","",دانش‌آموزان!B95)</f>
        <v/>
      </c>
      <c r="D1085" s="55" t="str">
        <f>IF(دانش‌آموزان!C95="","",دانش‌آموزان!C95)</f>
        <v/>
      </c>
      <c r="E1085" s="55" t="str">
        <f>IF(دانش‌آموزان!E95="","",دانش‌آموزان!E95&amp;" "&amp;دانش‌آموزان!F95)</f>
        <v/>
      </c>
      <c r="F1085" s="34" t="str">
        <f>IF(دانش‌آموزان!I95="","",دانش‌آموزان!I95)</f>
        <v/>
      </c>
      <c r="G1085" s="19"/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20"/>
      <c r="T1085" s="20"/>
      <c r="U1085" s="20"/>
      <c r="V1085" s="20"/>
      <c r="W1085" s="20"/>
      <c r="X1085" s="20"/>
      <c r="Y1085" s="20"/>
      <c r="Z1085" s="20"/>
      <c r="AA1085" s="20"/>
      <c r="AB1085" s="20"/>
      <c r="AC1085" s="20"/>
      <c r="AD1085" s="20"/>
      <c r="AE1085" s="20"/>
      <c r="AF1085" s="20"/>
      <c r="AG1085" s="20"/>
      <c r="AH1085" s="20"/>
      <c r="AI1085" s="20"/>
      <c r="AJ1085" s="20"/>
      <c r="AK1085" s="20"/>
      <c r="AL1085" s="20"/>
      <c r="AM1085" s="20"/>
      <c r="AN1085" s="20"/>
      <c r="AO1085" s="20"/>
      <c r="AP1085" s="20"/>
      <c r="AQ1085" s="20"/>
      <c r="AR1085" s="20"/>
      <c r="AS1085" s="20"/>
      <c r="AT1085" s="20"/>
      <c r="AU1085" s="20"/>
      <c r="AV1085" s="20"/>
      <c r="AW1085" s="20"/>
      <c r="AX1085" s="20"/>
      <c r="AY1085" s="20"/>
      <c r="AZ1085" s="20"/>
      <c r="BA1085" s="20"/>
      <c r="BB1085" s="20"/>
      <c r="BC1085" s="20"/>
      <c r="BD1085" s="20"/>
      <c r="BE1085" s="20"/>
      <c r="BF1085" s="20"/>
      <c r="BG1085" s="20"/>
      <c r="BH1085" s="20"/>
      <c r="BI1085" s="20"/>
      <c r="BJ1085" s="20"/>
      <c r="BK1085" s="20"/>
      <c r="BL1085" s="20"/>
      <c r="BM1085" s="20"/>
      <c r="BN1085" s="20"/>
      <c r="BO1085" s="20"/>
      <c r="BP1085" s="20"/>
      <c r="BQ1085" s="20"/>
      <c r="BR1085" s="20"/>
      <c r="BS1085" s="20"/>
      <c r="BT1085" s="20"/>
      <c r="BU1085" s="20"/>
      <c r="BV1085" s="20"/>
      <c r="BW1085" s="20"/>
      <c r="BX1085" s="20"/>
      <c r="BY1085" s="20"/>
      <c r="BZ1085" s="20"/>
      <c r="CA1085" s="20"/>
      <c r="CB1085" s="21"/>
      <c r="CC1085" s="27" t="str">
        <f t="shared" si="176"/>
        <v/>
      </c>
      <c r="CD1085" s="38" t="str">
        <f t="shared" si="177"/>
        <v/>
      </c>
      <c r="CE1085" s="38" t="str">
        <f t="shared" si="178"/>
        <v/>
      </c>
      <c r="CF1085" s="38" t="str">
        <f t="shared" si="179"/>
        <v/>
      </c>
      <c r="CG1085" s="38" t="str">
        <f t="shared" si="180"/>
        <v/>
      </c>
      <c r="CH1085" s="38" t="str">
        <f t="shared" si="181"/>
        <v/>
      </c>
      <c r="CI1085" s="38" t="str">
        <f t="shared" si="182"/>
        <v/>
      </c>
      <c r="CJ1085" s="38" t="str">
        <f t="shared" si="183"/>
        <v/>
      </c>
      <c r="CK1085" s="38" t="str">
        <f t="shared" si="184"/>
        <v/>
      </c>
      <c r="CL1085" s="38" t="str">
        <f>IF(C1085="","",IF(COUNT(G1085:AZ1085)&lt;46,"",SUMPRODUCT(CC1085:CK1085,'تنظیمات وزن‌دهی'!$C$5:$C$13)/100))</f>
        <v/>
      </c>
      <c r="CM1085" s="38" t="str">
        <f t="shared" si="185"/>
        <v/>
      </c>
      <c r="CN1085" s="38">
        <v>1</v>
      </c>
      <c r="CO1085" s="28" t="str">
        <f t="shared" si="186"/>
        <v/>
      </c>
      <c r="CP1085" s="58"/>
    </row>
    <row r="1086" spans="1:94" ht="17.25" hidden="1">
      <c r="A1086" s="33">
        <v>1082</v>
      </c>
      <c r="B1086" s="55" t="s">
        <v>184</v>
      </c>
      <c r="C1086" s="55" t="str">
        <f>IF(دانش‌آموزان!E95="","",دانش‌آموزان!B95)</f>
        <v/>
      </c>
      <c r="D1086" s="55" t="str">
        <f>IF(دانش‌آموزان!C95="","",دانش‌آموزان!C95)</f>
        <v/>
      </c>
      <c r="E1086" s="55" t="str">
        <f>IF(دانش‌آموزان!E95="","",دانش‌آموزان!E95&amp;" "&amp;دانش‌آموزان!F95)</f>
        <v/>
      </c>
      <c r="F1086" s="34" t="str">
        <f>IF(دانش‌آموزان!I95="","",دانش‌آموزان!I95)</f>
        <v/>
      </c>
      <c r="G1086" s="19"/>
      <c r="H1086" s="20"/>
      <c r="I1086" s="20"/>
      <c r="J1086" s="20"/>
      <c r="K1086" s="20"/>
      <c r="L1086" s="20"/>
      <c r="M1086" s="20"/>
      <c r="N1086" s="20"/>
      <c r="O1086" s="20"/>
      <c r="P1086" s="20"/>
      <c r="Q1086" s="20"/>
      <c r="R1086" s="20"/>
      <c r="S1086" s="20"/>
      <c r="T1086" s="20"/>
      <c r="U1086" s="20"/>
      <c r="V1086" s="20"/>
      <c r="W1086" s="20"/>
      <c r="X1086" s="20"/>
      <c r="Y1086" s="20"/>
      <c r="Z1086" s="20"/>
      <c r="AA1086" s="20"/>
      <c r="AB1086" s="20"/>
      <c r="AC1086" s="20"/>
      <c r="AD1086" s="20"/>
      <c r="AE1086" s="20"/>
      <c r="AF1086" s="20"/>
      <c r="AG1086" s="20"/>
      <c r="AH1086" s="20"/>
      <c r="AI1086" s="20"/>
      <c r="AJ1086" s="20"/>
      <c r="AK1086" s="20"/>
      <c r="AL1086" s="20"/>
      <c r="AM1086" s="20"/>
      <c r="AN1086" s="20"/>
      <c r="AO1086" s="20"/>
      <c r="AP1086" s="20"/>
      <c r="AQ1086" s="20"/>
      <c r="AR1086" s="20"/>
      <c r="AS1086" s="20"/>
      <c r="AT1086" s="20"/>
      <c r="AU1086" s="20"/>
      <c r="AV1086" s="20"/>
      <c r="AW1086" s="20"/>
      <c r="AX1086" s="20"/>
      <c r="AY1086" s="20"/>
      <c r="AZ1086" s="20"/>
      <c r="BA1086" s="20"/>
      <c r="BB1086" s="20"/>
      <c r="BC1086" s="20"/>
      <c r="BD1086" s="20"/>
      <c r="BE1086" s="20"/>
      <c r="BF1086" s="20"/>
      <c r="BG1086" s="20"/>
      <c r="BH1086" s="20"/>
      <c r="BI1086" s="20"/>
      <c r="BJ1086" s="20"/>
      <c r="BK1086" s="20"/>
      <c r="BL1086" s="20"/>
      <c r="BM1086" s="20"/>
      <c r="BN1086" s="20"/>
      <c r="BO1086" s="20"/>
      <c r="BP1086" s="20"/>
      <c r="BQ1086" s="20"/>
      <c r="BR1086" s="20"/>
      <c r="BS1086" s="20"/>
      <c r="BT1086" s="20"/>
      <c r="BU1086" s="20"/>
      <c r="BV1086" s="20"/>
      <c r="BW1086" s="20"/>
      <c r="BX1086" s="20"/>
      <c r="BY1086" s="20"/>
      <c r="BZ1086" s="20"/>
      <c r="CA1086" s="20"/>
      <c r="CB1086" s="21"/>
      <c r="CC1086" s="27" t="str">
        <f t="shared" si="176"/>
        <v/>
      </c>
      <c r="CD1086" s="38" t="str">
        <f t="shared" si="177"/>
        <v/>
      </c>
      <c r="CE1086" s="38" t="str">
        <f t="shared" si="178"/>
        <v/>
      </c>
      <c r="CF1086" s="38" t="str">
        <f t="shared" si="179"/>
        <v/>
      </c>
      <c r="CG1086" s="38" t="str">
        <f t="shared" si="180"/>
        <v/>
      </c>
      <c r="CH1086" s="38" t="str">
        <f t="shared" si="181"/>
        <v/>
      </c>
      <c r="CI1086" s="38" t="str">
        <f t="shared" si="182"/>
        <v/>
      </c>
      <c r="CJ1086" s="38" t="str">
        <f t="shared" si="183"/>
        <v/>
      </c>
      <c r="CK1086" s="38" t="str">
        <f t="shared" si="184"/>
        <v/>
      </c>
      <c r="CL1086" s="38" t="str">
        <f>IF(C1086="","",IF(COUNT(G1086:AZ1086)&lt;46,"",SUMPRODUCT(CC1086:CK1086,'تنظیمات وزن‌دهی'!$C$5:$C$13)/100))</f>
        <v/>
      </c>
      <c r="CM1086" s="38" t="str">
        <f t="shared" si="185"/>
        <v/>
      </c>
      <c r="CN1086" s="38">
        <v>2</v>
      </c>
      <c r="CO1086" s="28" t="str">
        <f t="shared" si="186"/>
        <v/>
      </c>
      <c r="CP1086" s="58"/>
    </row>
    <row r="1087" spans="1:94" ht="17.25">
      <c r="A1087" s="33">
        <v>1083</v>
      </c>
      <c r="B1087" s="55" t="s">
        <v>185</v>
      </c>
      <c r="C1087" s="55" t="str">
        <f>IF(دانش‌آموزان!E95="","",دانش‌آموزان!B95)</f>
        <v/>
      </c>
      <c r="D1087" s="55" t="str">
        <f>IF(دانش‌آموزان!C95="","",دانش‌آموزان!C95)</f>
        <v/>
      </c>
      <c r="E1087" s="55" t="str">
        <f>IF(دانش‌آموزان!E95="","",دانش‌آموزان!E95&amp;" "&amp;دانش‌آموزان!F95)</f>
        <v/>
      </c>
      <c r="F1087" s="34" t="str">
        <f>IF(دانش‌آموزان!I95="","",دانش‌آموزان!I95)</f>
        <v/>
      </c>
      <c r="G1087" s="19"/>
      <c r="H1087" s="20"/>
      <c r="I1087" s="20"/>
      <c r="J1087" s="20"/>
      <c r="K1087" s="20"/>
      <c r="L1087" s="20"/>
      <c r="M1087" s="20"/>
      <c r="N1087" s="20"/>
      <c r="O1087" s="20"/>
      <c r="P1087" s="20"/>
      <c r="Q1087" s="20"/>
      <c r="R1087" s="20"/>
      <c r="S1087" s="20"/>
      <c r="T1087" s="20"/>
      <c r="U1087" s="20"/>
      <c r="V1087" s="20"/>
      <c r="W1087" s="20"/>
      <c r="X1087" s="20"/>
      <c r="Y1087" s="20"/>
      <c r="Z1087" s="20"/>
      <c r="AA1087" s="20"/>
      <c r="AB1087" s="20"/>
      <c r="AC1087" s="20"/>
      <c r="AD1087" s="20"/>
      <c r="AE1087" s="20"/>
      <c r="AF1087" s="20"/>
      <c r="AG1087" s="20"/>
      <c r="AH1087" s="20"/>
      <c r="AI1087" s="20"/>
      <c r="AJ1087" s="20"/>
      <c r="AK1087" s="20"/>
      <c r="AL1087" s="20"/>
      <c r="AM1087" s="20"/>
      <c r="AN1087" s="20"/>
      <c r="AO1087" s="20"/>
      <c r="AP1087" s="20"/>
      <c r="AQ1087" s="20"/>
      <c r="AR1087" s="20"/>
      <c r="AS1087" s="20"/>
      <c r="AT1087" s="20"/>
      <c r="AU1087" s="20"/>
      <c r="AV1087" s="20"/>
      <c r="AW1087" s="20"/>
      <c r="AX1087" s="20"/>
      <c r="AY1087" s="20"/>
      <c r="AZ1087" s="20"/>
      <c r="BA1087" s="20"/>
      <c r="BB1087" s="20"/>
      <c r="BC1087" s="20"/>
      <c r="BD1087" s="20"/>
      <c r="BE1087" s="20"/>
      <c r="BF1087" s="20"/>
      <c r="BG1087" s="20"/>
      <c r="BH1087" s="20"/>
      <c r="BI1087" s="20"/>
      <c r="BJ1087" s="20"/>
      <c r="BK1087" s="20"/>
      <c r="BL1087" s="20"/>
      <c r="BM1087" s="20"/>
      <c r="BN1087" s="20"/>
      <c r="BO1087" s="20"/>
      <c r="BP1087" s="20"/>
      <c r="BQ1087" s="20"/>
      <c r="BR1087" s="20"/>
      <c r="BS1087" s="20"/>
      <c r="BT1087" s="20"/>
      <c r="BU1087" s="20"/>
      <c r="BV1087" s="20"/>
      <c r="BW1087" s="20"/>
      <c r="BX1087" s="20"/>
      <c r="BY1087" s="20"/>
      <c r="BZ1087" s="20"/>
      <c r="CA1087" s="20"/>
      <c r="CB1087" s="21"/>
      <c r="CC1087" s="27" t="str">
        <f t="shared" si="176"/>
        <v/>
      </c>
      <c r="CD1087" s="38" t="str">
        <f t="shared" si="177"/>
        <v/>
      </c>
      <c r="CE1087" s="38" t="str">
        <f t="shared" si="178"/>
        <v/>
      </c>
      <c r="CF1087" s="38" t="str">
        <f t="shared" si="179"/>
        <v/>
      </c>
      <c r="CG1087" s="38" t="str">
        <f t="shared" si="180"/>
        <v/>
      </c>
      <c r="CH1087" s="38" t="str">
        <f t="shared" si="181"/>
        <v/>
      </c>
      <c r="CI1087" s="38" t="str">
        <f t="shared" si="182"/>
        <v/>
      </c>
      <c r="CJ1087" s="38" t="str">
        <f t="shared" si="183"/>
        <v/>
      </c>
      <c r="CK1087" s="38" t="str">
        <f t="shared" si="184"/>
        <v/>
      </c>
      <c r="CL1087" s="38" t="str">
        <f>IF(C1087="","",IF(COUNT(G1087:AZ1087)&lt;46,"",SUMPRODUCT(CC1087:CK1087,'تنظیمات وزن‌دهی'!$C$5:$C$13)/100))</f>
        <v/>
      </c>
      <c r="CM1087" s="38" t="str">
        <f t="shared" si="185"/>
        <v/>
      </c>
      <c r="CN1087" s="38">
        <v>3</v>
      </c>
      <c r="CO1087" s="28" t="str">
        <f t="shared" si="186"/>
        <v/>
      </c>
      <c r="CP1087" s="58"/>
    </row>
    <row r="1088" spans="1:94" ht="17.25" hidden="1">
      <c r="A1088" s="33">
        <v>1084</v>
      </c>
      <c r="B1088" s="55" t="s">
        <v>186</v>
      </c>
      <c r="C1088" s="55" t="str">
        <f>IF(دانش‌آموزان!E95="","",دانش‌آموزان!B95)</f>
        <v/>
      </c>
      <c r="D1088" s="55" t="str">
        <f>IF(دانش‌آموزان!C95="","",دانش‌آموزان!C95)</f>
        <v/>
      </c>
      <c r="E1088" s="55" t="str">
        <f>IF(دانش‌آموزان!E95="","",دانش‌آموزان!E95&amp;" "&amp;دانش‌آموزان!F95)</f>
        <v/>
      </c>
      <c r="F1088" s="34" t="str">
        <f>IF(دانش‌آموزان!I95="","",دانش‌آموزان!I95)</f>
        <v/>
      </c>
      <c r="G1088" s="19"/>
      <c r="H1088" s="20"/>
      <c r="I1088" s="20"/>
      <c r="J1088" s="20"/>
      <c r="K1088" s="20"/>
      <c r="L1088" s="20"/>
      <c r="M1088" s="20"/>
      <c r="N1088" s="20"/>
      <c r="O1088" s="20"/>
      <c r="P1088" s="20"/>
      <c r="Q1088" s="20"/>
      <c r="R1088" s="20"/>
      <c r="S1088" s="20"/>
      <c r="T1088" s="20"/>
      <c r="U1088" s="20"/>
      <c r="V1088" s="20"/>
      <c r="W1088" s="20"/>
      <c r="X1088" s="20"/>
      <c r="Y1088" s="20"/>
      <c r="Z1088" s="20"/>
      <c r="AA1088" s="20"/>
      <c r="AB1088" s="20"/>
      <c r="AC1088" s="20"/>
      <c r="AD1088" s="20"/>
      <c r="AE1088" s="20"/>
      <c r="AF1088" s="20"/>
      <c r="AG1088" s="20"/>
      <c r="AH1088" s="20"/>
      <c r="AI1088" s="20"/>
      <c r="AJ1088" s="20"/>
      <c r="AK1088" s="20"/>
      <c r="AL1088" s="20"/>
      <c r="AM1088" s="20"/>
      <c r="AN1088" s="20"/>
      <c r="AO1088" s="20"/>
      <c r="AP1088" s="20"/>
      <c r="AQ1088" s="20"/>
      <c r="AR1088" s="20"/>
      <c r="AS1088" s="20"/>
      <c r="AT1088" s="20"/>
      <c r="AU1088" s="20"/>
      <c r="AV1088" s="20"/>
      <c r="AW1088" s="20"/>
      <c r="AX1088" s="20"/>
      <c r="AY1088" s="20"/>
      <c r="AZ1088" s="20"/>
      <c r="BA1088" s="20"/>
      <c r="BB1088" s="20"/>
      <c r="BC1088" s="20"/>
      <c r="BD1088" s="20"/>
      <c r="BE1088" s="20"/>
      <c r="BF1088" s="20"/>
      <c r="BG1088" s="20"/>
      <c r="BH1088" s="20"/>
      <c r="BI1088" s="20"/>
      <c r="BJ1088" s="20"/>
      <c r="BK1088" s="20"/>
      <c r="BL1088" s="20"/>
      <c r="BM1088" s="20"/>
      <c r="BN1088" s="20"/>
      <c r="BO1088" s="20"/>
      <c r="BP1088" s="20"/>
      <c r="BQ1088" s="20"/>
      <c r="BR1088" s="20"/>
      <c r="BS1088" s="20"/>
      <c r="BT1088" s="20"/>
      <c r="BU1088" s="20"/>
      <c r="BV1088" s="20"/>
      <c r="BW1088" s="20"/>
      <c r="BX1088" s="20"/>
      <c r="BY1088" s="20"/>
      <c r="BZ1088" s="20"/>
      <c r="CA1088" s="20"/>
      <c r="CB1088" s="21"/>
      <c r="CC1088" s="27" t="str">
        <f t="shared" si="176"/>
        <v/>
      </c>
      <c r="CD1088" s="38" t="str">
        <f t="shared" si="177"/>
        <v/>
      </c>
      <c r="CE1088" s="38" t="str">
        <f t="shared" si="178"/>
        <v/>
      </c>
      <c r="CF1088" s="38" t="str">
        <f t="shared" si="179"/>
        <v/>
      </c>
      <c r="CG1088" s="38" t="str">
        <f t="shared" si="180"/>
        <v/>
      </c>
      <c r="CH1088" s="38" t="str">
        <f t="shared" si="181"/>
        <v/>
      </c>
      <c r="CI1088" s="38" t="str">
        <f t="shared" si="182"/>
        <v/>
      </c>
      <c r="CJ1088" s="38" t="str">
        <f t="shared" si="183"/>
        <v/>
      </c>
      <c r="CK1088" s="38" t="str">
        <f t="shared" si="184"/>
        <v/>
      </c>
      <c r="CL1088" s="38" t="str">
        <f>IF(C1088="","",IF(COUNT(G1088:AZ1088)&lt;46,"",SUMPRODUCT(CC1088:CK1088,'تنظیمات وزن‌دهی'!$C$5:$C$13)/100))</f>
        <v/>
      </c>
      <c r="CM1088" s="38" t="str">
        <f t="shared" si="185"/>
        <v/>
      </c>
      <c r="CN1088" s="38">
        <v>4</v>
      </c>
      <c r="CO1088" s="28" t="str">
        <f t="shared" si="186"/>
        <v/>
      </c>
      <c r="CP1088" s="58"/>
    </row>
    <row r="1089" spans="1:94" ht="17.25" hidden="1">
      <c r="A1089" s="33">
        <v>1085</v>
      </c>
      <c r="B1089" s="55" t="s">
        <v>187</v>
      </c>
      <c r="C1089" s="55" t="str">
        <f>IF(دانش‌آموزان!E95="","",دانش‌آموزان!B95)</f>
        <v/>
      </c>
      <c r="D1089" s="55" t="str">
        <f>IF(دانش‌آموزان!C95="","",دانش‌آموزان!C95)</f>
        <v/>
      </c>
      <c r="E1089" s="55" t="str">
        <f>IF(دانش‌آموزان!E95="","",دانش‌آموزان!E95&amp;" "&amp;دانش‌آموزان!F95)</f>
        <v/>
      </c>
      <c r="F1089" s="34" t="str">
        <f>IF(دانش‌آموزان!I95="","",دانش‌آموزان!I95)</f>
        <v/>
      </c>
      <c r="G1089" s="19"/>
      <c r="H1089" s="20"/>
      <c r="I1089" s="20"/>
      <c r="J1089" s="20"/>
      <c r="K1089" s="20"/>
      <c r="L1089" s="20"/>
      <c r="M1089" s="20"/>
      <c r="N1089" s="20"/>
      <c r="O1089" s="20"/>
      <c r="P1089" s="20"/>
      <c r="Q1089" s="20"/>
      <c r="R1089" s="20"/>
      <c r="S1089" s="20"/>
      <c r="T1089" s="20"/>
      <c r="U1089" s="20"/>
      <c r="V1089" s="20"/>
      <c r="W1089" s="20"/>
      <c r="X1089" s="20"/>
      <c r="Y1089" s="20"/>
      <c r="Z1089" s="20"/>
      <c r="AA1089" s="20"/>
      <c r="AB1089" s="20"/>
      <c r="AC1089" s="20"/>
      <c r="AD1089" s="20"/>
      <c r="AE1089" s="20"/>
      <c r="AF1089" s="20"/>
      <c r="AG1089" s="20"/>
      <c r="AH1089" s="20"/>
      <c r="AI1089" s="20"/>
      <c r="AJ1089" s="20"/>
      <c r="AK1089" s="20"/>
      <c r="AL1089" s="20"/>
      <c r="AM1089" s="20"/>
      <c r="AN1089" s="20"/>
      <c r="AO1089" s="20"/>
      <c r="AP1089" s="20"/>
      <c r="AQ1089" s="20"/>
      <c r="AR1089" s="20"/>
      <c r="AS1089" s="20"/>
      <c r="AT1089" s="20"/>
      <c r="AU1089" s="20"/>
      <c r="AV1089" s="20"/>
      <c r="AW1089" s="20"/>
      <c r="AX1089" s="20"/>
      <c r="AY1089" s="20"/>
      <c r="AZ1089" s="20"/>
      <c r="BA1089" s="20"/>
      <c r="BB1089" s="20"/>
      <c r="BC1089" s="20"/>
      <c r="BD1089" s="20"/>
      <c r="BE1089" s="20"/>
      <c r="BF1089" s="20"/>
      <c r="BG1089" s="20"/>
      <c r="BH1089" s="20"/>
      <c r="BI1089" s="20"/>
      <c r="BJ1089" s="20"/>
      <c r="BK1089" s="20"/>
      <c r="BL1089" s="20"/>
      <c r="BM1089" s="20"/>
      <c r="BN1089" s="20"/>
      <c r="BO1089" s="20"/>
      <c r="BP1089" s="20"/>
      <c r="BQ1089" s="20"/>
      <c r="BR1089" s="20"/>
      <c r="BS1089" s="20"/>
      <c r="BT1089" s="20"/>
      <c r="BU1089" s="20"/>
      <c r="BV1089" s="20"/>
      <c r="BW1089" s="20"/>
      <c r="BX1089" s="20"/>
      <c r="BY1089" s="20"/>
      <c r="BZ1089" s="20"/>
      <c r="CA1089" s="20"/>
      <c r="CB1089" s="21"/>
      <c r="CC1089" s="27" t="str">
        <f t="shared" si="176"/>
        <v/>
      </c>
      <c r="CD1089" s="38" t="str">
        <f t="shared" si="177"/>
        <v/>
      </c>
      <c r="CE1089" s="38" t="str">
        <f t="shared" si="178"/>
        <v/>
      </c>
      <c r="CF1089" s="38" t="str">
        <f t="shared" si="179"/>
        <v/>
      </c>
      <c r="CG1089" s="38" t="str">
        <f t="shared" si="180"/>
        <v/>
      </c>
      <c r="CH1089" s="38" t="str">
        <f t="shared" si="181"/>
        <v/>
      </c>
      <c r="CI1089" s="38" t="str">
        <f t="shared" si="182"/>
        <v/>
      </c>
      <c r="CJ1089" s="38" t="str">
        <f t="shared" si="183"/>
        <v/>
      </c>
      <c r="CK1089" s="38" t="str">
        <f t="shared" si="184"/>
        <v/>
      </c>
      <c r="CL1089" s="38" t="str">
        <f>IF(C1089="","",IF(COUNT(G1089:AZ1089)&lt;46,"",SUMPRODUCT(CC1089:CK1089,'تنظیمات وزن‌دهی'!$C$5:$C$13)/100))</f>
        <v/>
      </c>
      <c r="CM1089" s="38" t="str">
        <f t="shared" si="185"/>
        <v/>
      </c>
      <c r="CN1089" s="38">
        <v>5</v>
      </c>
      <c r="CO1089" s="28" t="str">
        <f t="shared" si="186"/>
        <v/>
      </c>
      <c r="CP1089" s="58"/>
    </row>
    <row r="1090" spans="1:94" ht="17.25" hidden="1">
      <c r="A1090" s="33">
        <v>1086</v>
      </c>
      <c r="B1090" s="55" t="s">
        <v>188</v>
      </c>
      <c r="C1090" s="55" t="str">
        <f>IF(دانش‌آموزان!E95="","",دانش‌آموزان!B95)</f>
        <v/>
      </c>
      <c r="D1090" s="55" t="str">
        <f>IF(دانش‌آموزان!C95="","",دانش‌آموزان!C95)</f>
        <v/>
      </c>
      <c r="E1090" s="55" t="str">
        <f>IF(دانش‌آموزان!E95="","",دانش‌آموزان!E95&amp;" "&amp;دانش‌آموزان!F95)</f>
        <v/>
      </c>
      <c r="F1090" s="34" t="str">
        <f>IF(دانش‌آموزان!I95="","",دانش‌آموزان!I95)</f>
        <v/>
      </c>
      <c r="G1090" s="19"/>
      <c r="H1090" s="20"/>
      <c r="I1090" s="20"/>
      <c r="J1090" s="20"/>
      <c r="K1090" s="20"/>
      <c r="L1090" s="20"/>
      <c r="M1090" s="20"/>
      <c r="N1090" s="20"/>
      <c r="O1090" s="20"/>
      <c r="P1090" s="20"/>
      <c r="Q1090" s="20"/>
      <c r="R1090" s="20"/>
      <c r="S1090" s="20"/>
      <c r="T1090" s="20"/>
      <c r="U1090" s="20"/>
      <c r="V1090" s="20"/>
      <c r="W1090" s="20"/>
      <c r="X1090" s="20"/>
      <c r="Y1090" s="20"/>
      <c r="Z1090" s="20"/>
      <c r="AA1090" s="20"/>
      <c r="AB1090" s="20"/>
      <c r="AC1090" s="20"/>
      <c r="AD1090" s="20"/>
      <c r="AE1090" s="20"/>
      <c r="AF1090" s="20"/>
      <c r="AG1090" s="20"/>
      <c r="AH1090" s="20"/>
      <c r="AI1090" s="20"/>
      <c r="AJ1090" s="20"/>
      <c r="AK1090" s="20"/>
      <c r="AL1090" s="20"/>
      <c r="AM1090" s="20"/>
      <c r="AN1090" s="20"/>
      <c r="AO1090" s="20"/>
      <c r="AP1090" s="20"/>
      <c r="AQ1090" s="20"/>
      <c r="AR1090" s="20"/>
      <c r="AS1090" s="20"/>
      <c r="AT1090" s="20"/>
      <c r="AU1090" s="20"/>
      <c r="AV1090" s="20"/>
      <c r="AW1090" s="20"/>
      <c r="AX1090" s="20"/>
      <c r="AY1090" s="20"/>
      <c r="AZ1090" s="20"/>
      <c r="BA1090" s="20"/>
      <c r="BB1090" s="20"/>
      <c r="BC1090" s="20"/>
      <c r="BD1090" s="20"/>
      <c r="BE1090" s="20"/>
      <c r="BF1090" s="20"/>
      <c r="BG1090" s="20"/>
      <c r="BH1090" s="20"/>
      <c r="BI1090" s="20"/>
      <c r="BJ1090" s="20"/>
      <c r="BK1090" s="20"/>
      <c r="BL1090" s="20"/>
      <c r="BM1090" s="20"/>
      <c r="BN1090" s="20"/>
      <c r="BO1090" s="20"/>
      <c r="BP1090" s="20"/>
      <c r="BQ1090" s="20"/>
      <c r="BR1090" s="20"/>
      <c r="BS1090" s="20"/>
      <c r="BT1090" s="20"/>
      <c r="BU1090" s="20"/>
      <c r="BV1090" s="20"/>
      <c r="BW1090" s="20"/>
      <c r="BX1090" s="20"/>
      <c r="BY1090" s="20"/>
      <c r="BZ1090" s="20"/>
      <c r="CA1090" s="20"/>
      <c r="CB1090" s="21"/>
      <c r="CC1090" s="27" t="str">
        <f t="shared" si="176"/>
        <v/>
      </c>
      <c r="CD1090" s="38" t="str">
        <f t="shared" si="177"/>
        <v/>
      </c>
      <c r="CE1090" s="38" t="str">
        <f t="shared" si="178"/>
        <v/>
      </c>
      <c r="CF1090" s="38" t="str">
        <f t="shared" si="179"/>
        <v/>
      </c>
      <c r="CG1090" s="38" t="str">
        <f t="shared" si="180"/>
        <v/>
      </c>
      <c r="CH1090" s="38" t="str">
        <f t="shared" si="181"/>
        <v/>
      </c>
      <c r="CI1090" s="38" t="str">
        <f t="shared" si="182"/>
        <v/>
      </c>
      <c r="CJ1090" s="38" t="str">
        <f t="shared" si="183"/>
        <v/>
      </c>
      <c r="CK1090" s="38" t="str">
        <f t="shared" si="184"/>
        <v/>
      </c>
      <c r="CL1090" s="38" t="str">
        <f>IF(C1090="","",IF(COUNT(G1090:AZ1090)&lt;46,"",SUMPRODUCT(CC1090:CK1090,'تنظیمات وزن‌دهی'!$C$5:$C$13)/100))</f>
        <v/>
      </c>
      <c r="CM1090" s="38" t="str">
        <f t="shared" si="185"/>
        <v/>
      </c>
      <c r="CN1090" s="38">
        <v>6</v>
      </c>
      <c r="CO1090" s="28" t="str">
        <f t="shared" si="186"/>
        <v/>
      </c>
      <c r="CP1090" s="58"/>
    </row>
    <row r="1091" spans="1:94" ht="17.25" hidden="1">
      <c r="A1091" s="33">
        <v>1087</v>
      </c>
      <c r="B1091" s="55" t="s">
        <v>189</v>
      </c>
      <c r="C1091" s="55" t="str">
        <f>IF(دانش‌آموزان!E95="","",دانش‌آموزان!B95)</f>
        <v/>
      </c>
      <c r="D1091" s="55" t="str">
        <f>IF(دانش‌آموزان!C95="","",دانش‌آموزان!C95)</f>
        <v/>
      </c>
      <c r="E1091" s="55" t="str">
        <f>IF(دانش‌آموزان!E95="","",دانش‌آموزان!E95&amp;" "&amp;دانش‌آموزان!F95)</f>
        <v/>
      </c>
      <c r="F1091" s="34" t="str">
        <f>IF(دانش‌آموزان!I95="","",دانش‌آموزان!I95)</f>
        <v/>
      </c>
      <c r="G1091" s="19"/>
      <c r="H1091" s="20"/>
      <c r="I1091" s="20"/>
      <c r="J1091" s="20"/>
      <c r="K1091" s="20"/>
      <c r="L1091" s="20"/>
      <c r="M1091" s="20"/>
      <c r="N1091" s="20"/>
      <c r="O1091" s="20"/>
      <c r="P1091" s="20"/>
      <c r="Q1091" s="20"/>
      <c r="R1091" s="20"/>
      <c r="S1091" s="20"/>
      <c r="T1091" s="20"/>
      <c r="U1091" s="20"/>
      <c r="V1091" s="20"/>
      <c r="W1091" s="20"/>
      <c r="X1091" s="20"/>
      <c r="Y1091" s="20"/>
      <c r="Z1091" s="20"/>
      <c r="AA1091" s="20"/>
      <c r="AB1091" s="20"/>
      <c r="AC1091" s="20"/>
      <c r="AD1091" s="20"/>
      <c r="AE1091" s="20"/>
      <c r="AF1091" s="20"/>
      <c r="AG1091" s="20"/>
      <c r="AH1091" s="20"/>
      <c r="AI1091" s="20"/>
      <c r="AJ1091" s="20"/>
      <c r="AK1091" s="20"/>
      <c r="AL1091" s="20"/>
      <c r="AM1091" s="20"/>
      <c r="AN1091" s="20"/>
      <c r="AO1091" s="20"/>
      <c r="AP1091" s="20"/>
      <c r="AQ1091" s="20"/>
      <c r="AR1091" s="20"/>
      <c r="AS1091" s="20"/>
      <c r="AT1091" s="20"/>
      <c r="AU1091" s="20"/>
      <c r="AV1091" s="20"/>
      <c r="AW1091" s="20"/>
      <c r="AX1091" s="20"/>
      <c r="AY1091" s="20"/>
      <c r="AZ1091" s="20"/>
      <c r="BA1091" s="20"/>
      <c r="BB1091" s="20"/>
      <c r="BC1091" s="20"/>
      <c r="BD1091" s="20"/>
      <c r="BE1091" s="20"/>
      <c r="BF1091" s="20"/>
      <c r="BG1091" s="20"/>
      <c r="BH1091" s="20"/>
      <c r="BI1091" s="20"/>
      <c r="BJ1091" s="20"/>
      <c r="BK1091" s="20"/>
      <c r="BL1091" s="20"/>
      <c r="BM1091" s="20"/>
      <c r="BN1091" s="20"/>
      <c r="BO1091" s="20"/>
      <c r="BP1091" s="20"/>
      <c r="BQ1091" s="20"/>
      <c r="BR1091" s="20"/>
      <c r="BS1091" s="20"/>
      <c r="BT1091" s="20"/>
      <c r="BU1091" s="20"/>
      <c r="BV1091" s="20"/>
      <c r="BW1091" s="20"/>
      <c r="BX1091" s="20"/>
      <c r="BY1091" s="20"/>
      <c r="BZ1091" s="20"/>
      <c r="CA1091" s="20"/>
      <c r="CB1091" s="21"/>
      <c r="CC1091" s="27" t="str">
        <f t="shared" si="176"/>
        <v/>
      </c>
      <c r="CD1091" s="38" t="str">
        <f t="shared" si="177"/>
        <v/>
      </c>
      <c r="CE1091" s="38" t="str">
        <f t="shared" si="178"/>
        <v/>
      </c>
      <c r="CF1091" s="38" t="str">
        <f t="shared" si="179"/>
        <v/>
      </c>
      <c r="CG1091" s="38" t="str">
        <f t="shared" si="180"/>
        <v/>
      </c>
      <c r="CH1091" s="38" t="str">
        <f t="shared" si="181"/>
        <v/>
      </c>
      <c r="CI1091" s="38" t="str">
        <f t="shared" si="182"/>
        <v/>
      </c>
      <c r="CJ1091" s="38" t="str">
        <f t="shared" si="183"/>
        <v/>
      </c>
      <c r="CK1091" s="38" t="str">
        <f t="shared" si="184"/>
        <v/>
      </c>
      <c r="CL1091" s="38" t="str">
        <f>IF(C1091="","",IF(COUNT(G1091:AZ1091)&lt;46,"",SUMPRODUCT(CC1091:CK1091,'تنظیمات وزن‌دهی'!$C$5:$C$13)/100))</f>
        <v/>
      </c>
      <c r="CM1091" s="38" t="str">
        <f t="shared" si="185"/>
        <v/>
      </c>
      <c r="CN1091" s="38">
        <v>7</v>
      </c>
      <c r="CO1091" s="28" t="str">
        <f t="shared" si="186"/>
        <v/>
      </c>
      <c r="CP1091" s="58"/>
    </row>
    <row r="1092" spans="1:94" ht="17.25" hidden="1">
      <c r="A1092" s="33">
        <v>1088</v>
      </c>
      <c r="B1092" s="55" t="s">
        <v>190</v>
      </c>
      <c r="C1092" s="55" t="str">
        <f>IF(دانش‌آموزان!E95="","",دانش‌آموزان!B95)</f>
        <v/>
      </c>
      <c r="D1092" s="55" t="str">
        <f>IF(دانش‌آموزان!C95="","",دانش‌آموزان!C95)</f>
        <v/>
      </c>
      <c r="E1092" s="55" t="str">
        <f>IF(دانش‌آموزان!E95="","",دانش‌آموزان!E95&amp;" "&amp;دانش‌آموزان!F95)</f>
        <v/>
      </c>
      <c r="F1092" s="34" t="str">
        <f>IF(دانش‌آموزان!I95="","",دانش‌آموزان!I95)</f>
        <v/>
      </c>
      <c r="G1092" s="19"/>
      <c r="H1092" s="20"/>
      <c r="I1092" s="20"/>
      <c r="J1092" s="20"/>
      <c r="K1092" s="20"/>
      <c r="L1092" s="20"/>
      <c r="M1092" s="20"/>
      <c r="N1092" s="20"/>
      <c r="O1092" s="20"/>
      <c r="P1092" s="20"/>
      <c r="Q1092" s="20"/>
      <c r="R1092" s="20"/>
      <c r="S1092" s="20"/>
      <c r="T1092" s="20"/>
      <c r="U1092" s="20"/>
      <c r="V1092" s="20"/>
      <c r="W1092" s="20"/>
      <c r="X1092" s="20"/>
      <c r="Y1092" s="20"/>
      <c r="Z1092" s="20"/>
      <c r="AA1092" s="20"/>
      <c r="AB1092" s="20"/>
      <c r="AC1092" s="20"/>
      <c r="AD1092" s="20"/>
      <c r="AE1092" s="20"/>
      <c r="AF1092" s="20"/>
      <c r="AG1092" s="20"/>
      <c r="AH1092" s="20"/>
      <c r="AI1092" s="20"/>
      <c r="AJ1092" s="20"/>
      <c r="AK1092" s="20"/>
      <c r="AL1092" s="20"/>
      <c r="AM1092" s="20"/>
      <c r="AN1092" s="20"/>
      <c r="AO1092" s="20"/>
      <c r="AP1092" s="20"/>
      <c r="AQ1092" s="20"/>
      <c r="AR1092" s="20"/>
      <c r="AS1092" s="20"/>
      <c r="AT1092" s="20"/>
      <c r="AU1092" s="20"/>
      <c r="AV1092" s="20"/>
      <c r="AW1092" s="20"/>
      <c r="AX1092" s="20"/>
      <c r="AY1092" s="20"/>
      <c r="AZ1092" s="20"/>
      <c r="BA1092" s="20"/>
      <c r="BB1092" s="20"/>
      <c r="BC1092" s="20"/>
      <c r="BD1092" s="20"/>
      <c r="BE1092" s="20"/>
      <c r="BF1092" s="20"/>
      <c r="BG1092" s="20"/>
      <c r="BH1092" s="20"/>
      <c r="BI1092" s="20"/>
      <c r="BJ1092" s="20"/>
      <c r="BK1092" s="20"/>
      <c r="BL1092" s="20"/>
      <c r="BM1092" s="20"/>
      <c r="BN1092" s="20"/>
      <c r="BO1092" s="20"/>
      <c r="BP1092" s="20"/>
      <c r="BQ1092" s="20"/>
      <c r="BR1092" s="20"/>
      <c r="BS1092" s="20"/>
      <c r="BT1092" s="20"/>
      <c r="BU1092" s="20"/>
      <c r="BV1092" s="20"/>
      <c r="BW1092" s="20"/>
      <c r="BX1092" s="20"/>
      <c r="BY1092" s="20"/>
      <c r="BZ1092" s="20"/>
      <c r="CA1092" s="20"/>
      <c r="CB1092" s="21"/>
      <c r="CC1092" s="27" t="str">
        <f t="shared" si="176"/>
        <v/>
      </c>
      <c r="CD1092" s="38" t="str">
        <f t="shared" si="177"/>
        <v/>
      </c>
      <c r="CE1092" s="38" t="str">
        <f t="shared" si="178"/>
        <v/>
      </c>
      <c r="CF1092" s="38" t="str">
        <f t="shared" si="179"/>
        <v/>
      </c>
      <c r="CG1092" s="38" t="str">
        <f t="shared" si="180"/>
        <v/>
      </c>
      <c r="CH1092" s="38" t="str">
        <f t="shared" si="181"/>
        <v/>
      </c>
      <c r="CI1092" s="38" t="str">
        <f t="shared" si="182"/>
        <v/>
      </c>
      <c r="CJ1092" s="38" t="str">
        <f t="shared" si="183"/>
        <v/>
      </c>
      <c r="CK1092" s="38" t="str">
        <f t="shared" si="184"/>
        <v/>
      </c>
      <c r="CL1092" s="38" t="str">
        <f>IF(C1092="","",IF(COUNT(G1092:AZ1092)&lt;46,"",SUMPRODUCT(CC1092:CK1092,'تنظیمات وزن‌دهی'!$C$5:$C$13)/100))</f>
        <v/>
      </c>
      <c r="CM1092" s="38" t="str">
        <f t="shared" si="185"/>
        <v/>
      </c>
      <c r="CN1092" s="38">
        <v>8</v>
      </c>
      <c r="CO1092" s="28" t="str">
        <f t="shared" si="186"/>
        <v/>
      </c>
      <c r="CP1092" s="58"/>
    </row>
    <row r="1093" spans="1:94" ht="17.25" hidden="1">
      <c r="A1093" s="33">
        <v>1089</v>
      </c>
      <c r="B1093" s="55" t="s">
        <v>191</v>
      </c>
      <c r="C1093" s="55" t="str">
        <f>IF(دانش‌آموزان!E95="","",دانش‌آموزان!B95)</f>
        <v/>
      </c>
      <c r="D1093" s="55" t="str">
        <f>IF(دانش‌آموزان!C95="","",دانش‌آموزان!C95)</f>
        <v/>
      </c>
      <c r="E1093" s="55" t="str">
        <f>IF(دانش‌آموزان!E95="","",دانش‌آموزان!E95&amp;" "&amp;دانش‌آموزان!F95)</f>
        <v/>
      </c>
      <c r="F1093" s="34" t="str">
        <f>IF(دانش‌آموزان!I95="","",دانش‌آموزان!I95)</f>
        <v/>
      </c>
      <c r="G1093" s="19"/>
      <c r="H1093" s="20"/>
      <c r="I1093" s="20"/>
      <c r="J1093" s="20"/>
      <c r="K1093" s="20"/>
      <c r="L1093" s="20"/>
      <c r="M1093" s="20"/>
      <c r="N1093" s="20"/>
      <c r="O1093" s="20"/>
      <c r="P1093" s="20"/>
      <c r="Q1093" s="20"/>
      <c r="R1093" s="20"/>
      <c r="S1093" s="20"/>
      <c r="T1093" s="20"/>
      <c r="U1093" s="20"/>
      <c r="V1093" s="20"/>
      <c r="W1093" s="20"/>
      <c r="X1093" s="20"/>
      <c r="Y1093" s="20"/>
      <c r="Z1093" s="20"/>
      <c r="AA1093" s="20"/>
      <c r="AB1093" s="20"/>
      <c r="AC1093" s="20"/>
      <c r="AD1093" s="20"/>
      <c r="AE1093" s="20"/>
      <c r="AF1093" s="20"/>
      <c r="AG1093" s="20"/>
      <c r="AH1093" s="20"/>
      <c r="AI1093" s="20"/>
      <c r="AJ1093" s="20"/>
      <c r="AK1093" s="20"/>
      <c r="AL1093" s="20"/>
      <c r="AM1093" s="20"/>
      <c r="AN1093" s="20"/>
      <c r="AO1093" s="20"/>
      <c r="AP1093" s="20"/>
      <c r="AQ1093" s="20"/>
      <c r="AR1093" s="20"/>
      <c r="AS1093" s="20"/>
      <c r="AT1093" s="20"/>
      <c r="AU1093" s="20"/>
      <c r="AV1093" s="20"/>
      <c r="AW1093" s="20"/>
      <c r="AX1093" s="20"/>
      <c r="AY1093" s="20"/>
      <c r="AZ1093" s="20"/>
      <c r="BA1093" s="20"/>
      <c r="BB1093" s="20"/>
      <c r="BC1093" s="20"/>
      <c r="BD1093" s="20"/>
      <c r="BE1093" s="20"/>
      <c r="BF1093" s="20"/>
      <c r="BG1093" s="20"/>
      <c r="BH1093" s="20"/>
      <c r="BI1093" s="20"/>
      <c r="BJ1093" s="20"/>
      <c r="BK1093" s="20"/>
      <c r="BL1093" s="20"/>
      <c r="BM1093" s="20"/>
      <c r="BN1093" s="20"/>
      <c r="BO1093" s="20"/>
      <c r="BP1093" s="20"/>
      <c r="BQ1093" s="20"/>
      <c r="BR1093" s="20"/>
      <c r="BS1093" s="20"/>
      <c r="BT1093" s="20"/>
      <c r="BU1093" s="20"/>
      <c r="BV1093" s="20"/>
      <c r="BW1093" s="20"/>
      <c r="BX1093" s="20"/>
      <c r="BY1093" s="20"/>
      <c r="BZ1093" s="20"/>
      <c r="CA1093" s="20"/>
      <c r="CB1093" s="21"/>
      <c r="CC1093" s="27" t="str">
        <f t="shared" ref="CC1093:CC1156" si="187">IF(COUNT(G1093:N1093)=0,"",AVERAGE(G1093:N1093)*4)</f>
        <v/>
      </c>
      <c r="CD1093" s="38" t="str">
        <f t="shared" ref="CD1093:CD1156" si="188">IF(COUNT(O1093:S1093)=0,"",AVERAGE(O1093:S1093)*4)</f>
        <v/>
      </c>
      <c r="CE1093" s="38" t="str">
        <f t="shared" ref="CE1093:CE1156" si="189">IF(COUNT(T1093:U1093)=0,"",AVERAGE(T1093:U1093)*4)</f>
        <v/>
      </c>
      <c r="CF1093" s="38" t="str">
        <f t="shared" ref="CF1093:CF1156" si="190">IF(COUNT(V1093:Z1093)=0,"",AVERAGE(V1093:Z1093)*4)</f>
        <v/>
      </c>
      <c r="CG1093" s="38" t="str">
        <f t="shared" ref="CG1093:CG1156" si="191">IF(COUNT(AA1093:AC1093)=0,"",AVERAGE(AA1093:AC1093)*4)</f>
        <v/>
      </c>
      <c r="CH1093" s="38" t="str">
        <f t="shared" ref="CH1093:CH1156" si="192">IF(COUNT(AD1093:AI1093)=0,"",AVERAGE(AD1093:AI1093)*4)</f>
        <v/>
      </c>
      <c r="CI1093" s="38" t="str">
        <f t="shared" ref="CI1093:CI1156" si="193">IF(COUNT(AJ1093:AP1093)=0,"",AVERAGE(AJ1093:AP1093)*4)</f>
        <v/>
      </c>
      <c r="CJ1093" s="38" t="str">
        <f t="shared" ref="CJ1093:CJ1156" si="194">IF(COUNT(AQ1093:AW1093)=0,"",AVERAGE(AQ1093:AW1093)*4)</f>
        <v/>
      </c>
      <c r="CK1093" s="38" t="str">
        <f t="shared" ref="CK1093:CK1156" si="195">IF(COUNT(AX1093:AZ1093)=0,"",AVERAGE(AX1093:AZ1093)*4)</f>
        <v/>
      </c>
      <c r="CL1093" s="38" t="str">
        <f>IF(C1093="","",IF(COUNT(G1093:AZ1093)&lt;46,"",SUMPRODUCT(CC1093:CK1093,'تنظیمات وزن‌دهی'!$C$5:$C$13)/100))</f>
        <v/>
      </c>
      <c r="CM1093" s="38" t="str">
        <f t="shared" ref="CM1093:CM1156" si="196">IF(C1093="","",IF(COUNT(G1093:AZ1093)=0,"",IF(COUNT(G1093:AZ1093)&lt;46,"موقت - اطلاعات ناقص",IF(CL1093&gt;=17,"عالی",IF(CL1093&gt;=14,"خوب",IF(CL1093&gt;=10,"متوسط","ضعیف"))))))</f>
        <v/>
      </c>
      <c r="CN1093" s="38">
        <v>9</v>
      </c>
      <c r="CO1093" s="28" t="str">
        <f t="shared" ref="CO1093:CO1156" si="197">IF(C1093="","",COUNT(G1093:AZ1093)/46)</f>
        <v/>
      </c>
      <c r="CP1093" s="58"/>
    </row>
    <row r="1094" spans="1:94" ht="17.25" hidden="1">
      <c r="A1094" s="33">
        <v>1090</v>
      </c>
      <c r="B1094" s="55" t="s">
        <v>192</v>
      </c>
      <c r="C1094" s="55" t="str">
        <f>IF(دانش‌آموزان!E95="","",دانش‌آموزان!B95)</f>
        <v/>
      </c>
      <c r="D1094" s="55" t="str">
        <f>IF(دانش‌آموزان!C95="","",دانش‌آموزان!C95)</f>
        <v/>
      </c>
      <c r="E1094" s="55" t="str">
        <f>IF(دانش‌آموزان!E95="","",دانش‌آموزان!E95&amp;" "&amp;دانش‌آموزان!F95)</f>
        <v/>
      </c>
      <c r="F1094" s="34" t="str">
        <f>IF(دانش‌آموزان!I95="","",دانش‌آموزان!I95)</f>
        <v/>
      </c>
      <c r="G1094" s="19"/>
      <c r="H1094" s="20"/>
      <c r="I1094" s="20"/>
      <c r="J1094" s="20"/>
      <c r="K1094" s="20"/>
      <c r="L1094" s="20"/>
      <c r="M1094" s="20"/>
      <c r="N1094" s="20"/>
      <c r="O1094" s="20"/>
      <c r="P1094" s="20"/>
      <c r="Q1094" s="20"/>
      <c r="R1094" s="20"/>
      <c r="S1094" s="20"/>
      <c r="T1094" s="20"/>
      <c r="U1094" s="20"/>
      <c r="V1094" s="20"/>
      <c r="W1094" s="20"/>
      <c r="X1094" s="20"/>
      <c r="Y1094" s="20"/>
      <c r="Z1094" s="20"/>
      <c r="AA1094" s="20"/>
      <c r="AB1094" s="20"/>
      <c r="AC1094" s="20"/>
      <c r="AD1094" s="20"/>
      <c r="AE1094" s="20"/>
      <c r="AF1094" s="20"/>
      <c r="AG1094" s="20"/>
      <c r="AH1094" s="20"/>
      <c r="AI1094" s="20"/>
      <c r="AJ1094" s="20"/>
      <c r="AK1094" s="20"/>
      <c r="AL1094" s="20"/>
      <c r="AM1094" s="20"/>
      <c r="AN1094" s="20"/>
      <c r="AO1094" s="20"/>
      <c r="AP1094" s="20"/>
      <c r="AQ1094" s="20"/>
      <c r="AR1094" s="20"/>
      <c r="AS1094" s="20"/>
      <c r="AT1094" s="20"/>
      <c r="AU1094" s="20"/>
      <c r="AV1094" s="20"/>
      <c r="AW1094" s="20"/>
      <c r="AX1094" s="20"/>
      <c r="AY1094" s="20"/>
      <c r="AZ1094" s="20"/>
      <c r="BA1094" s="20"/>
      <c r="BB1094" s="20"/>
      <c r="BC1094" s="20"/>
      <c r="BD1094" s="20"/>
      <c r="BE1094" s="20"/>
      <c r="BF1094" s="20"/>
      <c r="BG1094" s="20"/>
      <c r="BH1094" s="20"/>
      <c r="BI1094" s="20"/>
      <c r="BJ1094" s="20"/>
      <c r="BK1094" s="20"/>
      <c r="BL1094" s="20"/>
      <c r="BM1094" s="20"/>
      <c r="BN1094" s="20"/>
      <c r="BO1094" s="20"/>
      <c r="BP1094" s="20"/>
      <c r="BQ1094" s="20"/>
      <c r="BR1094" s="20"/>
      <c r="BS1094" s="20"/>
      <c r="BT1094" s="20"/>
      <c r="BU1094" s="20"/>
      <c r="BV1094" s="20"/>
      <c r="BW1094" s="20"/>
      <c r="BX1094" s="20"/>
      <c r="BY1094" s="20"/>
      <c r="BZ1094" s="20"/>
      <c r="CA1094" s="20"/>
      <c r="CB1094" s="21"/>
      <c r="CC1094" s="27" t="str">
        <f t="shared" si="187"/>
        <v/>
      </c>
      <c r="CD1094" s="38" t="str">
        <f t="shared" si="188"/>
        <v/>
      </c>
      <c r="CE1094" s="38" t="str">
        <f t="shared" si="189"/>
        <v/>
      </c>
      <c r="CF1094" s="38" t="str">
        <f t="shared" si="190"/>
        <v/>
      </c>
      <c r="CG1094" s="38" t="str">
        <f t="shared" si="191"/>
        <v/>
      </c>
      <c r="CH1094" s="38" t="str">
        <f t="shared" si="192"/>
        <v/>
      </c>
      <c r="CI1094" s="38" t="str">
        <f t="shared" si="193"/>
        <v/>
      </c>
      <c r="CJ1094" s="38" t="str">
        <f t="shared" si="194"/>
        <v/>
      </c>
      <c r="CK1094" s="38" t="str">
        <f t="shared" si="195"/>
        <v/>
      </c>
      <c r="CL1094" s="38" t="str">
        <f>IF(C1094="","",IF(COUNT(G1094:AZ1094)&lt;46,"",SUMPRODUCT(CC1094:CK1094,'تنظیمات وزن‌دهی'!$C$5:$C$13)/100))</f>
        <v/>
      </c>
      <c r="CM1094" s="38" t="str">
        <f t="shared" si="196"/>
        <v/>
      </c>
      <c r="CN1094" s="38">
        <v>10</v>
      </c>
      <c r="CO1094" s="28" t="str">
        <f t="shared" si="197"/>
        <v/>
      </c>
      <c r="CP1094" s="58"/>
    </row>
    <row r="1095" spans="1:94" ht="17.25" hidden="1">
      <c r="A1095" s="33">
        <v>1091</v>
      </c>
      <c r="B1095" s="55" t="s">
        <v>193</v>
      </c>
      <c r="C1095" s="55" t="str">
        <f>IF(دانش‌آموزان!E95="","",دانش‌آموزان!B95)</f>
        <v/>
      </c>
      <c r="D1095" s="55" t="str">
        <f>IF(دانش‌آموزان!C95="","",دانش‌آموزان!C95)</f>
        <v/>
      </c>
      <c r="E1095" s="55" t="str">
        <f>IF(دانش‌آموزان!E95="","",دانش‌آموزان!E95&amp;" "&amp;دانش‌آموزان!F95)</f>
        <v/>
      </c>
      <c r="F1095" s="34" t="str">
        <f>IF(دانش‌آموزان!I95="","",دانش‌آموزان!I95)</f>
        <v/>
      </c>
      <c r="G1095" s="19"/>
      <c r="H1095" s="20"/>
      <c r="I1095" s="20"/>
      <c r="J1095" s="20"/>
      <c r="K1095" s="20"/>
      <c r="L1095" s="20"/>
      <c r="M1095" s="20"/>
      <c r="N1095" s="20"/>
      <c r="O1095" s="20"/>
      <c r="P1095" s="20"/>
      <c r="Q1095" s="20"/>
      <c r="R1095" s="20"/>
      <c r="S1095" s="20"/>
      <c r="T1095" s="20"/>
      <c r="U1095" s="20"/>
      <c r="V1095" s="20"/>
      <c r="W1095" s="20"/>
      <c r="X1095" s="20"/>
      <c r="Y1095" s="20"/>
      <c r="Z1095" s="20"/>
      <c r="AA1095" s="20"/>
      <c r="AB1095" s="20"/>
      <c r="AC1095" s="20"/>
      <c r="AD1095" s="20"/>
      <c r="AE1095" s="20"/>
      <c r="AF1095" s="20"/>
      <c r="AG1095" s="20"/>
      <c r="AH1095" s="20"/>
      <c r="AI1095" s="20"/>
      <c r="AJ1095" s="20"/>
      <c r="AK1095" s="20"/>
      <c r="AL1095" s="20"/>
      <c r="AM1095" s="20"/>
      <c r="AN1095" s="20"/>
      <c r="AO1095" s="20"/>
      <c r="AP1095" s="20"/>
      <c r="AQ1095" s="20"/>
      <c r="AR1095" s="20"/>
      <c r="AS1095" s="20"/>
      <c r="AT1095" s="20"/>
      <c r="AU1095" s="20"/>
      <c r="AV1095" s="20"/>
      <c r="AW1095" s="20"/>
      <c r="AX1095" s="20"/>
      <c r="AY1095" s="20"/>
      <c r="AZ1095" s="20"/>
      <c r="BA1095" s="20"/>
      <c r="BB1095" s="20"/>
      <c r="BC1095" s="20"/>
      <c r="BD1095" s="20"/>
      <c r="BE1095" s="20"/>
      <c r="BF1095" s="20"/>
      <c r="BG1095" s="20"/>
      <c r="BH1095" s="20"/>
      <c r="BI1095" s="20"/>
      <c r="BJ1095" s="20"/>
      <c r="BK1095" s="20"/>
      <c r="BL1095" s="20"/>
      <c r="BM1095" s="20"/>
      <c r="BN1095" s="20"/>
      <c r="BO1095" s="20"/>
      <c r="BP1095" s="20"/>
      <c r="BQ1095" s="20"/>
      <c r="BR1095" s="20"/>
      <c r="BS1095" s="20"/>
      <c r="BT1095" s="20"/>
      <c r="BU1095" s="20"/>
      <c r="BV1095" s="20"/>
      <c r="BW1095" s="20"/>
      <c r="BX1095" s="20"/>
      <c r="BY1095" s="20"/>
      <c r="BZ1095" s="20"/>
      <c r="CA1095" s="20"/>
      <c r="CB1095" s="21"/>
      <c r="CC1095" s="27" t="str">
        <f t="shared" si="187"/>
        <v/>
      </c>
      <c r="CD1095" s="38" t="str">
        <f t="shared" si="188"/>
        <v/>
      </c>
      <c r="CE1095" s="38" t="str">
        <f t="shared" si="189"/>
        <v/>
      </c>
      <c r="CF1095" s="38" t="str">
        <f t="shared" si="190"/>
        <v/>
      </c>
      <c r="CG1095" s="38" t="str">
        <f t="shared" si="191"/>
        <v/>
      </c>
      <c r="CH1095" s="38" t="str">
        <f t="shared" si="192"/>
        <v/>
      </c>
      <c r="CI1095" s="38" t="str">
        <f t="shared" si="193"/>
        <v/>
      </c>
      <c r="CJ1095" s="38" t="str">
        <f t="shared" si="194"/>
        <v/>
      </c>
      <c r="CK1095" s="38" t="str">
        <f t="shared" si="195"/>
        <v/>
      </c>
      <c r="CL1095" s="38" t="str">
        <f>IF(C1095="","",IF(COUNT(G1095:AZ1095)&lt;46,"",SUMPRODUCT(CC1095:CK1095,'تنظیمات وزن‌دهی'!$C$5:$C$13)/100))</f>
        <v/>
      </c>
      <c r="CM1095" s="38" t="str">
        <f t="shared" si="196"/>
        <v/>
      </c>
      <c r="CN1095" s="38">
        <v>11</v>
      </c>
      <c r="CO1095" s="28" t="str">
        <f t="shared" si="197"/>
        <v/>
      </c>
      <c r="CP1095" s="58"/>
    </row>
    <row r="1096" spans="1:94" ht="17.25" hidden="1">
      <c r="A1096" s="33">
        <v>1092</v>
      </c>
      <c r="B1096" s="55" t="s">
        <v>194</v>
      </c>
      <c r="C1096" s="55" t="str">
        <f>IF(دانش‌آموزان!E95="","",دانش‌آموزان!B95)</f>
        <v/>
      </c>
      <c r="D1096" s="55" t="str">
        <f>IF(دانش‌آموزان!C95="","",دانش‌آموزان!C95)</f>
        <v/>
      </c>
      <c r="E1096" s="55" t="str">
        <f>IF(دانش‌آموزان!E95="","",دانش‌آموزان!E95&amp;" "&amp;دانش‌آموزان!F95)</f>
        <v/>
      </c>
      <c r="F1096" s="34" t="str">
        <f>IF(دانش‌آموزان!I95="","",دانش‌آموزان!I95)</f>
        <v/>
      </c>
      <c r="G1096" s="19"/>
      <c r="H1096" s="20"/>
      <c r="I1096" s="20"/>
      <c r="J1096" s="20"/>
      <c r="K1096" s="20"/>
      <c r="L1096" s="20"/>
      <c r="M1096" s="20"/>
      <c r="N1096" s="20"/>
      <c r="O1096" s="20"/>
      <c r="P1096" s="20"/>
      <c r="Q1096" s="20"/>
      <c r="R1096" s="20"/>
      <c r="S1096" s="20"/>
      <c r="T1096" s="20"/>
      <c r="U1096" s="20"/>
      <c r="V1096" s="20"/>
      <c r="W1096" s="20"/>
      <c r="X1096" s="20"/>
      <c r="Y1096" s="20"/>
      <c r="Z1096" s="20"/>
      <c r="AA1096" s="20"/>
      <c r="AB1096" s="20"/>
      <c r="AC1096" s="20"/>
      <c r="AD1096" s="20"/>
      <c r="AE1096" s="20"/>
      <c r="AF1096" s="20"/>
      <c r="AG1096" s="20"/>
      <c r="AH1096" s="20"/>
      <c r="AI1096" s="20"/>
      <c r="AJ1096" s="20"/>
      <c r="AK1096" s="20"/>
      <c r="AL1096" s="20"/>
      <c r="AM1096" s="20"/>
      <c r="AN1096" s="20"/>
      <c r="AO1096" s="20"/>
      <c r="AP1096" s="20"/>
      <c r="AQ1096" s="20"/>
      <c r="AR1096" s="20"/>
      <c r="AS1096" s="20"/>
      <c r="AT1096" s="20"/>
      <c r="AU1096" s="20"/>
      <c r="AV1096" s="20"/>
      <c r="AW1096" s="20"/>
      <c r="AX1096" s="20"/>
      <c r="AY1096" s="20"/>
      <c r="AZ1096" s="20"/>
      <c r="BA1096" s="20"/>
      <c r="BB1096" s="20"/>
      <c r="BC1096" s="20"/>
      <c r="BD1096" s="20"/>
      <c r="BE1096" s="20"/>
      <c r="BF1096" s="20"/>
      <c r="BG1096" s="20"/>
      <c r="BH1096" s="20"/>
      <c r="BI1096" s="20"/>
      <c r="BJ1096" s="20"/>
      <c r="BK1096" s="20"/>
      <c r="BL1096" s="20"/>
      <c r="BM1096" s="20"/>
      <c r="BN1096" s="20"/>
      <c r="BO1096" s="20"/>
      <c r="BP1096" s="20"/>
      <c r="BQ1096" s="20"/>
      <c r="BR1096" s="20"/>
      <c r="BS1096" s="20"/>
      <c r="BT1096" s="20"/>
      <c r="BU1096" s="20"/>
      <c r="BV1096" s="20"/>
      <c r="BW1096" s="20"/>
      <c r="BX1096" s="20"/>
      <c r="BY1096" s="20"/>
      <c r="BZ1096" s="20"/>
      <c r="CA1096" s="20"/>
      <c r="CB1096" s="21"/>
      <c r="CC1096" s="27" t="str">
        <f t="shared" si="187"/>
        <v/>
      </c>
      <c r="CD1096" s="38" t="str">
        <f t="shared" si="188"/>
        <v/>
      </c>
      <c r="CE1096" s="38" t="str">
        <f t="shared" si="189"/>
        <v/>
      </c>
      <c r="CF1096" s="38" t="str">
        <f t="shared" si="190"/>
        <v/>
      </c>
      <c r="CG1096" s="38" t="str">
        <f t="shared" si="191"/>
        <v/>
      </c>
      <c r="CH1096" s="38" t="str">
        <f t="shared" si="192"/>
        <v/>
      </c>
      <c r="CI1096" s="38" t="str">
        <f t="shared" si="193"/>
        <v/>
      </c>
      <c r="CJ1096" s="38" t="str">
        <f t="shared" si="194"/>
        <v/>
      </c>
      <c r="CK1096" s="38" t="str">
        <f t="shared" si="195"/>
        <v/>
      </c>
      <c r="CL1096" s="38" t="str">
        <f>IF(C1096="","",IF(COUNT(G1096:AZ1096)&lt;46,"",SUMPRODUCT(CC1096:CK1096,'تنظیمات وزن‌دهی'!$C$5:$C$13)/100))</f>
        <v/>
      </c>
      <c r="CM1096" s="38" t="str">
        <f t="shared" si="196"/>
        <v/>
      </c>
      <c r="CN1096" s="38">
        <v>12</v>
      </c>
      <c r="CO1096" s="28" t="str">
        <f t="shared" si="197"/>
        <v/>
      </c>
      <c r="CP1096" s="58"/>
    </row>
    <row r="1097" spans="1:94" ht="17.25" hidden="1">
      <c r="A1097" s="33">
        <v>1093</v>
      </c>
      <c r="B1097" s="55" t="s">
        <v>183</v>
      </c>
      <c r="C1097" s="55" t="str">
        <f>IF(دانش‌آموزان!E96="","",دانش‌آموزان!B96)</f>
        <v/>
      </c>
      <c r="D1097" s="55" t="str">
        <f>IF(دانش‌آموزان!C96="","",دانش‌آموزان!C96)</f>
        <v/>
      </c>
      <c r="E1097" s="55" t="str">
        <f>IF(دانش‌آموزان!E96="","",دانش‌آموزان!E96&amp;" "&amp;دانش‌آموزان!F96)</f>
        <v/>
      </c>
      <c r="F1097" s="34" t="str">
        <f>IF(دانش‌آموزان!I96="","",دانش‌آموزان!I96)</f>
        <v/>
      </c>
      <c r="G1097" s="19"/>
      <c r="H1097" s="20"/>
      <c r="I1097" s="20"/>
      <c r="J1097" s="20"/>
      <c r="K1097" s="20"/>
      <c r="L1097" s="20"/>
      <c r="M1097" s="20"/>
      <c r="N1097" s="20"/>
      <c r="O1097" s="20"/>
      <c r="P1097" s="20"/>
      <c r="Q1097" s="20"/>
      <c r="R1097" s="20"/>
      <c r="S1097" s="20"/>
      <c r="T1097" s="20"/>
      <c r="U1097" s="20"/>
      <c r="V1097" s="20"/>
      <c r="W1097" s="20"/>
      <c r="X1097" s="20"/>
      <c r="Y1097" s="20"/>
      <c r="Z1097" s="20"/>
      <c r="AA1097" s="20"/>
      <c r="AB1097" s="20"/>
      <c r="AC1097" s="20"/>
      <c r="AD1097" s="20"/>
      <c r="AE1097" s="20"/>
      <c r="AF1097" s="20"/>
      <c r="AG1097" s="20"/>
      <c r="AH1097" s="20"/>
      <c r="AI1097" s="20"/>
      <c r="AJ1097" s="20"/>
      <c r="AK1097" s="20"/>
      <c r="AL1097" s="20"/>
      <c r="AM1097" s="20"/>
      <c r="AN1097" s="20"/>
      <c r="AO1097" s="20"/>
      <c r="AP1097" s="20"/>
      <c r="AQ1097" s="20"/>
      <c r="AR1097" s="20"/>
      <c r="AS1097" s="20"/>
      <c r="AT1097" s="20"/>
      <c r="AU1097" s="20"/>
      <c r="AV1097" s="20"/>
      <c r="AW1097" s="20"/>
      <c r="AX1097" s="20"/>
      <c r="AY1097" s="20"/>
      <c r="AZ1097" s="20"/>
      <c r="BA1097" s="20"/>
      <c r="BB1097" s="20"/>
      <c r="BC1097" s="20"/>
      <c r="BD1097" s="20"/>
      <c r="BE1097" s="20"/>
      <c r="BF1097" s="20"/>
      <c r="BG1097" s="20"/>
      <c r="BH1097" s="20"/>
      <c r="BI1097" s="20"/>
      <c r="BJ1097" s="20"/>
      <c r="BK1097" s="20"/>
      <c r="BL1097" s="20"/>
      <c r="BM1097" s="20"/>
      <c r="BN1097" s="20"/>
      <c r="BO1097" s="20"/>
      <c r="BP1097" s="20"/>
      <c r="BQ1097" s="20"/>
      <c r="BR1097" s="20"/>
      <c r="BS1097" s="20"/>
      <c r="BT1097" s="20"/>
      <c r="BU1097" s="20"/>
      <c r="BV1097" s="20"/>
      <c r="BW1097" s="20"/>
      <c r="BX1097" s="20"/>
      <c r="BY1097" s="20"/>
      <c r="BZ1097" s="20"/>
      <c r="CA1097" s="20"/>
      <c r="CB1097" s="21"/>
      <c r="CC1097" s="27" t="str">
        <f t="shared" si="187"/>
        <v/>
      </c>
      <c r="CD1097" s="38" t="str">
        <f t="shared" si="188"/>
        <v/>
      </c>
      <c r="CE1097" s="38" t="str">
        <f t="shared" si="189"/>
        <v/>
      </c>
      <c r="CF1097" s="38" t="str">
        <f t="shared" si="190"/>
        <v/>
      </c>
      <c r="CG1097" s="38" t="str">
        <f t="shared" si="191"/>
        <v/>
      </c>
      <c r="CH1097" s="38" t="str">
        <f t="shared" si="192"/>
        <v/>
      </c>
      <c r="CI1097" s="38" t="str">
        <f t="shared" si="193"/>
        <v/>
      </c>
      <c r="CJ1097" s="38" t="str">
        <f t="shared" si="194"/>
        <v/>
      </c>
      <c r="CK1097" s="38" t="str">
        <f t="shared" si="195"/>
        <v/>
      </c>
      <c r="CL1097" s="38" t="str">
        <f>IF(C1097="","",IF(COUNT(G1097:AZ1097)&lt;46,"",SUMPRODUCT(CC1097:CK1097,'تنظیمات وزن‌دهی'!$C$5:$C$13)/100))</f>
        <v/>
      </c>
      <c r="CM1097" s="38" t="str">
        <f t="shared" si="196"/>
        <v/>
      </c>
      <c r="CN1097" s="38">
        <v>1</v>
      </c>
      <c r="CO1097" s="28" t="str">
        <f t="shared" si="197"/>
        <v/>
      </c>
      <c r="CP1097" s="58"/>
    </row>
    <row r="1098" spans="1:94" ht="17.25" hidden="1">
      <c r="A1098" s="33">
        <v>1094</v>
      </c>
      <c r="B1098" s="55" t="s">
        <v>184</v>
      </c>
      <c r="C1098" s="55" t="str">
        <f>IF(دانش‌آموزان!E96="","",دانش‌آموزان!B96)</f>
        <v/>
      </c>
      <c r="D1098" s="55" t="str">
        <f>IF(دانش‌آموزان!C96="","",دانش‌آموزان!C96)</f>
        <v/>
      </c>
      <c r="E1098" s="55" t="str">
        <f>IF(دانش‌آموزان!E96="","",دانش‌آموزان!E96&amp;" "&amp;دانش‌آموزان!F96)</f>
        <v/>
      </c>
      <c r="F1098" s="34" t="str">
        <f>IF(دانش‌آموزان!I96="","",دانش‌آموزان!I96)</f>
        <v/>
      </c>
      <c r="G1098" s="19"/>
      <c r="H1098" s="20"/>
      <c r="I1098" s="20"/>
      <c r="J1098" s="20"/>
      <c r="K1098" s="20"/>
      <c r="L1098" s="20"/>
      <c r="M1098" s="20"/>
      <c r="N1098" s="20"/>
      <c r="O1098" s="20"/>
      <c r="P1098" s="20"/>
      <c r="Q1098" s="20"/>
      <c r="R1098" s="20"/>
      <c r="S1098" s="20"/>
      <c r="T1098" s="20"/>
      <c r="U1098" s="20"/>
      <c r="V1098" s="20"/>
      <c r="W1098" s="20"/>
      <c r="X1098" s="20"/>
      <c r="Y1098" s="20"/>
      <c r="Z1098" s="20"/>
      <c r="AA1098" s="20"/>
      <c r="AB1098" s="20"/>
      <c r="AC1098" s="20"/>
      <c r="AD1098" s="20"/>
      <c r="AE1098" s="20"/>
      <c r="AF1098" s="20"/>
      <c r="AG1098" s="20"/>
      <c r="AH1098" s="20"/>
      <c r="AI1098" s="20"/>
      <c r="AJ1098" s="20"/>
      <c r="AK1098" s="20"/>
      <c r="AL1098" s="20"/>
      <c r="AM1098" s="20"/>
      <c r="AN1098" s="20"/>
      <c r="AO1098" s="20"/>
      <c r="AP1098" s="20"/>
      <c r="AQ1098" s="20"/>
      <c r="AR1098" s="20"/>
      <c r="AS1098" s="20"/>
      <c r="AT1098" s="20"/>
      <c r="AU1098" s="20"/>
      <c r="AV1098" s="20"/>
      <c r="AW1098" s="20"/>
      <c r="AX1098" s="20"/>
      <c r="AY1098" s="20"/>
      <c r="AZ1098" s="20"/>
      <c r="BA1098" s="20"/>
      <c r="BB1098" s="20"/>
      <c r="BC1098" s="20"/>
      <c r="BD1098" s="20"/>
      <c r="BE1098" s="20"/>
      <c r="BF1098" s="20"/>
      <c r="BG1098" s="20"/>
      <c r="BH1098" s="20"/>
      <c r="BI1098" s="20"/>
      <c r="BJ1098" s="20"/>
      <c r="BK1098" s="20"/>
      <c r="BL1098" s="20"/>
      <c r="BM1098" s="20"/>
      <c r="BN1098" s="20"/>
      <c r="BO1098" s="20"/>
      <c r="BP1098" s="20"/>
      <c r="BQ1098" s="20"/>
      <c r="BR1098" s="20"/>
      <c r="BS1098" s="20"/>
      <c r="BT1098" s="20"/>
      <c r="BU1098" s="20"/>
      <c r="BV1098" s="20"/>
      <c r="BW1098" s="20"/>
      <c r="BX1098" s="20"/>
      <c r="BY1098" s="20"/>
      <c r="BZ1098" s="20"/>
      <c r="CA1098" s="20"/>
      <c r="CB1098" s="21"/>
      <c r="CC1098" s="27" t="str">
        <f t="shared" si="187"/>
        <v/>
      </c>
      <c r="CD1098" s="38" t="str">
        <f t="shared" si="188"/>
        <v/>
      </c>
      <c r="CE1098" s="38" t="str">
        <f t="shared" si="189"/>
        <v/>
      </c>
      <c r="CF1098" s="38" t="str">
        <f t="shared" si="190"/>
        <v/>
      </c>
      <c r="CG1098" s="38" t="str">
        <f t="shared" si="191"/>
        <v/>
      </c>
      <c r="CH1098" s="38" t="str">
        <f t="shared" si="192"/>
        <v/>
      </c>
      <c r="CI1098" s="38" t="str">
        <f t="shared" si="193"/>
        <v/>
      </c>
      <c r="CJ1098" s="38" t="str">
        <f t="shared" si="194"/>
        <v/>
      </c>
      <c r="CK1098" s="38" t="str">
        <f t="shared" si="195"/>
        <v/>
      </c>
      <c r="CL1098" s="38" t="str">
        <f>IF(C1098="","",IF(COUNT(G1098:AZ1098)&lt;46,"",SUMPRODUCT(CC1098:CK1098,'تنظیمات وزن‌دهی'!$C$5:$C$13)/100))</f>
        <v/>
      </c>
      <c r="CM1098" s="38" t="str">
        <f t="shared" si="196"/>
        <v/>
      </c>
      <c r="CN1098" s="38">
        <v>2</v>
      </c>
      <c r="CO1098" s="28" t="str">
        <f t="shared" si="197"/>
        <v/>
      </c>
      <c r="CP1098" s="58"/>
    </row>
    <row r="1099" spans="1:94" ht="17.25">
      <c r="A1099" s="33">
        <v>1095</v>
      </c>
      <c r="B1099" s="55" t="s">
        <v>185</v>
      </c>
      <c r="C1099" s="55" t="str">
        <f>IF(دانش‌آموزان!E96="","",دانش‌آموزان!B96)</f>
        <v/>
      </c>
      <c r="D1099" s="55" t="str">
        <f>IF(دانش‌آموزان!C96="","",دانش‌آموزان!C96)</f>
        <v/>
      </c>
      <c r="E1099" s="55" t="str">
        <f>IF(دانش‌آموزان!E96="","",دانش‌آموزان!E96&amp;" "&amp;دانش‌آموزان!F96)</f>
        <v/>
      </c>
      <c r="F1099" s="34" t="str">
        <f>IF(دانش‌آموزان!I96="","",دانش‌آموزان!I96)</f>
        <v/>
      </c>
      <c r="G1099" s="19"/>
      <c r="H1099" s="20"/>
      <c r="I1099" s="20"/>
      <c r="J1099" s="20"/>
      <c r="K1099" s="20"/>
      <c r="L1099" s="20"/>
      <c r="M1099" s="20"/>
      <c r="N1099" s="20"/>
      <c r="O1099" s="20"/>
      <c r="P1099" s="20"/>
      <c r="Q1099" s="20"/>
      <c r="R1099" s="20"/>
      <c r="S1099" s="20"/>
      <c r="T1099" s="20"/>
      <c r="U1099" s="20"/>
      <c r="V1099" s="20"/>
      <c r="W1099" s="20"/>
      <c r="X1099" s="20"/>
      <c r="Y1099" s="20"/>
      <c r="Z1099" s="20"/>
      <c r="AA1099" s="20"/>
      <c r="AB1099" s="20"/>
      <c r="AC1099" s="20"/>
      <c r="AD1099" s="20"/>
      <c r="AE1099" s="20"/>
      <c r="AF1099" s="20"/>
      <c r="AG1099" s="20"/>
      <c r="AH1099" s="20"/>
      <c r="AI1099" s="20"/>
      <c r="AJ1099" s="20"/>
      <c r="AK1099" s="20"/>
      <c r="AL1099" s="20"/>
      <c r="AM1099" s="20"/>
      <c r="AN1099" s="20"/>
      <c r="AO1099" s="20"/>
      <c r="AP1099" s="20"/>
      <c r="AQ1099" s="20"/>
      <c r="AR1099" s="20"/>
      <c r="AS1099" s="20"/>
      <c r="AT1099" s="20"/>
      <c r="AU1099" s="20"/>
      <c r="AV1099" s="20"/>
      <c r="AW1099" s="20"/>
      <c r="AX1099" s="20"/>
      <c r="AY1099" s="20"/>
      <c r="AZ1099" s="20"/>
      <c r="BA1099" s="20"/>
      <c r="BB1099" s="20"/>
      <c r="BC1099" s="20"/>
      <c r="BD1099" s="20"/>
      <c r="BE1099" s="20"/>
      <c r="BF1099" s="20"/>
      <c r="BG1099" s="20"/>
      <c r="BH1099" s="20"/>
      <c r="BI1099" s="20"/>
      <c r="BJ1099" s="20"/>
      <c r="BK1099" s="20"/>
      <c r="BL1099" s="20"/>
      <c r="BM1099" s="20"/>
      <c r="BN1099" s="20"/>
      <c r="BO1099" s="20"/>
      <c r="BP1099" s="20"/>
      <c r="BQ1099" s="20"/>
      <c r="BR1099" s="20"/>
      <c r="BS1099" s="20"/>
      <c r="BT1099" s="20"/>
      <c r="BU1099" s="20"/>
      <c r="BV1099" s="20"/>
      <c r="BW1099" s="20"/>
      <c r="BX1099" s="20"/>
      <c r="BY1099" s="20"/>
      <c r="BZ1099" s="20"/>
      <c r="CA1099" s="20"/>
      <c r="CB1099" s="21"/>
      <c r="CC1099" s="27" t="str">
        <f t="shared" si="187"/>
        <v/>
      </c>
      <c r="CD1099" s="38" t="str">
        <f t="shared" si="188"/>
        <v/>
      </c>
      <c r="CE1099" s="38" t="str">
        <f t="shared" si="189"/>
        <v/>
      </c>
      <c r="CF1099" s="38" t="str">
        <f t="shared" si="190"/>
        <v/>
      </c>
      <c r="CG1099" s="38" t="str">
        <f t="shared" si="191"/>
        <v/>
      </c>
      <c r="CH1099" s="38" t="str">
        <f t="shared" si="192"/>
        <v/>
      </c>
      <c r="CI1099" s="38" t="str">
        <f t="shared" si="193"/>
        <v/>
      </c>
      <c r="CJ1099" s="38" t="str">
        <f t="shared" si="194"/>
        <v/>
      </c>
      <c r="CK1099" s="38" t="str">
        <f t="shared" si="195"/>
        <v/>
      </c>
      <c r="CL1099" s="38" t="str">
        <f>IF(C1099="","",IF(COUNT(G1099:AZ1099)&lt;46,"",SUMPRODUCT(CC1099:CK1099,'تنظیمات وزن‌دهی'!$C$5:$C$13)/100))</f>
        <v/>
      </c>
      <c r="CM1099" s="38" t="str">
        <f t="shared" si="196"/>
        <v/>
      </c>
      <c r="CN1099" s="38">
        <v>3</v>
      </c>
      <c r="CO1099" s="28" t="str">
        <f t="shared" si="197"/>
        <v/>
      </c>
      <c r="CP1099" s="58"/>
    </row>
    <row r="1100" spans="1:94" ht="17.25" hidden="1">
      <c r="A1100" s="33">
        <v>1096</v>
      </c>
      <c r="B1100" s="55" t="s">
        <v>186</v>
      </c>
      <c r="C1100" s="55" t="str">
        <f>IF(دانش‌آموزان!E96="","",دانش‌آموزان!B96)</f>
        <v/>
      </c>
      <c r="D1100" s="55" t="str">
        <f>IF(دانش‌آموزان!C96="","",دانش‌آموزان!C96)</f>
        <v/>
      </c>
      <c r="E1100" s="55" t="str">
        <f>IF(دانش‌آموزان!E96="","",دانش‌آموزان!E96&amp;" "&amp;دانش‌آموزان!F96)</f>
        <v/>
      </c>
      <c r="F1100" s="34" t="str">
        <f>IF(دانش‌آموزان!I96="","",دانش‌آموزان!I96)</f>
        <v/>
      </c>
      <c r="G1100" s="19"/>
      <c r="H1100" s="20"/>
      <c r="I1100" s="20"/>
      <c r="J1100" s="20"/>
      <c r="K1100" s="20"/>
      <c r="L1100" s="20"/>
      <c r="M1100" s="20"/>
      <c r="N1100" s="20"/>
      <c r="O1100" s="20"/>
      <c r="P1100" s="20"/>
      <c r="Q1100" s="20"/>
      <c r="R1100" s="20"/>
      <c r="S1100" s="20"/>
      <c r="T1100" s="20"/>
      <c r="U1100" s="20"/>
      <c r="V1100" s="20"/>
      <c r="W1100" s="20"/>
      <c r="X1100" s="20"/>
      <c r="Y1100" s="20"/>
      <c r="Z1100" s="20"/>
      <c r="AA1100" s="20"/>
      <c r="AB1100" s="20"/>
      <c r="AC1100" s="20"/>
      <c r="AD1100" s="20"/>
      <c r="AE1100" s="20"/>
      <c r="AF1100" s="20"/>
      <c r="AG1100" s="20"/>
      <c r="AH1100" s="20"/>
      <c r="AI1100" s="20"/>
      <c r="AJ1100" s="20"/>
      <c r="AK1100" s="20"/>
      <c r="AL1100" s="20"/>
      <c r="AM1100" s="20"/>
      <c r="AN1100" s="20"/>
      <c r="AO1100" s="20"/>
      <c r="AP1100" s="20"/>
      <c r="AQ1100" s="20"/>
      <c r="AR1100" s="20"/>
      <c r="AS1100" s="20"/>
      <c r="AT1100" s="20"/>
      <c r="AU1100" s="20"/>
      <c r="AV1100" s="20"/>
      <c r="AW1100" s="20"/>
      <c r="AX1100" s="20"/>
      <c r="AY1100" s="20"/>
      <c r="AZ1100" s="20"/>
      <c r="BA1100" s="20"/>
      <c r="BB1100" s="20"/>
      <c r="BC1100" s="20"/>
      <c r="BD1100" s="20"/>
      <c r="BE1100" s="20"/>
      <c r="BF1100" s="20"/>
      <c r="BG1100" s="20"/>
      <c r="BH1100" s="20"/>
      <c r="BI1100" s="20"/>
      <c r="BJ1100" s="20"/>
      <c r="BK1100" s="20"/>
      <c r="BL1100" s="20"/>
      <c r="BM1100" s="20"/>
      <c r="BN1100" s="20"/>
      <c r="BO1100" s="20"/>
      <c r="BP1100" s="20"/>
      <c r="BQ1100" s="20"/>
      <c r="BR1100" s="20"/>
      <c r="BS1100" s="20"/>
      <c r="BT1100" s="20"/>
      <c r="BU1100" s="20"/>
      <c r="BV1100" s="20"/>
      <c r="BW1100" s="20"/>
      <c r="BX1100" s="20"/>
      <c r="BY1100" s="20"/>
      <c r="BZ1100" s="20"/>
      <c r="CA1100" s="20"/>
      <c r="CB1100" s="21"/>
      <c r="CC1100" s="27" t="str">
        <f t="shared" si="187"/>
        <v/>
      </c>
      <c r="CD1100" s="38" t="str">
        <f t="shared" si="188"/>
        <v/>
      </c>
      <c r="CE1100" s="38" t="str">
        <f t="shared" si="189"/>
        <v/>
      </c>
      <c r="CF1100" s="38" t="str">
        <f t="shared" si="190"/>
        <v/>
      </c>
      <c r="CG1100" s="38" t="str">
        <f t="shared" si="191"/>
        <v/>
      </c>
      <c r="CH1100" s="38" t="str">
        <f t="shared" si="192"/>
        <v/>
      </c>
      <c r="CI1100" s="38" t="str">
        <f t="shared" si="193"/>
        <v/>
      </c>
      <c r="CJ1100" s="38" t="str">
        <f t="shared" si="194"/>
        <v/>
      </c>
      <c r="CK1100" s="38" t="str">
        <f t="shared" si="195"/>
        <v/>
      </c>
      <c r="CL1100" s="38" t="str">
        <f>IF(C1100="","",IF(COUNT(G1100:AZ1100)&lt;46,"",SUMPRODUCT(CC1100:CK1100,'تنظیمات وزن‌دهی'!$C$5:$C$13)/100))</f>
        <v/>
      </c>
      <c r="CM1100" s="38" t="str">
        <f t="shared" si="196"/>
        <v/>
      </c>
      <c r="CN1100" s="38">
        <v>4</v>
      </c>
      <c r="CO1100" s="28" t="str">
        <f t="shared" si="197"/>
        <v/>
      </c>
      <c r="CP1100" s="58"/>
    </row>
    <row r="1101" spans="1:94" ht="17.25" hidden="1">
      <c r="A1101" s="33">
        <v>1097</v>
      </c>
      <c r="B1101" s="55" t="s">
        <v>187</v>
      </c>
      <c r="C1101" s="55" t="str">
        <f>IF(دانش‌آموزان!E96="","",دانش‌آموزان!B96)</f>
        <v/>
      </c>
      <c r="D1101" s="55" t="str">
        <f>IF(دانش‌آموزان!C96="","",دانش‌آموزان!C96)</f>
        <v/>
      </c>
      <c r="E1101" s="55" t="str">
        <f>IF(دانش‌آموزان!E96="","",دانش‌آموزان!E96&amp;" "&amp;دانش‌آموزان!F96)</f>
        <v/>
      </c>
      <c r="F1101" s="34" t="str">
        <f>IF(دانش‌آموزان!I96="","",دانش‌آموزان!I96)</f>
        <v/>
      </c>
      <c r="G1101" s="19"/>
      <c r="H1101" s="20"/>
      <c r="I1101" s="20"/>
      <c r="J1101" s="20"/>
      <c r="K1101" s="20"/>
      <c r="L1101" s="20"/>
      <c r="M1101" s="20"/>
      <c r="N1101" s="20"/>
      <c r="O1101" s="20"/>
      <c r="P1101" s="20"/>
      <c r="Q1101" s="20"/>
      <c r="R1101" s="20"/>
      <c r="S1101" s="20"/>
      <c r="T1101" s="20"/>
      <c r="U1101" s="20"/>
      <c r="V1101" s="20"/>
      <c r="W1101" s="20"/>
      <c r="X1101" s="20"/>
      <c r="Y1101" s="20"/>
      <c r="Z1101" s="20"/>
      <c r="AA1101" s="20"/>
      <c r="AB1101" s="20"/>
      <c r="AC1101" s="20"/>
      <c r="AD1101" s="20"/>
      <c r="AE1101" s="20"/>
      <c r="AF1101" s="20"/>
      <c r="AG1101" s="20"/>
      <c r="AH1101" s="20"/>
      <c r="AI1101" s="20"/>
      <c r="AJ1101" s="20"/>
      <c r="AK1101" s="20"/>
      <c r="AL1101" s="20"/>
      <c r="AM1101" s="20"/>
      <c r="AN1101" s="20"/>
      <c r="AO1101" s="20"/>
      <c r="AP1101" s="20"/>
      <c r="AQ1101" s="20"/>
      <c r="AR1101" s="20"/>
      <c r="AS1101" s="20"/>
      <c r="AT1101" s="20"/>
      <c r="AU1101" s="20"/>
      <c r="AV1101" s="20"/>
      <c r="AW1101" s="20"/>
      <c r="AX1101" s="20"/>
      <c r="AY1101" s="20"/>
      <c r="AZ1101" s="20"/>
      <c r="BA1101" s="20"/>
      <c r="BB1101" s="20"/>
      <c r="BC1101" s="20"/>
      <c r="BD1101" s="20"/>
      <c r="BE1101" s="20"/>
      <c r="BF1101" s="20"/>
      <c r="BG1101" s="20"/>
      <c r="BH1101" s="20"/>
      <c r="BI1101" s="20"/>
      <c r="BJ1101" s="20"/>
      <c r="BK1101" s="20"/>
      <c r="BL1101" s="20"/>
      <c r="BM1101" s="20"/>
      <c r="BN1101" s="20"/>
      <c r="BO1101" s="20"/>
      <c r="BP1101" s="20"/>
      <c r="BQ1101" s="20"/>
      <c r="BR1101" s="20"/>
      <c r="BS1101" s="20"/>
      <c r="BT1101" s="20"/>
      <c r="BU1101" s="20"/>
      <c r="BV1101" s="20"/>
      <c r="BW1101" s="20"/>
      <c r="BX1101" s="20"/>
      <c r="BY1101" s="20"/>
      <c r="BZ1101" s="20"/>
      <c r="CA1101" s="20"/>
      <c r="CB1101" s="21"/>
      <c r="CC1101" s="27" t="str">
        <f t="shared" si="187"/>
        <v/>
      </c>
      <c r="CD1101" s="38" t="str">
        <f t="shared" si="188"/>
        <v/>
      </c>
      <c r="CE1101" s="38" t="str">
        <f t="shared" si="189"/>
        <v/>
      </c>
      <c r="CF1101" s="38" t="str">
        <f t="shared" si="190"/>
        <v/>
      </c>
      <c r="CG1101" s="38" t="str">
        <f t="shared" si="191"/>
        <v/>
      </c>
      <c r="CH1101" s="38" t="str">
        <f t="shared" si="192"/>
        <v/>
      </c>
      <c r="CI1101" s="38" t="str">
        <f t="shared" si="193"/>
        <v/>
      </c>
      <c r="CJ1101" s="38" t="str">
        <f t="shared" si="194"/>
        <v/>
      </c>
      <c r="CK1101" s="38" t="str">
        <f t="shared" si="195"/>
        <v/>
      </c>
      <c r="CL1101" s="38" t="str">
        <f>IF(C1101="","",IF(COUNT(G1101:AZ1101)&lt;46,"",SUMPRODUCT(CC1101:CK1101,'تنظیمات وزن‌دهی'!$C$5:$C$13)/100))</f>
        <v/>
      </c>
      <c r="CM1101" s="38" t="str">
        <f t="shared" si="196"/>
        <v/>
      </c>
      <c r="CN1101" s="38">
        <v>5</v>
      </c>
      <c r="CO1101" s="28" t="str">
        <f t="shared" si="197"/>
        <v/>
      </c>
      <c r="CP1101" s="58"/>
    </row>
    <row r="1102" spans="1:94" ht="17.25" hidden="1">
      <c r="A1102" s="33">
        <v>1098</v>
      </c>
      <c r="B1102" s="55" t="s">
        <v>188</v>
      </c>
      <c r="C1102" s="55" t="str">
        <f>IF(دانش‌آموزان!E96="","",دانش‌آموزان!B96)</f>
        <v/>
      </c>
      <c r="D1102" s="55" t="str">
        <f>IF(دانش‌آموزان!C96="","",دانش‌آموزان!C96)</f>
        <v/>
      </c>
      <c r="E1102" s="55" t="str">
        <f>IF(دانش‌آموزان!E96="","",دانش‌آموزان!E96&amp;" "&amp;دانش‌آموزان!F96)</f>
        <v/>
      </c>
      <c r="F1102" s="34" t="str">
        <f>IF(دانش‌آموزان!I96="","",دانش‌آموزان!I96)</f>
        <v/>
      </c>
      <c r="G1102" s="19"/>
      <c r="H1102" s="20"/>
      <c r="I1102" s="20"/>
      <c r="J1102" s="20"/>
      <c r="K1102" s="20"/>
      <c r="L1102" s="20"/>
      <c r="M1102" s="20"/>
      <c r="N1102" s="20"/>
      <c r="O1102" s="20"/>
      <c r="P1102" s="20"/>
      <c r="Q1102" s="20"/>
      <c r="R1102" s="20"/>
      <c r="S1102" s="20"/>
      <c r="T1102" s="20"/>
      <c r="U1102" s="20"/>
      <c r="V1102" s="20"/>
      <c r="W1102" s="20"/>
      <c r="X1102" s="20"/>
      <c r="Y1102" s="20"/>
      <c r="Z1102" s="20"/>
      <c r="AA1102" s="20"/>
      <c r="AB1102" s="20"/>
      <c r="AC1102" s="20"/>
      <c r="AD1102" s="20"/>
      <c r="AE1102" s="20"/>
      <c r="AF1102" s="20"/>
      <c r="AG1102" s="20"/>
      <c r="AH1102" s="20"/>
      <c r="AI1102" s="20"/>
      <c r="AJ1102" s="20"/>
      <c r="AK1102" s="20"/>
      <c r="AL1102" s="20"/>
      <c r="AM1102" s="20"/>
      <c r="AN1102" s="20"/>
      <c r="AO1102" s="20"/>
      <c r="AP1102" s="20"/>
      <c r="AQ1102" s="20"/>
      <c r="AR1102" s="20"/>
      <c r="AS1102" s="20"/>
      <c r="AT1102" s="20"/>
      <c r="AU1102" s="20"/>
      <c r="AV1102" s="20"/>
      <c r="AW1102" s="20"/>
      <c r="AX1102" s="20"/>
      <c r="AY1102" s="20"/>
      <c r="AZ1102" s="20"/>
      <c r="BA1102" s="20"/>
      <c r="BB1102" s="20"/>
      <c r="BC1102" s="20"/>
      <c r="BD1102" s="20"/>
      <c r="BE1102" s="20"/>
      <c r="BF1102" s="20"/>
      <c r="BG1102" s="20"/>
      <c r="BH1102" s="20"/>
      <c r="BI1102" s="20"/>
      <c r="BJ1102" s="20"/>
      <c r="BK1102" s="20"/>
      <c r="BL1102" s="20"/>
      <c r="BM1102" s="20"/>
      <c r="BN1102" s="20"/>
      <c r="BO1102" s="20"/>
      <c r="BP1102" s="20"/>
      <c r="BQ1102" s="20"/>
      <c r="BR1102" s="20"/>
      <c r="BS1102" s="20"/>
      <c r="BT1102" s="20"/>
      <c r="BU1102" s="20"/>
      <c r="BV1102" s="20"/>
      <c r="BW1102" s="20"/>
      <c r="BX1102" s="20"/>
      <c r="BY1102" s="20"/>
      <c r="BZ1102" s="20"/>
      <c r="CA1102" s="20"/>
      <c r="CB1102" s="21"/>
      <c r="CC1102" s="27" t="str">
        <f t="shared" si="187"/>
        <v/>
      </c>
      <c r="CD1102" s="38" t="str">
        <f t="shared" si="188"/>
        <v/>
      </c>
      <c r="CE1102" s="38" t="str">
        <f t="shared" si="189"/>
        <v/>
      </c>
      <c r="CF1102" s="38" t="str">
        <f t="shared" si="190"/>
        <v/>
      </c>
      <c r="CG1102" s="38" t="str">
        <f t="shared" si="191"/>
        <v/>
      </c>
      <c r="CH1102" s="38" t="str">
        <f t="shared" si="192"/>
        <v/>
      </c>
      <c r="CI1102" s="38" t="str">
        <f t="shared" si="193"/>
        <v/>
      </c>
      <c r="CJ1102" s="38" t="str">
        <f t="shared" si="194"/>
        <v/>
      </c>
      <c r="CK1102" s="38" t="str">
        <f t="shared" si="195"/>
        <v/>
      </c>
      <c r="CL1102" s="38" t="str">
        <f>IF(C1102="","",IF(COUNT(G1102:AZ1102)&lt;46,"",SUMPRODUCT(CC1102:CK1102,'تنظیمات وزن‌دهی'!$C$5:$C$13)/100))</f>
        <v/>
      </c>
      <c r="CM1102" s="38" t="str">
        <f t="shared" si="196"/>
        <v/>
      </c>
      <c r="CN1102" s="38">
        <v>6</v>
      </c>
      <c r="CO1102" s="28" t="str">
        <f t="shared" si="197"/>
        <v/>
      </c>
      <c r="CP1102" s="58"/>
    </row>
    <row r="1103" spans="1:94" ht="17.25" hidden="1">
      <c r="A1103" s="33">
        <v>1099</v>
      </c>
      <c r="B1103" s="55" t="s">
        <v>189</v>
      </c>
      <c r="C1103" s="55" t="str">
        <f>IF(دانش‌آموزان!E96="","",دانش‌آموزان!B96)</f>
        <v/>
      </c>
      <c r="D1103" s="55" t="str">
        <f>IF(دانش‌آموزان!C96="","",دانش‌آموزان!C96)</f>
        <v/>
      </c>
      <c r="E1103" s="55" t="str">
        <f>IF(دانش‌آموزان!E96="","",دانش‌آموزان!E96&amp;" "&amp;دانش‌آموزان!F96)</f>
        <v/>
      </c>
      <c r="F1103" s="34" t="str">
        <f>IF(دانش‌آموزان!I96="","",دانش‌آموزان!I96)</f>
        <v/>
      </c>
      <c r="G1103" s="19"/>
      <c r="H1103" s="20"/>
      <c r="I1103" s="20"/>
      <c r="J1103" s="20"/>
      <c r="K1103" s="20"/>
      <c r="L1103" s="20"/>
      <c r="M1103" s="20"/>
      <c r="N1103" s="20"/>
      <c r="O1103" s="20"/>
      <c r="P1103" s="20"/>
      <c r="Q1103" s="20"/>
      <c r="R1103" s="20"/>
      <c r="S1103" s="20"/>
      <c r="T1103" s="20"/>
      <c r="U1103" s="20"/>
      <c r="V1103" s="20"/>
      <c r="W1103" s="20"/>
      <c r="X1103" s="20"/>
      <c r="Y1103" s="20"/>
      <c r="Z1103" s="20"/>
      <c r="AA1103" s="20"/>
      <c r="AB1103" s="20"/>
      <c r="AC1103" s="20"/>
      <c r="AD1103" s="20"/>
      <c r="AE1103" s="20"/>
      <c r="AF1103" s="20"/>
      <c r="AG1103" s="20"/>
      <c r="AH1103" s="20"/>
      <c r="AI1103" s="20"/>
      <c r="AJ1103" s="20"/>
      <c r="AK1103" s="20"/>
      <c r="AL1103" s="20"/>
      <c r="AM1103" s="20"/>
      <c r="AN1103" s="20"/>
      <c r="AO1103" s="20"/>
      <c r="AP1103" s="20"/>
      <c r="AQ1103" s="20"/>
      <c r="AR1103" s="20"/>
      <c r="AS1103" s="20"/>
      <c r="AT1103" s="20"/>
      <c r="AU1103" s="20"/>
      <c r="AV1103" s="20"/>
      <c r="AW1103" s="20"/>
      <c r="AX1103" s="20"/>
      <c r="AY1103" s="20"/>
      <c r="AZ1103" s="20"/>
      <c r="BA1103" s="20"/>
      <c r="BB1103" s="20"/>
      <c r="BC1103" s="20"/>
      <c r="BD1103" s="20"/>
      <c r="BE1103" s="20"/>
      <c r="BF1103" s="20"/>
      <c r="BG1103" s="20"/>
      <c r="BH1103" s="20"/>
      <c r="BI1103" s="20"/>
      <c r="BJ1103" s="20"/>
      <c r="BK1103" s="20"/>
      <c r="BL1103" s="20"/>
      <c r="BM1103" s="20"/>
      <c r="BN1103" s="20"/>
      <c r="BO1103" s="20"/>
      <c r="BP1103" s="20"/>
      <c r="BQ1103" s="20"/>
      <c r="BR1103" s="20"/>
      <c r="BS1103" s="20"/>
      <c r="BT1103" s="20"/>
      <c r="BU1103" s="20"/>
      <c r="BV1103" s="20"/>
      <c r="BW1103" s="20"/>
      <c r="BX1103" s="20"/>
      <c r="BY1103" s="20"/>
      <c r="BZ1103" s="20"/>
      <c r="CA1103" s="20"/>
      <c r="CB1103" s="21"/>
      <c r="CC1103" s="27" t="str">
        <f t="shared" si="187"/>
        <v/>
      </c>
      <c r="CD1103" s="38" t="str">
        <f t="shared" si="188"/>
        <v/>
      </c>
      <c r="CE1103" s="38" t="str">
        <f t="shared" si="189"/>
        <v/>
      </c>
      <c r="CF1103" s="38" t="str">
        <f t="shared" si="190"/>
        <v/>
      </c>
      <c r="CG1103" s="38" t="str">
        <f t="shared" si="191"/>
        <v/>
      </c>
      <c r="CH1103" s="38" t="str">
        <f t="shared" si="192"/>
        <v/>
      </c>
      <c r="CI1103" s="38" t="str">
        <f t="shared" si="193"/>
        <v/>
      </c>
      <c r="CJ1103" s="38" t="str">
        <f t="shared" si="194"/>
        <v/>
      </c>
      <c r="CK1103" s="38" t="str">
        <f t="shared" si="195"/>
        <v/>
      </c>
      <c r="CL1103" s="38" t="str">
        <f>IF(C1103="","",IF(COUNT(G1103:AZ1103)&lt;46,"",SUMPRODUCT(CC1103:CK1103,'تنظیمات وزن‌دهی'!$C$5:$C$13)/100))</f>
        <v/>
      </c>
      <c r="CM1103" s="38" t="str">
        <f t="shared" si="196"/>
        <v/>
      </c>
      <c r="CN1103" s="38">
        <v>7</v>
      </c>
      <c r="CO1103" s="28" t="str">
        <f t="shared" si="197"/>
        <v/>
      </c>
      <c r="CP1103" s="58"/>
    </row>
    <row r="1104" spans="1:94" ht="17.25" hidden="1">
      <c r="A1104" s="33">
        <v>1100</v>
      </c>
      <c r="B1104" s="55" t="s">
        <v>190</v>
      </c>
      <c r="C1104" s="55" t="str">
        <f>IF(دانش‌آموزان!E96="","",دانش‌آموزان!B96)</f>
        <v/>
      </c>
      <c r="D1104" s="55" t="str">
        <f>IF(دانش‌آموزان!C96="","",دانش‌آموزان!C96)</f>
        <v/>
      </c>
      <c r="E1104" s="55" t="str">
        <f>IF(دانش‌آموزان!E96="","",دانش‌آموزان!E96&amp;" "&amp;دانش‌آموزان!F96)</f>
        <v/>
      </c>
      <c r="F1104" s="34" t="str">
        <f>IF(دانش‌آموزان!I96="","",دانش‌آموزان!I96)</f>
        <v/>
      </c>
      <c r="G1104" s="19"/>
      <c r="H1104" s="20"/>
      <c r="I1104" s="20"/>
      <c r="J1104" s="20"/>
      <c r="K1104" s="20"/>
      <c r="L1104" s="20"/>
      <c r="M1104" s="20"/>
      <c r="N1104" s="20"/>
      <c r="O1104" s="20"/>
      <c r="P1104" s="20"/>
      <c r="Q1104" s="20"/>
      <c r="R1104" s="20"/>
      <c r="S1104" s="20"/>
      <c r="T1104" s="20"/>
      <c r="U1104" s="20"/>
      <c r="V1104" s="20"/>
      <c r="W1104" s="20"/>
      <c r="X1104" s="20"/>
      <c r="Y1104" s="20"/>
      <c r="Z1104" s="20"/>
      <c r="AA1104" s="20"/>
      <c r="AB1104" s="20"/>
      <c r="AC1104" s="20"/>
      <c r="AD1104" s="20"/>
      <c r="AE1104" s="20"/>
      <c r="AF1104" s="20"/>
      <c r="AG1104" s="20"/>
      <c r="AH1104" s="20"/>
      <c r="AI1104" s="20"/>
      <c r="AJ1104" s="20"/>
      <c r="AK1104" s="20"/>
      <c r="AL1104" s="20"/>
      <c r="AM1104" s="20"/>
      <c r="AN1104" s="20"/>
      <c r="AO1104" s="20"/>
      <c r="AP1104" s="20"/>
      <c r="AQ1104" s="20"/>
      <c r="AR1104" s="20"/>
      <c r="AS1104" s="20"/>
      <c r="AT1104" s="20"/>
      <c r="AU1104" s="20"/>
      <c r="AV1104" s="20"/>
      <c r="AW1104" s="20"/>
      <c r="AX1104" s="20"/>
      <c r="AY1104" s="20"/>
      <c r="AZ1104" s="20"/>
      <c r="BA1104" s="20"/>
      <c r="BB1104" s="20"/>
      <c r="BC1104" s="20"/>
      <c r="BD1104" s="20"/>
      <c r="BE1104" s="20"/>
      <c r="BF1104" s="20"/>
      <c r="BG1104" s="20"/>
      <c r="BH1104" s="20"/>
      <c r="BI1104" s="20"/>
      <c r="BJ1104" s="20"/>
      <c r="BK1104" s="20"/>
      <c r="BL1104" s="20"/>
      <c r="BM1104" s="20"/>
      <c r="BN1104" s="20"/>
      <c r="BO1104" s="20"/>
      <c r="BP1104" s="20"/>
      <c r="BQ1104" s="20"/>
      <c r="BR1104" s="20"/>
      <c r="BS1104" s="20"/>
      <c r="BT1104" s="20"/>
      <c r="BU1104" s="20"/>
      <c r="BV1104" s="20"/>
      <c r="BW1104" s="20"/>
      <c r="BX1104" s="20"/>
      <c r="BY1104" s="20"/>
      <c r="BZ1104" s="20"/>
      <c r="CA1104" s="20"/>
      <c r="CB1104" s="21"/>
      <c r="CC1104" s="27" t="str">
        <f t="shared" si="187"/>
        <v/>
      </c>
      <c r="CD1104" s="38" t="str">
        <f t="shared" si="188"/>
        <v/>
      </c>
      <c r="CE1104" s="38" t="str">
        <f t="shared" si="189"/>
        <v/>
      </c>
      <c r="CF1104" s="38" t="str">
        <f t="shared" si="190"/>
        <v/>
      </c>
      <c r="CG1104" s="38" t="str">
        <f t="shared" si="191"/>
        <v/>
      </c>
      <c r="CH1104" s="38" t="str">
        <f t="shared" si="192"/>
        <v/>
      </c>
      <c r="CI1104" s="38" t="str">
        <f t="shared" si="193"/>
        <v/>
      </c>
      <c r="CJ1104" s="38" t="str">
        <f t="shared" si="194"/>
        <v/>
      </c>
      <c r="CK1104" s="38" t="str">
        <f t="shared" si="195"/>
        <v/>
      </c>
      <c r="CL1104" s="38" t="str">
        <f>IF(C1104="","",IF(COUNT(G1104:AZ1104)&lt;46,"",SUMPRODUCT(CC1104:CK1104,'تنظیمات وزن‌دهی'!$C$5:$C$13)/100))</f>
        <v/>
      </c>
      <c r="CM1104" s="38" t="str">
        <f t="shared" si="196"/>
        <v/>
      </c>
      <c r="CN1104" s="38">
        <v>8</v>
      </c>
      <c r="CO1104" s="28" t="str">
        <f t="shared" si="197"/>
        <v/>
      </c>
      <c r="CP1104" s="58"/>
    </row>
    <row r="1105" spans="1:94" ht="17.25" hidden="1">
      <c r="A1105" s="33">
        <v>1101</v>
      </c>
      <c r="B1105" s="55" t="s">
        <v>191</v>
      </c>
      <c r="C1105" s="55" t="str">
        <f>IF(دانش‌آموزان!E96="","",دانش‌آموزان!B96)</f>
        <v/>
      </c>
      <c r="D1105" s="55" t="str">
        <f>IF(دانش‌آموزان!C96="","",دانش‌آموزان!C96)</f>
        <v/>
      </c>
      <c r="E1105" s="55" t="str">
        <f>IF(دانش‌آموزان!E96="","",دانش‌آموزان!E96&amp;" "&amp;دانش‌آموزان!F96)</f>
        <v/>
      </c>
      <c r="F1105" s="34" t="str">
        <f>IF(دانش‌آموزان!I96="","",دانش‌آموزان!I96)</f>
        <v/>
      </c>
      <c r="G1105" s="19"/>
      <c r="H1105" s="20"/>
      <c r="I1105" s="20"/>
      <c r="J1105" s="20"/>
      <c r="K1105" s="20"/>
      <c r="L1105" s="20"/>
      <c r="M1105" s="20"/>
      <c r="N1105" s="20"/>
      <c r="O1105" s="20"/>
      <c r="P1105" s="20"/>
      <c r="Q1105" s="20"/>
      <c r="R1105" s="20"/>
      <c r="S1105" s="20"/>
      <c r="T1105" s="20"/>
      <c r="U1105" s="20"/>
      <c r="V1105" s="20"/>
      <c r="W1105" s="20"/>
      <c r="X1105" s="20"/>
      <c r="Y1105" s="20"/>
      <c r="Z1105" s="20"/>
      <c r="AA1105" s="20"/>
      <c r="AB1105" s="20"/>
      <c r="AC1105" s="20"/>
      <c r="AD1105" s="20"/>
      <c r="AE1105" s="20"/>
      <c r="AF1105" s="20"/>
      <c r="AG1105" s="20"/>
      <c r="AH1105" s="20"/>
      <c r="AI1105" s="20"/>
      <c r="AJ1105" s="20"/>
      <c r="AK1105" s="20"/>
      <c r="AL1105" s="20"/>
      <c r="AM1105" s="20"/>
      <c r="AN1105" s="20"/>
      <c r="AO1105" s="20"/>
      <c r="AP1105" s="20"/>
      <c r="AQ1105" s="20"/>
      <c r="AR1105" s="20"/>
      <c r="AS1105" s="20"/>
      <c r="AT1105" s="20"/>
      <c r="AU1105" s="20"/>
      <c r="AV1105" s="20"/>
      <c r="AW1105" s="20"/>
      <c r="AX1105" s="20"/>
      <c r="AY1105" s="20"/>
      <c r="AZ1105" s="20"/>
      <c r="BA1105" s="20"/>
      <c r="BB1105" s="20"/>
      <c r="BC1105" s="20"/>
      <c r="BD1105" s="20"/>
      <c r="BE1105" s="20"/>
      <c r="BF1105" s="20"/>
      <c r="BG1105" s="20"/>
      <c r="BH1105" s="20"/>
      <c r="BI1105" s="20"/>
      <c r="BJ1105" s="20"/>
      <c r="BK1105" s="20"/>
      <c r="BL1105" s="20"/>
      <c r="BM1105" s="20"/>
      <c r="BN1105" s="20"/>
      <c r="BO1105" s="20"/>
      <c r="BP1105" s="20"/>
      <c r="BQ1105" s="20"/>
      <c r="BR1105" s="20"/>
      <c r="BS1105" s="20"/>
      <c r="BT1105" s="20"/>
      <c r="BU1105" s="20"/>
      <c r="BV1105" s="20"/>
      <c r="BW1105" s="20"/>
      <c r="BX1105" s="20"/>
      <c r="BY1105" s="20"/>
      <c r="BZ1105" s="20"/>
      <c r="CA1105" s="20"/>
      <c r="CB1105" s="21"/>
      <c r="CC1105" s="27" t="str">
        <f t="shared" si="187"/>
        <v/>
      </c>
      <c r="CD1105" s="38" t="str">
        <f t="shared" si="188"/>
        <v/>
      </c>
      <c r="CE1105" s="38" t="str">
        <f t="shared" si="189"/>
        <v/>
      </c>
      <c r="CF1105" s="38" t="str">
        <f t="shared" si="190"/>
        <v/>
      </c>
      <c r="CG1105" s="38" t="str">
        <f t="shared" si="191"/>
        <v/>
      </c>
      <c r="CH1105" s="38" t="str">
        <f t="shared" si="192"/>
        <v/>
      </c>
      <c r="CI1105" s="38" t="str">
        <f t="shared" si="193"/>
        <v/>
      </c>
      <c r="CJ1105" s="38" t="str">
        <f t="shared" si="194"/>
        <v/>
      </c>
      <c r="CK1105" s="38" t="str">
        <f t="shared" si="195"/>
        <v/>
      </c>
      <c r="CL1105" s="38" t="str">
        <f>IF(C1105="","",IF(COUNT(G1105:AZ1105)&lt;46,"",SUMPRODUCT(CC1105:CK1105,'تنظیمات وزن‌دهی'!$C$5:$C$13)/100))</f>
        <v/>
      </c>
      <c r="CM1105" s="38" t="str">
        <f t="shared" si="196"/>
        <v/>
      </c>
      <c r="CN1105" s="38">
        <v>9</v>
      </c>
      <c r="CO1105" s="28" t="str">
        <f t="shared" si="197"/>
        <v/>
      </c>
      <c r="CP1105" s="58"/>
    </row>
    <row r="1106" spans="1:94" ht="17.25" hidden="1">
      <c r="A1106" s="33">
        <v>1102</v>
      </c>
      <c r="B1106" s="55" t="s">
        <v>192</v>
      </c>
      <c r="C1106" s="55" t="str">
        <f>IF(دانش‌آموزان!E96="","",دانش‌آموزان!B96)</f>
        <v/>
      </c>
      <c r="D1106" s="55" t="str">
        <f>IF(دانش‌آموزان!C96="","",دانش‌آموزان!C96)</f>
        <v/>
      </c>
      <c r="E1106" s="55" t="str">
        <f>IF(دانش‌آموزان!E96="","",دانش‌آموزان!E96&amp;" "&amp;دانش‌آموزان!F96)</f>
        <v/>
      </c>
      <c r="F1106" s="34" t="str">
        <f>IF(دانش‌آموزان!I96="","",دانش‌آموزان!I96)</f>
        <v/>
      </c>
      <c r="G1106" s="19"/>
      <c r="H1106" s="20"/>
      <c r="I1106" s="20"/>
      <c r="J1106" s="20"/>
      <c r="K1106" s="20"/>
      <c r="L1106" s="20"/>
      <c r="M1106" s="20"/>
      <c r="N1106" s="20"/>
      <c r="O1106" s="20"/>
      <c r="P1106" s="20"/>
      <c r="Q1106" s="20"/>
      <c r="R1106" s="20"/>
      <c r="S1106" s="20"/>
      <c r="T1106" s="20"/>
      <c r="U1106" s="20"/>
      <c r="V1106" s="20"/>
      <c r="W1106" s="20"/>
      <c r="X1106" s="20"/>
      <c r="Y1106" s="20"/>
      <c r="Z1106" s="20"/>
      <c r="AA1106" s="20"/>
      <c r="AB1106" s="20"/>
      <c r="AC1106" s="20"/>
      <c r="AD1106" s="20"/>
      <c r="AE1106" s="20"/>
      <c r="AF1106" s="20"/>
      <c r="AG1106" s="20"/>
      <c r="AH1106" s="20"/>
      <c r="AI1106" s="20"/>
      <c r="AJ1106" s="20"/>
      <c r="AK1106" s="20"/>
      <c r="AL1106" s="20"/>
      <c r="AM1106" s="20"/>
      <c r="AN1106" s="20"/>
      <c r="AO1106" s="20"/>
      <c r="AP1106" s="20"/>
      <c r="AQ1106" s="20"/>
      <c r="AR1106" s="20"/>
      <c r="AS1106" s="20"/>
      <c r="AT1106" s="20"/>
      <c r="AU1106" s="20"/>
      <c r="AV1106" s="20"/>
      <c r="AW1106" s="20"/>
      <c r="AX1106" s="20"/>
      <c r="AY1106" s="20"/>
      <c r="AZ1106" s="20"/>
      <c r="BA1106" s="20"/>
      <c r="BB1106" s="20"/>
      <c r="BC1106" s="20"/>
      <c r="BD1106" s="20"/>
      <c r="BE1106" s="20"/>
      <c r="BF1106" s="20"/>
      <c r="BG1106" s="20"/>
      <c r="BH1106" s="20"/>
      <c r="BI1106" s="20"/>
      <c r="BJ1106" s="20"/>
      <c r="BK1106" s="20"/>
      <c r="BL1106" s="20"/>
      <c r="BM1106" s="20"/>
      <c r="BN1106" s="20"/>
      <c r="BO1106" s="20"/>
      <c r="BP1106" s="20"/>
      <c r="BQ1106" s="20"/>
      <c r="BR1106" s="20"/>
      <c r="BS1106" s="20"/>
      <c r="BT1106" s="20"/>
      <c r="BU1106" s="20"/>
      <c r="BV1106" s="20"/>
      <c r="BW1106" s="20"/>
      <c r="BX1106" s="20"/>
      <c r="BY1106" s="20"/>
      <c r="BZ1106" s="20"/>
      <c r="CA1106" s="20"/>
      <c r="CB1106" s="21"/>
      <c r="CC1106" s="27" t="str">
        <f t="shared" si="187"/>
        <v/>
      </c>
      <c r="CD1106" s="38" t="str">
        <f t="shared" si="188"/>
        <v/>
      </c>
      <c r="CE1106" s="38" t="str">
        <f t="shared" si="189"/>
        <v/>
      </c>
      <c r="CF1106" s="38" t="str">
        <f t="shared" si="190"/>
        <v/>
      </c>
      <c r="CG1106" s="38" t="str">
        <f t="shared" si="191"/>
        <v/>
      </c>
      <c r="CH1106" s="38" t="str">
        <f t="shared" si="192"/>
        <v/>
      </c>
      <c r="CI1106" s="38" t="str">
        <f t="shared" si="193"/>
        <v/>
      </c>
      <c r="CJ1106" s="38" t="str">
        <f t="shared" si="194"/>
        <v/>
      </c>
      <c r="CK1106" s="38" t="str">
        <f t="shared" si="195"/>
        <v/>
      </c>
      <c r="CL1106" s="38" t="str">
        <f>IF(C1106="","",IF(COUNT(G1106:AZ1106)&lt;46,"",SUMPRODUCT(CC1106:CK1106,'تنظیمات وزن‌دهی'!$C$5:$C$13)/100))</f>
        <v/>
      </c>
      <c r="CM1106" s="38" t="str">
        <f t="shared" si="196"/>
        <v/>
      </c>
      <c r="CN1106" s="38">
        <v>10</v>
      </c>
      <c r="CO1106" s="28" t="str">
        <f t="shared" si="197"/>
        <v/>
      </c>
      <c r="CP1106" s="58"/>
    </row>
    <row r="1107" spans="1:94" ht="17.25" hidden="1">
      <c r="A1107" s="33">
        <v>1103</v>
      </c>
      <c r="B1107" s="55" t="s">
        <v>193</v>
      </c>
      <c r="C1107" s="55" t="str">
        <f>IF(دانش‌آموزان!E96="","",دانش‌آموزان!B96)</f>
        <v/>
      </c>
      <c r="D1107" s="55" t="str">
        <f>IF(دانش‌آموزان!C96="","",دانش‌آموزان!C96)</f>
        <v/>
      </c>
      <c r="E1107" s="55" t="str">
        <f>IF(دانش‌آموزان!E96="","",دانش‌آموزان!E96&amp;" "&amp;دانش‌آموزان!F96)</f>
        <v/>
      </c>
      <c r="F1107" s="34" t="str">
        <f>IF(دانش‌آموزان!I96="","",دانش‌آموزان!I96)</f>
        <v/>
      </c>
      <c r="G1107" s="19"/>
      <c r="H1107" s="20"/>
      <c r="I1107" s="20"/>
      <c r="J1107" s="20"/>
      <c r="K1107" s="20"/>
      <c r="L1107" s="20"/>
      <c r="M1107" s="20"/>
      <c r="N1107" s="20"/>
      <c r="O1107" s="20"/>
      <c r="P1107" s="20"/>
      <c r="Q1107" s="20"/>
      <c r="R1107" s="20"/>
      <c r="S1107" s="20"/>
      <c r="T1107" s="20"/>
      <c r="U1107" s="20"/>
      <c r="V1107" s="20"/>
      <c r="W1107" s="20"/>
      <c r="X1107" s="20"/>
      <c r="Y1107" s="20"/>
      <c r="Z1107" s="20"/>
      <c r="AA1107" s="20"/>
      <c r="AB1107" s="20"/>
      <c r="AC1107" s="20"/>
      <c r="AD1107" s="20"/>
      <c r="AE1107" s="20"/>
      <c r="AF1107" s="20"/>
      <c r="AG1107" s="20"/>
      <c r="AH1107" s="20"/>
      <c r="AI1107" s="20"/>
      <c r="AJ1107" s="20"/>
      <c r="AK1107" s="20"/>
      <c r="AL1107" s="20"/>
      <c r="AM1107" s="20"/>
      <c r="AN1107" s="20"/>
      <c r="AO1107" s="20"/>
      <c r="AP1107" s="20"/>
      <c r="AQ1107" s="20"/>
      <c r="AR1107" s="20"/>
      <c r="AS1107" s="20"/>
      <c r="AT1107" s="20"/>
      <c r="AU1107" s="20"/>
      <c r="AV1107" s="20"/>
      <c r="AW1107" s="20"/>
      <c r="AX1107" s="20"/>
      <c r="AY1107" s="20"/>
      <c r="AZ1107" s="20"/>
      <c r="BA1107" s="20"/>
      <c r="BB1107" s="20"/>
      <c r="BC1107" s="20"/>
      <c r="BD1107" s="20"/>
      <c r="BE1107" s="20"/>
      <c r="BF1107" s="20"/>
      <c r="BG1107" s="20"/>
      <c r="BH1107" s="20"/>
      <c r="BI1107" s="20"/>
      <c r="BJ1107" s="20"/>
      <c r="BK1107" s="20"/>
      <c r="BL1107" s="20"/>
      <c r="BM1107" s="20"/>
      <c r="BN1107" s="20"/>
      <c r="BO1107" s="20"/>
      <c r="BP1107" s="20"/>
      <c r="BQ1107" s="20"/>
      <c r="BR1107" s="20"/>
      <c r="BS1107" s="20"/>
      <c r="BT1107" s="20"/>
      <c r="BU1107" s="20"/>
      <c r="BV1107" s="20"/>
      <c r="BW1107" s="20"/>
      <c r="BX1107" s="20"/>
      <c r="BY1107" s="20"/>
      <c r="BZ1107" s="20"/>
      <c r="CA1107" s="20"/>
      <c r="CB1107" s="21"/>
      <c r="CC1107" s="27" t="str">
        <f t="shared" si="187"/>
        <v/>
      </c>
      <c r="CD1107" s="38" t="str">
        <f t="shared" si="188"/>
        <v/>
      </c>
      <c r="CE1107" s="38" t="str">
        <f t="shared" si="189"/>
        <v/>
      </c>
      <c r="CF1107" s="38" t="str">
        <f t="shared" si="190"/>
        <v/>
      </c>
      <c r="CG1107" s="38" t="str">
        <f t="shared" si="191"/>
        <v/>
      </c>
      <c r="CH1107" s="38" t="str">
        <f t="shared" si="192"/>
        <v/>
      </c>
      <c r="CI1107" s="38" t="str">
        <f t="shared" si="193"/>
        <v/>
      </c>
      <c r="CJ1107" s="38" t="str">
        <f t="shared" si="194"/>
        <v/>
      </c>
      <c r="CK1107" s="38" t="str">
        <f t="shared" si="195"/>
        <v/>
      </c>
      <c r="CL1107" s="38" t="str">
        <f>IF(C1107="","",IF(COUNT(G1107:AZ1107)&lt;46,"",SUMPRODUCT(CC1107:CK1107,'تنظیمات وزن‌دهی'!$C$5:$C$13)/100))</f>
        <v/>
      </c>
      <c r="CM1107" s="38" t="str">
        <f t="shared" si="196"/>
        <v/>
      </c>
      <c r="CN1107" s="38">
        <v>11</v>
      </c>
      <c r="CO1107" s="28" t="str">
        <f t="shared" si="197"/>
        <v/>
      </c>
      <c r="CP1107" s="58"/>
    </row>
    <row r="1108" spans="1:94" ht="17.25" hidden="1">
      <c r="A1108" s="33">
        <v>1104</v>
      </c>
      <c r="B1108" s="55" t="s">
        <v>194</v>
      </c>
      <c r="C1108" s="55" t="str">
        <f>IF(دانش‌آموزان!E96="","",دانش‌آموزان!B96)</f>
        <v/>
      </c>
      <c r="D1108" s="55" t="str">
        <f>IF(دانش‌آموزان!C96="","",دانش‌آموزان!C96)</f>
        <v/>
      </c>
      <c r="E1108" s="55" t="str">
        <f>IF(دانش‌آموزان!E96="","",دانش‌آموزان!E96&amp;" "&amp;دانش‌آموزان!F96)</f>
        <v/>
      </c>
      <c r="F1108" s="34" t="str">
        <f>IF(دانش‌آموزان!I96="","",دانش‌آموزان!I96)</f>
        <v/>
      </c>
      <c r="G1108" s="19"/>
      <c r="H1108" s="20"/>
      <c r="I1108" s="20"/>
      <c r="J1108" s="20"/>
      <c r="K1108" s="20"/>
      <c r="L1108" s="20"/>
      <c r="M1108" s="20"/>
      <c r="N1108" s="20"/>
      <c r="O1108" s="20"/>
      <c r="P1108" s="20"/>
      <c r="Q1108" s="20"/>
      <c r="R1108" s="20"/>
      <c r="S1108" s="20"/>
      <c r="T1108" s="20"/>
      <c r="U1108" s="20"/>
      <c r="V1108" s="20"/>
      <c r="W1108" s="20"/>
      <c r="X1108" s="20"/>
      <c r="Y1108" s="20"/>
      <c r="Z1108" s="20"/>
      <c r="AA1108" s="20"/>
      <c r="AB1108" s="20"/>
      <c r="AC1108" s="20"/>
      <c r="AD1108" s="20"/>
      <c r="AE1108" s="20"/>
      <c r="AF1108" s="20"/>
      <c r="AG1108" s="20"/>
      <c r="AH1108" s="20"/>
      <c r="AI1108" s="20"/>
      <c r="AJ1108" s="20"/>
      <c r="AK1108" s="20"/>
      <c r="AL1108" s="20"/>
      <c r="AM1108" s="20"/>
      <c r="AN1108" s="20"/>
      <c r="AO1108" s="20"/>
      <c r="AP1108" s="20"/>
      <c r="AQ1108" s="20"/>
      <c r="AR1108" s="20"/>
      <c r="AS1108" s="20"/>
      <c r="AT1108" s="20"/>
      <c r="AU1108" s="20"/>
      <c r="AV1108" s="20"/>
      <c r="AW1108" s="20"/>
      <c r="AX1108" s="20"/>
      <c r="AY1108" s="20"/>
      <c r="AZ1108" s="20"/>
      <c r="BA1108" s="20"/>
      <c r="BB1108" s="20"/>
      <c r="BC1108" s="20"/>
      <c r="BD1108" s="20"/>
      <c r="BE1108" s="20"/>
      <c r="BF1108" s="20"/>
      <c r="BG1108" s="20"/>
      <c r="BH1108" s="20"/>
      <c r="BI1108" s="20"/>
      <c r="BJ1108" s="20"/>
      <c r="BK1108" s="20"/>
      <c r="BL1108" s="20"/>
      <c r="BM1108" s="20"/>
      <c r="BN1108" s="20"/>
      <c r="BO1108" s="20"/>
      <c r="BP1108" s="20"/>
      <c r="BQ1108" s="20"/>
      <c r="BR1108" s="20"/>
      <c r="BS1108" s="20"/>
      <c r="BT1108" s="20"/>
      <c r="BU1108" s="20"/>
      <c r="BV1108" s="20"/>
      <c r="BW1108" s="20"/>
      <c r="BX1108" s="20"/>
      <c r="BY1108" s="20"/>
      <c r="BZ1108" s="20"/>
      <c r="CA1108" s="20"/>
      <c r="CB1108" s="21"/>
      <c r="CC1108" s="27" t="str">
        <f t="shared" si="187"/>
        <v/>
      </c>
      <c r="CD1108" s="38" t="str">
        <f t="shared" si="188"/>
        <v/>
      </c>
      <c r="CE1108" s="38" t="str">
        <f t="shared" si="189"/>
        <v/>
      </c>
      <c r="CF1108" s="38" t="str">
        <f t="shared" si="190"/>
        <v/>
      </c>
      <c r="CG1108" s="38" t="str">
        <f t="shared" si="191"/>
        <v/>
      </c>
      <c r="CH1108" s="38" t="str">
        <f t="shared" si="192"/>
        <v/>
      </c>
      <c r="CI1108" s="38" t="str">
        <f t="shared" si="193"/>
        <v/>
      </c>
      <c r="CJ1108" s="38" t="str">
        <f t="shared" si="194"/>
        <v/>
      </c>
      <c r="CK1108" s="38" t="str">
        <f t="shared" si="195"/>
        <v/>
      </c>
      <c r="CL1108" s="38" t="str">
        <f>IF(C1108="","",IF(COUNT(G1108:AZ1108)&lt;46,"",SUMPRODUCT(CC1108:CK1108,'تنظیمات وزن‌دهی'!$C$5:$C$13)/100))</f>
        <v/>
      </c>
      <c r="CM1108" s="38" t="str">
        <f t="shared" si="196"/>
        <v/>
      </c>
      <c r="CN1108" s="38">
        <v>12</v>
      </c>
      <c r="CO1108" s="28" t="str">
        <f t="shared" si="197"/>
        <v/>
      </c>
      <c r="CP1108" s="58"/>
    </row>
    <row r="1109" spans="1:94" ht="17.25" hidden="1">
      <c r="A1109" s="33">
        <v>1105</v>
      </c>
      <c r="B1109" s="55" t="s">
        <v>183</v>
      </c>
      <c r="C1109" s="55" t="str">
        <f>IF(دانش‌آموزان!E97="","",دانش‌آموزان!B97)</f>
        <v/>
      </c>
      <c r="D1109" s="55" t="str">
        <f>IF(دانش‌آموزان!C97="","",دانش‌آموزان!C97)</f>
        <v/>
      </c>
      <c r="E1109" s="55" t="str">
        <f>IF(دانش‌آموزان!E97="","",دانش‌آموزان!E97&amp;" "&amp;دانش‌آموزان!F97)</f>
        <v/>
      </c>
      <c r="F1109" s="34" t="str">
        <f>IF(دانش‌آموزان!I97="","",دانش‌آموزان!I97)</f>
        <v/>
      </c>
      <c r="G1109" s="19"/>
      <c r="H1109" s="20"/>
      <c r="I1109" s="20"/>
      <c r="J1109" s="20"/>
      <c r="K1109" s="20"/>
      <c r="L1109" s="20"/>
      <c r="M1109" s="20"/>
      <c r="N1109" s="20"/>
      <c r="O1109" s="20"/>
      <c r="P1109" s="20"/>
      <c r="Q1109" s="20"/>
      <c r="R1109" s="20"/>
      <c r="S1109" s="20"/>
      <c r="T1109" s="20"/>
      <c r="U1109" s="20"/>
      <c r="V1109" s="20"/>
      <c r="W1109" s="20"/>
      <c r="X1109" s="20"/>
      <c r="Y1109" s="20"/>
      <c r="Z1109" s="20"/>
      <c r="AA1109" s="20"/>
      <c r="AB1109" s="20"/>
      <c r="AC1109" s="20"/>
      <c r="AD1109" s="20"/>
      <c r="AE1109" s="20"/>
      <c r="AF1109" s="20"/>
      <c r="AG1109" s="20"/>
      <c r="AH1109" s="20"/>
      <c r="AI1109" s="20"/>
      <c r="AJ1109" s="20"/>
      <c r="AK1109" s="20"/>
      <c r="AL1109" s="20"/>
      <c r="AM1109" s="20"/>
      <c r="AN1109" s="20"/>
      <c r="AO1109" s="20"/>
      <c r="AP1109" s="20"/>
      <c r="AQ1109" s="20"/>
      <c r="AR1109" s="20"/>
      <c r="AS1109" s="20"/>
      <c r="AT1109" s="20"/>
      <c r="AU1109" s="20"/>
      <c r="AV1109" s="20"/>
      <c r="AW1109" s="20"/>
      <c r="AX1109" s="20"/>
      <c r="AY1109" s="20"/>
      <c r="AZ1109" s="20"/>
      <c r="BA1109" s="20"/>
      <c r="BB1109" s="20"/>
      <c r="BC1109" s="20"/>
      <c r="BD1109" s="20"/>
      <c r="BE1109" s="20"/>
      <c r="BF1109" s="20"/>
      <c r="BG1109" s="20"/>
      <c r="BH1109" s="20"/>
      <c r="BI1109" s="20"/>
      <c r="BJ1109" s="20"/>
      <c r="BK1109" s="20"/>
      <c r="BL1109" s="20"/>
      <c r="BM1109" s="20"/>
      <c r="BN1109" s="20"/>
      <c r="BO1109" s="20"/>
      <c r="BP1109" s="20"/>
      <c r="BQ1109" s="20"/>
      <c r="BR1109" s="20"/>
      <c r="BS1109" s="20"/>
      <c r="BT1109" s="20"/>
      <c r="BU1109" s="20"/>
      <c r="BV1109" s="20"/>
      <c r="BW1109" s="20"/>
      <c r="BX1109" s="20"/>
      <c r="BY1109" s="20"/>
      <c r="BZ1109" s="20"/>
      <c r="CA1109" s="20"/>
      <c r="CB1109" s="21"/>
      <c r="CC1109" s="27" t="str">
        <f t="shared" si="187"/>
        <v/>
      </c>
      <c r="CD1109" s="38" t="str">
        <f t="shared" si="188"/>
        <v/>
      </c>
      <c r="CE1109" s="38" t="str">
        <f t="shared" si="189"/>
        <v/>
      </c>
      <c r="CF1109" s="38" t="str">
        <f t="shared" si="190"/>
        <v/>
      </c>
      <c r="CG1109" s="38" t="str">
        <f t="shared" si="191"/>
        <v/>
      </c>
      <c r="CH1109" s="38" t="str">
        <f t="shared" si="192"/>
        <v/>
      </c>
      <c r="CI1109" s="38" t="str">
        <f t="shared" si="193"/>
        <v/>
      </c>
      <c r="CJ1109" s="38" t="str">
        <f t="shared" si="194"/>
        <v/>
      </c>
      <c r="CK1109" s="38" t="str">
        <f t="shared" si="195"/>
        <v/>
      </c>
      <c r="CL1109" s="38" t="str">
        <f>IF(C1109="","",IF(COUNT(G1109:AZ1109)&lt;46,"",SUMPRODUCT(CC1109:CK1109,'تنظیمات وزن‌دهی'!$C$5:$C$13)/100))</f>
        <v/>
      </c>
      <c r="CM1109" s="38" t="str">
        <f t="shared" si="196"/>
        <v/>
      </c>
      <c r="CN1109" s="38">
        <v>1</v>
      </c>
      <c r="CO1109" s="28" t="str">
        <f t="shared" si="197"/>
        <v/>
      </c>
      <c r="CP1109" s="58"/>
    </row>
    <row r="1110" spans="1:94" ht="17.25" hidden="1">
      <c r="A1110" s="33">
        <v>1106</v>
      </c>
      <c r="B1110" s="55" t="s">
        <v>184</v>
      </c>
      <c r="C1110" s="55" t="str">
        <f>IF(دانش‌آموزان!E97="","",دانش‌آموزان!B97)</f>
        <v/>
      </c>
      <c r="D1110" s="55" t="str">
        <f>IF(دانش‌آموزان!C97="","",دانش‌آموزان!C97)</f>
        <v/>
      </c>
      <c r="E1110" s="55" t="str">
        <f>IF(دانش‌آموزان!E97="","",دانش‌آموزان!E97&amp;" "&amp;دانش‌آموزان!F97)</f>
        <v/>
      </c>
      <c r="F1110" s="34" t="str">
        <f>IF(دانش‌آموزان!I97="","",دانش‌آموزان!I97)</f>
        <v/>
      </c>
      <c r="G1110" s="19"/>
      <c r="H1110" s="20"/>
      <c r="I1110" s="20"/>
      <c r="J1110" s="20"/>
      <c r="K1110" s="20"/>
      <c r="L1110" s="20"/>
      <c r="M1110" s="20"/>
      <c r="N1110" s="20"/>
      <c r="O1110" s="20"/>
      <c r="P1110" s="20"/>
      <c r="Q1110" s="20"/>
      <c r="R1110" s="20"/>
      <c r="S1110" s="20"/>
      <c r="T1110" s="20"/>
      <c r="U1110" s="20"/>
      <c r="V1110" s="20"/>
      <c r="W1110" s="20"/>
      <c r="X1110" s="20"/>
      <c r="Y1110" s="20"/>
      <c r="Z1110" s="20"/>
      <c r="AA1110" s="20"/>
      <c r="AB1110" s="20"/>
      <c r="AC1110" s="20"/>
      <c r="AD1110" s="20"/>
      <c r="AE1110" s="20"/>
      <c r="AF1110" s="20"/>
      <c r="AG1110" s="20"/>
      <c r="AH1110" s="20"/>
      <c r="AI1110" s="20"/>
      <c r="AJ1110" s="20"/>
      <c r="AK1110" s="20"/>
      <c r="AL1110" s="20"/>
      <c r="AM1110" s="20"/>
      <c r="AN1110" s="20"/>
      <c r="AO1110" s="20"/>
      <c r="AP1110" s="20"/>
      <c r="AQ1110" s="20"/>
      <c r="AR1110" s="20"/>
      <c r="AS1110" s="20"/>
      <c r="AT1110" s="20"/>
      <c r="AU1110" s="20"/>
      <c r="AV1110" s="20"/>
      <c r="AW1110" s="20"/>
      <c r="AX1110" s="20"/>
      <c r="AY1110" s="20"/>
      <c r="AZ1110" s="20"/>
      <c r="BA1110" s="20"/>
      <c r="BB1110" s="20"/>
      <c r="BC1110" s="20"/>
      <c r="BD1110" s="20"/>
      <c r="BE1110" s="20"/>
      <c r="BF1110" s="20"/>
      <c r="BG1110" s="20"/>
      <c r="BH1110" s="20"/>
      <c r="BI1110" s="20"/>
      <c r="BJ1110" s="20"/>
      <c r="BK1110" s="20"/>
      <c r="BL1110" s="20"/>
      <c r="BM1110" s="20"/>
      <c r="BN1110" s="20"/>
      <c r="BO1110" s="20"/>
      <c r="BP1110" s="20"/>
      <c r="BQ1110" s="20"/>
      <c r="BR1110" s="20"/>
      <c r="BS1110" s="20"/>
      <c r="BT1110" s="20"/>
      <c r="BU1110" s="20"/>
      <c r="BV1110" s="20"/>
      <c r="BW1110" s="20"/>
      <c r="BX1110" s="20"/>
      <c r="BY1110" s="20"/>
      <c r="BZ1110" s="20"/>
      <c r="CA1110" s="20"/>
      <c r="CB1110" s="21"/>
      <c r="CC1110" s="27" t="str">
        <f t="shared" si="187"/>
        <v/>
      </c>
      <c r="CD1110" s="38" t="str">
        <f t="shared" si="188"/>
        <v/>
      </c>
      <c r="CE1110" s="38" t="str">
        <f t="shared" si="189"/>
        <v/>
      </c>
      <c r="CF1110" s="38" t="str">
        <f t="shared" si="190"/>
        <v/>
      </c>
      <c r="CG1110" s="38" t="str">
        <f t="shared" si="191"/>
        <v/>
      </c>
      <c r="CH1110" s="38" t="str">
        <f t="shared" si="192"/>
        <v/>
      </c>
      <c r="CI1110" s="38" t="str">
        <f t="shared" si="193"/>
        <v/>
      </c>
      <c r="CJ1110" s="38" t="str">
        <f t="shared" si="194"/>
        <v/>
      </c>
      <c r="CK1110" s="38" t="str">
        <f t="shared" si="195"/>
        <v/>
      </c>
      <c r="CL1110" s="38" t="str">
        <f>IF(C1110="","",IF(COUNT(G1110:AZ1110)&lt;46,"",SUMPRODUCT(CC1110:CK1110,'تنظیمات وزن‌دهی'!$C$5:$C$13)/100))</f>
        <v/>
      </c>
      <c r="CM1110" s="38" t="str">
        <f t="shared" si="196"/>
        <v/>
      </c>
      <c r="CN1110" s="38">
        <v>2</v>
      </c>
      <c r="CO1110" s="28" t="str">
        <f t="shared" si="197"/>
        <v/>
      </c>
      <c r="CP1110" s="58"/>
    </row>
    <row r="1111" spans="1:94" ht="17.25">
      <c r="A1111" s="33">
        <v>1107</v>
      </c>
      <c r="B1111" s="55" t="s">
        <v>185</v>
      </c>
      <c r="C1111" s="55" t="str">
        <f>IF(دانش‌آموزان!E97="","",دانش‌آموزان!B97)</f>
        <v/>
      </c>
      <c r="D1111" s="55" t="str">
        <f>IF(دانش‌آموزان!C97="","",دانش‌آموزان!C97)</f>
        <v/>
      </c>
      <c r="E1111" s="55" t="str">
        <f>IF(دانش‌آموزان!E97="","",دانش‌آموزان!E97&amp;" "&amp;دانش‌آموزان!F97)</f>
        <v/>
      </c>
      <c r="F1111" s="34" t="str">
        <f>IF(دانش‌آموزان!I97="","",دانش‌آموزان!I97)</f>
        <v/>
      </c>
      <c r="G1111" s="19"/>
      <c r="H1111" s="20"/>
      <c r="I1111" s="20"/>
      <c r="J1111" s="20"/>
      <c r="K1111" s="20"/>
      <c r="L1111" s="20"/>
      <c r="M1111" s="20"/>
      <c r="N1111" s="20"/>
      <c r="O1111" s="20"/>
      <c r="P1111" s="20"/>
      <c r="Q1111" s="20"/>
      <c r="R1111" s="20"/>
      <c r="S1111" s="20"/>
      <c r="T1111" s="20"/>
      <c r="U1111" s="20"/>
      <c r="V1111" s="20"/>
      <c r="W1111" s="20"/>
      <c r="X1111" s="20"/>
      <c r="Y1111" s="20"/>
      <c r="Z1111" s="20"/>
      <c r="AA1111" s="20"/>
      <c r="AB1111" s="20"/>
      <c r="AC1111" s="20"/>
      <c r="AD1111" s="20"/>
      <c r="AE1111" s="20"/>
      <c r="AF1111" s="20"/>
      <c r="AG1111" s="20"/>
      <c r="AH1111" s="20"/>
      <c r="AI1111" s="20"/>
      <c r="AJ1111" s="20"/>
      <c r="AK1111" s="20"/>
      <c r="AL1111" s="20"/>
      <c r="AM1111" s="20"/>
      <c r="AN1111" s="20"/>
      <c r="AO1111" s="20"/>
      <c r="AP1111" s="20"/>
      <c r="AQ1111" s="20"/>
      <c r="AR1111" s="20"/>
      <c r="AS1111" s="20"/>
      <c r="AT1111" s="20"/>
      <c r="AU1111" s="20"/>
      <c r="AV1111" s="20"/>
      <c r="AW1111" s="20"/>
      <c r="AX1111" s="20"/>
      <c r="AY1111" s="20"/>
      <c r="AZ1111" s="20"/>
      <c r="BA1111" s="20"/>
      <c r="BB1111" s="20"/>
      <c r="BC1111" s="20"/>
      <c r="BD1111" s="20"/>
      <c r="BE1111" s="20"/>
      <c r="BF1111" s="20"/>
      <c r="BG1111" s="20"/>
      <c r="BH1111" s="20"/>
      <c r="BI1111" s="20"/>
      <c r="BJ1111" s="20"/>
      <c r="BK1111" s="20"/>
      <c r="BL1111" s="20"/>
      <c r="BM1111" s="20"/>
      <c r="BN1111" s="20"/>
      <c r="BO1111" s="20"/>
      <c r="BP1111" s="20"/>
      <c r="BQ1111" s="20"/>
      <c r="BR1111" s="20"/>
      <c r="BS1111" s="20"/>
      <c r="BT1111" s="20"/>
      <c r="BU1111" s="20"/>
      <c r="BV1111" s="20"/>
      <c r="BW1111" s="20"/>
      <c r="BX1111" s="20"/>
      <c r="BY1111" s="20"/>
      <c r="BZ1111" s="20"/>
      <c r="CA1111" s="20"/>
      <c r="CB1111" s="21"/>
      <c r="CC1111" s="27" t="str">
        <f t="shared" si="187"/>
        <v/>
      </c>
      <c r="CD1111" s="38" t="str">
        <f t="shared" si="188"/>
        <v/>
      </c>
      <c r="CE1111" s="38" t="str">
        <f t="shared" si="189"/>
        <v/>
      </c>
      <c r="CF1111" s="38" t="str">
        <f t="shared" si="190"/>
        <v/>
      </c>
      <c r="CG1111" s="38" t="str">
        <f t="shared" si="191"/>
        <v/>
      </c>
      <c r="CH1111" s="38" t="str">
        <f t="shared" si="192"/>
        <v/>
      </c>
      <c r="CI1111" s="38" t="str">
        <f t="shared" si="193"/>
        <v/>
      </c>
      <c r="CJ1111" s="38" t="str">
        <f t="shared" si="194"/>
        <v/>
      </c>
      <c r="CK1111" s="38" t="str">
        <f t="shared" si="195"/>
        <v/>
      </c>
      <c r="CL1111" s="38" t="str">
        <f>IF(C1111="","",IF(COUNT(G1111:AZ1111)&lt;46,"",SUMPRODUCT(CC1111:CK1111,'تنظیمات وزن‌دهی'!$C$5:$C$13)/100))</f>
        <v/>
      </c>
      <c r="CM1111" s="38" t="str">
        <f t="shared" si="196"/>
        <v/>
      </c>
      <c r="CN1111" s="38">
        <v>3</v>
      </c>
      <c r="CO1111" s="28" t="str">
        <f t="shared" si="197"/>
        <v/>
      </c>
      <c r="CP1111" s="58"/>
    </row>
    <row r="1112" spans="1:94" ht="17.25" hidden="1">
      <c r="A1112" s="33">
        <v>1108</v>
      </c>
      <c r="B1112" s="55" t="s">
        <v>186</v>
      </c>
      <c r="C1112" s="55" t="str">
        <f>IF(دانش‌آموزان!E97="","",دانش‌آموزان!B97)</f>
        <v/>
      </c>
      <c r="D1112" s="55" t="str">
        <f>IF(دانش‌آموزان!C97="","",دانش‌آموزان!C97)</f>
        <v/>
      </c>
      <c r="E1112" s="55" t="str">
        <f>IF(دانش‌آموزان!E97="","",دانش‌آموزان!E97&amp;" "&amp;دانش‌آموزان!F97)</f>
        <v/>
      </c>
      <c r="F1112" s="34" t="str">
        <f>IF(دانش‌آموزان!I97="","",دانش‌آموزان!I97)</f>
        <v/>
      </c>
      <c r="G1112" s="19"/>
      <c r="H1112" s="20"/>
      <c r="I1112" s="20"/>
      <c r="J1112" s="20"/>
      <c r="K1112" s="20"/>
      <c r="L1112" s="20"/>
      <c r="M1112" s="20"/>
      <c r="N1112" s="20"/>
      <c r="O1112" s="20"/>
      <c r="P1112" s="20"/>
      <c r="Q1112" s="20"/>
      <c r="R1112" s="20"/>
      <c r="S1112" s="20"/>
      <c r="T1112" s="20"/>
      <c r="U1112" s="20"/>
      <c r="V1112" s="20"/>
      <c r="W1112" s="20"/>
      <c r="X1112" s="20"/>
      <c r="Y1112" s="20"/>
      <c r="Z1112" s="20"/>
      <c r="AA1112" s="20"/>
      <c r="AB1112" s="20"/>
      <c r="AC1112" s="20"/>
      <c r="AD1112" s="20"/>
      <c r="AE1112" s="20"/>
      <c r="AF1112" s="20"/>
      <c r="AG1112" s="20"/>
      <c r="AH1112" s="20"/>
      <c r="AI1112" s="20"/>
      <c r="AJ1112" s="20"/>
      <c r="AK1112" s="20"/>
      <c r="AL1112" s="20"/>
      <c r="AM1112" s="20"/>
      <c r="AN1112" s="20"/>
      <c r="AO1112" s="20"/>
      <c r="AP1112" s="20"/>
      <c r="AQ1112" s="20"/>
      <c r="AR1112" s="20"/>
      <c r="AS1112" s="20"/>
      <c r="AT1112" s="20"/>
      <c r="AU1112" s="20"/>
      <c r="AV1112" s="20"/>
      <c r="AW1112" s="20"/>
      <c r="AX1112" s="20"/>
      <c r="AY1112" s="20"/>
      <c r="AZ1112" s="20"/>
      <c r="BA1112" s="20"/>
      <c r="BB1112" s="20"/>
      <c r="BC1112" s="20"/>
      <c r="BD1112" s="20"/>
      <c r="BE1112" s="20"/>
      <c r="BF1112" s="20"/>
      <c r="BG1112" s="20"/>
      <c r="BH1112" s="20"/>
      <c r="BI1112" s="20"/>
      <c r="BJ1112" s="20"/>
      <c r="BK1112" s="20"/>
      <c r="BL1112" s="20"/>
      <c r="BM1112" s="20"/>
      <c r="BN1112" s="20"/>
      <c r="BO1112" s="20"/>
      <c r="BP1112" s="20"/>
      <c r="BQ1112" s="20"/>
      <c r="BR1112" s="20"/>
      <c r="BS1112" s="20"/>
      <c r="BT1112" s="20"/>
      <c r="BU1112" s="20"/>
      <c r="BV1112" s="20"/>
      <c r="BW1112" s="20"/>
      <c r="BX1112" s="20"/>
      <c r="BY1112" s="20"/>
      <c r="BZ1112" s="20"/>
      <c r="CA1112" s="20"/>
      <c r="CB1112" s="21"/>
      <c r="CC1112" s="27" t="str">
        <f t="shared" si="187"/>
        <v/>
      </c>
      <c r="CD1112" s="38" t="str">
        <f t="shared" si="188"/>
        <v/>
      </c>
      <c r="CE1112" s="38" t="str">
        <f t="shared" si="189"/>
        <v/>
      </c>
      <c r="CF1112" s="38" t="str">
        <f t="shared" si="190"/>
        <v/>
      </c>
      <c r="CG1112" s="38" t="str">
        <f t="shared" si="191"/>
        <v/>
      </c>
      <c r="CH1112" s="38" t="str">
        <f t="shared" si="192"/>
        <v/>
      </c>
      <c r="CI1112" s="38" t="str">
        <f t="shared" si="193"/>
        <v/>
      </c>
      <c r="CJ1112" s="38" t="str">
        <f t="shared" si="194"/>
        <v/>
      </c>
      <c r="CK1112" s="38" t="str">
        <f t="shared" si="195"/>
        <v/>
      </c>
      <c r="CL1112" s="38" t="str">
        <f>IF(C1112="","",IF(COUNT(G1112:AZ1112)&lt;46,"",SUMPRODUCT(CC1112:CK1112,'تنظیمات وزن‌دهی'!$C$5:$C$13)/100))</f>
        <v/>
      </c>
      <c r="CM1112" s="38" t="str">
        <f t="shared" si="196"/>
        <v/>
      </c>
      <c r="CN1112" s="38">
        <v>4</v>
      </c>
      <c r="CO1112" s="28" t="str">
        <f t="shared" si="197"/>
        <v/>
      </c>
      <c r="CP1112" s="58"/>
    </row>
    <row r="1113" spans="1:94" ht="17.25" hidden="1">
      <c r="A1113" s="33">
        <v>1109</v>
      </c>
      <c r="B1113" s="55" t="s">
        <v>187</v>
      </c>
      <c r="C1113" s="55" t="str">
        <f>IF(دانش‌آموزان!E97="","",دانش‌آموزان!B97)</f>
        <v/>
      </c>
      <c r="D1113" s="55" t="str">
        <f>IF(دانش‌آموزان!C97="","",دانش‌آموزان!C97)</f>
        <v/>
      </c>
      <c r="E1113" s="55" t="str">
        <f>IF(دانش‌آموزان!E97="","",دانش‌آموزان!E97&amp;" "&amp;دانش‌آموزان!F97)</f>
        <v/>
      </c>
      <c r="F1113" s="34" t="str">
        <f>IF(دانش‌آموزان!I97="","",دانش‌آموزان!I97)</f>
        <v/>
      </c>
      <c r="G1113" s="19"/>
      <c r="H1113" s="20"/>
      <c r="I1113" s="20"/>
      <c r="J1113" s="20"/>
      <c r="K1113" s="20"/>
      <c r="L1113" s="20"/>
      <c r="M1113" s="20"/>
      <c r="N1113" s="20"/>
      <c r="O1113" s="20"/>
      <c r="P1113" s="20"/>
      <c r="Q1113" s="20"/>
      <c r="R1113" s="20"/>
      <c r="S1113" s="20"/>
      <c r="T1113" s="20"/>
      <c r="U1113" s="20"/>
      <c r="V1113" s="20"/>
      <c r="W1113" s="20"/>
      <c r="X1113" s="20"/>
      <c r="Y1113" s="20"/>
      <c r="Z1113" s="20"/>
      <c r="AA1113" s="20"/>
      <c r="AB1113" s="20"/>
      <c r="AC1113" s="20"/>
      <c r="AD1113" s="20"/>
      <c r="AE1113" s="20"/>
      <c r="AF1113" s="20"/>
      <c r="AG1113" s="20"/>
      <c r="AH1113" s="20"/>
      <c r="AI1113" s="20"/>
      <c r="AJ1113" s="20"/>
      <c r="AK1113" s="20"/>
      <c r="AL1113" s="20"/>
      <c r="AM1113" s="20"/>
      <c r="AN1113" s="20"/>
      <c r="AO1113" s="20"/>
      <c r="AP1113" s="20"/>
      <c r="AQ1113" s="20"/>
      <c r="AR1113" s="20"/>
      <c r="AS1113" s="20"/>
      <c r="AT1113" s="20"/>
      <c r="AU1113" s="20"/>
      <c r="AV1113" s="20"/>
      <c r="AW1113" s="20"/>
      <c r="AX1113" s="20"/>
      <c r="AY1113" s="20"/>
      <c r="AZ1113" s="20"/>
      <c r="BA1113" s="20"/>
      <c r="BB1113" s="20"/>
      <c r="BC1113" s="20"/>
      <c r="BD1113" s="20"/>
      <c r="BE1113" s="20"/>
      <c r="BF1113" s="20"/>
      <c r="BG1113" s="20"/>
      <c r="BH1113" s="20"/>
      <c r="BI1113" s="20"/>
      <c r="BJ1113" s="20"/>
      <c r="BK1113" s="20"/>
      <c r="BL1113" s="20"/>
      <c r="BM1113" s="20"/>
      <c r="BN1113" s="20"/>
      <c r="BO1113" s="20"/>
      <c r="BP1113" s="20"/>
      <c r="BQ1113" s="20"/>
      <c r="BR1113" s="20"/>
      <c r="BS1113" s="20"/>
      <c r="BT1113" s="20"/>
      <c r="BU1113" s="20"/>
      <c r="BV1113" s="20"/>
      <c r="BW1113" s="20"/>
      <c r="BX1113" s="20"/>
      <c r="BY1113" s="20"/>
      <c r="BZ1113" s="20"/>
      <c r="CA1113" s="20"/>
      <c r="CB1113" s="21"/>
      <c r="CC1113" s="27" t="str">
        <f t="shared" si="187"/>
        <v/>
      </c>
      <c r="CD1113" s="38" t="str">
        <f t="shared" si="188"/>
        <v/>
      </c>
      <c r="CE1113" s="38" t="str">
        <f t="shared" si="189"/>
        <v/>
      </c>
      <c r="CF1113" s="38" t="str">
        <f t="shared" si="190"/>
        <v/>
      </c>
      <c r="CG1113" s="38" t="str">
        <f t="shared" si="191"/>
        <v/>
      </c>
      <c r="CH1113" s="38" t="str">
        <f t="shared" si="192"/>
        <v/>
      </c>
      <c r="CI1113" s="38" t="str">
        <f t="shared" si="193"/>
        <v/>
      </c>
      <c r="CJ1113" s="38" t="str">
        <f t="shared" si="194"/>
        <v/>
      </c>
      <c r="CK1113" s="38" t="str">
        <f t="shared" si="195"/>
        <v/>
      </c>
      <c r="CL1113" s="38" t="str">
        <f>IF(C1113="","",IF(COUNT(G1113:AZ1113)&lt;46,"",SUMPRODUCT(CC1113:CK1113,'تنظیمات وزن‌دهی'!$C$5:$C$13)/100))</f>
        <v/>
      </c>
      <c r="CM1113" s="38" t="str">
        <f t="shared" si="196"/>
        <v/>
      </c>
      <c r="CN1113" s="38">
        <v>5</v>
      </c>
      <c r="CO1113" s="28" t="str">
        <f t="shared" si="197"/>
        <v/>
      </c>
      <c r="CP1113" s="58"/>
    </row>
    <row r="1114" spans="1:94" ht="17.25" hidden="1">
      <c r="A1114" s="33">
        <v>1110</v>
      </c>
      <c r="B1114" s="55" t="s">
        <v>188</v>
      </c>
      <c r="C1114" s="55" t="str">
        <f>IF(دانش‌آموزان!E97="","",دانش‌آموزان!B97)</f>
        <v/>
      </c>
      <c r="D1114" s="55" t="str">
        <f>IF(دانش‌آموزان!C97="","",دانش‌آموزان!C97)</f>
        <v/>
      </c>
      <c r="E1114" s="55" t="str">
        <f>IF(دانش‌آموزان!E97="","",دانش‌آموزان!E97&amp;" "&amp;دانش‌آموزان!F97)</f>
        <v/>
      </c>
      <c r="F1114" s="34" t="str">
        <f>IF(دانش‌آموزان!I97="","",دانش‌آموزان!I97)</f>
        <v/>
      </c>
      <c r="G1114" s="19"/>
      <c r="H1114" s="20"/>
      <c r="I1114" s="20"/>
      <c r="J1114" s="20"/>
      <c r="K1114" s="20"/>
      <c r="L1114" s="20"/>
      <c r="M1114" s="20"/>
      <c r="N1114" s="20"/>
      <c r="O1114" s="20"/>
      <c r="P1114" s="20"/>
      <c r="Q1114" s="20"/>
      <c r="R1114" s="20"/>
      <c r="S1114" s="20"/>
      <c r="T1114" s="20"/>
      <c r="U1114" s="20"/>
      <c r="V1114" s="20"/>
      <c r="W1114" s="20"/>
      <c r="X1114" s="20"/>
      <c r="Y1114" s="20"/>
      <c r="Z1114" s="20"/>
      <c r="AA1114" s="20"/>
      <c r="AB1114" s="20"/>
      <c r="AC1114" s="20"/>
      <c r="AD1114" s="20"/>
      <c r="AE1114" s="20"/>
      <c r="AF1114" s="20"/>
      <c r="AG1114" s="20"/>
      <c r="AH1114" s="20"/>
      <c r="AI1114" s="20"/>
      <c r="AJ1114" s="20"/>
      <c r="AK1114" s="20"/>
      <c r="AL1114" s="20"/>
      <c r="AM1114" s="20"/>
      <c r="AN1114" s="20"/>
      <c r="AO1114" s="20"/>
      <c r="AP1114" s="20"/>
      <c r="AQ1114" s="20"/>
      <c r="AR1114" s="20"/>
      <c r="AS1114" s="20"/>
      <c r="AT1114" s="20"/>
      <c r="AU1114" s="20"/>
      <c r="AV1114" s="20"/>
      <c r="AW1114" s="20"/>
      <c r="AX1114" s="20"/>
      <c r="AY1114" s="20"/>
      <c r="AZ1114" s="20"/>
      <c r="BA1114" s="20"/>
      <c r="BB1114" s="20"/>
      <c r="BC1114" s="20"/>
      <c r="BD1114" s="20"/>
      <c r="BE1114" s="20"/>
      <c r="BF1114" s="20"/>
      <c r="BG1114" s="20"/>
      <c r="BH1114" s="20"/>
      <c r="BI1114" s="20"/>
      <c r="BJ1114" s="20"/>
      <c r="BK1114" s="20"/>
      <c r="BL1114" s="20"/>
      <c r="BM1114" s="20"/>
      <c r="BN1114" s="20"/>
      <c r="BO1114" s="20"/>
      <c r="BP1114" s="20"/>
      <c r="BQ1114" s="20"/>
      <c r="BR1114" s="20"/>
      <c r="BS1114" s="20"/>
      <c r="BT1114" s="20"/>
      <c r="BU1114" s="20"/>
      <c r="BV1114" s="20"/>
      <c r="BW1114" s="20"/>
      <c r="BX1114" s="20"/>
      <c r="BY1114" s="20"/>
      <c r="BZ1114" s="20"/>
      <c r="CA1114" s="20"/>
      <c r="CB1114" s="21"/>
      <c r="CC1114" s="27" t="str">
        <f t="shared" si="187"/>
        <v/>
      </c>
      <c r="CD1114" s="38" t="str">
        <f t="shared" si="188"/>
        <v/>
      </c>
      <c r="CE1114" s="38" t="str">
        <f t="shared" si="189"/>
        <v/>
      </c>
      <c r="CF1114" s="38" t="str">
        <f t="shared" si="190"/>
        <v/>
      </c>
      <c r="CG1114" s="38" t="str">
        <f t="shared" si="191"/>
        <v/>
      </c>
      <c r="CH1114" s="38" t="str">
        <f t="shared" si="192"/>
        <v/>
      </c>
      <c r="CI1114" s="38" t="str">
        <f t="shared" si="193"/>
        <v/>
      </c>
      <c r="CJ1114" s="38" t="str">
        <f t="shared" si="194"/>
        <v/>
      </c>
      <c r="CK1114" s="38" t="str">
        <f t="shared" si="195"/>
        <v/>
      </c>
      <c r="CL1114" s="38" t="str">
        <f>IF(C1114="","",IF(COUNT(G1114:AZ1114)&lt;46,"",SUMPRODUCT(CC1114:CK1114,'تنظیمات وزن‌دهی'!$C$5:$C$13)/100))</f>
        <v/>
      </c>
      <c r="CM1114" s="38" t="str">
        <f t="shared" si="196"/>
        <v/>
      </c>
      <c r="CN1114" s="38">
        <v>6</v>
      </c>
      <c r="CO1114" s="28" t="str">
        <f t="shared" si="197"/>
        <v/>
      </c>
      <c r="CP1114" s="58"/>
    </row>
    <row r="1115" spans="1:94" ht="17.25" hidden="1">
      <c r="A1115" s="33">
        <v>1111</v>
      </c>
      <c r="B1115" s="55" t="s">
        <v>189</v>
      </c>
      <c r="C1115" s="55" t="str">
        <f>IF(دانش‌آموزان!E97="","",دانش‌آموزان!B97)</f>
        <v/>
      </c>
      <c r="D1115" s="55" t="str">
        <f>IF(دانش‌آموزان!C97="","",دانش‌آموزان!C97)</f>
        <v/>
      </c>
      <c r="E1115" s="55" t="str">
        <f>IF(دانش‌آموزان!E97="","",دانش‌آموزان!E97&amp;" "&amp;دانش‌آموزان!F97)</f>
        <v/>
      </c>
      <c r="F1115" s="34" t="str">
        <f>IF(دانش‌آموزان!I97="","",دانش‌آموزان!I97)</f>
        <v/>
      </c>
      <c r="G1115" s="19"/>
      <c r="H1115" s="20"/>
      <c r="I1115" s="20"/>
      <c r="J1115" s="20"/>
      <c r="K1115" s="20"/>
      <c r="L1115" s="20"/>
      <c r="M1115" s="20"/>
      <c r="N1115" s="20"/>
      <c r="O1115" s="20"/>
      <c r="P1115" s="20"/>
      <c r="Q1115" s="20"/>
      <c r="R1115" s="20"/>
      <c r="S1115" s="20"/>
      <c r="T1115" s="20"/>
      <c r="U1115" s="20"/>
      <c r="V1115" s="20"/>
      <c r="W1115" s="20"/>
      <c r="X1115" s="20"/>
      <c r="Y1115" s="20"/>
      <c r="Z1115" s="20"/>
      <c r="AA1115" s="20"/>
      <c r="AB1115" s="20"/>
      <c r="AC1115" s="20"/>
      <c r="AD1115" s="20"/>
      <c r="AE1115" s="20"/>
      <c r="AF1115" s="20"/>
      <c r="AG1115" s="20"/>
      <c r="AH1115" s="20"/>
      <c r="AI1115" s="20"/>
      <c r="AJ1115" s="20"/>
      <c r="AK1115" s="20"/>
      <c r="AL1115" s="20"/>
      <c r="AM1115" s="20"/>
      <c r="AN1115" s="20"/>
      <c r="AO1115" s="20"/>
      <c r="AP1115" s="20"/>
      <c r="AQ1115" s="20"/>
      <c r="AR1115" s="20"/>
      <c r="AS1115" s="20"/>
      <c r="AT1115" s="20"/>
      <c r="AU1115" s="20"/>
      <c r="AV1115" s="20"/>
      <c r="AW1115" s="20"/>
      <c r="AX1115" s="20"/>
      <c r="AY1115" s="20"/>
      <c r="AZ1115" s="20"/>
      <c r="BA1115" s="20"/>
      <c r="BB1115" s="20"/>
      <c r="BC1115" s="20"/>
      <c r="BD1115" s="20"/>
      <c r="BE1115" s="20"/>
      <c r="BF1115" s="20"/>
      <c r="BG1115" s="20"/>
      <c r="BH1115" s="20"/>
      <c r="BI1115" s="20"/>
      <c r="BJ1115" s="20"/>
      <c r="BK1115" s="20"/>
      <c r="BL1115" s="20"/>
      <c r="BM1115" s="20"/>
      <c r="BN1115" s="20"/>
      <c r="BO1115" s="20"/>
      <c r="BP1115" s="20"/>
      <c r="BQ1115" s="20"/>
      <c r="BR1115" s="20"/>
      <c r="BS1115" s="20"/>
      <c r="BT1115" s="20"/>
      <c r="BU1115" s="20"/>
      <c r="BV1115" s="20"/>
      <c r="BW1115" s="20"/>
      <c r="BX1115" s="20"/>
      <c r="BY1115" s="20"/>
      <c r="BZ1115" s="20"/>
      <c r="CA1115" s="20"/>
      <c r="CB1115" s="21"/>
      <c r="CC1115" s="27" t="str">
        <f t="shared" si="187"/>
        <v/>
      </c>
      <c r="CD1115" s="38" t="str">
        <f t="shared" si="188"/>
        <v/>
      </c>
      <c r="CE1115" s="38" t="str">
        <f t="shared" si="189"/>
        <v/>
      </c>
      <c r="CF1115" s="38" t="str">
        <f t="shared" si="190"/>
        <v/>
      </c>
      <c r="CG1115" s="38" t="str">
        <f t="shared" si="191"/>
        <v/>
      </c>
      <c r="CH1115" s="38" t="str">
        <f t="shared" si="192"/>
        <v/>
      </c>
      <c r="CI1115" s="38" t="str">
        <f t="shared" si="193"/>
        <v/>
      </c>
      <c r="CJ1115" s="38" t="str">
        <f t="shared" si="194"/>
        <v/>
      </c>
      <c r="CK1115" s="38" t="str">
        <f t="shared" si="195"/>
        <v/>
      </c>
      <c r="CL1115" s="38" t="str">
        <f>IF(C1115="","",IF(COUNT(G1115:AZ1115)&lt;46,"",SUMPRODUCT(CC1115:CK1115,'تنظیمات وزن‌دهی'!$C$5:$C$13)/100))</f>
        <v/>
      </c>
      <c r="CM1115" s="38" t="str">
        <f t="shared" si="196"/>
        <v/>
      </c>
      <c r="CN1115" s="38">
        <v>7</v>
      </c>
      <c r="CO1115" s="28" t="str">
        <f t="shared" si="197"/>
        <v/>
      </c>
      <c r="CP1115" s="58"/>
    </row>
    <row r="1116" spans="1:94" ht="17.25" hidden="1">
      <c r="A1116" s="33">
        <v>1112</v>
      </c>
      <c r="B1116" s="55" t="s">
        <v>190</v>
      </c>
      <c r="C1116" s="55" t="str">
        <f>IF(دانش‌آموزان!E97="","",دانش‌آموزان!B97)</f>
        <v/>
      </c>
      <c r="D1116" s="55" t="str">
        <f>IF(دانش‌آموزان!C97="","",دانش‌آموزان!C97)</f>
        <v/>
      </c>
      <c r="E1116" s="55" t="str">
        <f>IF(دانش‌آموزان!E97="","",دانش‌آموزان!E97&amp;" "&amp;دانش‌آموزان!F97)</f>
        <v/>
      </c>
      <c r="F1116" s="34" t="str">
        <f>IF(دانش‌آموزان!I97="","",دانش‌آموزان!I97)</f>
        <v/>
      </c>
      <c r="G1116" s="19"/>
      <c r="H1116" s="20"/>
      <c r="I1116" s="20"/>
      <c r="J1116" s="20"/>
      <c r="K1116" s="20"/>
      <c r="L1116" s="20"/>
      <c r="M1116" s="20"/>
      <c r="N1116" s="20"/>
      <c r="O1116" s="20"/>
      <c r="P1116" s="20"/>
      <c r="Q1116" s="20"/>
      <c r="R1116" s="20"/>
      <c r="S1116" s="20"/>
      <c r="T1116" s="20"/>
      <c r="U1116" s="20"/>
      <c r="V1116" s="20"/>
      <c r="W1116" s="20"/>
      <c r="X1116" s="20"/>
      <c r="Y1116" s="20"/>
      <c r="Z1116" s="20"/>
      <c r="AA1116" s="20"/>
      <c r="AB1116" s="20"/>
      <c r="AC1116" s="20"/>
      <c r="AD1116" s="20"/>
      <c r="AE1116" s="20"/>
      <c r="AF1116" s="20"/>
      <c r="AG1116" s="20"/>
      <c r="AH1116" s="20"/>
      <c r="AI1116" s="20"/>
      <c r="AJ1116" s="20"/>
      <c r="AK1116" s="20"/>
      <c r="AL1116" s="20"/>
      <c r="AM1116" s="20"/>
      <c r="AN1116" s="20"/>
      <c r="AO1116" s="20"/>
      <c r="AP1116" s="20"/>
      <c r="AQ1116" s="20"/>
      <c r="AR1116" s="20"/>
      <c r="AS1116" s="20"/>
      <c r="AT1116" s="20"/>
      <c r="AU1116" s="20"/>
      <c r="AV1116" s="20"/>
      <c r="AW1116" s="20"/>
      <c r="AX1116" s="20"/>
      <c r="AY1116" s="20"/>
      <c r="AZ1116" s="20"/>
      <c r="BA1116" s="20"/>
      <c r="BB1116" s="20"/>
      <c r="BC1116" s="20"/>
      <c r="BD1116" s="20"/>
      <c r="BE1116" s="20"/>
      <c r="BF1116" s="20"/>
      <c r="BG1116" s="20"/>
      <c r="BH1116" s="20"/>
      <c r="BI1116" s="20"/>
      <c r="BJ1116" s="20"/>
      <c r="BK1116" s="20"/>
      <c r="BL1116" s="20"/>
      <c r="BM1116" s="20"/>
      <c r="BN1116" s="20"/>
      <c r="BO1116" s="20"/>
      <c r="BP1116" s="20"/>
      <c r="BQ1116" s="20"/>
      <c r="BR1116" s="20"/>
      <c r="BS1116" s="20"/>
      <c r="BT1116" s="20"/>
      <c r="BU1116" s="20"/>
      <c r="BV1116" s="20"/>
      <c r="BW1116" s="20"/>
      <c r="BX1116" s="20"/>
      <c r="BY1116" s="20"/>
      <c r="BZ1116" s="20"/>
      <c r="CA1116" s="20"/>
      <c r="CB1116" s="21"/>
      <c r="CC1116" s="27" t="str">
        <f t="shared" si="187"/>
        <v/>
      </c>
      <c r="CD1116" s="38" t="str">
        <f t="shared" si="188"/>
        <v/>
      </c>
      <c r="CE1116" s="38" t="str">
        <f t="shared" si="189"/>
        <v/>
      </c>
      <c r="CF1116" s="38" t="str">
        <f t="shared" si="190"/>
        <v/>
      </c>
      <c r="CG1116" s="38" t="str">
        <f t="shared" si="191"/>
        <v/>
      </c>
      <c r="CH1116" s="38" t="str">
        <f t="shared" si="192"/>
        <v/>
      </c>
      <c r="CI1116" s="38" t="str">
        <f t="shared" si="193"/>
        <v/>
      </c>
      <c r="CJ1116" s="38" t="str">
        <f t="shared" si="194"/>
        <v/>
      </c>
      <c r="CK1116" s="38" t="str">
        <f t="shared" si="195"/>
        <v/>
      </c>
      <c r="CL1116" s="38" t="str">
        <f>IF(C1116="","",IF(COUNT(G1116:AZ1116)&lt;46,"",SUMPRODUCT(CC1116:CK1116,'تنظیمات وزن‌دهی'!$C$5:$C$13)/100))</f>
        <v/>
      </c>
      <c r="CM1116" s="38" t="str">
        <f t="shared" si="196"/>
        <v/>
      </c>
      <c r="CN1116" s="38">
        <v>8</v>
      </c>
      <c r="CO1116" s="28" t="str">
        <f t="shared" si="197"/>
        <v/>
      </c>
      <c r="CP1116" s="58"/>
    </row>
    <row r="1117" spans="1:94" ht="17.25" hidden="1">
      <c r="A1117" s="33">
        <v>1113</v>
      </c>
      <c r="B1117" s="55" t="s">
        <v>191</v>
      </c>
      <c r="C1117" s="55" t="str">
        <f>IF(دانش‌آموزان!E97="","",دانش‌آموزان!B97)</f>
        <v/>
      </c>
      <c r="D1117" s="55" t="str">
        <f>IF(دانش‌آموزان!C97="","",دانش‌آموزان!C97)</f>
        <v/>
      </c>
      <c r="E1117" s="55" t="str">
        <f>IF(دانش‌آموزان!E97="","",دانش‌آموزان!E97&amp;" "&amp;دانش‌آموزان!F97)</f>
        <v/>
      </c>
      <c r="F1117" s="34" t="str">
        <f>IF(دانش‌آموزان!I97="","",دانش‌آموزان!I97)</f>
        <v/>
      </c>
      <c r="G1117" s="19"/>
      <c r="H1117" s="20"/>
      <c r="I1117" s="20"/>
      <c r="J1117" s="20"/>
      <c r="K1117" s="20"/>
      <c r="L1117" s="20"/>
      <c r="M1117" s="20"/>
      <c r="N1117" s="20"/>
      <c r="O1117" s="20"/>
      <c r="P1117" s="20"/>
      <c r="Q1117" s="20"/>
      <c r="R1117" s="20"/>
      <c r="S1117" s="20"/>
      <c r="T1117" s="20"/>
      <c r="U1117" s="20"/>
      <c r="V1117" s="20"/>
      <c r="W1117" s="20"/>
      <c r="X1117" s="20"/>
      <c r="Y1117" s="20"/>
      <c r="Z1117" s="20"/>
      <c r="AA1117" s="20"/>
      <c r="AB1117" s="20"/>
      <c r="AC1117" s="20"/>
      <c r="AD1117" s="20"/>
      <c r="AE1117" s="20"/>
      <c r="AF1117" s="20"/>
      <c r="AG1117" s="20"/>
      <c r="AH1117" s="20"/>
      <c r="AI1117" s="20"/>
      <c r="AJ1117" s="20"/>
      <c r="AK1117" s="20"/>
      <c r="AL1117" s="20"/>
      <c r="AM1117" s="20"/>
      <c r="AN1117" s="20"/>
      <c r="AO1117" s="20"/>
      <c r="AP1117" s="20"/>
      <c r="AQ1117" s="20"/>
      <c r="AR1117" s="20"/>
      <c r="AS1117" s="20"/>
      <c r="AT1117" s="20"/>
      <c r="AU1117" s="20"/>
      <c r="AV1117" s="20"/>
      <c r="AW1117" s="20"/>
      <c r="AX1117" s="20"/>
      <c r="AY1117" s="20"/>
      <c r="AZ1117" s="20"/>
      <c r="BA1117" s="20"/>
      <c r="BB1117" s="20"/>
      <c r="BC1117" s="20"/>
      <c r="BD1117" s="20"/>
      <c r="BE1117" s="20"/>
      <c r="BF1117" s="20"/>
      <c r="BG1117" s="20"/>
      <c r="BH1117" s="20"/>
      <c r="BI1117" s="20"/>
      <c r="BJ1117" s="20"/>
      <c r="BK1117" s="20"/>
      <c r="BL1117" s="20"/>
      <c r="BM1117" s="20"/>
      <c r="BN1117" s="20"/>
      <c r="BO1117" s="20"/>
      <c r="BP1117" s="20"/>
      <c r="BQ1117" s="20"/>
      <c r="BR1117" s="20"/>
      <c r="BS1117" s="20"/>
      <c r="BT1117" s="20"/>
      <c r="BU1117" s="20"/>
      <c r="BV1117" s="20"/>
      <c r="BW1117" s="20"/>
      <c r="BX1117" s="20"/>
      <c r="BY1117" s="20"/>
      <c r="BZ1117" s="20"/>
      <c r="CA1117" s="20"/>
      <c r="CB1117" s="21"/>
      <c r="CC1117" s="27" t="str">
        <f t="shared" si="187"/>
        <v/>
      </c>
      <c r="CD1117" s="38" t="str">
        <f t="shared" si="188"/>
        <v/>
      </c>
      <c r="CE1117" s="38" t="str">
        <f t="shared" si="189"/>
        <v/>
      </c>
      <c r="CF1117" s="38" t="str">
        <f t="shared" si="190"/>
        <v/>
      </c>
      <c r="CG1117" s="38" t="str">
        <f t="shared" si="191"/>
        <v/>
      </c>
      <c r="CH1117" s="38" t="str">
        <f t="shared" si="192"/>
        <v/>
      </c>
      <c r="CI1117" s="38" t="str">
        <f t="shared" si="193"/>
        <v/>
      </c>
      <c r="CJ1117" s="38" t="str">
        <f t="shared" si="194"/>
        <v/>
      </c>
      <c r="CK1117" s="38" t="str">
        <f t="shared" si="195"/>
        <v/>
      </c>
      <c r="CL1117" s="38" t="str">
        <f>IF(C1117="","",IF(COUNT(G1117:AZ1117)&lt;46,"",SUMPRODUCT(CC1117:CK1117,'تنظیمات وزن‌دهی'!$C$5:$C$13)/100))</f>
        <v/>
      </c>
      <c r="CM1117" s="38" t="str">
        <f t="shared" si="196"/>
        <v/>
      </c>
      <c r="CN1117" s="38">
        <v>9</v>
      </c>
      <c r="CO1117" s="28" t="str">
        <f t="shared" si="197"/>
        <v/>
      </c>
      <c r="CP1117" s="58"/>
    </row>
    <row r="1118" spans="1:94" ht="17.25" hidden="1">
      <c r="A1118" s="33">
        <v>1114</v>
      </c>
      <c r="B1118" s="55" t="s">
        <v>192</v>
      </c>
      <c r="C1118" s="55" t="str">
        <f>IF(دانش‌آموزان!E97="","",دانش‌آموزان!B97)</f>
        <v/>
      </c>
      <c r="D1118" s="55" t="str">
        <f>IF(دانش‌آموزان!C97="","",دانش‌آموزان!C97)</f>
        <v/>
      </c>
      <c r="E1118" s="55" t="str">
        <f>IF(دانش‌آموزان!E97="","",دانش‌آموزان!E97&amp;" "&amp;دانش‌آموزان!F97)</f>
        <v/>
      </c>
      <c r="F1118" s="34" t="str">
        <f>IF(دانش‌آموزان!I97="","",دانش‌آموزان!I97)</f>
        <v/>
      </c>
      <c r="G1118" s="19"/>
      <c r="H1118" s="20"/>
      <c r="I1118" s="20"/>
      <c r="J1118" s="20"/>
      <c r="K1118" s="20"/>
      <c r="L1118" s="20"/>
      <c r="M1118" s="20"/>
      <c r="N1118" s="20"/>
      <c r="O1118" s="20"/>
      <c r="P1118" s="20"/>
      <c r="Q1118" s="20"/>
      <c r="R1118" s="20"/>
      <c r="S1118" s="20"/>
      <c r="T1118" s="20"/>
      <c r="U1118" s="20"/>
      <c r="V1118" s="20"/>
      <c r="W1118" s="20"/>
      <c r="X1118" s="20"/>
      <c r="Y1118" s="20"/>
      <c r="Z1118" s="20"/>
      <c r="AA1118" s="20"/>
      <c r="AB1118" s="20"/>
      <c r="AC1118" s="20"/>
      <c r="AD1118" s="20"/>
      <c r="AE1118" s="20"/>
      <c r="AF1118" s="20"/>
      <c r="AG1118" s="20"/>
      <c r="AH1118" s="20"/>
      <c r="AI1118" s="20"/>
      <c r="AJ1118" s="20"/>
      <c r="AK1118" s="20"/>
      <c r="AL1118" s="20"/>
      <c r="AM1118" s="20"/>
      <c r="AN1118" s="20"/>
      <c r="AO1118" s="20"/>
      <c r="AP1118" s="20"/>
      <c r="AQ1118" s="20"/>
      <c r="AR1118" s="20"/>
      <c r="AS1118" s="20"/>
      <c r="AT1118" s="20"/>
      <c r="AU1118" s="20"/>
      <c r="AV1118" s="20"/>
      <c r="AW1118" s="20"/>
      <c r="AX1118" s="20"/>
      <c r="AY1118" s="20"/>
      <c r="AZ1118" s="20"/>
      <c r="BA1118" s="20"/>
      <c r="BB1118" s="20"/>
      <c r="BC1118" s="20"/>
      <c r="BD1118" s="20"/>
      <c r="BE1118" s="20"/>
      <c r="BF1118" s="20"/>
      <c r="BG1118" s="20"/>
      <c r="BH1118" s="20"/>
      <c r="BI1118" s="20"/>
      <c r="BJ1118" s="20"/>
      <c r="BK1118" s="20"/>
      <c r="BL1118" s="20"/>
      <c r="BM1118" s="20"/>
      <c r="BN1118" s="20"/>
      <c r="BO1118" s="20"/>
      <c r="BP1118" s="20"/>
      <c r="BQ1118" s="20"/>
      <c r="BR1118" s="20"/>
      <c r="BS1118" s="20"/>
      <c r="BT1118" s="20"/>
      <c r="BU1118" s="20"/>
      <c r="BV1118" s="20"/>
      <c r="BW1118" s="20"/>
      <c r="BX1118" s="20"/>
      <c r="BY1118" s="20"/>
      <c r="BZ1118" s="20"/>
      <c r="CA1118" s="20"/>
      <c r="CB1118" s="21"/>
      <c r="CC1118" s="27" t="str">
        <f t="shared" si="187"/>
        <v/>
      </c>
      <c r="CD1118" s="38" t="str">
        <f t="shared" si="188"/>
        <v/>
      </c>
      <c r="CE1118" s="38" t="str">
        <f t="shared" si="189"/>
        <v/>
      </c>
      <c r="CF1118" s="38" t="str">
        <f t="shared" si="190"/>
        <v/>
      </c>
      <c r="CG1118" s="38" t="str">
        <f t="shared" si="191"/>
        <v/>
      </c>
      <c r="CH1118" s="38" t="str">
        <f t="shared" si="192"/>
        <v/>
      </c>
      <c r="CI1118" s="38" t="str">
        <f t="shared" si="193"/>
        <v/>
      </c>
      <c r="CJ1118" s="38" t="str">
        <f t="shared" si="194"/>
        <v/>
      </c>
      <c r="CK1118" s="38" t="str">
        <f t="shared" si="195"/>
        <v/>
      </c>
      <c r="CL1118" s="38" t="str">
        <f>IF(C1118="","",IF(COUNT(G1118:AZ1118)&lt;46,"",SUMPRODUCT(CC1118:CK1118,'تنظیمات وزن‌دهی'!$C$5:$C$13)/100))</f>
        <v/>
      </c>
      <c r="CM1118" s="38" t="str">
        <f t="shared" si="196"/>
        <v/>
      </c>
      <c r="CN1118" s="38">
        <v>10</v>
      </c>
      <c r="CO1118" s="28" t="str">
        <f t="shared" si="197"/>
        <v/>
      </c>
      <c r="CP1118" s="58"/>
    </row>
    <row r="1119" spans="1:94" ht="17.25" hidden="1">
      <c r="A1119" s="33">
        <v>1115</v>
      </c>
      <c r="B1119" s="55" t="s">
        <v>193</v>
      </c>
      <c r="C1119" s="55" t="str">
        <f>IF(دانش‌آموزان!E97="","",دانش‌آموزان!B97)</f>
        <v/>
      </c>
      <c r="D1119" s="55" t="str">
        <f>IF(دانش‌آموزان!C97="","",دانش‌آموزان!C97)</f>
        <v/>
      </c>
      <c r="E1119" s="55" t="str">
        <f>IF(دانش‌آموزان!E97="","",دانش‌آموزان!E97&amp;" "&amp;دانش‌آموزان!F97)</f>
        <v/>
      </c>
      <c r="F1119" s="34" t="str">
        <f>IF(دانش‌آموزان!I97="","",دانش‌آموزان!I97)</f>
        <v/>
      </c>
      <c r="G1119" s="19"/>
      <c r="H1119" s="20"/>
      <c r="I1119" s="20"/>
      <c r="J1119" s="20"/>
      <c r="K1119" s="20"/>
      <c r="L1119" s="20"/>
      <c r="M1119" s="20"/>
      <c r="N1119" s="20"/>
      <c r="O1119" s="20"/>
      <c r="P1119" s="20"/>
      <c r="Q1119" s="20"/>
      <c r="R1119" s="20"/>
      <c r="S1119" s="20"/>
      <c r="T1119" s="20"/>
      <c r="U1119" s="20"/>
      <c r="V1119" s="20"/>
      <c r="W1119" s="20"/>
      <c r="X1119" s="20"/>
      <c r="Y1119" s="20"/>
      <c r="Z1119" s="20"/>
      <c r="AA1119" s="20"/>
      <c r="AB1119" s="20"/>
      <c r="AC1119" s="20"/>
      <c r="AD1119" s="20"/>
      <c r="AE1119" s="20"/>
      <c r="AF1119" s="20"/>
      <c r="AG1119" s="20"/>
      <c r="AH1119" s="20"/>
      <c r="AI1119" s="20"/>
      <c r="AJ1119" s="20"/>
      <c r="AK1119" s="20"/>
      <c r="AL1119" s="20"/>
      <c r="AM1119" s="20"/>
      <c r="AN1119" s="20"/>
      <c r="AO1119" s="20"/>
      <c r="AP1119" s="20"/>
      <c r="AQ1119" s="20"/>
      <c r="AR1119" s="20"/>
      <c r="AS1119" s="20"/>
      <c r="AT1119" s="20"/>
      <c r="AU1119" s="20"/>
      <c r="AV1119" s="20"/>
      <c r="AW1119" s="20"/>
      <c r="AX1119" s="20"/>
      <c r="AY1119" s="20"/>
      <c r="AZ1119" s="20"/>
      <c r="BA1119" s="20"/>
      <c r="BB1119" s="20"/>
      <c r="BC1119" s="20"/>
      <c r="BD1119" s="20"/>
      <c r="BE1119" s="20"/>
      <c r="BF1119" s="20"/>
      <c r="BG1119" s="20"/>
      <c r="BH1119" s="20"/>
      <c r="BI1119" s="20"/>
      <c r="BJ1119" s="20"/>
      <c r="BK1119" s="20"/>
      <c r="BL1119" s="20"/>
      <c r="BM1119" s="20"/>
      <c r="BN1119" s="20"/>
      <c r="BO1119" s="20"/>
      <c r="BP1119" s="20"/>
      <c r="BQ1119" s="20"/>
      <c r="BR1119" s="20"/>
      <c r="BS1119" s="20"/>
      <c r="BT1119" s="20"/>
      <c r="BU1119" s="20"/>
      <c r="BV1119" s="20"/>
      <c r="BW1119" s="20"/>
      <c r="BX1119" s="20"/>
      <c r="BY1119" s="20"/>
      <c r="BZ1119" s="20"/>
      <c r="CA1119" s="20"/>
      <c r="CB1119" s="21"/>
      <c r="CC1119" s="27" t="str">
        <f t="shared" si="187"/>
        <v/>
      </c>
      <c r="CD1119" s="38" t="str">
        <f t="shared" si="188"/>
        <v/>
      </c>
      <c r="CE1119" s="38" t="str">
        <f t="shared" si="189"/>
        <v/>
      </c>
      <c r="CF1119" s="38" t="str">
        <f t="shared" si="190"/>
        <v/>
      </c>
      <c r="CG1119" s="38" t="str">
        <f t="shared" si="191"/>
        <v/>
      </c>
      <c r="CH1119" s="38" t="str">
        <f t="shared" si="192"/>
        <v/>
      </c>
      <c r="CI1119" s="38" t="str">
        <f t="shared" si="193"/>
        <v/>
      </c>
      <c r="CJ1119" s="38" t="str">
        <f t="shared" si="194"/>
        <v/>
      </c>
      <c r="CK1119" s="38" t="str">
        <f t="shared" si="195"/>
        <v/>
      </c>
      <c r="CL1119" s="38" t="str">
        <f>IF(C1119="","",IF(COUNT(G1119:AZ1119)&lt;46,"",SUMPRODUCT(CC1119:CK1119,'تنظیمات وزن‌دهی'!$C$5:$C$13)/100))</f>
        <v/>
      </c>
      <c r="CM1119" s="38" t="str">
        <f t="shared" si="196"/>
        <v/>
      </c>
      <c r="CN1119" s="38">
        <v>11</v>
      </c>
      <c r="CO1119" s="28" t="str">
        <f t="shared" si="197"/>
        <v/>
      </c>
      <c r="CP1119" s="58"/>
    </row>
    <row r="1120" spans="1:94" ht="17.25" hidden="1">
      <c r="A1120" s="33">
        <v>1116</v>
      </c>
      <c r="B1120" s="55" t="s">
        <v>194</v>
      </c>
      <c r="C1120" s="55" t="str">
        <f>IF(دانش‌آموزان!E97="","",دانش‌آموزان!B97)</f>
        <v/>
      </c>
      <c r="D1120" s="55" t="str">
        <f>IF(دانش‌آموزان!C97="","",دانش‌آموزان!C97)</f>
        <v/>
      </c>
      <c r="E1120" s="55" t="str">
        <f>IF(دانش‌آموزان!E97="","",دانش‌آموزان!E97&amp;" "&amp;دانش‌آموزان!F97)</f>
        <v/>
      </c>
      <c r="F1120" s="34" t="str">
        <f>IF(دانش‌آموزان!I97="","",دانش‌آموزان!I97)</f>
        <v/>
      </c>
      <c r="G1120" s="19"/>
      <c r="H1120" s="20"/>
      <c r="I1120" s="20"/>
      <c r="J1120" s="20"/>
      <c r="K1120" s="20"/>
      <c r="L1120" s="20"/>
      <c r="M1120" s="20"/>
      <c r="N1120" s="20"/>
      <c r="O1120" s="20"/>
      <c r="P1120" s="20"/>
      <c r="Q1120" s="20"/>
      <c r="R1120" s="20"/>
      <c r="S1120" s="20"/>
      <c r="T1120" s="20"/>
      <c r="U1120" s="20"/>
      <c r="V1120" s="20"/>
      <c r="W1120" s="20"/>
      <c r="X1120" s="20"/>
      <c r="Y1120" s="20"/>
      <c r="Z1120" s="20"/>
      <c r="AA1120" s="20"/>
      <c r="AB1120" s="20"/>
      <c r="AC1120" s="20"/>
      <c r="AD1120" s="20"/>
      <c r="AE1120" s="20"/>
      <c r="AF1120" s="20"/>
      <c r="AG1120" s="20"/>
      <c r="AH1120" s="20"/>
      <c r="AI1120" s="20"/>
      <c r="AJ1120" s="20"/>
      <c r="AK1120" s="20"/>
      <c r="AL1120" s="20"/>
      <c r="AM1120" s="20"/>
      <c r="AN1120" s="20"/>
      <c r="AO1120" s="20"/>
      <c r="AP1120" s="20"/>
      <c r="AQ1120" s="20"/>
      <c r="AR1120" s="20"/>
      <c r="AS1120" s="20"/>
      <c r="AT1120" s="20"/>
      <c r="AU1120" s="20"/>
      <c r="AV1120" s="20"/>
      <c r="AW1120" s="20"/>
      <c r="AX1120" s="20"/>
      <c r="AY1120" s="20"/>
      <c r="AZ1120" s="20"/>
      <c r="BA1120" s="20"/>
      <c r="BB1120" s="20"/>
      <c r="BC1120" s="20"/>
      <c r="BD1120" s="20"/>
      <c r="BE1120" s="20"/>
      <c r="BF1120" s="20"/>
      <c r="BG1120" s="20"/>
      <c r="BH1120" s="20"/>
      <c r="BI1120" s="20"/>
      <c r="BJ1120" s="20"/>
      <c r="BK1120" s="20"/>
      <c r="BL1120" s="20"/>
      <c r="BM1120" s="20"/>
      <c r="BN1120" s="20"/>
      <c r="BO1120" s="20"/>
      <c r="BP1120" s="20"/>
      <c r="BQ1120" s="20"/>
      <c r="BR1120" s="20"/>
      <c r="BS1120" s="20"/>
      <c r="BT1120" s="20"/>
      <c r="BU1120" s="20"/>
      <c r="BV1120" s="20"/>
      <c r="BW1120" s="20"/>
      <c r="BX1120" s="20"/>
      <c r="BY1120" s="20"/>
      <c r="BZ1120" s="20"/>
      <c r="CA1120" s="20"/>
      <c r="CB1120" s="21"/>
      <c r="CC1120" s="27" t="str">
        <f t="shared" si="187"/>
        <v/>
      </c>
      <c r="CD1120" s="38" t="str">
        <f t="shared" si="188"/>
        <v/>
      </c>
      <c r="CE1120" s="38" t="str">
        <f t="shared" si="189"/>
        <v/>
      </c>
      <c r="CF1120" s="38" t="str">
        <f t="shared" si="190"/>
        <v/>
      </c>
      <c r="CG1120" s="38" t="str">
        <f t="shared" si="191"/>
        <v/>
      </c>
      <c r="CH1120" s="38" t="str">
        <f t="shared" si="192"/>
        <v/>
      </c>
      <c r="CI1120" s="38" t="str">
        <f t="shared" si="193"/>
        <v/>
      </c>
      <c r="CJ1120" s="38" t="str">
        <f t="shared" si="194"/>
        <v/>
      </c>
      <c r="CK1120" s="38" t="str">
        <f t="shared" si="195"/>
        <v/>
      </c>
      <c r="CL1120" s="38" t="str">
        <f>IF(C1120="","",IF(COUNT(G1120:AZ1120)&lt;46,"",SUMPRODUCT(CC1120:CK1120,'تنظیمات وزن‌دهی'!$C$5:$C$13)/100))</f>
        <v/>
      </c>
      <c r="CM1120" s="38" t="str">
        <f t="shared" si="196"/>
        <v/>
      </c>
      <c r="CN1120" s="38">
        <v>12</v>
      </c>
      <c r="CO1120" s="28" t="str">
        <f t="shared" si="197"/>
        <v/>
      </c>
      <c r="CP1120" s="58"/>
    </row>
    <row r="1121" spans="1:94" ht="17.25" hidden="1">
      <c r="A1121" s="33">
        <v>1117</v>
      </c>
      <c r="B1121" s="55" t="s">
        <v>183</v>
      </c>
      <c r="C1121" s="55" t="str">
        <f>IF(دانش‌آموزان!E98="","",دانش‌آموزان!B98)</f>
        <v/>
      </c>
      <c r="D1121" s="55" t="str">
        <f>IF(دانش‌آموزان!C98="","",دانش‌آموزان!C98)</f>
        <v/>
      </c>
      <c r="E1121" s="55" t="str">
        <f>IF(دانش‌آموزان!E98="","",دانش‌آموزان!E98&amp;" "&amp;دانش‌آموزان!F98)</f>
        <v/>
      </c>
      <c r="F1121" s="34" t="str">
        <f>IF(دانش‌آموزان!I98="","",دانش‌آموزان!I98)</f>
        <v/>
      </c>
      <c r="G1121" s="19"/>
      <c r="H1121" s="20"/>
      <c r="I1121" s="20"/>
      <c r="J1121" s="20"/>
      <c r="K1121" s="20"/>
      <c r="L1121" s="20"/>
      <c r="M1121" s="20"/>
      <c r="N1121" s="20"/>
      <c r="O1121" s="20"/>
      <c r="P1121" s="20"/>
      <c r="Q1121" s="20"/>
      <c r="R1121" s="20"/>
      <c r="S1121" s="20"/>
      <c r="T1121" s="20"/>
      <c r="U1121" s="20"/>
      <c r="V1121" s="20"/>
      <c r="W1121" s="20"/>
      <c r="X1121" s="20"/>
      <c r="Y1121" s="20"/>
      <c r="Z1121" s="20"/>
      <c r="AA1121" s="20"/>
      <c r="AB1121" s="20"/>
      <c r="AC1121" s="20"/>
      <c r="AD1121" s="20"/>
      <c r="AE1121" s="20"/>
      <c r="AF1121" s="20"/>
      <c r="AG1121" s="20"/>
      <c r="AH1121" s="20"/>
      <c r="AI1121" s="20"/>
      <c r="AJ1121" s="20"/>
      <c r="AK1121" s="20"/>
      <c r="AL1121" s="20"/>
      <c r="AM1121" s="20"/>
      <c r="AN1121" s="20"/>
      <c r="AO1121" s="20"/>
      <c r="AP1121" s="20"/>
      <c r="AQ1121" s="20"/>
      <c r="AR1121" s="20"/>
      <c r="AS1121" s="20"/>
      <c r="AT1121" s="20"/>
      <c r="AU1121" s="20"/>
      <c r="AV1121" s="20"/>
      <c r="AW1121" s="20"/>
      <c r="AX1121" s="20"/>
      <c r="AY1121" s="20"/>
      <c r="AZ1121" s="20"/>
      <c r="BA1121" s="20"/>
      <c r="BB1121" s="20"/>
      <c r="BC1121" s="20"/>
      <c r="BD1121" s="20"/>
      <c r="BE1121" s="20"/>
      <c r="BF1121" s="20"/>
      <c r="BG1121" s="20"/>
      <c r="BH1121" s="20"/>
      <c r="BI1121" s="20"/>
      <c r="BJ1121" s="20"/>
      <c r="BK1121" s="20"/>
      <c r="BL1121" s="20"/>
      <c r="BM1121" s="20"/>
      <c r="BN1121" s="20"/>
      <c r="BO1121" s="20"/>
      <c r="BP1121" s="20"/>
      <c r="BQ1121" s="20"/>
      <c r="BR1121" s="20"/>
      <c r="BS1121" s="20"/>
      <c r="BT1121" s="20"/>
      <c r="BU1121" s="20"/>
      <c r="BV1121" s="20"/>
      <c r="BW1121" s="20"/>
      <c r="BX1121" s="20"/>
      <c r="BY1121" s="20"/>
      <c r="BZ1121" s="20"/>
      <c r="CA1121" s="20"/>
      <c r="CB1121" s="21"/>
      <c r="CC1121" s="27" t="str">
        <f t="shared" si="187"/>
        <v/>
      </c>
      <c r="CD1121" s="38" t="str">
        <f t="shared" si="188"/>
        <v/>
      </c>
      <c r="CE1121" s="38" t="str">
        <f t="shared" si="189"/>
        <v/>
      </c>
      <c r="CF1121" s="38" t="str">
        <f t="shared" si="190"/>
        <v/>
      </c>
      <c r="CG1121" s="38" t="str">
        <f t="shared" si="191"/>
        <v/>
      </c>
      <c r="CH1121" s="38" t="str">
        <f t="shared" si="192"/>
        <v/>
      </c>
      <c r="CI1121" s="38" t="str">
        <f t="shared" si="193"/>
        <v/>
      </c>
      <c r="CJ1121" s="38" t="str">
        <f t="shared" si="194"/>
        <v/>
      </c>
      <c r="CK1121" s="38" t="str">
        <f t="shared" si="195"/>
        <v/>
      </c>
      <c r="CL1121" s="38" t="str">
        <f>IF(C1121="","",IF(COUNT(G1121:AZ1121)&lt;46,"",SUMPRODUCT(CC1121:CK1121,'تنظیمات وزن‌دهی'!$C$5:$C$13)/100))</f>
        <v/>
      </c>
      <c r="CM1121" s="38" t="str">
        <f t="shared" si="196"/>
        <v/>
      </c>
      <c r="CN1121" s="38">
        <v>1</v>
      </c>
      <c r="CO1121" s="28" t="str">
        <f t="shared" si="197"/>
        <v/>
      </c>
      <c r="CP1121" s="58"/>
    </row>
    <row r="1122" spans="1:94" ht="17.25" hidden="1">
      <c r="A1122" s="33">
        <v>1118</v>
      </c>
      <c r="B1122" s="55" t="s">
        <v>184</v>
      </c>
      <c r="C1122" s="55" t="str">
        <f>IF(دانش‌آموزان!E98="","",دانش‌آموزان!B98)</f>
        <v/>
      </c>
      <c r="D1122" s="55" t="str">
        <f>IF(دانش‌آموزان!C98="","",دانش‌آموزان!C98)</f>
        <v/>
      </c>
      <c r="E1122" s="55" t="str">
        <f>IF(دانش‌آموزان!E98="","",دانش‌آموزان!E98&amp;" "&amp;دانش‌آموزان!F98)</f>
        <v/>
      </c>
      <c r="F1122" s="34" t="str">
        <f>IF(دانش‌آموزان!I98="","",دانش‌آموزان!I98)</f>
        <v/>
      </c>
      <c r="G1122" s="19"/>
      <c r="H1122" s="20"/>
      <c r="I1122" s="20"/>
      <c r="J1122" s="20"/>
      <c r="K1122" s="20"/>
      <c r="L1122" s="20"/>
      <c r="M1122" s="20"/>
      <c r="N1122" s="20"/>
      <c r="O1122" s="20"/>
      <c r="P1122" s="20"/>
      <c r="Q1122" s="20"/>
      <c r="R1122" s="20"/>
      <c r="S1122" s="20"/>
      <c r="T1122" s="20"/>
      <c r="U1122" s="20"/>
      <c r="V1122" s="20"/>
      <c r="W1122" s="20"/>
      <c r="X1122" s="20"/>
      <c r="Y1122" s="20"/>
      <c r="Z1122" s="20"/>
      <c r="AA1122" s="20"/>
      <c r="AB1122" s="20"/>
      <c r="AC1122" s="20"/>
      <c r="AD1122" s="20"/>
      <c r="AE1122" s="20"/>
      <c r="AF1122" s="20"/>
      <c r="AG1122" s="20"/>
      <c r="AH1122" s="20"/>
      <c r="AI1122" s="20"/>
      <c r="AJ1122" s="20"/>
      <c r="AK1122" s="20"/>
      <c r="AL1122" s="20"/>
      <c r="AM1122" s="20"/>
      <c r="AN1122" s="20"/>
      <c r="AO1122" s="20"/>
      <c r="AP1122" s="20"/>
      <c r="AQ1122" s="20"/>
      <c r="AR1122" s="20"/>
      <c r="AS1122" s="20"/>
      <c r="AT1122" s="20"/>
      <c r="AU1122" s="20"/>
      <c r="AV1122" s="20"/>
      <c r="AW1122" s="20"/>
      <c r="AX1122" s="20"/>
      <c r="AY1122" s="20"/>
      <c r="AZ1122" s="20"/>
      <c r="BA1122" s="20"/>
      <c r="BB1122" s="20"/>
      <c r="BC1122" s="20"/>
      <c r="BD1122" s="20"/>
      <c r="BE1122" s="20"/>
      <c r="BF1122" s="20"/>
      <c r="BG1122" s="20"/>
      <c r="BH1122" s="20"/>
      <c r="BI1122" s="20"/>
      <c r="BJ1122" s="20"/>
      <c r="BK1122" s="20"/>
      <c r="BL1122" s="20"/>
      <c r="BM1122" s="20"/>
      <c r="BN1122" s="20"/>
      <c r="BO1122" s="20"/>
      <c r="BP1122" s="20"/>
      <c r="BQ1122" s="20"/>
      <c r="BR1122" s="20"/>
      <c r="BS1122" s="20"/>
      <c r="BT1122" s="20"/>
      <c r="BU1122" s="20"/>
      <c r="BV1122" s="20"/>
      <c r="BW1122" s="20"/>
      <c r="BX1122" s="20"/>
      <c r="BY1122" s="20"/>
      <c r="BZ1122" s="20"/>
      <c r="CA1122" s="20"/>
      <c r="CB1122" s="21"/>
      <c r="CC1122" s="27" t="str">
        <f t="shared" si="187"/>
        <v/>
      </c>
      <c r="CD1122" s="38" t="str">
        <f t="shared" si="188"/>
        <v/>
      </c>
      <c r="CE1122" s="38" t="str">
        <f t="shared" si="189"/>
        <v/>
      </c>
      <c r="CF1122" s="38" t="str">
        <f t="shared" si="190"/>
        <v/>
      </c>
      <c r="CG1122" s="38" t="str">
        <f t="shared" si="191"/>
        <v/>
      </c>
      <c r="CH1122" s="38" t="str">
        <f t="shared" si="192"/>
        <v/>
      </c>
      <c r="CI1122" s="38" t="str">
        <f t="shared" si="193"/>
        <v/>
      </c>
      <c r="CJ1122" s="38" t="str">
        <f t="shared" si="194"/>
        <v/>
      </c>
      <c r="CK1122" s="38" t="str">
        <f t="shared" si="195"/>
        <v/>
      </c>
      <c r="CL1122" s="38" t="str">
        <f>IF(C1122="","",IF(COUNT(G1122:AZ1122)&lt;46,"",SUMPRODUCT(CC1122:CK1122,'تنظیمات وزن‌دهی'!$C$5:$C$13)/100))</f>
        <v/>
      </c>
      <c r="CM1122" s="38" t="str">
        <f t="shared" si="196"/>
        <v/>
      </c>
      <c r="CN1122" s="38">
        <v>2</v>
      </c>
      <c r="CO1122" s="28" t="str">
        <f t="shared" si="197"/>
        <v/>
      </c>
      <c r="CP1122" s="58"/>
    </row>
    <row r="1123" spans="1:94" ht="17.25">
      <c r="A1123" s="33">
        <v>1119</v>
      </c>
      <c r="B1123" s="55" t="s">
        <v>185</v>
      </c>
      <c r="C1123" s="55" t="str">
        <f>IF(دانش‌آموزان!E98="","",دانش‌آموزان!B98)</f>
        <v/>
      </c>
      <c r="D1123" s="55" t="str">
        <f>IF(دانش‌آموزان!C98="","",دانش‌آموزان!C98)</f>
        <v/>
      </c>
      <c r="E1123" s="55" t="str">
        <f>IF(دانش‌آموزان!E98="","",دانش‌آموزان!E98&amp;" "&amp;دانش‌آموزان!F98)</f>
        <v/>
      </c>
      <c r="F1123" s="34" t="str">
        <f>IF(دانش‌آموزان!I98="","",دانش‌آموزان!I98)</f>
        <v/>
      </c>
      <c r="G1123" s="19"/>
      <c r="H1123" s="20"/>
      <c r="I1123" s="20"/>
      <c r="J1123" s="20"/>
      <c r="K1123" s="20"/>
      <c r="L1123" s="20"/>
      <c r="M1123" s="20"/>
      <c r="N1123" s="20"/>
      <c r="O1123" s="20"/>
      <c r="P1123" s="20"/>
      <c r="Q1123" s="20"/>
      <c r="R1123" s="20"/>
      <c r="S1123" s="20"/>
      <c r="T1123" s="20"/>
      <c r="U1123" s="20"/>
      <c r="V1123" s="20"/>
      <c r="W1123" s="20"/>
      <c r="X1123" s="20"/>
      <c r="Y1123" s="20"/>
      <c r="Z1123" s="20"/>
      <c r="AA1123" s="20"/>
      <c r="AB1123" s="20"/>
      <c r="AC1123" s="20"/>
      <c r="AD1123" s="20"/>
      <c r="AE1123" s="20"/>
      <c r="AF1123" s="20"/>
      <c r="AG1123" s="20"/>
      <c r="AH1123" s="20"/>
      <c r="AI1123" s="20"/>
      <c r="AJ1123" s="20"/>
      <c r="AK1123" s="20"/>
      <c r="AL1123" s="20"/>
      <c r="AM1123" s="20"/>
      <c r="AN1123" s="20"/>
      <c r="AO1123" s="20"/>
      <c r="AP1123" s="20"/>
      <c r="AQ1123" s="20"/>
      <c r="AR1123" s="20"/>
      <c r="AS1123" s="20"/>
      <c r="AT1123" s="20"/>
      <c r="AU1123" s="20"/>
      <c r="AV1123" s="20"/>
      <c r="AW1123" s="20"/>
      <c r="AX1123" s="20"/>
      <c r="AY1123" s="20"/>
      <c r="AZ1123" s="20"/>
      <c r="BA1123" s="20"/>
      <c r="BB1123" s="20"/>
      <c r="BC1123" s="20"/>
      <c r="BD1123" s="20"/>
      <c r="BE1123" s="20"/>
      <c r="BF1123" s="20"/>
      <c r="BG1123" s="20"/>
      <c r="BH1123" s="20"/>
      <c r="BI1123" s="20"/>
      <c r="BJ1123" s="20"/>
      <c r="BK1123" s="20"/>
      <c r="BL1123" s="20"/>
      <c r="BM1123" s="20"/>
      <c r="BN1123" s="20"/>
      <c r="BO1123" s="20"/>
      <c r="BP1123" s="20"/>
      <c r="BQ1123" s="20"/>
      <c r="BR1123" s="20"/>
      <c r="BS1123" s="20"/>
      <c r="BT1123" s="20"/>
      <c r="BU1123" s="20"/>
      <c r="BV1123" s="20"/>
      <c r="BW1123" s="20"/>
      <c r="BX1123" s="20"/>
      <c r="BY1123" s="20"/>
      <c r="BZ1123" s="20"/>
      <c r="CA1123" s="20"/>
      <c r="CB1123" s="21"/>
      <c r="CC1123" s="27" t="str">
        <f t="shared" si="187"/>
        <v/>
      </c>
      <c r="CD1123" s="38" t="str">
        <f t="shared" si="188"/>
        <v/>
      </c>
      <c r="CE1123" s="38" t="str">
        <f t="shared" si="189"/>
        <v/>
      </c>
      <c r="CF1123" s="38" t="str">
        <f t="shared" si="190"/>
        <v/>
      </c>
      <c r="CG1123" s="38" t="str">
        <f t="shared" si="191"/>
        <v/>
      </c>
      <c r="CH1123" s="38" t="str">
        <f t="shared" si="192"/>
        <v/>
      </c>
      <c r="CI1123" s="38" t="str">
        <f t="shared" si="193"/>
        <v/>
      </c>
      <c r="CJ1123" s="38" t="str">
        <f t="shared" si="194"/>
        <v/>
      </c>
      <c r="CK1123" s="38" t="str">
        <f t="shared" si="195"/>
        <v/>
      </c>
      <c r="CL1123" s="38" t="str">
        <f>IF(C1123="","",IF(COUNT(G1123:AZ1123)&lt;46,"",SUMPRODUCT(CC1123:CK1123,'تنظیمات وزن‌دهی'!$C$5:$C$13)/100))</f>
        <v/>
      </c>
      <c r="CM1123" s="38" t="str">
        <f t="shared" si="196"/>
        <v/>
      </c>
      <c r="CN1123" s="38">
        <v>3</v>
      </c>
      <c r="CO1123" s="28" t="str">
        <f t="shared" si="197"/>
        <v/>
      </c>
      <c r="CP1123" s="58"/>
    </row>
    <row r="1124" spans="1:94" ht="17.25" hidden="1">
      <c r="A1124" s="33">
        <v>1120</v>
      </c>
      <c r="B1124" s="55" t="s">
        <v>186</v>
      </c>
      <c r="C1124" s="55" t="str">
        <f>IF(دانش‌آموزان!E98="","",دانش‌آموزان!B98)</f>
        <v/>
      </c>
      <c r="D1124" s="55" t="str">
        <f>IF(دانش‌آموزان!C98="","",دانش‌آموزان!C98)</f>
        <v/>
      </c>
      <c r="E1124" s="55" t="str">
        <f>IF(دانش‌آموزان!E98="","",دانش‌آموزان!E98&amp;" "&amp;دانش‌آموزان!F98)</f>
        <v/>
      </c>
      <c r="F1124" s="34" t="str">
        <f>IF(دانش‌آموزان!I98="","",دانش‌آموزان!I98)</f>
        <v/>
      </c>
      <c r="G1124" s="19"/>
      <c r="H1124" s="20"/>
      <c r="I1124" s="20"/>
      <c r="J1124" s="20"/>
      <c r="K1124" s="20"/>
      <c r="L1124" s="20"/>
      <c r="M1124" s="20"/>
      <c r="N1124" s="20"/>
      <c r="O1124" s="20"/>
      <c r="P1124" s="20"/>
      <c r="Q1124" s="20"/>
      <c r="R1124" s="20"/>
      <c r="S1124" s="20"/>
      <c r="T1124" s="20"/>
      <c r="U1124" s="20"/>
      <c r="V1124" s="20"/>
      <c r="W1124" s="20"/>
      <c r="X1124" s="20"/>
      <c r="Y1124" s="20"/>
      <c r="Z1124" s="20"/>
      <c r="AA1124" s="20"/>
      <c r="AB1124" s="20"/>
      <c r="AC1124" s="20"/>
      <c r="AD1124" s="20"/>
      <c r="AE1124" s="20"/>
      <c r="AF1124" s="20"/>
      <c r="AG1124" s="20"/>
      <c r="AH1124" s="20"/>
      <c r="AI1124" s="20"/>
      <c r="AJ1124" s="20"/>
      <c r="AK1124" s="20"/>
      <c r="AL1124" s="20"/>
      <c r="AM1124" s="20"/>
      <c r="AN1124" s="20"/>
      <c r="AO1124" s="20"/>
      <c r="AP1124" s="20"/>
      <c r="AQ1124" s="20"/>
      <c r="AR1124" s="20"/>
      <c r="AS1124" s="20"/>
      <c r="AT1124" s="20"/>
      <c r="AU1124" s="20"/>
      <c r="AV1124" s="20"/>
      <c r="AW1124" s="20"/>
      <c r="AX1124" s="20"/>
      <c r="AY1124" s="20"/>
      <c r="AZ1124" s="20"/>
      <c r="BA1124" s="20"/>
      <c r="BB1124" s="20"/>
      <c r="BC1124" s="20"/>
      <c r="BD1124" s="20"/>
      <c r="BE1124" s="20"/>
      <c r="BF1124" s="20"/>
      <c r="BG1124" s="20"/>
      <c r="BH1124" s="20"/>
      <c r="BI1124" s="20"/>
      <c r="BJ1124" s="20"/>
      <c r="BK1124" s="20"/>
      <c r="BL1124" s="20"/>
      <c r="BM1124" s="20"/>
      <c r="BN1124" s="20"/>
      <c r="BO1124" s="20"/>
      <c r="BP1124" s="20"/>
      <c r="BQ1124" s="20"/>
      <c r="BR1124" s="20"/>
      <c r="BS1124" s="20"/>
      <c r="BT1124" s="20"/>
      <c r="BU1124" s="20"/>
      <c r="BV1124" s="20"/>
      <c r="BW1124" s="20"/>
      <c r="BX1124" s="20"/>
      <c r="BY1124" s="20"/>
      <c r="BZ1124" s="20"/>
      <c r="CA1124" s="20"/>
      <c r="CB1124" s="21"/>
      <c r="CC1124" s="27" t="str">
        <f t="shared" si="187"/>
        <v/>
      </c>
      <c r="CD1124" s="38" t="str">
        <f t="shared" si="188"/>
        <v/>
      </c>
      <c r="CE1124" s="38" t="str">
        <f t="shared" si="189"/>
        <v/>
      </c>
      <c r="CF1124" s="38" t="str">
        <f t="shared" si="190"/>
        <v/>
      </c>
      <c r="CG1124" s="38" t="str">
        <f t="shared" si="191"/>
        <v/>
      </c>
      <c r="CH1124" s="38" t="str">
        <f t="shared" si="192"/>
        <v/>
      </c>
      <c r="CI1124" s="38" t="str">
        <f t="shared" si="193"/>
        <v/>
      </c>
      <c r="CJ1124" s="38" t="str">
        <f t="shared" si="194"/>
        <v/>
      </c>
      <c r="CK1124" s="38" t="str">
        <f t="shared" si="195"/>
        <v/>
      </c>
      <c r="CL1124" s="38" t="str">
        <f>IF(C1124="","",IF(COUNT(G1124:AZ1124)&lt;46,"",SUMPRODUCT(CC1124:CK1124,'تنظیمات وزن‌دهی'!$C$5:$C$13)/100))</f>
        <v/>
      </c>
      <c r="CM1124" s="38" t="str">
        <f t="shared" si="196"/>
        <v/>
      </c>
      <c r="CN1124" s="38">
        <v>4</v>
      </c>
      <c r="CO1124" s="28" t="str">
        <f t="shared" si="197"/>
        <v/>
      </c>
      <c r="CP1124" s="58"/>
    </row>
    <row r="1125" spans="1:94" ht="17.25" hidden="1">
      <c r="A1125" s="33">
        <v>1121</v>
      </c>
      <c r="B1125" s="55" t="s">
        <v>187</v>
      </c>
      <c r="C1125" s="55" t="str">
        <f>IF(دانش‌آموزان!E98="","",دانش‌آموزان!B98)</f>
        <v/>
      </c>
      <c r="D1125" s="55" t="str">
        <f>IF(دانش‌آموزان!C98="","",دانش‌آموزان!C98)</f>
        <v/>
      </c>
      <c r="E1125" s="55" t="str">
        <f>IF(دانش‌آموزان!E98="","",دانش‌آموزان!E98&amp;" "&amp;دانش‌آموزان!F98)</f>
        <v/>
      </c>
      <c r="F1125" s="34" t="str">
        <f>IF(دانش‌آموزان!I98="","",دانش‌آموزان!I98)</f>
        <v/>
      </c>
      <c r="G1125" s="19"/>
      <c r="H1125" s="20"/>
      <c r="I1125" s="20"/>
      <c r="J1125" s="20"/>
      <c r="K1125" s="20"/>
      <c r="L1125" s="20"/>
      <c r="M1125" s="20"/>
      <c r="N1125" s="20"/>
      <c r="O1125" s="20"/>
      <c r="P1125" s="20"/>
      <c r="Q1125" s="20"/>
      <c r="R1125" s="20"/>
      <c r="S1125" s="20"/>
      <c r="T1125" s="20"/>
      <c r="U1125" s="20"/>
      <c r="V1125" s="20"/>
      <c r="W1125" s="20"/>
      <c r="X1125" s="20"/>
      <c r="Y1125" s="20"/>
      <c r="Z1125" s="20"/>
      <c r="AA1125" s="20"/>
      <c r="AB1125" s="20"/>
      <c r="AC1125" s="20"/>
      <c r="AD1125" s="20"/>
      <c r="AE1125" s="20"/>
      <c r="AF1125" s="20"/>
      <c r="AG1125" s="20"/>
      <c r="AH1125" s="20"/>
      <c r="AI1125" s="20"/>
      <c r="AJ1125" s="20"/>
      <c r="AK1125" s="20"/>
      <c r="AL1125" s="20"/>
      <c r="AM1125" s="20"/>
      <c r="AN1125" s="20"/>
      <c r="AO1125" s="20"/>
      <c r="AP1125" s="20"/>
      <c r="AQ1125" s="20"/>
      <c r="AR1125" s="20"/>
      <c r="AS1125" s="20"/>
      <c r="AT1125" s="20"/>
      <c r="AU1125" s="20"/>
      <c r="AV1125" s="20"/>
      <c r="AW1125" s="20"/>
      <c r="AX1125" s="20"/>
      <c r="AY1125" s="20"/>
      <c r="AZ1125" s="20"/>
      <c r="BA1125" s="20"/>
      <c r="BB1125" s="20"/>
      <c r="BC1125" s="20"/>
      <c r="BD1125" s="20"/>
      <c r="BE1125" s="20"/>
      <c r="BF1125" s="20"/>
      <c r="BG1125" s="20"/>
      <c r="BH1125" s="20"/>
      <c r="BI1125" s="20"/>
      <c r="BJ1125" s="20"/>
      <c r="BK1125" s="20"/>
      <c r="BL1125" s="20"/>
      <c r="BM1125" s="20"/>
      <c r="BN1125" s="20"/>
      <c r="BO1125" s="20"/>
      <c r="BP1125" s="20"/>
      <c r="BQ1125" s="20"/>
      <c r="BR1125" s="20"/>
      <c r="BS1125" s="20"/>
      <c r="BT1125" s="20"/>
      <c r="BU1125" s="20"/>
      <c r="BV1125" s="20"/>
      <c r="BW1125" s="20"/>
      <c r="BX1125" s="20"/>
      <c r="BY1125" s="20"/>
      <c r="BZ1125" s="20"/>
      <c r="CA1125" s="20"/>
      <c r="CB1125" s="21"/>
      <c r="CC1125" s="27" t="str">
        <f t="shared" si="187"/>
        <v/>
      </c>
      <c r="CD1125" s="38" t="str">
        <f t="shared" si="188"/>
        <v/>
      </c>
      <c r="CE1125" s="38" t="str">
        <f t="shared" si="189"/>
        <v/>
      </c>
      <c r="CF1125" s="38" t="str">
        <f t="shared" si="190"/>
        <v/>
      </c>
      <c r="CG1125" s="38" t="str">
        <f t="shared" si="191"/>
        <v/>
      </c>
      <c r="CH1125" s="38" t="str">
        <f t="shared" si="192"/>
        <v/>
      </c>
      <c r="CI1125" s="38" t="str">
        <f t="shared" si="193"/>
        <v/>
      </c>
      <c r="CJ1125" s="38" t="str">
        <f t="shared" si="194"/>
        <v/>
      </c>
      <c r="CK1125" s="38" t="str">
        <f t="shared" si="195"/>
        <v/>
      </c>
      <c r="CL1125" s="38" t="str">
        <f>IF(C1125="","",IF(COUNT(G1125:AZ1125)&lt;46,"",SUMPRODUCT(CC1125:CK1125,'تنظیمات وزن‌دهی'!$C$5:$C$13)/100))</f>
        <v/>
      </c>
      <c r="CM1125" s="38" t="str">
        <f t="shared" si="196"/>
        <v/>
      </c>
      <c r="CN1125" s="38">
        <v>5</v>
      </c>
      <c r="CO1125" s="28" t="str">
        <f t="shared" si="197"/>
        <v/>
      </c>
      <c r="CP1125" s="58"/>
    </row>
    <row r="1126" spans="1:94" ht="17.25" hidden="1">
      <c r="A1126" s="33">
        <v>1122</v>
      </c>
      <c r="B1126" s="55" t="s">
        <v>188</v>
      </c>
      <c r="C1126" s="55" t="str">
        <f>IF(دانش‌آموزان!E98="","",دانش‌آموزان!B98)</f>
        <v/>
      </c>
      <c r="D1126" s="55" t="str">
        <f>IF(دانش‌آموزان!C98="","",دانش‌آموزان!C98)</f>
        <v/>
      </c>
      <c r="E1126" s="55" t="str">
        <f>IF(دانش‌آموزان!E98="","",دانش‌آموزان!E98&amp;" "&amp;دانش‌آموزان!F98)</f>
        <v/>
      </c>
      <c r="F1126" s="34" t="str">
        <f>IF(دانش‌آموزان!I98="","",دانش‌آموزان!I98)</f>
        <v/>
      </c>
      <c r="G1126" s="19"/>
      <c r="H1126" s="20"/>
      <c r="I1126" s="20"/>
      <c r="J1126" s="20"/>
      <c r="K1126" s="20"/>
      <c r="L1126" s="20"/>
      <c r="M1126" s="20"/>
      <c r="N1126" s="20"/>
      <c r="O1126" s="20"/>
      <c r="P1126" s="20"/>
      <c r="Q1126" s="20"/>
      <c r="R1126" s="20"/>
      <c r="S1126" s="20"/>
      <c r="T1126" s="20"/>
      <c r="U1126" s="20"/>
      <c r="V1126" s="20"/>
      <c r="W1126" s="20"/>
      <c r="X1126" s="20"/>
      <c r="Y1126" s="20"/>
      <c r="Z1126" s="20"/>
      <c r="AA1126" s="20"/>
      <c r="AB1126" s="20"/>
      <c r="AC1126" s="20"/>
      <c r="AD1126" s="20"/>
      <c r="AE1126" s="20"/>
      <c r="AF1126" s="20"/>
      <c r="AG1126" s="20"/>
      <c r="AH1126" s="20"/>
      <c r="AI1126" s="20"/>
      <c r="AJ1126" s="20"/>
      <c r="AK1126" s="20"/>
      <c r="AL1126" s="20"/>
      <c r="AM1126" s="20"/>
      <c r="AN1126" s="20"/>
      <c r="AO1126" s="20"/>
      <c r="AP1126" s="20"/>
      <c r="AQ1126" s="20"/>
      <c r="AR1126" s="20"/>
      <c r="AS1126" s="20"/>
      <c r="AT1126" s="20"/>
      <c r="AU1126" s="20"/>
      <c r="AV1126" s="20"/>
      <c r="AW1126" s="20"/>
      <c r="AX1126" s="20"/>
      <c r="AY1126" s="20"/>
      <c r="AZ1126" s="20"/>
      <c r="BA1126" s="20"/>
      <c r="BB1126" s="20"/>
      <c r="BC1126" s="20"/>
      <c r="BD1126" s="20"/>
      <c r="BE1126" s="20"/>
      <c r="BF1126" s="20"/>
      <c r="BG1126" s="20"/>
      <c r="BH1126" s="20"/>
      <c r="BI1126" s="20"/>
      <c r="BJ1126" s="20"/>
      <c r="BK1126" s="20"/>
      <c r="BL1126" s="20"/>
      <c r="BM1126" s="20"/>
      <c r="BN1126" s="20"/>
      <c r="BO1126" s="20"/>
      <c r="BP1126" s="20"/>
      <c r="BQ1126" s="20"/>
      <c r="BR1126" s="20"/>
      <c r="BS1126" s="20"/>
      <c r="BT1126" s="20"/>
      <c r="BU1126" s="20"/>
      <c r="BV1126" s="20"/>
      <c r="BW1126" s="20"/>
      <c r="BX1126" s="20"/>
      <c r="BY1126" s="20"/>
      <c r="BZ1126" s="20"/>
      <c r="CA1126" s="20"/>
      <c r="CB1126" s="21"/>
      <c r="CC1126" s="27" t="str">
        <f t="shared" si="187"/>
        <v/>
      </c>
      <c r="CD1126" s="38" t="str">
        <f t="shared" si="188"/>
        <v/>
      </c>
      <c r="CE1126" s="38" t="str">
        <f t="shared" si="189"/>
        <v/>
      </c>
      <c r="CF1126" s="38" t="str">
        <f t="shared" si="190"/>
        <v/>
      </c>
      <c r="CG1126" s="38" t="str">
        <f t="shared" si="191"/>
        <v/>
      </c>
      <c r="CH1126" s="38" t="str">
        <f t="shared" si="192"/>
        <v/>
      </c>
      <c r="CI1126" s="38" t="str">
        <f t="shared" si="193"/>
        <v/>
      </c>
      <c r="CJ1126" s="38" t="str">
        <f t="shared" si="194"/>
        <v/>
      </c>
      <c r="CK1126" s="38" t="str">
        <f t="shared" si="195"/>
        <v/>
      </c>
      <c r="CL1126" s="38" t="str">
        <f>IF(C1126="","",IF(COUNT(G1126:AZ1126)&lt;46,"",SUMPRODUCT(CC1126:CK1126,'تنظیمات وزن‌دهی'!$C$5:$C$13)/100))</f>
        <v/>
      </c>
      <c r="CM1126" s="38" t="str">
        <f t="shared" si="196"/>
        <v/>
      </c>
      <c r="CN1126" s="38">
        <v>6</v>
      </c>
      <c r="CO1126" s="28" t="str">
        <f t="shared" si="197"/>
        <v/>
      </c>
      <c r="CP1126" s="58"/>
    </row>
    <row r="1127" spans="1:94" ht="17.25" hidden="1">
      <c r="A1127" s="33">
        <v>1123</v>
      </c>
      <c r="B1127" s="55" t="s">
        <v>189</v>
      </c>
      <c r="C1127" s="55" t="str">
        <f>IF(دانش‌آموزان!E98="","",دانش‌آموزان!B98)</f>
        <v/>
      </c>
      <c r="D1127" s="55" t="str">
        <f>IF(دانش‌آموزان!C98="","",دانش‌آموزان!C98)</f>
        <v/>
      </c>
      <c r="E1127" s="55" t="str">
        <f>IF(دانش‌آموزان!E98="","",دانش‌آموزان!E98&amp;" "&amp;دانش‌آموزان!F98)</f>
        <v/>
      </c>
      <c r="F1127" s="34" t="str">
        <f>IF(دانش‌آموزان!I98="","",دانش‌آموزان!I98)</f>
        <v/>
      </c>
      <c r="G1127" s="19"/>
      <c r="H1127" s="20"/>
      <c r="I1127" s="20"/>
      <c r="J1127" s="20"/>
      <c r="K1127" s="20"/>
      <c r="L1127" s="20"/>
      <c r="M1127" s="20"/>
      <c r="N1127" s="20"/>
      <c r="O1127" s="20"/>
      <c r="P1127" s="20"/>
      <c r="Q1127" s="20"/>
      <c r="R1127" s="20"/>
      <c r="S1127" s="20"/>
      <c r="T1127" s="20"/>
      <c r="U1127" s="20"/>
      <c r="V1127" s="20"/>
      <c r="W1127" s="20"/>
      <c r="X1127" s="20"/>
      <c r="Y1127" s="20"/>
      <c r="Z1127" s="20"/>
      <c r="AA1127" s="20"/>
      <c r="AB1127" s="20"/>
      <c r="AC1127" s="20"/>
      <c r="AD1127" s="20"/>
      <c r="AE1127" s="20"/>
      <c r="AF1127" s="20"/>
      <c r="AG1127" s="20"/>
      <c r="AH1127" s="20"/>
      <c r="AI1127" s="20"/>
      <c r="AJ1127" s="20"/>
      <c r="AK1127" s="20"/>
      <c r="AL1127" s="20"/>
      <c r="AM1127" s="20"/>
      <c r="AN1127" s="20"/>
      <c r="AO1127" s="20"/>
      <c r="AP1127" s="20"/>
      <c r="AQ1127" s="20"/>
      <c r="AR1127" s="20"/>
      <c r="AS1127" s="20"/>
      <c r="AT1127" s="20"/>
      <c r="AU1127" s="20"/>
      <c r="AV1127" s="20"/>
      <c r="AW1127" s="20"/>
      <c r="AX1127" s="20"/>
      <c r="AY1127" s="20"/>
      <c r="AZ1127" s="20"/>
      <c r="BA1127" s="20"/>
      <c r="BB1127" s="20"/>
      <c r="BC1127" s="20"/>
      <c r="BD1127" s="20"/>
      <c r="BE1127" s="20"/>
      <c r="BF1127" s="20"/>
      <c r="BG1127" s="20"/>
      <c r="BH1127" s="20"/>
      <c r="BI1127" s="20"/>
      <c r="BJ1127" s="20"/>
      <c r="BK1127" s="20"/>
      <c r="BL1127" s="20"/>
      <c r="BM1127" s="20"/>
      <c r="BN1127" s="20"/>
      <c r="BO1127" s="20"/>
      <c r="BP1127" s="20"/>
      <c r="BQ1127" s="20"/>
      <c r="BR1127" s="20"/>
      <c r="BS1127" s="20"/>
      <c r="BT1127" s="20"/>
      <c r="BU1127" s="20"/>
      <c r="BV1127" s="20"/>
      <c r="BW1127" s="20"/>
      <c r="BX1127" s="20"/>
      <c r="BY1127" s="20"/>
      <c r="BZ1127" s="20"/>
      <c r="CA1127" s="20"/>
      <c r="CB1127" s="21"/>
      <c r="CC1127" s="27" t="str">
        <f t="shared" si="187"/>
        <v/>
      </c>
      <c r="CD1127" s="38" t="str">
        <f t="shared" si="188"/>
        <v/>
      </c>
      <c r="CE1127" s="38" t="str">
        <f t="shared" si="189"/>
        <v/>
      </c>
      <c r="CF1127" s="38" t="str">
        <f t="shared" si="190"/>
        <v/>
      </c>
      <c r="CG1127" s="38" t="str">
        <f t="shared" si="191"/>
        <v/>
      </c>
      <c r="CH1127" s="38" t="str">
        <f t="shared" si="192"/>
        <v/>
      </c>
      <c r="CI1127" s="38" t="str">
        <f t="shared" si="193"/>
        <v/>
      </c>
      <c r="CJ1127" s="38" t="str">
        <f t="shared" si="194"/>
        <v/>
      </c>
      <c r="CK1127" s="38" t="str">
        <f t="shared" si="195"/>
        <v/>
      </c>
      <c r="CL1127" s="38" t="str">
        <f>IF(C1127="","",IF(COUNT(G1127:AZ1127)&lt;46,"",SUMPRODUCT(CC1127:CK1127,'تنظیمات وزن‌دهی'!$C$5:$C$13)/100))</f>
        <v/>
      </c>
      <c r="CM1127" s="38" t="str">
        <f t="shared" si="196"/>
        <v/>
      </c>
      <c r="CN1127" s="38">
        <v>7</v>
      </c>
      <c r="CO1127" s="28" t="str">
        <f t="shared" si="197"/>
        <v/>
      </c>
      <c r="CP1127" s="58"/>
    </row>
    <row r="1128" spans="1:94" ht="17.25" hidden="1">
      <c r="A1128" s="33">
        <v>1124</v>
      </c>
      <c r="B1128" s="55" t="s">
        <v>190</v>
      </c>
      <c r="C1128" s="55" t="str">
        <f>IF(دانش‌آموزان!E98="","",دانش‌آموزان!B98)</f>
        <v/>
      </c>
      <c r="D1128" s="55" t="str">
        <f>IF(دانش‌آموزان!C98="","",دانش‌آموزان!C98)</f>
        <v/>
      </c>
      <c r="E1128" s="55" t="str">
        <f>IF(دانش‌آموزان!E98="","",دانش‌آموزان!E98&amp;" "&amp;دانش‌آموزان!F98)</f>
        <v/>
      </c>
      <c r="F1128" s="34" t="str">
        <f>IF(دانش‌آموزان!I98="","",دانش‌آموزان!I98)</f>
        <v/>
      </c>
      <c r="G1128" s="19"/>
      <c r="H1128" s="20"/>
      <c r="I1128" s="20"/>
      <c r="J1128" s="20"/>
      <c r="K1128" s="20"/>
      <c r="L1128" s="20"/>
      <c r="M1128" s="20"/>
      <c r="N1128" s="20"/>
      <c r="O1128" s="20"/>
      <c r="P1128" s="20"/>
      <c r="Q1128" s="20"/>
      <c r="R1128" s="20"/>
      <c r="S1128" s="20"/>
      <c r="T1128" s="20"/>
      <c r="U1128" s="20"/>
      <c r="V1128" s="20"/>
      <c r="W1128" s="20"/>
      <c r="X1128" s="20"/>
      <c r="Y1128" s="20"/>
      <c r="Z1128" s="20"/>
      <c r="AA1128" s="20"/>
      <c r="AB1128" s="20"/>
      <c r="AC1128" s="20"/>
      <c r="AD1128" s="20"/>
      <c r="AE1128" s="20"/>
      <c r="AF1128" s="20"/>
      <c r="AG1128" s="20"/>
      <c r="AH1128" s="20"/>
      <c r="AI1128" s="20"/>
      <c r="AJ1128" s="20"/>
      <c r="AK1128" s="20"/>
      <c r="AL1128" s="20"/>
      <c r="AM1128" s="20"/>
      <c r="AN1128" s="20"/>
      <c r="AO1128" s="20"/>
      <c r="AP1128" s="20"/>
      <c r="AQ1128" s="20"/>
      <c r="AR1128" s="20"/>
      <c r="AS1128" s="20"/>
      <c r="AT1128" s="20"/>
      <c r="AU1128" s="20"/>
      <c r="AV1128" s="20"/>
      <c r="AW1128" s="20"/>
      <c r="AX1128" s="20"/>
      <c r="AY1128" s="20"/>
      <c r="AZ1128" s="20"/>
      <c r="BA1128" s="20"/>
      <c r="BB1128" s="20"/>
      <c r="BC1128" s="20"/>
      <c r="BD1128" s="20"/>
      <c r="BE1128" s="20"/>
      <c r="BF1128" s="20"/>
      <c r="BG1128" s="20"/>
      <c r="BH1128" s="20"/>
      <c r="BI1128" s="20"/>
      <c r="BJ1128" s="20"/>
      <c r="BK1128" s="20"/>
      <c r="BL1128" s="20"/>
      <c r="BM1128" s="20"/>
      <c r="BN1128" s="20"/>
      <c r="BO1128" s="20"/>
      <c r="BP1128" s="20"/>
      <c r="BQ1128" s="20"/>
      <c r="BR1128" s="20"/>
      <c r="BS1128" s="20"/>
      <c r="BT1128" s="20"/>
      <c r="BU1128" s="20"/>
      <c r="BV1128" s="20"/>
      <c r="BW1128" s="20"/>
      <c r="BX1128" s="20"/>
      <c r="BY1128" s="20"/>
      <c r="BZ1128" s="20"/>
      <c r="CA1128" s="20"/>
      <c r="CB1128" s="21"/>
      <c r="CC1128" s="27" t="str">
        <f t="shared" si="187"/>
        <v/>
      </c>
      <c r="CD1128" s="38" t="str">
        <f t="shared" si="188"/>
        <v/>
      </c>
      <c r="CE1128" s="38" t="str">
        <f t="shared" si="189"/>
        <v/>
      </c>
      <c r="CF1128" s="38" t="str">
        <f t="shared" si="190"/>
        <v/>
      </c>
      <c r="CG1128" s="38" t="str">
        <f t="shared" si="191"/>
        <v/>
      </c>
      <c r="CH1128" s="38" t="str">
        <f t="shared" si="192"/>
        <v/>
      </c>
      <c r="CI1128" s="38" t="str">
        <f t="shared" si="193"/>
        <v/>
      </c>
      <c r="CJ1128" s="38" t="str">
        <f t="shared" si="194"/>
        <v/>
      </c>
      <c r="CK1128" s="38" t="str">
        <f t="shared" si="195"/>
        <v/>
      </c>
      <c r="CL1128" s="38" t="str">
        <f>IF(C1128="","",IF(COUNT(G1128:AZ1128)&lt;46,"",SUMPRODUCT(CC1128:CK1128,'تنظیمات وزن‌دهی'!$C$5:$C$13)/100))</f>
        <v/>
      </c>
      <c r="CM1128" s="38" t="str">
        <f t="shared" si="196"/>
        <v/>
      </c>
      <c r="CN1128" s="38">
        <v>8</v>
      </c>
      <c r="CO1128" s="28" t="str">
        <f t="shared" si="197"/>
        <v/>
      </c>
      <c r="CP1128" s="58"/>
    </row>
    <row r="1129" spans="1:94" ht="17.25" hidden="1">
      <c r="A1129" s="33">
        <v>1125</v>
      </c>
      <c r="B1129" s="55" t="s">
        <v>191</v>
      </c>
      <c r="C1129" s="55" t="str">
        <f>IF(دانش‌آموزان!E98="","",دانش‌آموزان!B98)</f>
        <v/>
      </c>
      <c r="D1129" s="55" t="str">
        <f>IF(دانش‌آموزان!C98="","",دانش‌آموزان!C98)</f>
        <v/>
      </c>
      <c r="E1129" s="55" t="str">
        <f>IF(دانش‌آموزان!E98="","",دانش‌آموزان!E98&amp;" "&amp;دانش‌آموزان!F98)</f>
        <v/>
      </c>
      <c r="F1129" s="34" t="str">
        <f>IF(دانش‌آموزان!I98="","",دانش‌آموزان!I98)</f>
        <v/>
      </c>
      <c r="G1129" s="19"/>
      <c r="H1129" s="20"/>
      <c r="I1129" s="20"/>
      <c r="J1129" s="20"/>
      <c r="K1129" s="20"/>
      <c r="L1129" s="20"/>
      <c r="M1129" s="20"/>
      <c r="N1129" s="20"/>
      <c r="O1129" s="20"/>
      <c r="P1129" s="20"/>
      <c r="Q1129" s="20"/>
      <c r="R1129" s="20"/>
      <c r="S1129" s="20"/>
      <c r="T1129" s="20"/>
      <c r="U1129" s="20"/>
      <c r="V1129" s="20"/>
      <c r="W1129" s="20"/>
      <c r="X1129" s="20"/>
      <c r="Y1129" s="20"/>
      <c r="Z1129" s="20"/>
      <c r="AA1129" s="20"/>
      <c r="AB1129" s="20"/>
      <c r="AC1129" s="20"/>
      <c r="AD1129" s="20"/>
      <c r="AE1129" s="20"/>
      <c r="AF1129" s="20"/>
      <c r="AG1129" s="20"/>
      <c r="AH1129" s="20"/>
      <c r="AI1129" s="20"/>
      <c r="AJ1129" s="20"/>
      <c r="AK1129" s="20"/>
      <c r="AL1129" s="20"/>
      <c r="AM1129" s="20"/>
      <c r="AN1129" s="20"/>
      <c r="AO1129" s="20"/>
      <c r="AP1129" s="20"/>
      <c r="AQ1129" s="20"/>
      <c r="AR1129" s="20"/>
      <c r="AS1129" s="20"/>
      <c r="AT1129" s="20"/>
      <c r="AU1129" s="20"/>
      <c r="AV1129" s="20"/>
      <c r="AW1129" s="20"/>
      <c r="AX1129" s="20"/>
      <c r="AY1129" s="20"/>
      <c r="AZ1129" s="20"/>
      <c r="BA1129" s="20"/>
      <c r="BB1129" s="20"/>
      <c r="BC1129" s="20"/>
      <c r="BD1129" s="20"/>
      <c r="BE1129" s="20"/>
      <c r="BF1129" s="20"/>
      <c r="BG1129" s="20"/>
      <c r="BH1129" s="20"/>
      <c r="BI1129" s="20"/>
      <c r="BJ1129" s="20"/>
      <c r="BK1129" s="20"/>
      <c r="BL1129" s="20"/>
      <c r="BM1129" s="20"/>
      <c r="BN1129" s="20"/>
      <c r="BO1129" s="20"/>
      <c r="BP1129" s="20"/>
      <c r="BQ1129" s="20"/>
      <c r="BR1129" s="20"/>
      <c r="BS1129" s="20"/>
      <c r="BT1129" s="20"/>
      <c r="BU1129" s="20"/>
      <c r="BV1129" s="20"/>
      <c r="BW1129" s="20"/>
      <c r="BX1129" s="20"/>
      <c r="BY1129" s="20"/>
      <c r="BZ1129" s="20"/>
      <c r="CA1129" s="20"/>
      <c r="CB1129" s="21"/>
      <c r="CC1129" s="27" t="str">
        <f t="shared" si="187"/>
        <v/>
      </c>
      <c r="CD1129" s="38" t="str">
        <f t="shared" si="188"/>
        <v/>
      </c>
      <c r="CE1129" s="38" t="str">
        <f t="shared" si="189"/>
        <v/>
      </c>
      <c r="CF1129" s="38" t="str">
        <f t="shared" si="190"/>
        <v/>
      </c>
      <c r="CG1129" s="38" t="str">
        <f t="shared" si="191"/>
        <v/>
      </c>
      <c r="CH1129" s="38" t="str">
        <f t="shared" si="192"/>
        <v/>
      </c>
      <c r="CI1129" s="38" t="str">
        <f t="shared" si="193"/>
        <v/>
      </c>
      <c r="CJ1129" s="38" t="str">
        <f t="shared" si="194"/>
        <v/>
      </c>
      <c r="CK1129" s="38" t="str">
        <f t="shared" si="195"/>
        <v/>
      </c>
      <c r="CL1129" s="38" t="str">
        <f>IF(C1129="","",IF(COUNT(G1129:AZ1129)&lt;46,"",SUMPRODUCT(CC1129:CK1129,'تنظیمات وزن‌دهی'!$C$5:$C$13)/100))</f>
        <v/>
      </c>
      <c r="CM1129" s="38" t="str">
        <f t="shared" si="196"/>
        <v/>
      </c>
      <c r="CN1129" s="38">
        <v>9</v>
      </c>
      <c r="CO1129" s="28" t="str">
        <f t="shared" si="197"/>
        <v/>
      </c>
      <c r="CP1129" s="58"/>
    </row>
    <row r="1130" spans="1:94" ht="17.25" hidden="1">
      <c r="A1130" s="33">
        <v>1126</v>
      </c>
      <c r="B1130" s="55" t="s">
        <v>192</v>
      </c>
      <c r="C1130" s="55" t="str">
        <f>IF(دانش‌آموزان!E98="","",دانش‌آموزان!B98)</f>
        <v/>
      </c>
      <c r="D1130" s="55" t="str">
        <f>IF(دانش‌آموزان!C98="","",دانش‌آموزان!C98)</f>
        <v/>
      </c>
      <c r="E1130" s="55" t="str">
        <f>IF(دانش‌آموزان!E98="","",دانش‌آموزان!E98&amp;" "&amp;دانش‌آموزان!F98)</f>
        <v/>
      </c>
      <c r="F1130" s="34" t="str">
        <f>IF(دانش‌آموزان!I98="","",دانش‌آموزان!I98)</f>
        <v/>
      </c>
      <c r="G1130" s="19"/>
      <c r="H1130" s="20"/>
      <c r="I1130" s="20"/>
      <c r="J1130" s="20"/>
      <c r="K1130" s="20"/>
      <c r="L1130" s="20"/>
      <c r="M1130" s="20"/>
      <c r="N1130" s="20"/>
      <c r="O1130" s="20"/>
      <c r="P1130" s="20"/>
      <c r="Q1130" s="20"/>
      <c r="R1130" s="20"/>
      <c r="S1130" s="20"/>
      <c r="T1130" s="20"/>
      <c r="U1130" s="20"/>
      <c r="V1130" s="20"/>
      <c r="W1130" s="20"/>
      <c r="X1130" s="20"/>
      <c r="Y1130" s="20"/>
      <c r="Z1130" s="20"/>
      <c r="AA1130" s="20"/>
      <c r="AB1130" s="20"/>
      <c r="AC1130" s="20"/>
      <c r="AD1130" s="20"/>
      <c r="AE1130" s="20"/>
      <c r="AF1130" s="20"/>
      <c r="AG1130" s="20"/>
      <c r="AH1130" s="20"/>
      <c r="AI1130" s="20"/>
      <c r="AJ1130" s="20"/>
      <c r="AK1130" s="20"/>
      <c r="AL1130" s="20"/>
      <c r="AM1130" s="20"/>
      <c r="AN1130" s="20"/>
      <c r="AO1130" s="20"/>
      <c r="AP1130" s="20"/>
      <c r="AQ1130" s="20"/>
      <c r="AR1130" s="20"/>
      <c r="AS1130" s="20"/>
      <c r="AT1130" s="20"/>
      <c r="AU1130" s="20"/>
      <c r="AV1130" s="20"/>
      <c r="AW1130" s="20"/>
      <c r="AX1130" s="20"/>
      <c r="AY1130" s="20"/>
      <c r="AZ1130" s="20"/>
      <c r="BA1130" s="20"/>
      <c r="BB1130" s="20"/>
      <c r="BC1130" s="20"/>
      <c r="BD1130" s="20"/>
      <c r="BE1130" s="20"/>
      <c r="BF1130" s="20"/>
      <c r="BG1130" s="20"/>
      <c r="BH1130" s="20"/>
      <c r="BI1130" s="20"/>
      <c r="BJ1130" s="20"/>
      <c r="BK1130" s="20"/>
      <c r="BL1130" s="20"/>
      <c r="BM1130" s="20"/>
      <c r="BN1130" s="20"/>
      <c r="BO1130" s="20"/>
      <c r="BP1130" s="20"/>
      <c r="BQ1130" s="20"/>
      <c r="BR1130" s="20"/>
      <c r="BS1130" s="20"/>
      <c r="BT1130" s="20"/>
      <c r="BU1130" s="20"/>
      <c r="BV1130" s="20"/>
      <c r="BW1130" s="20"/>
      <c r="BX1130" s="20"/>
      <c r="BY1130" s="20"/>
      <c r="BZ1130" s="20"/>
      <c r="CA1130" s="20"/>
      <c r="CB1130" s="21"/>
      <c r="CC1130" s="27" t="str">
        <f t="shared" si="187"/>
        <v/>
      </c>
      <c r="CD1130" s="38" t="str">
        <f t="shared" si="188"/>
        <v/>
      </c>
      <c r="CE1130" s="38" t="str">
        <f t="shared" si="189"/>
        <v/>
      </c>
      <c r="CF1130" s="38" t="str">
        <f t="shared" si="190"/>
        <v/>
      </c>
      <c r="CG1130" s="38" t="str">
        <f t="shared" si="191"/>
        <v/>
      </c>
      <c r="CH1130" s="38" t="str">
        <f t="shared" si="192"/>
        <v/>
      </c>
      <c r="CI1130" s="38" t="str">
        <f t="shared" si="193"/>
        <v/>
      </c>
      <c r="CJ1130" s="38" t="str">
        <f t="shared" si="194"/>
        <v/>
      </c>
      <c r="CK1130" s="38" t="str">
        <f t="shared" si="195"/>
        <v/>
      </c>
      <c r="CL1130" s="38" t="str">
        <f>IF(C1130="","",IF(COUNT(G1130:AZ1130)&lt;46,"",SUMPRODUCT(CC1130:CK1130,'تنظیمات وزن‌دهی'!$C$5:$C$13)/100))</f>
        <v/>
      </c>
      <c r="CM1130" s="38" t="str">
        <f t="shared" si="196"/>
        <v/>
      </c>
      <c r="CN1130" s="38">
        <v>10</v>
      </c>
      <c r="CO1130" s="28" t="str">
        <f t="shared" si="197"/>
        <v/>
      </c>
      <c r="CP1130" s="58"/>
    </row>
    <row r="1131" spans="1:94" ht="17.25" hidden="1">
      <c r="A1131" s="33">
        <v>1127</v>
      </c>
      <c r="B1131" s="55" t="s">
        <v>193</v>
      </c>
      <c r="C1131" s="55" t="str">
        <f>IF(دانش‌آموزان!E98="","",دانش‌آموزان!B98)</f>
        <v/>
      </c>
      <c r="D1131" s="55" t="str">
        <f>IF(دانش‌آموزان!C98="","",دانش‌آموزان!C98)</f>
        <v/>
      </c>
      <c r="E1131" s="55" t="str">
        <f>IF(دانش‌آموزان!E98="","",دانش‌آموزان!E98&amp;" "&amp;دانش‌آموزان!F98)</f>
        <v/>
      </c>
      <c r="F1131" s="34" t="str">
        <f>IF(دانش‌آموزان!I98="","",دانش‌آموزان!I98)</f>
        <v/>
      </c>
      <c r="G1131" s="19"/>
      <c r="H1131" s="20"/>
      <c r="I1131" s="20"/>
      <c r="J1131" s="20"/>
      <c r="K1131" s="20"/>
      <c r="L1131" s="20"/>
      <c r="M1131" s="20"/>
      <c r="N1131" s="20"/>
      <c r="O1131" s="20"/>
      <c r="P1131" s="20"/>
      <c r="Q1131" s="20"/>
      <c r="R1131" s="20"/>
      <c r="S1131" s="20"/>
      <c r="T1131" s="20"/>
      <c r="U1131" s="20"/>
      <c r="V1131" s="20"/>
      <c r="W1131" s="20"/>
      <c r="X1131" s="20"/>
      <c r="Y1131" s="20"/>
      <c r="Z1131" s="20"/>
      <c r="AA1131" s="20"/>
      <c r="AB1131" s="20"/>
      <c r="AC1131" s="20"/>
      <c r="AD1131" s="20"/>
      <c r="AE1131" s="20"/>
      <c r="AF1131" s="20"/>
      <c r="AG1131" s="20"/>
      <c r="AH1131" s="20"/>
      <c r="AI1131" s="20"/>
      <c r="AJ1131" s="20"/>
      <c r="AK1131" s="20"/>
      <c r="AL1131" s="20"/>
      <c r="AM1131" s="20"/>
      <c r="AN1131" s="20"/>
      <c r="AO1131" s="20"/>
      <c r="AP1131" s="20"/>
      <c r="AQ1131" s="20"/>
      <c r="AR1131" s="20"/>
      <c r="AS1131" s="20"/>
      <c r="AT1131" s="20"/>
      <c r="AU1131" s="20"/>
      <c r="AV1131" s="20"/>
      <c r="AW1131" s="20"/>
      <c r="AX1131" s="20"/>
      <c r="AY1131" s="20"/>
      <c r="AZ1131" s="20"/>
      <c r="BA1131" s="20"/>
      <c r="BB1131" s="20"/>
      <c r="BC1131" s="20"/>
      <c r="BD1131" s="20"/>
      <c r="BE1131" s="20"/>
      <c r="BF1131" s="20"/>
      <c r="BG1131" s="20"/>
      <c r="BH1131" s="20"/>
      <c r="BI1131" s="20"/>
      <c r="BJ1131" s="20"/>
      <c r="BK1131" s="20"/>
      <c r="BL1131" s="20"/>
      <c r="BM1131" s="20"/>
      <c r="BN1131" s="20"/>
      <c r="BO1131" s="20"/>
      <c r="BP1131" s="20"/>
      <c r="BQ1131" s="20"/>
      <c r="BR1131" s="20"/>
      <c r="BS1131" s="20"/>
      <c r="BT1131" s="20"/>
      <c r="BU1131" s="20"/>
      <c r="BV1131" s="20"/>
      <c r="BW1131" s="20"/>
      <c r="BX1131" s="20"/>
      <c r="BY1131" s="20"/>
      <c r="BZ1131" s="20"/>
      <c r="CA1131" s="20"/>
      <c r="CB1131" s="21"/>
      <c r="CC1131" s="27" t="str">
        <f t="shared" si="187"/>
        <v/>
      </c>
      <c r="CD1131" s="38" t="str">
        <f t="shared" si="188"/>
        <v/>
      </c>
      <c r="CE1131" s="38" t="str">
        <f t="shared" si="189"/>
        <v/>
      </c>
      <c r="CF1131" s="38" t="str">
        <f t="shared" si="190"/>
        <v/>
      </c>
      <c r="CG1131" s="38" t="str">
        <f t="shared" si="191"/>
        <v/>
      </c>
      <c r="CH1131" s="38" t="str">
        <f t="shared" si="192"/>
        <v/>
      </c>
      <c r="CI1131" s="38" t="str">
        <f t="shared" si="193"/>
        <v/>
      </c>
      <c r="CJ1131" s="38" t="str">
        <f t="shared" si="194"/>
        <v/>
      </c>
      <c r="CK1131" s="38" t="str">
        <f t="shared" si="195"/>
        <v/>
      </c>
      <c r="CL1131" s="38" t="str">
        <f>IF(C1131="","",IF(COUNT(G1131:AZ1131)&lt;46,"",SUMPRODUCT(CC1131:CK1131,'تنظیمات وزن‌دهی'!$C$5:$C$13)/100))</f>
        <v/>
      </c>
      <c r="CM1131" s="38" t="str">
        <f t="shared" si="196"/>
        <v/>
      </c>
      <c r="CN1131" s="38">
        <v>11</v>
      </c>
      <c r="CO1131" s="28" t="str">
        <f t="shared" si="197"/>
        <v/>
      </c>
      <c r="CP1131" s="58"/>
    </row>
    <row r="1132" spans="1:94" ht="17.25" hidden="1">
      <c r="A1132" s="33">
        <v>1128</v>
      </c>
      <c r="B1132" s="55" t="s">
        <v>194</v>
      </c>
      <c r="C1132" s="55" t="str">
        <f>IF(دانش‌آموزان!E98="","",دانش‌آموزان!B98)</f>
        <v/>
      </c>
      <c r="D1132" s="55" t="str">
        <f>IF(دانش‌آموزان!C98="","",دانش‌آموزان!C98)</f>
        <v/>
      </c>
      <c r="E1132" s="55" t="str">
        <f>IF(دانش‌آموزان!E98="","",دانش‌آموزان!E98&amp;" "&amp;دانش‌آموزان!F98)</f>
        <v/>
      </c>
      <c r="F1132" s="34" t="str">
        <f>IF(دانش‌آموزان!I98="","",دانش‌آموزان!I98)</f>
        <v/>
      </c>
      <c r="G1132" s="19"/>
      <c r="H1132" s="20"/>
      <c r="I1132" s="20"/>
      <c r="J1132" s="20"/>
      <c r="K1132" s="20"/>
      <c r="L1132" s="20"/>
      <c r="M1132" s="20"/>
      <c r="N1132" s="20"/>
      <c r="O1132" s="20"/>
      <c r="P1132" s="20"/>
      <c r="Q1132" s="20"/>
      <c r="R1132" s="20"/>
      <c r="S1132" s="20"/>
      <c r="T1132" s="20"/>
      <c r="U1132" s="20"/>
      <c r="V1132" s="20"/>
      <c r="W1132" s="20"/>
      <c r="X1132" s="20"/>
      <c r="Y1132" s="20"/>
      <c r="Z1132" s="20"/>
      <c r="AA1132" s="20"/>
      <c r="AB1132" s="20"/>
      <c r="AC1132" s="20"/>
      <c r="AD1132" s="20"/>
      <c r="AE1132" s="20"/>
      <c r="AF1132" s="20"/>
      <c r="AG1132" s="20"/>
      <c r="AH1132" s="20"/>
      <c r="AI1132" s="20"/>
      <c r="AJ1132" s="20"/>
      <c r="AK1132" s="20"/>
      <c r="AL1132" s="20"/>
      <c r="AM1132" s="20"/>
      <c r="AN1132" s="20"/>
      <c r="AO1132" s="20"/>
      <c r="AP1132" s="20"/>
      <c r="AQ1132" s="20"/>
      <c r="AR1132" s="20"/>
      <c r="AS1132" s="20"/>
      <c r="AT1132" s="20"/>
      <c r="AU1132" s="20"/>
      <c r="AV1132" s="20"/>
      <c r="AW1132" s="20"/>
      <c r="AX1132" s="20"/>
      <c r="AY1132" s="20"/>
      <c r="AZ1132" s="20"/>
      <c r="BA1132" s="20"/>
      <c r="BB1132" s="20"/>
      <c r="BC1132" s="20"/>
      <c r="BD1132" s="20"/>
      <c r="BE1132" s="20"/>
      <c r="BF1132" s="20"/>
      <c r="BG1132" s="20"/>
      <c r="BH1132" s="20"/>
      <c r="BI1132" s="20"/>
      <c r="BJ1132" s="20"/>
      <c r="BK1132" s="20"/>
      <c r="BL1132" s="20"/>
      <c r="BM1132" s="20"/>
      <c r="BN1132" s="20"/>
      <c r="BO1132" s="20"/>
      <c r="BP1132" s="20"/>
      <c r="BQ1132" s="20"/>
      <c r="BR1132" s="20"/>
      <c r="BS1132" s="20"/>
      <c r="BT1132" s="20"/>
      <c r="BU1132" s="20"/>
      <c r="BV1132" s="20"/>
      <c r="BW1132" s="20"/>
      <c r="BX1132" s="20"/>
      <c r="BY1132" s="20"/>
      <c r="BZ1132" s="20"/>
      <c r="CA1132" s="20"/>
      <c r="CB1132" s="21"/>
      <c r="CC1132" s="27" t="str">
        <f t="shared" si="187"/>
        <v/>
      </c>
      <c r="CD1132" s="38" t="str">
        <f t="shared" si="188"/>
        <v/>
      </c>
      <c r="CE1132" s="38" t="str">
        <f t="shared" si="189"/>
        <v/>
      </c>
      <c r="CF1132" s="38" t="str">
        <f t="shared" si="190"/>
        <v/>
      </c>
      <c r="CG1132" s="38" t="str">
        <f t="shared" si="191"/>
        <v/>
      </c>
      <c r="CH1132" s="38" t="str">
        <f t="shared" si="192"/>
        <v/>
      </c>
      <c r="CI1132" s="38" t="str">
        <f t="shared" si="193"/>
        <v/>
      </c>
      <c r="CJ1132" s="38" t="str">
        <f t="shared" si="194"/>
        <v/>
      </c>
      <c r="CK1132" s="38" t="str">
        <f t="shared" si="195"/>
        <v/>
      </c>
      <c r="CL1132" s="38" t="str">
        <f>IF(C1132="","",IF(COUNT(G1132:AZ1132)&lt;46,"",SUMPRODUCT(CC1132:CK1132,'تنظیمات وزن‌دهی'!$C$5:$C$13)/100))</f>
        <v/>
      </c>
      <c r="CM1132" s="38" t="str">
        <f t="shared" si="196"/>
        <v/>
      </c>
      <c r="CN1132" s="38">
        <v>12</v>
      </c>
      <c r="CO1132" s="28" t="str">
        <f t="shared" si="197"/>
        <v/>
      </c>
      <c r="CP1132" s="58"/>
    </row>
    <row r="1133" spans="1:94" ht="17.25" hidden="1">
      <c r="A1133" s="33">
        <v>1129</v>
      </c>
      <c r="B1133" s="55" t="s">
        <v>183</v>
      </c>
      <c r="C1133" s="55" t="str">
        <f>IF(دانش‌آموزان!E99="","",دانش‌آموزان!B99)</f>
        <v/>
      </c>
      <c r="D1133" s="55" t="str">
        <f>IF(دانش‌آموزان!C99="","",دانش‌آموزان!C99)</f>
        <v/>
      </c>
      <c r="E1133" s="55" t="str">
        <f>IF(دانش‌آموزان!E99="","",دانش‌آموزان!E99&amp;" "&amp;دانش‌آموزان!F99)</f>
        <v/>
      </c>
      <c r="F1133" s="34" t="str">
        <f>IF(دانش‌آموزان!I99="","",دانش‌آموزان!I99)</f>
        <v/>
      </c>
      <c r="G1133" s="19"/>
      <c r="H1133" s="20"/>
      <c r="I1133" s="20"/>
      <c r="J1133" s="20"/>
      <c r="K1133" s="20"/>
      <c r="L1133" s="20"/>
      <c r="M1133" s="20"/>
      <c r="N1133" s="20"/>
      <c r="O1133" s="20"/>
      <c r="P1133" s="20"/>
      <c r="Q1133" s="20"/>
      <c r="R1133" s="20"/>
      <c r="S1133" s="20"/>
      <c r="T1133" s="20"/>
      <c r="U1133" s="20"/>
      <c r="V1133" s="20"/>
      <c r="W1133" s="20"/>
      <c r="X1133" s="20"/>
      <c r="Y1133" s="20"/>
      <c r="Z1133" s="20"/>
      <c r="AA1133" s="20"/>
      <c r="AB1133" s="20"/>
      <c r="AC1133" s="20"/>
      <c r="AD1133" s="20"/>
      <c r="AE1133" s="20"/>
      <c r="AF1133" s="20"/>
      <c r="AG1133" s="20"/>
      <c r="AH1133" s="20"/>
      <c r="AI1133" s="20"/>
      <c r="AJ1133" s="20"/>
      <c r="AK1133" s="20"/>
      <c r="AL1133" s="20"/>
      <c r="AM1133" s="20"/>
      <c r="AN1133" s="20"/>
      <c r="AO1133" s="20"/>
      <c r="AP1133" s="20"/>
      <c r="AQ1133" s="20"/>
      <c r="AR1133" s="20"/>
      <c r="AS1133" s="20"/>
      <c r="AT1133" s="20"/>
      <c r="AU1133" s="20"/>
      <c r="AV1133" s="20"/>
      <c r="AW1133" s="20"/>
      <c r="AX1133" s="20"/>
      <c r="AY1133" s="20"/>
      <c r="AZ1133" s="20"/>
      <c r="BA1133" s="20"/>
      <c r="BB1133" s="20"/>
      <c r="BC1133" s="20"/>
      <c r="BD1133" s="20"/>
      <c r="BE1133" s="20"/>
      <c r="BF1133" s="20"/>
      <c r="BG1133" s="20"/>
      <c r="BH1133" s="20"/>
      <c r="BI1133" s="20"/>
      <c r="BJ1133" s="20"/>
      <c r="BK1133" s="20"/>
      <c r="BL1133" s="20"/>
      <c r="BM1133" s="20"/>
      <c r="BN1133" s="20"/>
      <c r="BO1133" s="20"/>
      <c r="BP1133" s="20"/>
      <c r="BQ1133" s="20"/>
      <c r="BR1133" s="20"/>
      <c r="BS1133" s="20"/>
      <c r="BT1133" s="20"/>
      <c r="BU1133" s="20"/>
      <c r="BV1133" s="20"/>
      <c r="BW1133" s="20"/>
      <c r="BX1133" s="20"/>
      <c r="BY1133" s="20"/>
      <c r="BZ1133" s="20"/>
      <c r="CA1133" s="20"/>
      <c r="CB1133" s="21"/>
      <c r="CC1133" s="27" t="str">
        <f t="shared" si="187"/>
        <v/>
      </c>
      <c r="CD1133" s="38" t="str">
        <f t="shared" si="188"/>
        <v/>
      </c>
      <c r="CE1133" s="38" t="str">
        <f t="shared" si="189"/>
        <v/>
      </c>
      <c r="CF1133" s="38" t="str">
        <f t="shared" si="190"/>
        <v/>
      </c>
      <c r="CG1133" s="38" t="str">
        <f t="shared" si="191"/>
        <v/>
      </c>
      <c r="CH1133" s="38" t="str">
        <f t="shared" si="192"/>
        <v/>
      </c>
      <c r="CI1133" s="38" t="str">
        <f t="shared" si="193"/>
        <v/>
      </c>
      <c r="CJ1133" s="38" t="str">
        <f t="shared" si="194"/>
        <v/>
      </c>
      <c r="CK1133" s="38" t="str">
        <f t="shared" si="195"/>
        <v/>
      </c>
      <c r="CL1133" s="38" t="str">
        <f>IF(C1133="","",IF(COUNT(G1133:AZ1133)&lt;46,"",SUMPRODUCT(CC1133:CK1133,'تنظیمات وزن‌دهی'!$C$5:$C$13)/100))</f>
        <v/>
      </c>
      <c r="CM1133" s="38" t="str">
        <f t="shared" si="196"/>
        <v/>
      </c>
      <c r="CN1133" s="38">
        <v>1</v>
      </c>
      <c r="CO1133" s="28" t="str">
        <f t="shared" si="197"/>
        <v/>
      </c>
      <c r="CP1133" s="58"/>
    </row>
    <row r="1134" spans="1:94" ht="17.25" hidden="1">
      <c r="A1134" s="33">
        <v>1130</v>
      </c>
      <c r="B1134" s="55" t="s">
        <v>184</v>
      </c>
      <c r="C1134" s="55" t="str">
        <f>IF(دانش‌آموزان!E99="","",دانش‌آموزان!B99)</f>
        <v/>
      </c>
      <c r="D1134" s="55" t="str">
        <f>IF(دانش‌آموزان!C99="","",دانش‌آموزان!C99)</f>
        <v/>
      </c>
      <c r="E1134" s="55" t="str">
        <f>IF(دانش‌آموزان!E99="","",دانش‌آموزان!E99&amp;" "&amp;دانش‌آموزان!F99)</f>
        <v/>
      </c>
      <c r="F1134" s="34" t="str">
        <f>IF(دانش‌آموزان!I99="","",دانش‌آموزان!I99)</f>
        <v/>
      </c>
      <c r="G1134" s="19"/>
      <c r="H1134" s="20"/>
      <c r="I1134" s="20"/>
      <c r="J1134" s="20"/>
      <c r="K1134" s="20"/>
      <c r="L1134" s="20"/>
      <c r="M1134" s="20"/>
      <c r="N1134" s="20"/>
      <c r="O1134" s="20"/>
      <c r="P1134" s="20"/>
      <c r="Q1134" s="20"/>
      <c r="R1134" s="20"/>
      <c r="S1134" s="20"/>
      <c r="T1134" s="20"/>
      <c r="U1134" s="20"/>
      <c r="V1134" s="20"/>
      <c r="W1134" s="20"/>
      <c r="X1134" s="20"/>
      <c r="Y1134" s="20"/>
      <c r="Z1134" s="20"/>
      <c r="AA1134" s="20"/>
      <c r="AB1134" s="20"/>
      <c r="AC1134" s="20"/>
      <c r="AD1134" s="20"/>
      <c r="AE1134" s="20"/>
      <c r="AF1134" s="20"/>
      <c r="AG1134" s="20"/>
      <c r="AH1134" s="20"/>
      <c r="AI1134" s="20"/>
      <c r="AJ1134" s="20"/>
      <c r="AK1134" s="20"/>
      <c r="AL1134" s="20"/>
      <c r="AM1134" s="20"/>
      <c r="AN1134" s="20"/>
      <c r="AO1134" s="20"/>
      <c r="AP1134" s="20"/>
      <c r="AQ1134" s="20"/>
      <c r="AR1134" s="20"/>
      <c r="AS1134" s="20"/>
      <c r="AT1134" s="20"/>
      <c r="AU1134" s="20"/>
      <c r="AV1134" s="20"/>
      <c r="AW1134" s="20"/>
      <c r="AX1134" s="20"/>
      <c r="AY1134" s="20"/>
      <c r="AZ1134" s="20"/>
      <c r="BA1134" s="20"/>
      <c r="BB1134" s="20"/>
      <c r="BC1134" s="20"/>
      <c r="BD1134" s="20"/>
      <c r="BE1134" s="20"/>
      <c r="BF1134" s="20"/>
      <c r="BG1134" s="20"/>
      <c r="BH1134" s="20"/>
      <c r="BI1134" s="20"/>
      <c r="BJ1134" s="20"/>
      <c r="BK1134" s="20"/>
      <c r="BL1134" s="20"/>
      <c r="BM1134" s="20"/>
      <c r="BN1134" s="20"/>
      <c r="BO1134" s="20"/>
      <c r="BP1134" s="20"/>
      <c r="BQ1134" s="20"/>
      <c r="BR1134" s="20"/>
      <c r="BS1134" s="20"/>
      <c r="BT1134" s="20"/>
      <c r="BU1134" s="20"/>
      <c r="BV1134" s="20"/>
      <c r="BW1134" s="20"/>
      <c r="BX1134" s="20"/>
      <c r="BY1134" s="20"/>
      <c r="BZ1134" s="20"/>
      <c r="CA1134" s="20"/>
      <c r="CB1134" s="21"/>
      <c r="CC1134" s="27" t="str">
        <f t="shared" si="187"/>
        <v/>
      </c>
      <c r="CD1134" s="38" t="str">
        <f t="shared" si="188"/>
        <v/>
      </c>
      <c r="CE1134" s="38" t="str">
        <f t="shared" si="189"/>
        <v/>
      </c>
      <c r="CF1134" s="38" t="str">
        <f t="shared" si="190"/>
        <v/>
      </c>
      <c r="CG1134" s="38" t="str">
        <f t="shared" si="191"/>
        <v/>
      </c>
      <c r="CH1134" s="38" t="str">
        <f t="shared" si="192"/>
        <v/>
      </c>
      <c r="CI1134" s="38" t="str">
        <f t="shared" si="193"/>
        <v/>
      </c>
      <c r="CJ1134" s="38" t="str">
        <f t="shared" si="194"/>
        <v/>
      </c>
      <c r="CK1134" s="38" t="str">
        <f t="shared" si="195"/>
        <v/>
      </c>
      <c r="CL1134" s="38" t="str">
        <f>IF(C1134="","",IF(COUNT(G1134:AZ1134)&lt;46,"",SUMPRODUCT(CC1134:CK1134,'تنظیمات وزن‌دهی'!$C$5:$C$13)/100))</f>
        <v/>
      </c>
      <c r="CM1134" s="38" t="str">
        <f t="shared" si="196"/>
        <v/>
      </c>
      <c r="CN1134" s="38">
        <v>2</v>
      </c>
      <c r="CO1134" s="28" t="str">
        <f t="shared" si="197"/>
        <v/>
      </c>
      <c r="CP1134" s="58"/>
    </row>
    <row r="1135" spans="1:94" ht="17.25">
      <c r="A1135" s="33">
        <v>1131</v>
      </c>
      <c r="B1135" s="55" t="s">
        <v>185</v>
      </c>
      <c r="C1135" s="55" t="str">
        <f>IF(دانش‌آموزان!E99="","",دانش‌آموزان!B99)</f>
        <v/>
      </c>
      <c r="D1135" s="55" t="str">
        <f>IF(دانش‌آموزان!C99="","",دانش‌آموزان!C99)</f>
        <v/>
      </c>
      <c r="E1135" s="55" t="str">
        <f>IF(دانش‌آموزان!E99="","",دانش‌آموزان!E99&amp;" "&amp;دانش‌آموزان!F99)</f>
        <v/>
      </c>
      <c r="F1135" s="34" t="str">
        <f>IF(دانش‌آموزان!I99="","",دانش‌آموزان!I99)</f>
        <v/>
      </c>
      <c r="G1135" s="19"/>
      <c r="H1135" s="20"/>
      <c r="I1135" s="20"/>
      <c r="J1135" s="20"/>
      <c r="K1135" s="20"/>
      <c r="L1135" s="20"/>
      <c r="M1135" s="20"/>
      <c r="N1135" s="20"/>
      <c r="O1135" s="20"/>
      <c r="P1135" s="20"/>
      <c r="Q1135" s="20"/>
      <c r="R1135" s="20"/>
      <c r="S1135" s="20"/>
      <c r="T1135" s="20"/>
      <c r="U1135" s="20"/>
      <c r="V1135" s="20"/>
      <c r="W1135" s="20"/>
      <c r="X1135" s="20"/>
      <c r="Y1135" s="20"/>
      <c r="Z1135" s="20"/>
      <c r="AA1135" s="20"/>
      <c r="AB1135" s="20"/>
      <c r="AC1135" s="20"/>
      <c r="AD1135" s="20"/>
      <c r="AE1135" s="20"/>
      <c r="AF1135" s="20"/>
      <c r="AG1135" s="20"/>
      <c r="AH1135" s="20"/>
      <c r="AI1135" s="20"/>
      <c r="AJ1135" s="20"/>
      <c r="AK1135" s="20"/>
      <c r="AL1135" s="20"/>
      <c r="AM1135" s="20"/>
      <c r="AN1135" s="20"/>
      <c r="AO1135" s="20"/>
      <c r="AP1135" s="20"/>
      <c r="AQ1135" s="20"/>
      <c r="AR1135" s="20"/>
      <c r="AS1135" s="20"/>
      <c r="AT1135" s="20"/>
      <c r="AU1135" s="20"/>
      <c r="AV1135" s="20"/>
      <c r="AW1135" s="20"/>
      <c r="AX1135" s="20"/>
      <c r="AY1135" s="20"/>
      <c r="AZ1135" s="20"/>
      <c r="BA1135" s="20"/>
      <c r="BB1135" s="20"/>
      <c r="BC1135" s="20"/>
      <c r="BD1135" s="20"/>
      <c r="BE1135" s="20"/>
      <c r="BF1135" s="20"/>
      <c r="BG1135" s="20"/>
      <c r="BH1135" s="20"/>
      <c r="BI1135" s="20"/>
      <c r="BJ1135" s="20"/>
      <c r="BK1135" s="20"/>
      <c r="BL1135" s="20"/>
      <c r="BM1135" s="20"/>
      <c r="BN1135" s="20"/>
      <c r="BO1135" s="20"/>
      <c r="BP1135" s="20"/>
      <c r="BQ1135" s="20"/>
      <c r="BR1135" s="20"/>
      <c r="BS1135" s="20"/>
      <c r="BT1135" s="20"/>
      <c r="BU1135" s="20"/>
      <c r="BV1135" s="20"/>
      <c r="BW1135" s="20"/>
      <c r="BX1135" s="20"/>
      <c r="BY1135" s="20"/>
      <c r="BZ1135" s="20"/>
      <c r="CA1135" s="20"/>
      <c r="CB1135" s="21"/>
      <c r="CC1135" s="27" t="str">
        <f t="shared" si="187"/>
        <v/>
      </c>
      <c r="CD1135" s="38" t="str">
        <f t="shared" si="188"/>
        <v/>
      </c>
      <c r="CE1135" s="38" t="str">
        <f t="shared" si="189"/>
        <v/>
      </c>
      <c r="CF1135" s="38" t="str">
        <f t="shared" si="190"/>
        <v/>
      </c>
      <c r="CG1135" s="38" t="str">
        <f t="shared" si="191"/>
        <v/>
      </c>
      <c r="CH1135" s="38" t="str">
        <f t="shared" si="192"/>
        <v/>
      </c>
      <c r="CI1135" s="38" t="str">
        <f t="shared" si="193"/>
        <v/>
      </c>
      <c r="CJ1135" s="38" t="str">
        <f t="shared" si="194"/>
        <v/>
      </c>
      <c r="CK1135" s="38" t="str">
        <f t="shared" si="195"/>
        <v/>
      </c>
      <c r="CL1135" s="38" t="str">
        <f>IF(C1135="","",IF(COUNT(G1135:AZ1135)&lt;46,"",SUMPRODUCT(CC1135:CK1135,'تنظیمات وزن‌دهی'!$C$5:$C$13)/100))</f>
        <v/>
      </c>
      <c r="CM1135" s="38" t="str">
        <f t="shared" si="196"/>
        <v/>
      </c>
      <c r="CN1135" s="38">
        <v>3</v>
      </c>
      <c r="CO1135" s="28" t="str">
        <f t="shared" si="197"/>
        <v/>
      </c>
      <c r="CP1135" s="58"/>
    </row>
    <row r="1136" spans="1:94" ht="17.25" hidden="1">
      <c r="A1136" s="33">
        <v>1132</v>
      </c>
      <c r="B1136" s="55" t="s">
        <v>186</v>
      </c>
      <c r="C1136" s="55" t="str">
        <f>IF(دانش‌آموزان!E99="","",دانش‌آموزان!B99)</f>
        <v/>
      </c>
      <c r="D1136" s="55" t="str">
        <f>IF(دانش‌آموزان!C99="","",دانش‌آموزان!C99)</f>
        <v/>
      </c>
      <c r="E1136" s="55" t="str">
        <f>IF(دانش‌آموزان!E99="","",دانش‌آموزان!E99&amp;" "&amp;دانش‌آموزان!F99)</f>
        <v/>
      </c>
      <c r="F1136" s="34" t="str">
        <f>IF(دانش‌آموزان!I99="","",دانش‌آموزان!I99)</f>
        <v/>
      </c>
      <c r="G1136" s="19"/>
      <c r="H1136" s="20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20"/>
      <c r="T1136" s="20"/>
      <c r="U1136" s="20"/>
      <c r="V1136" s="20"/>
      <c r="W1136" s="20"/>
      <c r="X1136" s="20"/>
      <c r="Y1136" s="20"/>
      <c r="Z1136" s="20"/>
      <c r="AA1136" s="20"/>
      <c r="AB1136" s="20"/>
      <c r="AC1136" s="20"/>
      <c r="AD1136" s="20"/>
      <c r="AE1136" s="20"/>
      <c r="AF1136" s="20"/>
      <c r="AG1136" s="20"/>
      <c r="AH1136" s="20"/>
      <c r="AI1136" s="20"/>
      <c r="AJ1136" s="20"/>
      <c r="AK1136" s="20"/>
      <c r="AL1136" s="20"/>
      <c r="AM1136" s="20"/>
      <c r="AN1136" s="20"/>
      <c r="AO1136" s="20"/>
      <c r="AP1136" s="20"/>
      <c r="AQ1136" s="20"/>
      <c r="AR1136" s="20"/>
      <c r="AS1136" s="20"/>
      <c r="AT1136" s="20"/>
      <c r="AU1136" s="20"/>
      <c r="AV1136" s="20"/>
      <c r="AW1136" s="20"/>
      <c r="AX1136" s="20"/>
      <c r="AY1136" s="20"/>
      <c r="AZ1136" s="20"/>
      <c r="BA1136" s="20"/>
      <c r="BB1136" s="20"/>
      <c r="BC1136" s="20"/>
      <c r="BD1136" s="20"/>
      <c r="BE1136" s="20"/>
      <c r="BF1136" s="20"/>
      <c r="BG1136" s="20"/>
      <c r="BH1136" s="20"/>
      <c r="BI1136" s="20"/>
      <c r="BJ1136" s="20"/>
      <c r="BK1136" s="20"/>
      <c r="BL1136" s="20"/>
      <c r="BM1136" s="20"/>
      <c r="BN1136" s="20"/>
      <c r="BO1136" s="20"/>
      <c r="BP1136" s="20"/>
      <c r="BQ1136" s="20"/>
      <c r="BR1136" s="20"/>
      <c r="BS1136" s="20"/>
      <c r="BT1136" s="20"/>
      <c r="BU1136" s="20"/>
      <c r="BV1136" s="20"/>
      <c r="BW1136" s="20"/>
      <c r="BX1136" s="20"/>
      <c r="BY1136" s="20"/>
      <c r="BZ1136" s="20"/>
      <c r="CA1136" s="20"/>
      <c r="CB1136" s="21"/>
      <c r="CC1136" s="27" t="str">
        <f t="shared" si="187"/>
        <v/>
      </c>
      <c r="CD1136" s="38" t="str">
        <f t="shared" si="188"/>
        <v/>
      </c>
      <c r="CE1136" s="38" t="str">
        <f t="shared" si="189"/>
        <v/>
      </c>
      <c r="CF1136" s="38" t="str">
        <f t="shared" si="190"/>
        <v/>
      </c>
      <c r="CG1136" s="38" t="str">
        <f t="shared" si="191"/>
        <v/>
      </c>
      <c r="CH1136" s="38" t="str">
        <f t="shared" si="192"/>
        <v/>
      </c>
      <c r="CI1136" s="38" t="str">
        <f t="shared" si="193"/>
        <v/>
      </c>
      <c r="CJ1136" s="38" t="str">
        <f t="shared" si="194"/>
        <v/>
      </c>
      <c r="CK1136" s="38" t="str">
        <f t="shared" si="195"/>
        <v/>
      </c>
      <c r="CL1136" s="38" t="str">
        <f>IF(C1136="","",IF(COUNT(G1136:AZ1136)&lt;46,"",SUMPRODUCT(CC1136:CK1136,'تنظیمات وزن‌دهی'!$C$5:$C$13)/100))</f>
        <v/>
      </c>
      <c r="CM1136" s="38" t="str">
        <f t="shared" si="196"/>
        <v/>
      </c>
      <c r="CN1136" s="38">
        <v>4</v>
      </c>
      <c r="CO1136" s="28" t="str">
        <f t="shared" si="197"/>
        <v/>
      </c>
      <c r="CP1136" s="58"/>
    </row>
    <row r="1137" spans="1:94" ht="17.25" hidden="1">
      <c r="A1137" s="33">
        <v>1133</v>
      </c>
      <c r="B1137" s="55" t="s">
        <v>187</v>
      </c>
      <c r="C1137" s="55" t="str">
        <f>IF(دانش‌آموزان!E99="","",دانش‌آموزان!B99)</f>
        <v/>
      </c>
      <c r="D1137" s="55" t="str">
        <f>IF(دانش‌آموزان!C99="","",دانش‌آموزان!C99)</f>
        <v/>
      </c>
      <c r="E1137" s="55" t="str">
        <f>IF(دانش‌آموزان!E99="","",دانش‌آموزان!E99&amp;" "&amp;دانش‌آموزان!F99)</f>
        <v/>
      </c>
      <c r="F1137" s="34" t="str">
        <f>IF(دانش‌آموزان!I99="","",دانش‌آموزان!I99)</f>
        <v/>
      </c>
      <c r="G1137" s="19"/>
      <c r="H1137" s="20"/>
      <c r="I1137" s="20"/>
      <c r="J1137" s="20"/>
      <c r="K1137" s="20"/>
      <c r="L1137" s="20"/>
      <c r="M1137" s="20"/>
      <c r="N1137" s="20"/>
      <c r="O1137" s="20"/>
      <c r="P1137" s="20"/>
      <c r="Q1137" s="20"/>
      <c r="R1137" s="20"/>
      <c r="S1137" s="20"/>
      <c r="T1137" s="20"/>
      <c r="U1137" s="20"/>
      <c r="V1137" s="20"/>
      <c r="W1137" s="20"/>
      <c r="X1137" s="20"/>
      <c r="Y1137" s="20"/>
      <c r="Z1137" s="20"/>
      <c r="AA1137" s="20"/>
      <c r="AB1137" s="20"/>
      <c r="AC1137" s="20"/>
      <c r="AD1137" s="20"/>
      <c r="AE1137" s="20"/>
      <c r="AF1137" s="20"/>
      <c r="AG1137" s="20"/>
      <c r="AH1137" s="20"/>
      <c r="AI1137" s="20"/>
      <c r="AJ1137" s="20"/>
      <c r="AK1137" s="20"/>
      <c r="AL1137" s="20"/>
      <c r="AM1137" s="20"/>
      <c r="AN1137" s="20"/>
      <c r="AO1137" s="20"/>
      <c r="AP1137" s="20"/>
      <c r="AQ1137" s="20"/>
      <c r="AR1137" s="20"/>
      <c r="AS1137" s="20"/>
      <c r="AT1137" s="20"/>
      <c r="AU1137" s="20"/>
      <c r="AV1137" s="20"/>
      <c r="AW1137" s="20"/>
      <c r="AX1137" s="20"/>
      <c r="AY1137" s="20"/>
      <c r="AZ1137" s="20"/>
      <c r="BA1137" s="20"/>
      <c r="BB1137" s="20"/>
      <c r="BC1137" s="20"/>
      <c r="BD1137" s="20"/>
      <c r="BE1137" s="20"/>
      <c r="BF1137" s="20"/>
      <c r="BG1137" s="20"/>
      <c r="BH1137" s="20"/>
      <c r="BI1137" s="20"/>
      <c r="BJ1137" s="20"/>
      <c r="BK1137" s="20"/>
      <c r="BL1137" s="20"/>
      <c r="BM1137" s="20"/>
      <c r="BN1137" s="20"/>
      <c r="BO1137" s="20"/>
      <c r="BP1137" s="20"/>
      <c r="BQ1137" s="20"/>
      <c r="BR1137" s="20"/>
      <c r="BS1137" s="20"/>
      <c r="BT1137" s="20"/>
      <c r="BU1137" s="20"/>
      <c r="BV1137" s="20"/>
      <c r="BW1137" s="20"/>
      <c r="BX1137" s="20"/>
      <c r="BY1137" s="20"/>
      <c r="BZ1137" s="20"/>
      <c r="CA1137" s="20"/>
      <c r="CB1137" s="21"/>
      <c r="CC1137" s="27" t="str">
        <f t="shared" si="187"/>
        <v/>
      </c>
      <c r="CD1137" s="38" t="str">
        <f t="shared" si="188"/>
        <v/>
      </c>
      <c r="CE1137" s="38" t="str">
        <f t="shared" si="189"/>
        <v/>
      </c>
      <c r="CF1137" s="38" t="str">
        <f t="shared" si="190"/>
        <v/>
      </c>
      <c r="CG1137" s="38" t="str">
        <f t="shared" si="191"/>
        <v/>
      </c>
      <c r="CH1137" s="38" t="str">
        <f t="shared" si="192"/>
        <v/>
      </c>
      <c r="CI1137" s="38" t="str">
        <f t="shared" si="193"/>
        <v/>
      </c>
      <c r="CJ1137" s="38" t="str">
        <f t="shared" si="194"/>
        <v/>
      </c>
      <c r="CK1137" s="38" t="str">
        <f t="shared" si="195"/>
        <v/>
      </c>
      <c r="CL1137" s="38" t="str">
        <f>IF(C1137="","",IF(COUNT(G1137:AZ1137)&lt;46,"",SUMPRODUCT(CC1137:CK1137,'تنظیمات وزن‌دهی'!$C$5:$C$13)/100))</f>
        <v/>
      </c>
      <c r="CM1137" s="38" t="str">
        <f t="shared" si="196"/>
        <v/>
      </c>
      <c r="CN1137" s="38">
        <v>5</v>
      </c>
      <c r="CO1137" s="28" t="str">
        <f t="shared" si="197"/>
        <v/>
      </c>
      <c r="CP1137" s="58"/>
    </row>
    <row r="1138" spans="1:94" ht="17.25" hidden="1">
      <c r="A1138" s="33">
        <v>1134</v>
      </c>
      <c r="B1138" s="55" t="s">
        <v>188</v>
      </c>
      <c r="C1138" s="55" t="str">
        <f>IF(دانش‌آموزان!E99="","",دانش‌آموزان!B99)</f>
        <v/>
      </c>
      <c r="D1138" s="55" t="str">
        <f>IF(دانش‌آموزان!C99="","",دانش‌آموزان!C99)</f>
        <v/>
      </c>
      <c r="E1138" s="55" t="str">
        <f>IF(دانش‌آموزان!E99="","",دانش‌آموزان!E99&amp;" "&amp;دانش‌آموزان!F99)</f>
        <v/>
      </c>
      <c r="F1138" s="34" t="str">
        <f>IF(دانش‌آموزان!I99="","",دانش‌آموزان!I99)</f>
        <v/>
      </c>
      <c r="G1138" s="19"/>
      <c r="H1138" s="20"/>
      <c r="I1138" s="20"/>
      <c r="J1138" s="20"/>
      <c r="K1138" s="20"/>
      <c r="L1138" s="20"/>
      <c r="M1138" s="20"/>
      <c r="N1138" s="20"/>
      <c r="O1138" s="20"/>
      <c r="P1138" s="20"/>
      <c r="Q1138" s="20"/>
      <c r="R1138" s="20"/>
      <c r="S1138" s="20"/>
      <c r="T1138" s="20"/>
      <c r="U1138" s="20"/>
      <c r="V1138" s="20"/>
      <c r="W1138" s="20"/>
      <c r="X1138" s="20"/>
      <c r="Y1138" s="20"/>
      <c r="Z1138" s="20"/>
      <c r="AA1138" s="20"/>
      <c r="AB1138" s="20"/>
      <c r="AC1138" s="20"/>
      <c r="AD1138" s="20"/>
      <c r="AE1138" s="20"/>
      <c r="AF1138" s="20"/>
      <c r="AG1138" s="20"/>
      <c r="AH1138" s="20"/>
      <c r="AI1138" s="20"/>
      <c r="AJ1138" s="20"/>
      <c r="AK1138" s="20"/>
      <c r="AL1138" s="20"/>
      <c r="AM1138" s="20"/>
      <c r="AN1138" s="20"/>
      <c r="AO1138" s="20"/>
      <c r="AP1138" s="20"/>
      <c r="AQ1138" s="20"/>
      <c r="AR1138" s="20"/>
      <c r="AS1138" s="20"/>
      <c r="AT1138" s="20"/>
      <c r="AU1138" s="20"/>
      <c r="AV1138" s="20"/>
      <c r="AW1138" s="20"/>
      <c r="AX1138" s="20"/>
      <c r="AY1138" s="20"/>
      <c r="AZ1138" s="20"/>
      <c r="BA1138" s="20"/>
      <c r="BB1138" s="20"/>
      <c r="BC1138" s="20"/>
      <c r="BD1138" s="20"/>
      <c r="BE1138" s="20"/>
      <c r="BF1138" s="20"/>
      <c r="BG1138" s="20"/>
      <c r="BH1138" s="20"/>
      <c r="BI1138" s="20"/>
      <c r="BJ1138" s="20"/>
      <c r="BK1138" s="20"/>
      <c r="BL1138" s="20"/>
      <c r="BM1138" s="20"/>
      <c r="BN1138" s="20"/>
      <c r="BO1138" s="20"/>
      <c r="BP1138" s="20"/>
      <c r="BQ1138" s="20"/>
      <c r="BR1138" s="20"/>
      <c r="BS1138" s="20"/>
      <c r="BT1138" s="20"/>
      <c r="BU1138" s="20"/>
      <c r="BV1138" s="20"/>
      <c r="BW1138" s="20"/>
      <c r="BX1138" s="20"/>
      <c r="BY1138" s="20"/>
      <c r="BZ1138" s="20"/>
      <c r="CA1138" s="20"/>
      <c r="CB1138" s="21"/>
      <c r="CC1138" s="27" t="str">
        <f t="shared" si="187"/>
        <v/>
      </c>
      <c r="CD1138" s="38" t="str">
        <f t="shared" si="188"/>
        <v/>
      </c>
      <c r="CE1138" s="38" t="str">
        <f t="shared" si="189"/>
        <v/>
      </c>
      <c r="CF1138" s="38" t="str">
        <f t="shared" si="190"/>
        <v/>
      </c>
      <c r="CG1138" s="38" t="str">
        <f t="shared" si="191"/>
        <v/>
      </c>
      <c r="CH1138" s="38" t="str">
        <f t="shared" si="192"/>
        <v/>
      </c>
      <c r="CI1138" s="38" t="str">
        <f t="shared" si="193"/>
        <v/>
      </c>
      <c r="CJ1138" s="38" t="str">
        <f t="shared" si="194"/>
        <v/>
      </c>
      <c r="CK1138" s="38" t="str">
        <f t="shared" si="195"/>
        <v/>
      </c>
      <c r="CL1138" s="38" t="str">
        <f>IF(C1138="","",IF(COUNT(G1138:AZ1138)&lt;46,"",SUMPRODUCT(CC1138:CK1138,'تنظیمات وزن‌دهی'!$C$5:$C$13)/100))</f>
        <v/>
      </c>
      <c r="CM1138" s="38" t="str">
        <f t="shared" si="196"/>
        <v/>
      </c>
      <c r="CN1138" s="38">
        <v>6</v>
      </c>
      <c r="CO1138" s="28" t="str">
        <f t="shared" si="197"/>
        <v/>
      </c>
      <c r="CP1138" s="58"/>
    </row>
    <row r="1139" spans="1:94" ht="17.25" hidden="1">
      <c r="A1139" s="33">
        <v>1135</v>
      </c>
      <c r="B1139" s="55" t="s">
        <v>189</v>
      </c>
      <c r="C1139" s="55" t="str">
        <f>IF(دانش‌آموزان!E99="","",دانش‌آموزان!B99)</f>
        <v/>
      </c>
      <c r="D1139" s="55" t="str">
        <f>IF(دانش‌آموزان!C99="","",دانش‌آموزان!C99)</f>
        <v/>
      </c>
      <c r="E1139" s="55" t="str">
        <f>IF(دانش‌آموزان!E99="","",دانش‌آموزان!E99&amp;" "&amp;دانش‌آموزان!F99)</f>
        <v/>
      </c>
      <c r="F1139" s="34" t="str">
        <f>IF(دانش‌آموزان!I99="","",دانش‌آموزان!I99)</f>
        <v/>
      </c>
      <c r="G1139" s="19"/>
      <c r="H1139" s="20"/>
      <c r="I1139" s="20"/>
      <c r="J1139" s="20"/>
      <c r="K1139" s="20"/>
      <c r="L1139" s="20"/>
      <c r="M1139" s="20"/>
      <c r="N1139" s="20"/>
      <c r="O1139" s="20"/>
      <c r="P1139" s="20"/>
      <c r="Q1139" s="20"/>
      <c r="R1139" s="20"/>
      <c r="S1139" s="20"/>
      <c r="T1139" s="20"/>
      <c r="U1139" s="20"/>
      <c r="V1139" s="20"/>
      <c r="W1139" s="20"/>
      <c r="X1139" s="20"/>
      <c r="Y1139" s="20"/>
      <c r="Z1139" s="20"/>
      <c r="AA1139" s="20"/>
      <c r="AB1139" s="20"/>
      <c r="AC1139" s="20"/>
      <c r="AD1139" s="20"/>
      <c r="AE1139" s="20"/>
      <c r="AF1139" s="20"/>
      <c r="AG1139" s="20"/>
      <c r="AH1139" s="20"/>
      <c r="AI1139" s="20"/>
      <c r="AJ1139" s="20"/>
      <c r="AK1139" s="20"/>
      <c r="AL1139" s="20"/>
      <c r="AM1139" s="20"/>
      <c r="AN1139" s="20"/>
      <c r="AO1139" s="20"/>
      <c r="AP1139" s="20"/>
      <c r="AQ1139" s="20"/>
      <c r="AR1139" s="20"/>
      <c r="AS1139" s="20"/>
      <c r="AT1139" s="20"/>
      <c r="AU1139" s="20"/>
      <c r="AV1139" s="20"/>
      <c r="AW1139" s="20"/>
      <c r="AX1139" s="20"/>
      <c r="AY1139" s="20"/>
      <c r="AZ1139" s="20"/>
      <c r="BA1139" s="20"/>
      <c r="BB1139" s="20"/>
      <c r="BC1139" s="20"/>
      <c r="BD1139" s="20"/>
      <c r="BE1139" s="20"/>
      <c r="BF1139" s="20"/>
      <c r="BG1139" s="20"/>
      <c r="BH1139" s="20"/>
      <c r="BI1139" s="20"/>
      <c r="BJ1139" s="20"/>
      <c r="BK1139" s="20"/>
      <c r="BL1139" s="20"/>
      <c r="BM1139" s="20"/>
      <c r="BN1139" s="20"/>
      <c r="BO1139" s="20"/>
      <c r="BP1139" s="20"/>
      <c r="BQ1139" s="20"/>
      <c r="BR1139" s="20"/>
      <c r="BS1139" s="20"/>
      <c r="BT1139" s="20"/>
      <c r="BU1139" s="20"/>
      <c r="BV1139" s="20"/>
      <c r="BW1139" s="20"/>
      <c r="BX1139" s="20"/>
      <c r="BY1139" s="20"/>
      <c r="BZ1139" s="20"/>
      <c r="CA1139" s="20"/>
      <c r="CB1139" s="21"/>
      <c r="CC1139" s="27" t="str">
        <f t="shared" si="187"/>
        <v/>
      </c>
      <c r="CD1139" s="38" t="str">
        <f t="shared" si="188"/>
        <v/>
      </c>
      <c r="CE1139" s="38" t="str">
        <f t="shared" si="189"/>
        <v/>
      </c>
      <c r="CF1139" s="38" t="str">
        <f t="shared" si="190"/>
        <v/>
      </c>
      <c r="CG1139" s="38" t="str">
        <f t="shared" si="191"/>
        <v/>
      </c>
      <c r="CH1139" s="38" t="str">
        <f t="shared" si="192"/>
        <v/>
      </c>
      <c r="CI1139" s="38" t="str">
        <f t="shared" si="193"/>
        <v/>
      </c>
      <c r="CJ1139" s="38" t="str">
        <f t="shared" si="194"/>
        <v/>
      </c>
      <c r="CK1139" s="38" t="str">
        <f t="shared" si="195"/>
        <v/>
      </c>
      <c r="CL1139" s="38" t="str">
        <f>IF(C1139="","",IF(COUNT(G1139:AZ1139)&lt;46,"",SUMPRODUCT(CC1139:CK1139,'تنظیمات وزن‌دهی'!$C$5:$C$13)/100))</f>
        <v/>
      </c>
      <c r="CM1139" s="38" t="str">
        <f t="shared" si="196"/>
        <v/>
      </c>
      <c r="CN1139" s="38">
        <v>7</v>
      </c>
      <c r="CO1139" s="28" t="str">
        <f t="shared" si="197"/>
        <v/>
      </c>
      <c r="CP1139" s="58"/>
    </row>
    <row r="1140" spans="1:94" ht="17.25" hidden="1">
      <c r="A1140" s="33">
        <v>1136</v>
      </c>
      <c r="B1140" s="55" t="s">
        <v>190</v>
      </c>
      <c r="C1140" s="55" t="str">
        <f>IF(دانش‌آموزان!E99="","",دانش‌آموزان!B99)</f>
        <v/>
      </c>
      <c r="D1140" s="55" t="str">
        <f>IF(دانش‌آموزان!C99="","",دانش‌آموزان!C99)</f>
        <v/>
      </c>
      <c r="E1140" s="55" t="str">
        <f>IF(دانش‌آموزان!E99="","",دانش‌آموزان!E99&amp;" "&amp;دانش‌آموزان!F99)</f>
        <v/>
      </c>
      <c r="F1140" s="34" t="str">
        <f>IF(دانش‌آموزان!I99="","",دانش‌آموزان!I99)</f>
        <v/>
      </c>
      <c r="G1140" s="19"/>
      <c r="H1140" s="20"/>
      <c r="I1140" s="20"/>
      <c r="J1140" s="20"/>
      <c r="K1140" s="20"/>
      <c r="L1140" s="20"/>
      <c r="M1140" s="20"/>
      <c r="N1140" s="20"/>
      <c r="O1140" s="20"/>
      <c r="P1140" s="20"/>
      <c r="Q1140" s="20"/>
      <c r="R1140" s="20"/>
      <c r="S1140" s="20"/>
      <c r="T1140" s="20"/>
      <c r="U1140" s="20"/>
      <c r="V1140" s="20"/>
      <c r="W1140" s="20"/>
      <c r="X1140" s="20"/>
      <c r="Y1140" s="20"/>
      <c r="Z1140" s="20"/>
      <c r="AA1140" s="20"/>
      <c r="AB1140" s="20"/>
      <c r="AC1140" s="20"/>
      <c r="AD1140" s="20"/>
      <c r="AE1140" s="20"/>
      <c r="AF1140" s="20"/>
      <c r="AG1140" s="20"/>
      <c r="AH1140" s="20"/>
      <c r="AI1140" s="20"/>
      <c r="AJ1140" s="20"/>
      <c r="AK1140" s="20"/>
      <c r="AL1140" s="20"/>
      <c r="AM1140" s="20"/>
      <c r="AN1140" s="20"/>
      <c r="AO1140" s="20"/>
      <c r="AP1140" s="20"/>
      <c r="AQ1140" s="20"/>
      <c r="AR1140" s="20"/>
      <c r="AS1140" s="20"/>
      <c r="AT1140" s="20"/>
      <c r="AU1140" s="20"/>
      <c r="AV1140" s="20"/>
      <c r="AW1140" s="20"/>
      <c r="AX1140" s="20"/>
      <c r="AY1140" s="20"/>
      <c r="AZ1140" s="20"/>
      <c r="BA1140" s="20"/>
      <c r="BB1140" s="20"/>
      <c r="BC1140" s="20"/>
      <c r="BD1140" s="20"/>
      <c r="BE1140" s="20"/>
      <c r="BF1140" s="20"/>
      <c r="BG1140" s="20"/>
      <c r="BH1140" s="20"/>
      <c r="BI1140" s="20"/>
      <c r="BJ1140" s="20"/>
      <c r="BK1140" s="20"/>
      <c r="BL1140" s="20"/>
      <c r="BM1140" s="20"/>
      <c r="BN1140" s="20"/>
      <c r="BO1140" s="20"/>
      <c r="BP1140" s="20"/>
      <c r="BQ1140" s="20"/>
      <c r="BR1140" s="20"/>
      <c r="BS1140" s="20"/>
      <c r="BT1140" s="20"/>
      <c r="BU1140" s="20"/>
      <c r="BV1140" s="20"/>
      <c r="BW1140" s="20"/>
      <c r="BX1140" s="20"/>
      <c r="BY1140" s="20"/>
      <c r="BZ1140" s="20"/>
      <c r="CA1140" s="20"/>
      <c r="CB1140" s="21"/>
      <c r="CC1140" s="27" t="str">
        <f t="shared" si="187"/>
        <v/>
      </c>
      <c r="CD1140" s="38" t="str">
        <f t="shared" si="188"/>
        <v/>
      </c>
      <c r="CE1140" s="38" t="str">
        <f t="shared" si="189"/>
        <v/>
      </c>
      <c r="CF1140" s="38" t="str">
        <f t="shared" si="190"/>
        <v/>
      </c>
      <c r="CG1140" s="38" t="str">
        <f t="shared" si="191"/>
        <v/>
      </c>
      <c r="CH1140" s="38" t="str">
        <f t="shared" si="192"/>
        <v/>
      </c>
      <c r="CI1140" s="38" t="str">
        <f t="shared" si="193"/>
        <v/>
      </c>
      <c r="CJ1140" s="38" t="str">
        <f t="shared" si="194"/>
        <v/>
      </c>
      <c r="CK1140" s="38" t="str">
        <f t="shared" si="195"/>
        <v/>
      </c>
      <c r="CL1140" s="38" t="str">
        <f>IF(C1140="","",IF(COUNT(G1140:AZ1140)&lt;46,"",SUMPRODUCT(CC1140:CK1140,'تنظیمات وزن‌دهی'!$C$5:$C$13)/100))</f>
        <v/>
      </c>
      <c r="CM1140" s="38" t="str">
        <f t="shared" si="196"/>
        <v/>
      </c>
      <c r="CN1140" s="38">
        <v>8</v>
      </c>
      <c r="CO1140" s="28" t="str">
        <f t="shared" si="197"/>
        <v/>
      </c>
      <c r="CP1140" s="58"/>
    </row>
    <row r="1141" spans="1:94" ht="17.25" hidden="1">
      <c r="A1141" s="33">
        <v>1137</v>
      </c>
      <c r="B1141" s="55" t="s">
        <v>191</v>
      </c>
      <c r="C1141" s="55" t="str">
        <f>IF(دانش‌آموزان!E99="","",دانش‌آموزان!B99)</f>
        <v/>
      </c>
      <c r="D1141" s="55" t="str">
        <f>IF(دانش‌آموزان!C99="","",دانش‌آموزان!C99)</f>
        <v/>
      </c>
      <c r="E1141" s="55" t="str">
        <f>IF(دانش‌آموزان!E99="","",دانش‌آموزان!E99&amp;" "&amp;دانش‌آموزان!F99)</f>
        <v/>
      </c>
      <c r="F1141" s="34" t="str">
        <f>IF(دانش‌آموزان!I99="","",دانش‌آموزان!I99)</f>
        <v/>
      </c>
      <c r="G1141" s="19"/>
      <c r="H1141" s="20"/>
      <c r="I1141" s="20"/>
      <c r="J1141" s="20"/>
      <c r="K1141" s="20"/>
      <c r="L1141" s="20"/>
      <c r="M1141" s="20"/>
      <c r="N1141" s="20"/>
      <c r="O1141" s="20"/>
      <c r="P1141" s="20"/>
      <c r="Q1141" s="20"/>
      <c r="R1141" s="20"/>
      <c r="S1141" s="20"/>
      <c r="T1141" s="20"/>
      <c r="U1141" s="20"/>
      <c r="V1141" s="20"/>
      <c r="W1141" s="20"/>
      <c r="X1141" s="20"/>
      <c r="Y1141" s="20"/>
      <c r="Z1141" s="20"/>
      <c r="AA1141" s="20"/>
      <c r="AB1141" s="20"/>
      <c r="AC1141" s="20"/>
      <c r="AD1141" s="20"/>
      <c r="AE1141" s="20"/>
      <c r="AF1141" s="20"/>
      <c r="AG1141" s="20"/>
      <c r="AH1141" s="20"/>
      <c r="AI1141" s="20"/>
      <c r="AJ1141" s="20"/>
      <c r="AK1141" s="20"/>
      <c r="AL1141" s="20"/>
      <c r="AM1141" s="20"/>
      <c r="AN1141" s="20"/>
      <c r="AO1141" s="20"/>
      <c r="AP1141" s="20"/>
      <c r="AQ1141" s="20"/>
      <c r="AR1141" s="20"/>
      <c r="AS1141" s="20"/>
      <c r="AT1141" s="20"/>
      <c r="AU1141" s="20"/>
      <c r="AV1141" s="20"/>
      <c r="AW1141" s="20"/>
      <c r="AX1141" s="20"/>
      <c r="AY1141" s="20"/>
      <c r="AZ1141" s="20"/>
      <c r="BA1141" s="20"/>
      <c r="BB1141" s="20"/>
      <c r="BC1141" s="20"/>
      <c r="BD1141" s="20"/>
      <c r="BE1141" s="20"/>
      <c r="BF1141" s="20"/>
      <c r="BG1141" s="20"/>
      <c r="BH1141" s="20"/>
      <c r="BI1141" s="20"/>
      <c r="BJ1141" s="20"/>
      <c r="BK1141" s="20"/>
      <c r="BL1141" s="20"/>
      <c r="BM1141" s="20"/>
      <c r="BN1141" s="20"/>
      <c r="BO1141" s="20"/>
      <c r="BP1141" s="20"/>
      <c r="BQ1141" s="20"/>
      <c r="BR1141" s="20"/>
      <c r="BS1141" s="20"/>
      <c r="BT1141" s="20"/>
      <c r="BU1141" s="20"/>
      <c r="BV1141" s="20"/>
      <c r="BW1141" s="20"/>
      <c r="BX1141" s="20"/>
      <c r="BY1141" s="20"/>
      <c r="BZ1141" s="20"/>
      <c r="CA1141" s="20"/>
      <c r="CB1141" s="21"/>
      <c r="CC1141" s="27" t="str">
        <f t="shared" si="187"/>
        <v/>
      </c>
      <c r="CD1141" s="38" t="str">
        <f t="shared" si="188"/>
        <v/>
      </c>
      <c r="CE1141" s="38" t="str">
        <f t="shared" si="189"/>
        <v/>
      </c>
      <c r="CF1141" s="38" t="str">
        <f t="shared" si="190"/>
        <v/>
      </c>
      <c r="CG1141" s="38" t="str">
        <f t="shared" si="191"/>
        <v/>
      </c>
      <c r="CH1141" s="38" t="str">
        <f t="shared" si="192"/>
        <v/>
      </c>
      <c r="CI1141" s="38" t="str">
        <f t="shared" si="193"/>
        <v/>
      </c>
      <c r="CJ1141" s="38" t="str">
        <f t="shared" si="194"/>
        <v/>
      </c>
      <c r="CK1141" s="38" t="str">
        <f t="shared" si="195"/>
        <v/>
      </c>
      <c r="CL1141" s="38" t="str">
        <f>IF(C1141="","",IF(COUNT(G1141:AZ1141)&lt;46,"",SUMPRODUCT(CC1141:CK1141,'تنظیمات وزن‌دهی'!$C$5:$C$13)/100))</f>
        <v/>
      </c>
      <c r="CM1141" s="38" t="str">
        <f t="shared" si="196"/>
        <v/>
      </c>
      <c r="CN1141" s="38">
        <v>9</v>
      </c>
      <c r="CO1141" s="28" t="str">
        <f t="shared" si="197"/>
        <v/>
      </c>
      <c r="CP1141" s="58"/>
    </row>
    <row r="1142" spans="1:94" ht="17.25" hidden="1">
      <c r="A1142" s="33">
        <v>1138</v>
      </c>
      <c r="B1142" s="55" t="s">
        <v>192</v>
      </c>
      <c r="C1142" s="55" t="str">
        <f>IF(دانش‌آموزان!E99="","",دانش‌آموزان!B99)</f>
        <v/>
      </c>
      <c r="D1142" s="55" t="str">
        <f>IF(دانش‌آموزان!C99="","",دانش‌آموزان!C99)</f>
        <v/>
      </c>
      <c r="E1142" s="55" t="str">
        <f>IF(دانش‌آموزان!E99="","",دانش‌آموزان!E99&amp;" "&amp;دانش‌آموزان!F99)</f>
        <v/>
      </c>
      <c r="F1142" s="34" t="str">
        <f>IF(دانش‌آموزان!I99="","",دانش‌آموزان!I99)</f>
        <v/>
      </c>
      <c r="G1142" s="19"/>
      <c r="H1142" s="20"/>
      <c r="I1142" s="20"/>
      <c r="J1142" s="20"/>
      <c r="K1142" s="20"/>
      <c r="L1142" s="20"/>
      <c r="M1142" s="20"/>
      <c r="N1142" s="20"/>
      <c r="O1142" s="20"/>
      <c r="P1142" s="20"/>
      <c r="Q1142" s="20"/>
      <c r="R1142" s="20"/>
      <c r="S1142" s="20"/>
      <c r="T1142" s="20"/>
      <c r="U1142" s="20"/>
      <c r="V1142" s="20"/>
      <c r="W1142" s="20"/>
      <c r="X1142" s="20"/>
      <c r="Y1142" s="20"/>
      <c r="Z1142" s="20"/>
      <c r="AA1142" s="20"/>
      <c r="AB1142" s="20"/>
      <c r="AC1142" s="20"/>
      <c r="AD1142" s="20"/>
      <c r="AE1142" s="20"/>
      <c r="AF1142" s="20"/>
      <c r="AG1142" s="20"/>
      <c r="AH1142" s="20"/>
      <c r="AI1142" s="20"/>
      <c r="AJ1142" s="20"/>
      <c r="AK1142" s="20"/>
      <c r="AL1142" s="20"/>
      <c r="AM1142" s="20"/>
      <c r="AN1142" s="20"/>
      <c r="AO1142" s="20"/>
      <c r="AP1142" s="20"/>
      <c r="AQ1142" s="20"/>
      <c r="AR1142" s="20"/>
      <c r="AS1142" s="20"/>
      <c r="AT1142" s="20"/>
      <c r="AU1142" s="20"/>
      <c r="AV1142" s="20"/>
      <c r="AW1142" s="20"/>
      <c r="AX1142" s="20"/>
      <c r="AY1142" s="20"/>
      <c r="AZ1142" s="20"/>
      <c r="BA1142" s="20"/>
      <c r="BB1142" s="20"/>
      <c r="BC1142" s="20"/>
      <c r="BD1142" s="20"/>
      <c r="BE1142" s="20"/>
      <c r="BF1142" s="20"/>
      <c r="BG1142" s="20"/>
      <c r="BH1142" s="20"/>
      <c r="BI1142" s="20"/>
      <c r="BJ1142" s="20"/>
      <c r="BK1142" s="20"/>
      <c r="BL1142" s="20"/>
      <c r="BM1142" s="20"/>
      <c r="BN1142" s="20"/>
      <c r="BO1142" s="20"/>
      <c r="BP1142" s="20"/>
      <c r="BQ1142" s="20"/>
      <c r="BR1142" s="20"/>
      <c r="BS1142" s="20"/>
      <c r="BT1142" s="20"/>
      <c r="BU1142" s="20"/>
      <c r="BV1142" s="20"/>
      <c r="BW1142" s="20"/>
      <c r="BX1142" s="20"/>
      <c r="BY1142" s="20"/>
      <c r="BZ1142" s="20"/>
      <c r="CA1142" s="20"/>
      <c r="CB1142" s="21"/>
      <c r="CC1142" s="27" t="str">
        <f t="shared" si="187"/>
        <v/>
      </c>
      <c r="CD1142" s="38" t="str">
        <f t="shared" si="188"/>
        <v/>
      </c>
      <c r="CE1142" s="38" t="str">
        <f t="shared" si="189"/>
        <v/>
      </c>
      <c r="CF1142" s="38" t="str">
        <f t="shared" si="190"/>
        <v/>
      </c>
      <c r="CG1142" s="38" t="str">
        <f t="shared" si="191"/>
        <v/>
      </c>
      <c r="CH1142" s="38" t="str">
        <f t="shared" si="192"/>
        <v/>
      </c>
      <c r="CI1142" s="38" t="str">
        <f t="shared" si="193"/>
        <v/>
      </c>
      <c r="CJ1142" s="38" t="str">
        <f t="shared" si="194"/>
        <v/>
      </c>
      <c r="CK1142" s="38" t="str">
        <f t="shared" si="195"/>
        <v/>
      </c>
      <c r="CL1142" s="38" t="str">
        <f>IF(C1142="","",IF(COUNT(G1142:AZ1142)&lt;46,"",SUMPRODUCT(CC1142:CK1142,'تنظیمات وزن‌دهی'!$C$5:$C$13)/100))</f>
        <v/>
      </c>
      <c r="CM1142" s="38" t="str">
        <f t="shared" si="196"/>
        <v/>
      </c>
      <c r="CN1142" s="38">
        <v>10</v>
      </c>
      <c r="CO1142" s="28" t="str">
        <f t="shared" si="197"/>
        <v/>
      </c>
      <c r="CP1142" s="58"/>
    </row>
    <row r="1143" spans="1:94" ht="17.25" hidden="1">
      <c r="A1143" s="33">
        <v>1139</v>
      </c>
      <c r="B1143" s="55" t="s">
        <v>193</v>
      </c>
      <c r="C1143" s="55" t="str">
        <f>IF(دانش‌آموزان!E99="","",دانش‌آموزان!B99)</f>
        <v/>
      </c>
      <c r="D1143" s="55" t="str">
        <f>IF(دانش‌آموزان!C99="","",دانش‌آموزان!C99)</f>
        <v/>
      </c>
      <c r="E1143" s="55" t="str">
        <f>IF(دانش‌آموزان!E99="","",دانش‌آموزان!E99&amp;" "&amp;دانش‌آموزان!F99)</f>
        <v/>
      </c>
      <c r="F1143" s="34" t="str">
        <f>IF(دانش‌آموزان!I99="","",دانش‌آموزان!I99)</f>
        <v/>
      </c>
      <c r="G1143" s="19"/>
      <c r="H1143" s="20"/>
      <c r="I1143" s="20"/>
      <c r="J1143" s="20"/>
      <c r="K1143" s="20"/>
      <c r="L1143" s="20"/>
      <c r="M1143" s="20"/>
      <c r="N1143" s="20"/>
      <c r="O1143" s="20"/>
      <c r="P1143" s="20"/>
      <c r="Q1143" s="20"/>
      <c r="R1143" s="20"/>
      <c r="S1143" s="20"/>
      <c r="T1143" s="20"/>
      <c r="U1143" s="20"/>
      <c r="V1143" s="20"/>
      <c r="W1143" s="20"/>
      <c r="X1143" s="20"/>
      <c r="Y1143" s="20"/>
      <c r="Z1143" s="20"/>
      <c r="AA1143" s="20"/>
      <c r="AB1143" s="20"/>
      <c r="AC1143" s="20"/>
      <c r="AD1143" s="20"/>
      <c r="AE1143" s="20"/>
      <c r="AF1143" s="20"/>
      <c r="AG1143" s="20"/>
      <c r="AH1143" s="20"/>
      <c r="AI1143" s="20"/>
      <c r="AJ1143" s="20"/>
      <c r="AK1143" s="20"/>
      <c r="AL1143" s="20"/>
      <c r="AM1143" s="20"/>
      <c r="AN1143" s="20"/>
      <c r="AO1143" s="20"/>
      <c r="AP1143" s="20"/>
      <c r="AQ1143" s="20"/>
      <c r="AR1143" s="20"/>
      <c r="AS1143" s="20"/>
      <c r="AT1143" s="20"/>
      <c r="AU1143" s="20"/>
      <c r="AV1143" s="20"/>
      <c r="AW1143" s="20"/>
      <c r="AX1143" s="20"/>
      <c r="AY1143" s="20"/>
      <c r="AZ1143" s="20"/>
      <c r="BA1143" s="20"/>
      <c r="BB1143" s="20"/>
      <c r="BC1143" s="20"/>
      <c r="BD1143" s="20"/>
      <c r="BE1143" s="20"/>
      <c r="BF1143" s="20"/>
      <c r="BG1143" s="20"/>
      <c r="BH1143" s="20"/>
      <c r="BI1143" s="20"/>
      <c r="BJ1143" s="20"/>
      <c r="BK1143" s="20"/>
      <c r="BL1143" s="20"/>
      <c r="BM1143" s="20"/>
      <c r="BN1143" s="20"/>
      <c r="BO1143" s="20"/>
      <c r="BP1143" s="20"/>
      <c r="BQ1143" s="20"/>
      <c r="BR1143" s="20"/>
      <c r="BS1143" s="20"/>
      <c r="BT1143" s="20"/>
      <c r="BU1143" s="20"/>
      <c r="BV1143" s="20"/>
      <c r="BW1143" s="20"/>
      <c r="BX1143" s="20"/>
      <c r="BY1143" s="20"/>
      <c r="BZ1143" s="20"/>
      <c r="CA1143" s="20"/>
      <c r="CB1143" s="21"/>
      <c r="CC1143" s="27" t="str">
        <f t="shared" si="187"/>
        <v/>
      </c>
      <c r="CD1143" s="38" t="str">
        <f t="shared" si="188"/>
        <v/>
      </c>
      <c r="CE1143" s="38" t="str">
        <f t="shared" si="189"/>
        <v/>
      </c>
      <c r="CF1143" s="38" t="str">
        <f t="shared" si="190"/>
        <v/>
      </c>
      <c r="CG1143" s="38" t="str">
        <f t="shared" si="191"/>
        <v/>
      </c>
      <c r="CH1143" s="38" t="str">
        <f t="shared" si="192"/>
        <v/>
      </c>
      <c r="CI1143" s="38" t="str">
        <f t="shared" si="193"/>
        <v/>
      </c>
      <c r="CJ1143" s="38" t="str">
        <f t="shared" si="194"/>
        <v/>
      </c>
      <c r="CK1143" s="38" t="str">
        <f t="shared" si="195"/>
        <v/>
      </c>
      <c r="CL1143" s="38" t="str">
        <f>IF(C1143="","",IF(COUNT(G1143:AZ1143)&lt;46,"",SUMPRODUCT(CC1143:CK1143,'تنظیمات وزن‌دهی'!$C$5:$C$13)/100))</f>
        <v/>
      </c>
      <c r="CM1143" s="38" t="str">
        <f t="shared" si="196"/>
        <v/>
      </c>
      <c r="CN1143" s="38">
        <v>11</v>
      </c>
      <c r="CO1143" s="28" t="str">
        <f t="shared" si="197"/>
        <v/>
      </c>
      <c r="CP1143" s="58"/>
    </row>
    <row r="1144" spans="1:94" ht="17.25" hidden="1">
      <c r="A1144" s="33">
        <v>1140</v>
      </c>
      <c r="B1144" s="55" t="s">
        <v>194</v>
      </c>
      <c r="C1144" s="55" t="str">
        <f>IF(دانش‌آموزان!E99="","",دانش‌آموزان!B99)</f>
        <v/>
      </c>
      <c r="D1144" s="55" t="str">
        <f>IF(دانش‌آموزان!C99="","",دانش‌آموزان!C99)</f>
        <v/>
      </c>
      <c r="E1144" s="55" t="str">
        <f>IF(دانش‌آموزان!E99="","",دانش‌آموزان!E99&amp;" "&amp;دانش‌آموزان!F99)</f>
        <v/>
      </c>
      <c r="F1144" s="34" t="str">
        <f>IF(دانش‌آموزان!I99="","",دانش‌آموزان!I99)</f>
        <v/>
      </c>
      <c r="G1144" s="19"/>
      <c r="H1144" s="20"/>
      <c r="I1144" s="20"/>
      <c r="J1144" s="20"/>
      <c r="K1144" s="20"/>
      <c r="L1144" s="20"/>
      <c r="M1144" s="20"/>
      <c r="N1144" s="20"/>
      <c r="O1144" s="20"/>
      <c r="P1144" s="20"/>
      <c r="Q1144" s="20"/>
      <c r="R1144" s="20"/>
      <c r="S1144" s="20"/>
      <c r="T1144" s="20"/>
      <c r="U1144" s="20"/>
      <c r="V1144" s="20"/>
      <c r="W1144" s="20"/>
      <c r="X1144" s="20"/>
      <c r="Y1144" s="20"/>
      <c r="Z1144" s="20"/>
      <c r="AA1144" s="20"/>
      <c r="AB1144" s="20"/>
      <c r="AC1144" s="20"/>
      <c r="AD1144" s="20"/>
      <c r="AE1144" s="20"/>
      <c r="AF1144" s="20"/>
      <c r="AG1144" s="20"/>
      <c r="AH1144" s="20"/>
      <c r="AI1144" s="20"/>
      <c r="AJ1144" s="20"/>
      <c r="AK1144" s="20"/>
      <c r="AL1144" s="20"/>
      <c r="AM1144" s="20"/>
      <c r="AN1144" s="20"/>
      <c r="AO1144" s="20"/>
      <c r="AP1144" s="20"/>
      <c r="AQ1144" s="20"/>
      <c r="AR1144" s="20"/>
      <c r="AS1144" s="20"/>
      <c r="AT1144" s="20"/>
      <c r="AU1144" s="20"/>
      <c r="AV1144" s="20"/>
      <c r="AW1144" s="20"/>
      <c r="AX1144" s="20"/>
      <c r="AY1144" s="20"/>
      <c r="AZ1144" s="20"/>
      <c r="BA1144" s="20"/>
      <c r="BB1144" s="20"/>
      <c r="BC1144" s="20"/>
      <c r="BD1144" s="20"/>
      <c r="BE1144" s="20"/>
      <c r="BF1144" s="20"/>
      <c r="BG1144" s="20"/>
      <c r="BH1144" s="20"/>
      <c r="BI1144" s="20"/>
      <c r="BJ1144" s="20"/>
      <c r="BK1144" s="20"/>
      <c r="BL1144" s="20"/>
      <c r="BM1144" s="20"/>
      <c r="BN1144" s="20"/>
      <c r="BO1144" s="20"/>
      <c r="BP1144" s="20"/>
      <c r="BQ1144" s="20"/>
      <c r="BR1144" s="20"/>
      <c r="BS1144" s="20"/>
      <c r="BT1144" s="20"/>
      <c r="BU1144" s="20"/>
      <c r="BV1144" s="20"/>
      <c r="BW1144" s="20"/>
      <c r="BX1144" s="20"/>
      <c r="BY1144" s="20"/>
      <c r="BZ1144" s="20"/>
      <c r="CA1144" s="20"/>
      <c r="CB1144" s="21"/>
      <c r="CC1144" s="27" t="str">
        <f t="shared" si="187"/>
        <v/>
      </c>
      <c r="CD1144" s="38" t="str">
        <f t="shared" si="188"/>
        <v/>
      </c>
      <c r="CE1144" s="38" t="str">
        <f t="shared" si="189"/>
        <v/>
      </c>
      <c r="CF1144" s="38" t="str">
        <f t="shared" si="190"/>
        <v/>
      </c>
      <c r="CG1144" s="38" t="str">
        <f t="shared" si="191"/>
        <v/>
      </c>
      <c r="CH1144" s="38" t="str">
        <f t="shared" si="192"/>
        <v/>
      </c>
      <c r="CI1144" s="38" t="str">
        <f t="shared" si="193"/>
        <v/>
      </c>
      <c r="CJ1144" s="38" t="str">
        <f t="shared" si="194"/>
        <v/>
      </c>
      <c r="CK1144" s="38" t="str">
        <f t="shared" si="195"/>
        <v/>
      </c>
      <c r="CL1144" s="38" t="str">
        <f>IF(C1144="","",IF(COUNT(G1144:AZ1144)&lt;46,"",SUMPRODUCT(CC1144:CK1144,'تنظیمات وزن‌دهی'!$C$5:$C$13)/100))</f>
        <v/>
      </c>
      <c r="CM1144" s="38" t="str">
        <f t="shared" si="196"/>
        <v/>
      </c>
      <c r="CN1144" s="38">
        <v>12</v>
      </c>
      <c r="CO1144" s="28" t="str">
        <f t="shared" si="197"/>
        <v/>
      </c>
      <c r="CP1144" s="58"/>
    </row>
    <row r="1145" spans="1:94" ht="17.25" hidden="1">
      <c r="A1145" s="33">
        <v>1141</v>
      </c>
      <c r="B1145" s="55" t="s">
        <v>183</v>
      </c>
      <c r="C1145" s="55" t="str">
        <f>IF(دانش‌آموزان!E100="","",دانش‌آموزان!B100)</f>
        <v/>
      </c>
      <c r="D1145" s="55" t="str">
        <f>IF(دانش‌آموزان!C100="","",دانش‌آموزان!C100)</f>
        <v/>
      </c>
      <c r="E1145" s="55" t="str">
        <f>IF(دانش‌آموزان!E100="","",دانش‌آموزان!E100&amp;" "&amp;دانش‌آموزان!F100)</f>
        <v/>
      </c>
      <c r="F1145" s="34" t="str">
        <f>IF(دانش‌آموزان!I100="","",دانش‌آموزان!I100)</f>
        <v/>
      </c>
      <c r="G1145" s="19"/>
      <c r="H1145" s="20"/>
      <c r="I1145" s="20"/>
      <c r="J1145" s="20"/>
      <c r="K1145" s="20"/>
      <c r="L1145" s="20"/>
      <c r="M1145" s="20"/>
      <c r="N1145" s="20"/>
      <c r="O1145" s="20"/>
      <c r="P1145" s="20"/>
      <c r="Q1145" s="20"/>
      <c r="R1145" s="20"/>
      <c r="S1145" s="20"/>
      <c r="T1145" s="20"/>
      <c r="U1145" s="20"/>
      <c r="V1145" s="20"/>
      <c r="W1145" s="20"/>
      <c r="X1145" s="20"/>
      <c r="Y1145" s="20"/>
      <c r="Z1145" s="20"/>
      <c r="AA1145" s="20"/>
      <c r="AB1145" s="20"/>
      <c r="AC1145" s="20"/>
      <c r="AD1145" s="20"/>
      <c r="AE1145" s="20"/>
      <c r="AF1145" s="20"/>
      <c r="AG1145" s="20"/>
      <c r="AH1145" s="20"/>
      <c r="AI1145" s="20"/>
      <c r="AJ1145" s="20"/>
      <c r="AK1145" s="20"/>
      <c r="AL1145" s="20"/>
      <c r="AM1145" s="20"/>
      <c r="AN1145" s="20"/>
      <c r="AO1145" s="20"/>
      <c r="AP1145" s="20"/>
      <c r="AQ1145" s="20"/>
      <c r="AR1145" s="20"/>
      <c r="AS1145" s="20"/>
      <c r="AT1145" s="20"/>
      <c r="AU1145" s="20"/>
      <c r="AV1145" s="20"/>
      <c r="AW1145" s="20"/>
      <c r="AX1145" s="20"/>
      <c r="AY1145" s="20"/>
      <c r="AZ1145" s="20"/>
      <c r="BA1145" s="20"/>
      <c r="BB1145" s="20"/>
      <c r="BC1145" s="20"/>
      <c r="BD1145" s="20"/>
      <c r="BE1145" s="20"/>
      <c r="BF1145" s="20"/>
      <c r="BG1145" s="20"/>
      <c r="BH1145" s="20"/>
      <c r="BI1145" s="20"/>
      <c r="BJ1145" s="20"/>
      <c r="BK1145" s="20"/>
      <c r="BL1145" s="20"/>
      <c r="BM1145" s="20"/>
      <c r="BN1145" s="20"/>
      <c r="BO1145" s="20"/>
      <c r="BP1145" s="20"/>
      <c r="BQ1145" s="20"/>
      <c r="BR1145" s="20"/>
      <c r="BS1145" s="20"/>
      <c r="BT1145" s="20"/>
      <c r="BU1145" s="20"/>
      <c r="BV1145" s="20"/>
      <c r="BW1145" s="20"/>
      <c r="BX1145" s="20"/>
      <c r="BY1145" s="20"/>
      <c r="BZ1145" s="20"/>
      <c r="CA1145" s="20"/>
      <c r="CB1145" s="21"/>
      <c r="CC1145" s="27" t="str">
        <f t="shared" si="187"/>
        <v/>
      </c>
      <c r="CD1145" s="38" t="str">
        <f t="shared" si="188"/>
        <v/>
      </c>
      <c r="CE1145" s="38" t="str">
        <f t="shared" si="189"/>
        <v/>
      </c>
      <c r="CF1145" s="38" t="str">
        <f t="shared" si="190"/>
        <v/>
      </c>
      <c r="CG1145" s="38" t="str">
        <f t="shared" si="191"/>
        <v/>
      </c>
      <c r="CH1145" s="38" t="str">
        <f t="shared" si="192"/>
        <v/>
      </c>
      <c r="CI1145" s="38" t="str">
        <f t="shared" si="193"/>
        <v/>
      </c>
      <c r="CJ1145" s="38" t="str">
        <f t="shared" si="194"/>
        <v/>
      </c>
      <c r="CK1145" s="38" t="str">
        <f t="shared" si="195"/>
        <v/>
      </c>
      <c r="CL1145" s="38" t="str">
        <f>IF(C1145="","",IF(COUNT(G1145:AZ1145)&lt;46,"",SUMPRODUCT(CC1145:CK1145,'تنظیمات وزن‌دهی'!$C$5:$C$13)/100))</f>
        <v/>
      </c>
      <c r="CM1145" s="38" t="str">
        <f t="shared" si="196"/>
        <v/>
      </c>
      <c r="CN1145" s="38">
        <v>1</v>
      </c>
      <c r="CO1145" s="28" t="str">
        <f t="shared" si="197"/>
        <v/>
      </c>
      <c r="CP1145" s="58"/>
    </row>
    <row r="1146" spans="1:94" ht="17.25" hidden="1">
      <c r="A1146" s="33">
        <v>1142</v>
      </c>
      <c r="B1146" s="55" t="s">
        <v>184</v>
      </c>
      <c r="C1146" s="55" t="str">
        <f>IF(دانش‌آموزان!E100="","",دانش‌آموزان!B100)</f>
        <v/>
      </c>
      <c r="D1146" s="55" t="str">
        <f>IF(دانش‌آموزان!C100="","",دانش‌آموزان!C100)</f>
        <v/>
      </c>
      <c r="E1146" s="55" t="str">
        <f>IF(دانش‌آموزان!E100="","",دانش‌آموزان!E100&amp;" "&amp;دانش‌آموزان!F100)</f>
        <v/>
      </c>
      <c r="F1146" s="34" t="str">
        <f>IF(دانش‌آموزان!I100="","",دانش‌آموزان!I100)</f>
        <v/>
      </c>
      <c r="G1146" s="19"/>
      <c r="H1146" s="20"/>
      <c r="I1146" s="20"/>
      <c r="J1146" s="20"/>
      <c r="K1146" s="20"/>
      <c r="L1146" s="20"/>
      <c r="M1146" s="20"/>
      <c r="N1146" s="20"/>
      <c r="O1146" s="20"/>
      <c r="P1146" s="20"/>
      <c r="Q1146" s="20"/>
      <c r="R1146" s="20"/>
      <c r="S1146" s="20"/>
      <c r="T1146" s="20"/>
      <c r="U1146" s="20"/>
      <c r="V1146" s="20"/>
      <c r="W1146" s="20"/>
      <c r="X1146" s="20"/>
      <c r="Y1146" s="20"/>
      <c r="Z1146" s="20"/>
      <c r="AA1146" s="20"/>
      <c r="AB1146" s="20"/>
      <c r="AC1146" s="20"/>
      <c r="AD1146" s="20"/>
      <c r="AE1146" s="20"/>
      <c r="AF1146" s="20"/>
      <c r="AG1146" s="20"/>
      <c r="AH1146" s="20"/>
      <c r="AI1146" s="20"/>
      <c r="AJ1146" s="20"/>
      <c r="AK1146" s="20"/>
      <c r="AL1146" s="20"/>
      <c r="AM1146" s="20"/>
      <c r="AN1146" s="20"/>
      <c r="AO1146" s="20"/>
      <c r="AP1146" s="20"/>
      <c r="AQ1146" s="20"/>
      <c r="AR1146" s="20"/>
      <c r="AS1146" s="20"/>
      <c r="AT1146" s="20"/>
      <c r="AU1146" s="20"/>
      <c r="AV1146" s="20"/>
      <c r="AW1146" s="20"/>
      <c r="AX1146" s="20"/>
      <c r="AY1146" s="20"/>
      <c r="AZ1146" s="20"/>
      <c r="BA1146" s="20"/>
      <c r="BB1146" s="20"/>
      <c r="BC1146" s="20"/>
      <c r="BD1146" s="20"/>
      <c r="BE1146" s="20"/>
      <c r="BF1146" s="20"/>
      <c r="BG1146" s="20"/>
      <c r="BH1146" s="20"/>
      <c r="BI1146" s="20"/>
      <c r="BJ1146" s="20"/>
      <c r="BK1146" s="20"/>
      <c r="BL1146" s="20"/>
      <c r="BM1146" s="20"/>
      <c r="BN1146" s="20"/>
      <c r="BO1146" s="20"/>
      <c r="BP1146" s="20"/>
      <c r="BQ1146" s="20"/>
      <c r="BR1146" s="20"/>
      <c r="BS1146" s="20"/>
      <c r="BT1146" s="20"/>
      <c r="BU1146" s="20"/>
      <c r="BV1146" s="20"/>
      <c r="BW1146" s="20"/>
      <c r="BX1146" s="20"/>
      <c r="BY1146" s="20"/>
      <c r="BZ1146" s="20"/>
      <c r="CA1146" s="20"/>
      <c r="CB1146" s="21"/>
      <c r="CC1146" s="27" t="str">
        <f t="shared" si="187"/>
        <v/>
      </c>
      <c r="CD1146" s="38" t="str">
        <f t="shared" si="188"/>
        <v/>
      </c>
      <c r="CE1146" s="38" t="str">
        <f t="shared" si="189"/>
        <v/>
      </c>
      <c r="CF1146" s="38" t="str">
        <f t="shared" si="190"/>
        <v/>
      </c>
      <c r="CG1146" s="38" t="str">
        <f t="shared" si="191"/>
        <v/>
      </c>
      <c r="CH1146" s="38" t="str">
        <f t="shared" si="192"/>
        <v/>
      </c>
      <c r="CI1146" s="38" t="str">
        <f t="shared" si="193"/>
        <v/>
      </c>
      <c r="CJ1146" s="38" t="str">
        <f t="shared" si="194"/>
        <v/>
      </c>
      <c r="CK1146" s="38" t="str">
        <f t="shared" si="195"/>
        <v/>
      </c>
      <c r="CL1146" s="38" t="str">
        <f>IF(C1146="","",IF(COUNT(G1146:AZ1146)&lt;46,"",SUMPRODUCT(CC1146:CK1146,'تنظیمات وزن‌دهی'!$C$5:$C$13)/100))</f>
        <v/>
      </c>
      <c r="CM1146" s="38" t="str">
        <f t="shared" si="196"/>
        <v/>
      </c>
      <c r="CN1146" s="38">
        <v>2</v>
      </c>
      <c r="CO1146" s="28" t="str">
        <f t="shared" si="197"/>
        <v/>
      </c>
      <c r="CP1146" s="58"/>
    </row>
    <row r="1147" spans="1:94" ht="17.25">
      <c r="A1147" s="33">
        <v>1143</v>
      </c>
      <c r="B1147" s="55" t="s">
        <v>185</v>
      </c>
      <c r="C1147" s="55" t="str">
        <f>IF(دانش‌آموزان!E100="","",دانش‌آموزان!B100)</f>
        <v/>
      </c>
      <c r="D1147" s="55" t="str">
        <f>IF(دانش‌آموزان!C100="","",دانش‌آموزان!C100)</f>
        <v/>
      </c>
      <c r="E1147" s="55" t="str">
        <f>IF(دانش‌آموزان!E100="","",دانش‌آموزان!E100&amp;" "&amp;دانش‌آموزان!F100)</f>
        <v/>
      </c>
      <c r="F1147" s="34" t="str">
        <f>IF(دانش‌آموزان!I100="","",دانش‌آموزان!I100)</f>
        <v/>
      </c>
      <c r="G1147" s="19"/>
      <c r="H1147" s="20"/>
      <c r="I1147" s="20"/>
      <c r="J1147" s="20"/>
      <c r="K1147" s="20"/>
      <c r="L1147" s="20"/>
      <c r="M1147" s="20"/>
      <c r="N1147" s="20"/>
      <c r="O1147" s="20"/>
      <c r="P1147" s="20"/>
      <c r="Q1147" s="20"/>
      <c r="R1147" s="20"/>
      <c r="S1147" s="20"/>
      <c r="T1147" s="20"/>
      <c r="U1147" s="20"/>
      <c r="V1147" s="20"/>
      <c r="W1147" s="20"/>
      <c r="X1147" s="20"/>
      <c r="Y1147" s="20"/>
      <c r="Z1147" s="20"/>
      <c r="AA1147" s="20"/>
      <c r="AB1147" s="20"/>
      <c r="AC1147" s="20"/>
      <c r="AD1147" s="20"/>
      <c r="AE1147" s="20"/>
      <c r="AF1147" s="20"/>
      <c r="AG1147" s="20"/>
      <c r="AH1147" s="20"/>
      <c r="AI1147" s="20"/>
      <c r="AJ1147" s="20"/>
      <c r="AK1147" s="20"/>
      <c r="AL1147" s="20"/>
      <c r="AM1147" s="20"/>
      <c r="AN1147" s="20"/>
      <c r="AO1147" s="20"/>
      <c r="AP1147" s="20"/>
      <c r="AQ1147" s="20"/>
      <c r="AR1147" s="20"/>
      <c r="AS1147" s="20"/>
      <c r="AT1147" s="20"/>
      <c r="AU1147" s="20"/>
      <c r="AV1147" s="20"/>
      <c r="AW1147" s="20"/>
      <c r="AX1147" s="20"/>
      <c r="AY1147" s="20"/>
      <c r="AZ1147" s="20"/>
      <c r="BA1147" s="20"/>
      <c r="BB1147" s="20"/>
      <c r="BC1147" s="20"/>
      <c r="BD1147" s="20"/>
      <c r="BE1147" s="20"/>
      <c r="BF1147" s="20"/>
      <c r="BG1147" s="20"/>
      <c r="BH1147" s="20"/>
      <c r="BI1147" s="20"/>
      <c r="BJ1147" s="20"/>
      <c r="BK1147" s="20"/>
      <c r="BL1147" s="20"/>
      <c r="BM1147" s="20"/>
      <c r="BN1147" s="20"/>
      <c r="BO1147" s="20"/>
      <c r="BP1147" s="20"/>
      <c r="BQ1147" s="20"/>
      <c r="BR1147" s="20"/>
      <c r="BS1147" s="20"/>
      <c r="BT1147" s="20"/>
      <c r="BU1147" s="20"/>
      <c r="BV1147" s="20"/>
      <c r="BW1147" s="20"/>
      <c r="BX1147" s="20"/>
      <c r="BY1147" s="20"/>
      <c r="BZ1147" s="20"/>
      <c r="CA1147" s="20"/>
      <c r="CB1147" s="21"/>
      <c r="CC1147" s="27" t="str">
        <f t="shared" si="187"/>
        <v/>
      </c>
      <c r="CD1147" s="38" t="str">
        <f t="shared" si="188"/>
        <v/>
      </c>
      <c r="CE1147" s="38" t="str">
        <f t="shared" si="189"/>
        <v/>
      </c>
      <c r="CF1147" s="38" t="str">
        <f t="shared" si="190"/>
        <v/>
      </c>
      <c r="CG1147" s="38" t="str">
        <f t="shared" si="191"/>
        <v/>
      </c>
      <c r="CH1147" s="38" t="str">
        <f t="shared" si="192"/>
        <v/>
      </c>
      <c r="CI1147" s="38" t="str">
        <f t="shared" si="193"/>
        <v/>
      </c>
      <c r="CJ1147" s="38" t="str">
        <f t="shared" si="194"/>
        <v/>
      </c>
      <c r="CK1147" s="38" t="str">
        <f t="shared" si="195"/>
        <v/>
      </c>
      <c r="CL1147" s="38" t="str">
        <f>IF(C1147="","",IF(COUNT(G1147:AZ1147)&lt;46,"",SUMPRODUCT(CC1147:CK1147,'تنظیمات وزن‌دهی'!$C$5:$C$13)/100))</f>
        <v/>
      </c>
      <c r="CM1147" s="38" t="str">
        <f t="shared" si="196"/>
        <v/>
      </c>
      <c r="CN1147" s="38">
        <v>3</v>
      </c>
      <c r="CO1147" s="28" t="str">
        <f t="shared" si="197"/>
        <v/>
      </c>
      <c r="CP1147" s="58"/>
    </row>
    <row r="1148" spans="1:94" ht="17.25" hidden="1">
      <c r="A1148" s="33">
        <v>1144</v>
      </c>
      <c r="B1148" s="55" t="s">
        <v>186</v>
      </c>
      <c r="C1148" s="55" t="str">
        <f>IF(دانش‌آموزان!E100="","",دانش‌آموزان!B100)</f>
        <v/>
      </c>
      <c r="D1148" s="55" t="str">
        <f>IF(دانش‌آموزان!C100="","",دانش‌آموزان!C100)</f>
        <v/>
      </c>
      <c r="E1148" s="55" t="str">
        <f>IF(دانش‌آموزان!E100="","",دانش‌آموزان!E100&amp;" "&amp;دانش‌آموزان!F100)</f>
        <v/>
      </c>
      <c r="F1148" s="34" t="str">
        <f>IF(دانش‌آموزان!I100="","",دانش‌آموزان!I100)</f>
        <v/>
      </c>
      <c r="G1148" s="19"/>
      <c r="H1148" s="20"/>
      <c r="I1148" s="20"/>
      <c r="J1148" s="20"/>
      <c r="K1148" s="20"/>
      <c r="L1148" s="20"/>
      <c r="M1148" s="20"/>
      <c r="N1148" s="20"/>
      <c r="O1148" s="20"/>
      <c r="P1148" s="20"/>
      <c r="Q1148" s="20"/>
      <c r="R1148" s="20"/>
      <c r="S1148" s="20"/>
      <c r="T1148" s="20"/>
      <c r="U1148" s="20"/>
      <c r="V1148" s="20"/>
      <c r="W1148" s="20"/>
      <c r="X1148" s="20"/>
      <c r="Y1148" s="20"/>
      <c r="Z1148" s="20"/>
      <c r="AA1148" s="20"/>
      <c r="AB1148" s="20"/>
      <c r="AC1148" s="20"/>
      <c r="AD1148" s="20"/>
      <c r="AE1148" s="20"/>
      <c r="AF1148" s="20"/>
      <c r="AG1148" s="20"/>
      <c r="AH1148" s="20"/>
      <c r="AI1148" s="20"/>
      <c r="AJ1148" s="20"/>
      <c r="AK1148" s="20"/>
      <c r="AL1148" s="20"/>
      <c r="AM1148" s="20"/>
      <c r="AN1148" s="20"/>
      <c r="AO1148" s="20"/>
      <c r="AP1148" s="20"/>
      <c r="AQ1148" s="20"/>
      <c r="AR1148" s="20"/>
      <c r="AS1148" s="20"/>
      <c r="AT1148" s="20"/>
      <c r="AU1148" s="20"/>
      <c r="AV1148" s="20"/>
      <c r="AW1148" s="20"/>
      <c r="AX1148" s="20"/>
      <c r="AY1148" s="20"/>
      <c r="AZ1148" s="20"/>
      <c r="BA1148" s="20"/>
      <c r="BB1148" s="20"/>
      <c r="BC1148" s="20"/>
      <c r="BD1148" s="20"/>
      <c r="BE1148" s="20"/>
      <c r="BF1148" s="20"/>
      <c r="BG1148" s="20"/>
      <c r="BH1148" s="20"/>
      <c r="BI1148" s="20"/>
      <c r="BJ1148" s="20"/>
      <c r="BK1148" s="20"/>
      <c r="BL1148" s="20"/>
      <c r="BM1148" s="20"/>
      <c r="BN1148" s="20"/>
      <c r="BO1148" s="20"/>
      <c r="BP1148" s="20"/>
      <c r="BQ1148" s="20"/>
      <c r="BR1148" s="20"/>
      <c r="BS1148" s="20"/>
      <c r="BT1148" s="20"/>
      <c r="BU1148" s="20"/>
      <c r="BV1148" s="20"/>
      <c r="BW1148" s="20"/>
      <c r="BX1148" s="20"/>
      <c r="BY1148" s="20"/>
      <c r="BZ1148" s="20"/>
      <c r="CA1148" s="20"/>
      <c r="CB1148" s="21"/>
      <c r="CC1148" s="27" t="str">
        <f t="shared" si="187"/>
        <v/>
      </c>
      <c r="CD1148" s="38" t="str">
        <f t="shared" si="188"/>
        <v/>
      </c>
      <c r="CE1148" s="38" t="str">
        <f t="shared" si="189"/>
        <v/>
      </c>
      <c r="CF1148" s="38" t="str">
        <f t="shared" si="190"/>
        <v/>
      </c>
      <c r="CG1148" s="38" t="str">
        <f t="shared" si="191"/>
        <v/>
      </c>
      <c r="CH1148" s="38" t="str">
        <f t="shared" si="192"/>
        <v/>
      </c>
      <c r="CI1148" s="38" t="str">
        <f t="shared" si="193"/>
        <v/>
      </c>
      <c r="CJ1148" s="38" t="str">
        <f t="shared" si="194"/>
        <v/>
      </c>
      <c r="CK1148" s="38" t="str">
        <f t="shared" si="195"/>
        <v/>
      </c>
      <c r="CL1148" s="38" t="str">
        <f>IF(C1148="","",IF(COUNT(G1148:AZ1148)&lt;46,"",SUMPRODUCT(CC1148:CK1148,'تنظیمات وزن‌دهی'!$C$5:$C$13)/100))</f>
        <v/>
      </c>
      <c r="CM1148" s="38" t="str">
        <f t="shared" si="196"/>
        <v/>
      </c>
      <c r="CN1148" s="38">
        <v>4</v>
      </c>
      <c r="CO1148" s="28" t="str">
        <f t="shared" si="197"/>
        <v/>
      </c>
      <c r="CP1148" s="58"/>
    </row>
    <row r="1149" spans="1:94" ht="17.25" hidden="1">
      <c r="A1149" s="33">
        <v>1145</v>
      </c>
      <c r="B1149" s="55" t="s">
        <v>187</v>
      </c>
      <c r="C1149" s="55" t="str">
        <f>IF(دانش‌آموزان!E100="","",دانش‌آموزان!B100)</f>
        <v/>
      </c>
      <c r="D1149" s="55" t="str">
        <f>IF(دانش‌آموزان!C100="","",دانش‌آموزان!C100)</f>
        <v/>
      </c>
      <c r="E1149" s="55" t="str">
        <f>IF(دانش‌آموزان!E100="","",دانش‌آموزان!E100&amp;" "&amp;دانش‌آموزان!F100)</f>
        <v/>
      </c>
      <c r="F1149" s="34" t="str">
        <f>IF(دانش‌آموزان!I100="","",دانش‌آموزان!I100)</f>
        <v/>
      </c>
      <c r="G1149" s="19"/>
      <c r="H1149" s="20"/>
      <c r="I1149" s="20"/>
      <c r="J1149" s="20"/>
      <c r="K1149" s="20"/>
      <c r="L1149" s="20"/>
      <c r="M1149" s="20"/>
      <c r="N1149" s="20"/>
      <c r="O1149" s="20"/>
      <c r="P1149" s="20"/>
      <c r="Q1149" s="20"/>
      <c r="R1149" s="20"/>
      <c r="S1149" s="20"/>
      <c r="T1149" s="20"/>
      <c r="U1149" s="20"/>
      <c r="V1149" s="20"/>
      <c r="W1149" s="20"/>
      <c r="X1149" s="20"/>
      <c r="Y1149" s="20"/>
      <c r="Z1149" s="20"/>
      <c r="AA1149" s="20"/>
      <c r="AB1149" s="20"/>
      <c r="AC1149" s="20"/>
      <c r="AD1149" s="20"/>
      <c r="AE1149" s="20"/>
      <c r="AF1149" s="20"/>
      <c r="AG1149" s="20"/>
      <c r="AH1149" s="20"/>
      <c r="AI1149" s="20"/>
      <c r="AJ1149" s="20"/>
      <c r="AK1149" s="20"/>
      <c r="AL1149" s="20"/>
      <c r="AM1149" s="20"/>
      <c r="AN1149" s="20"/>
      <c r="AO1149" s="20"/>
      <c r="AP1149" s="20"/>
      <c r="AQ1149" s="20"/>
      <c r="AR1149" s="20"/>
      <c r="AS1149" s="20"/>
      <c r="AT1149" s="20"/>
      <c r="AU1149" s="20"/>
      <c r="AV1149" s="20"/>
      <c r="AW1149" s="20"/>
      <c r="AX1149" s="20"/>
      <c r="AY1149" s="20"/>
      <c r="AZ1149" s="20"/>
      <c r="BA1149" s="20"/>
      <c r="BB1149" s="20"/>
      <c r="BC1149" s="20"/>
      <c r="BD1149" s="20"/>
      <c r="BE1149" s="20"/>
      <c r="BF1149" s="20"/>
      <c r="BG1149" s="20"/>
      <c r="BH1149" s="20"/>
      <c r="BI1149" s="20"/>
      <c r="BJ1149" s="20"/>
      <c r="BK1149" s="20"/>
      <c r="BL1149" s="20"/>
      <c r="BM1149" s="20"/>
      <c r="BN1149" s="20"/>
      <c r="BO1149" s="20"/>
      <c r="BP1149" s="20"/>
      <c r="BQ1149" s="20"/>
      <c r="BR1149" s="20"/>
      <c r="BS1149" s="20"/>
      <c r="BT1149" s="20"/>
      <c r="BU1149" s="20"/>
      <c r="BV1149" s="20"/>
      <c r="BW1149" s="20"/>
      <c r="BX1149" s="20"/>
      <c r="BY1149" s="20"/>
      <c r="BZ1149" s="20"/>
      <c r="CA1149" s="20"/>
      <c r="CB1149" s="21"/>
      <c r="CC1149" s="27" t="str">
        <f t="shared" si="187"/>
        <v/>
      </c>
      <c r="CD1149" s="38" t="str">
        <f t="shared" si="188"/>
        <v/>
      </c>
      <c r="CE1149" s="38" t="str">
        <f t="shared" si="189"/>
        <v/>
      </c>
      <c r="CF1149" s="38" t="str">
        <f t="shared" si="190"/>
        <v/>
      </c>
      <c r="CG1149" s="38" t="str">
        <f t="shared" si="191"/>
        <v/>
      </c>
      <c r="CH1149" s="38" t="str">
        <f t="shared" si="192"/>
        <v/>
      </c>
      <c r="CI1149" s="38" t="str">
        <f t="shared" si="193"/>
        <v/>
      </c>
      <c r="CJ1149" s="38" t="str">
        <f t="shared" si="194"/>
        <v/>
      </c>
      <c r="CK1149" s="38" t="str">
        <f t="shared" si="195"/>
        <v/>
      </c>
      <c r="CL1149" s="38" t="str">
        <f>IF(C1149="","",IF(COUNT(G1149:AZ1149)&lt;46,"",SUMPRODUCT(CC1149:CK1149,'تنظیمات وزن‌دهی'!$C$5:$C$13)/100))</f>
        <v/>
      </c>
      <c r="CM1149" s="38" t="str">
        <f t="shared" si="196"/>
        <v/>
      </c>
      <c r="CN1149" s="38">
        <v>5</v>
      </c>
      <c r="CO1149" s="28" t="str">
        <f t="shared" si="197"/>
        <v/>
      </c>
      <c r="CP1149" s="58"/>
    </row>
    <row r="1150" spans="1:94" ht="17.25" hidden="1">
      <c r="A1150" s="33">
        <v>1146</v>
      </c>
      <c r="B1150" s="55" t="s">
        <v>188</v>
      </c>
      <c r="C1150" s="55" t="str">
        <f>IF(دانش‌آموزان!E100="","",دانش‌آموزان!B100)</f>
        <v/>
      </c>
      <c r="D1150" s="55" t="str">
        <f>IF(دانش‌آموزان!C100="","",دانش‌آموزان!C100)</f>
        <v/>
      </c>
      <c r="E1150" s="55" t="str">
        <f>IF(دانش‌آموزان!E100="","",دانش‌آموزان!E100&amp;" "&amp;دانش‌آموزان!F100)</f>
        <v/>
      </c>
      <c r="F1150" s="34" t="str">
        <f>IF(دانش‌آموزان!I100="","",دانش‌آموزان!I100)</f>
        <v/>
      </c>
      <c r="G1150" s="19"/>
      <c r="H1150" s="20"/>
      <c r="I1150" s="20"/>
      <c r="J1150" s="20"/>
      <c r="K1150" s="20"/>
      <c r="L1150" s="20"/>
      <c r="M1150" s="20"/>
      <c r="N1150" s="20"/>
      <c r="O1150" s="20"/>
      <c r="P1150" s="20"/>
      <c r="Q1150" s="20"/>
      <c r="R1150" s="20"/>
      <c r="S1150" s="20"/>
      <c r="T1150" s="20"/>
      <c r="U1150" s="20"/>
      <c r="V1150" s="20"/>
      <c r="W1150" s="20"/>
      <c r="X1150" s="20"/>
      <c r="Y1150" s="20"/>
      <c r="Z1150" s="20"/>
      <c r="AA1150" s="20"/>
      <c r="AB1150" s="20"/>
      <c r="AC1150" s="20"/>
      <c r="AD1150" s="20"/>
      <c r="AE1150" s="20"/>
      <c r="AF1150" s="20"/>
      <c r="AG1150" s="20"/>
      <c r="AH1150" s="20"/>
      <c r="AI1150" s="20"/>
      <c r="AJ1150" s="20"/>
      <c r="AK1150" s="20"/>
      <c r="AL1150" s="20"/>
      <c r="AM1150" s="20"/>
      <c r="AN1150" s="20"/>
      <c r="AO1150" s="20"/>
      <c r="AP1150" s="20"/>
      <c r="AQ1150" s="20"/>
      <c r="AR1150" s="20"/>
      <c r="AS1150" s="20"/>
      <c r="AT1150" s="20"/>
      <c r="AU1150" s="20"/>
      <c r="AV1150" s="20"/>
      <c r="AW1150" s="20"/>
      <c r="AX1150" s="20"/>
      <c r="AY1150" s="20"/>
      <c r="AZ1150" s="20"/>
      <c r="BA1150" s="20"/>
      <c r="BB1150" s="20"/>
      <c r="BC1150" s="20"/>
      <c r="BD1150" s="20"/>
      <c r="BE1150" s="20"/>
      <c r="BF1150" s="20"/>
      <c r="BG1150" s="20"/>
      <c r="BH1150" s="20"/>
      <c r="BI1150" s="20"/>
      <c r="BJ1150" s="20"/>
      <c r="BK1150" s="20"/>
      <c r="BL1150" s="20"/>
      <c r="BM1150" s="20"/>
      <c r="BN1150" s="20"/>
      <c r="BO1150" s="20"/>
      <c r="BP1150" s="20"/>
      <c r="BQ1150" s="20"/>
      <c r="BR1150" s="20"/>
      <c r="BS1150" s="20"/>
      <c r="BT1150" s="20"/>
      <c r="BU1150" s="20"/>
      <c r="BV1150" s="20"/>
      <c r="BW1150" s="20"/>
      <c r="BX1150" s="20"/>
      <c r="BY1150" s="20"/>
      <c r="BZ1150" s="20"/>
      <c r="CA1150" s="20"/>
      <c r="CB1150" s="21"/>
      <c r="CC1150" s="27" t="str">
        <f t="shared" si="187"/>
        <v/>
      </c>
      <c r="CD1150" s="38" t="str">
        <f t="shared" si="188"/>
        <v/>
      </c>
      <c r="CE1150" s="38" t="str">
        <f t="shared" si="189"/>
        <v/>
      </c>
      <c r="CF1150" s="38" t="str">
        <f t="shared" si="190"/>
        <v/>
      </c>
      <c r="CG1150" s="38" t="str">
        <f t="shared" si="191"/>
        <v/>
      </c>
      <c r="CH1150" s="38" t="str">
        <f t="shared" si="192"/>
        <v/>
      </c>
      <c r="CI1150" s="38" t="str">
        <f t="shared" si="193"/>
        <v/>
      </c>
      <c r="CJ1150" s="38" t="str">
        <f t="shared" si="194"/>
        <v/>
      </c>
      <c r="CK1150" s="38" t="str">
        <f t="shared" si="195"/>
        <v/>
      </c>
      <c r="CL1150" s="38" t="str">
        <f>IF(C1150="","",IF(COUNT(G1150:AZ1150)&lt;46,"",SUMPRODUCT(CC1150:CK1150,'تنظیمات وزن‌دهی'!$C$5:$C$13)/100))</f>
        <v/>
      </c>
      <c r="CM1150" s="38" t="str">
        <f t="shared" si="196"/>
        <v/>
      </c>
      <c r="CN1150" s="38">
        <v>6</v>
      </c>
      <c r="CO1150" s="28" t="str">
        <f t="shared" si="197"/>
        <v/>
      </c>
      <c r="CP1150" s="58"/>
    </row>
    <row r="1151" spans="1:94" ht="17.25" hidden="1">
      <c r="A1151" s="33">
        <v>1147</v>
      </c>
      <c r="B1151" s="55" t="s">
        <v>189</v>
      </c>
      <c r="C1151" s="55" t="str">
        <f>IF(دانش‌آموزان!E100="","",دانش‌آموزان!B100)</f>
        <v/>
      </c>
      <c r="D1151" s="55" t="str">
        <f>IF(دانش‌آموزان!C100="","",دانش‌آموزان!C100)</f>
        <v/>
      </c>
      <c r="E1151" s="55" t="str">
        <f>IF(دانش‌آموزان!E100="","",دانش‌آموزان!E100&amp;" "&amp;دانش‌آموزان!F100)</f>
        <v/>
      </c>
      <c r="F1151" s="34" t="str">
        <f>IF(دانش‌آموزان!I100="","",دانش‌آموزان!I100)</f>
        <v/>
      </c>
      <c r="G1151" s="19"/>
      <c r="H1151" s="20"/>
      <c r="I1151" s="20"/>
      <c r="J1151" s="20"/>
      <c r="K1151" s="20"/>
      <c r="L1151" s="20"/>
      <c r="M1151" s="20"/>
      <c r="N1151" s="20"/>
      <c r="O1151" s="20"/>
      <c r="P1151" s="20"/>
      <c r="Q1151" s="20"/>
      <c r="R1151" s="20"/>
      <c r="S1151" s="20"/>
      <c r="T1151" s="20"/>
      <c r="U1151" s="20"/>
      <c r="V1151" s="20"/>
      <c r="W1151" s="20"/>
      <c r="X1151" s="20"/>
      <c r="Y1151" s="20"/>
      <c r="Z1151" s="20"/>
      <c r="AA1151" s="20"/>
      <c r="AB1151" s="20"/>
      <c r="AC1151" s="20"/>
      <c r="AD1151" s="20"/>
      <c r="AE1151" s="20"/>
      <c r="AF1151" s="20"/>
      <c r="AG1151" s="20"/>
      <c r="AH1151" s="20"/>
      <c r="AI1151" s="20"/>
      <c r="AJ1151" s="20"/>
      <c r="AK1151" s="20"/>
      <c r="AL1151" s="20"/>
      <c r="AM1151" s="20"/>
      <c r="AN1151" s="20"/>
      <c r="AO1151" s="20"/>
      <c r="AP1151" s="20"/>
      <c r="AQ1151" s="20"/>
      <c r="AR1151" s="20"/>
      <c r="AS1151" s="20"/>
      <c r="AT1151" s="20"/>
      <c r="AU1151" s="20"/>
      <c r="AV1151" s="20"/>
      <c r="AW1151" s="20"/>
      <c r="AX1151" s="20"/>
      <c r="AY1151" s="20"/>
      <c r="AZ1151" s="20"/>
      <c r="BA1151" s="20"/>
      <c r="BB1151" s="20"/>
      <c r="BC1151" s="20"/>
      <c r="BD1151" s="20"/>
      <c r="BE1151" s="20"/>
      <c r="BF1151" s="20"/>
      <c r="BG1151" s="20"/>
      <c r="BH1151" s="20"/>
      <c r="BI1151" s="20"/>
      <c r="BJ1151" s="20"/>
      <c r="BK1151" s="20"/>
      <c r="BL1151" s="20"/>
      <c r="BM1151" s="20"/>
      <c r="BN1151" s="20"/>
      <c r="BO1151" s="20"/>
      <c r="BP1151" s="20"/>
      <c r="BQ1151" s="20"/>
      <c r="BR1151" s="20"/>
      <c r="BS1151" s="20"/>
      <c r="BT1151" s="20"/>
      <c r="BU1151" s="20"/>
      <c r="BV1151" s="20"/>
      <c r="BW1151" s="20"/>
      <c r="BX1151" s="20"/>
      <c r="BY1151" s="20"/>
      <c r="BZ1151" s="20"/>
      <c r="CA1151" s="20"/>
      <c r="CB1151" s="21"/>
      <c r="CC1151" s="27" t="str">
        <f t="shared" si="187"/>
        <v/>
      </c>
      <c r="CD1151" s="38" t="str">
        <f t="shared" si="188"/>
        <v/>
      </c>
      <c r="CE1151" s="38" t="str">
        <f t="shared" si="189"/>
        <v/>
      </c>
      <c r="CF1151" s="38" t="str">
        <f t="shared" si="190"/>
        <v/>
      </c>
      <c r="CG1151" s="38" t="str">
        <f t="shared" si="191"/>
        <v/>
      </c>
      <c r="CH1151" s="38" t="str">
        <f t="shared" si="192"/>
        <v/>
      </c>
      <c r="CI1151" s="38" t="str">
        <f t="shared" si="193"/>
        <v/>
      </c>
      <c r="CJ1151" s="38" t="str">
        <f t="shared" si="194"/>
        <v/>
      </c>
      <c r="CK1151" s="38" t="str">
        <f t="shared" si="195"/>
        <v/>
      </c>
      <c r="CL1151" s="38" t="str">
        <f>IF(C1151="","",IF(COUNT(G1151:AZ1151)&lt;46,"",SUMPRODUCT(CC1151:CK1151,'تنظیمات وزن‌دهی'!$C$5:$C$13)/100))</f>
        <v/>
      </c>
      <c r="CM1151" s="38" t="str">
        <f t="shared" si="196"/>
        <v/>
      </c>
      <c r="CN1151" s="38">
        <v>7</v>
      </c>
      <c r="CO1151" s="28" t="str">
        <f t="shared" si="197"/>
        <v/>
      </c>
      <c r="CP1151" s="58"/>
    </row>
    <row r="1152" spans="1:94" ht="17.25" hidden="1">
      <c r="A1152" s="33">
        <v>1148</v>
      </c>
      <c r="B1152" s="55" t="s">
        <v>190</v>
      </c>
      <c r="C1152" s="55" t="str">
        <f>IF(دانش‌آموزان!E100="","",دانش‌آموزان!B100)</f>
        <v/>
      </c>
      <c r="D1152" s="55" t="str">
        <f>IF(دانش‌آموزان!C100="","",دانش‌آموزان!C100)</f>
        <v/>
      </c>
      <c r="E1152" s="55" t="str">
        <f>IF(دانش‌آموزان!E100="","",دانش‌آموزان!E100&amp;" "&amp;دانش‌آموزان!F100)</f>
        <v/>
      </c>
      <c r="F1152" s="34" t="str">
        <f>IF(دانش‌آموزان!I100="","",دانش‌آموزان!I100)</f>
        <v/>
      </c>
      <c r="G1152" s="19"/>
      <c r="H1152" s="20"/>
      <c r="I1152" s="20"/>
      <c r="J1152" s="20"/>
      <c r="K1152" s="20"/>
      <c r="L1152" s="20"/>
      <c r="M1152" s="20"/>
      <c r="N1152" s="20"/>
      <c r="O1152" s="20"/>
      <c r="P1152" s="20"/>
      <c r="Q1152" s="20"/>
      <c r="R1152" s="20"/>
      <c r="S1152" s="20"/>
      <c r="T1152" s="20"/>
      <c r="U1152" s="20"/>
      <c r="V1152" s="20"/>
      <c r="W1152" s="20"/>
      <c r="X1152" s="20"/>
      <c r="Y1152" s="20"/>
      <c r="Z1152" s="20"/>
      <c r="AA1152" s="20"/>
      <c r="AB1152" s="20"/>
      <c r="AC1152" s="20"/>
      <c r="AD1152" s="20"/>
      <c r="AE1152" s="20"/>
      <c r="AF1152" s="20"/>
      <c r="AG1152" s="20"/>
      <c r="AH1152" s="20"/>
      <c r="AI1152" s="20"/>
      <c r="AJ1152" s="20"/>
      <c r="AK1152" s="20"/>
      <c r="AL1152" s="20"/>
      <c r="AM1152" s="20"/>
      <c r="AN1152" s="20"/>
      <c r="AO1152" s="20"/>
      <c r="AP1152" s="20"/>
      <c r="AQ1152" s="20"/>
      <c r="AR1152" s="20"/>
      <c r="AS1152" s="20"/>
      <c r="AT1152" s="20"/>
      <c r="AU1152" s="20"/>
      <c r="AV1152" s="20"/>
      <c r="AW1152" s="20"/>
      <c r="AX1152" s="20"/>
      <c r="AY1152" s="20"/>
      <c r="AZ1152" s="20"/>
      <c r="BA1152" s="20"/>
      <c r="BB1152" s="20"/>
      <c r="BC1152" s="20"/>
      <c r="BD1152" s="20"/>
      <c r="BE1152" s="20"/>
      <c r="BF1152" s="20"/>
      <c r="BG1152" s="20"/>
      <c r="BH1152" s="20"/>
      <c r="BI1152" s="20"/>
      <c r="BJ1152" s="20"/>
      <c r="BK1152" s="20"/>
      <c r="BL1152" s="20"/>
      <c r="BM1152" s="20"/>
      <c r="BN1152" s="20"/>
      <c r="BO1152" s="20"/>
      <c r="BP1152" s="20"/>
      <c r="BQ1152" s="20"/>
      <c r="BR1152" s="20"/>
      <c r="BS1152" s="20"/>
      <c r="BT1152" s="20"/>
      <c r="BU1152" s="20"/>
      <c r="BV1152" s="20"/>
      <c r="BW1152" s="20"/>
      <c r="BX1152" s="20"/>
      <c r="BY1152" s="20"/>
      <c r="BZ1152" s="20"/>
      <c r="CA1152" s="20"/>
      <c r="CB1152" s="21"/>
      <c r="CC1152" s="27" t="str">
        <f t="shared" si="187"/>
        <v/>
      </c>
      <c r="CD1152" s="38" t="str">
        <f t="shared" si="188"/>
        <v/>
      </c>
      <c r="CE1152" s="38" t="str">
        <f t="shared" si="189"/>
        <v/>
      </c>
      <c r="CF1152" s="38" t="str">
        <f t="shared" si="190"/>
        <v/>
      </c>
      <c r="CG1152" s="38" t="str">
        <f t="shared" si="191"/>
        <v/>
      </c>
      <c r="CH1152" s="38" t="str">
        <f t="shared" si="192"/>
        <v/>
      </c>
      <c r="CI1152" s="38" t="str">
        <f t="shared" si="193"/>
        <v/>
      </c>
      <c r="CJ1152" s="38" t="str">
        <f t="shared" si="194"/>
        <v/>
      </c>
      <c r="CK1152" s="38" t="str">
        <f t="shared" si="195"/>
        <v/>
      </c>
      <c r="CL1152" s="38" t="str">
        <f>IF(C1152="","",IF(COUNT(G1152:AZ1152)&lt;46,"",SUMPRODUCT(CC1152:CK1152,'تنظیمات وزن‌دهی'!$C$5:$C$13)/100))</f>
        <v/>
      </c>
      <c r="CM1152" s="38" t="str">
        <f t="shared" si="196"/>
        <v/>
      </c>
      <c r="CN1152" s="38">
        <v>8</v>
      </c>
      <c r="CO1152" s="28" t="str">
        <f t="shared" si="197"/>
        <v/>
      </c>
      <c r="CP1152" s="58"/>
    </row>
    <row r="1153" spans="1:94" ht="17.25" hidden="1">
      <c r="A1153" s="33">
        <v>1149</v>
      </c>
      <c r="B1153" s="55" t="s">
        <v>191</v>
      </c>
      <c r="C1153" s="55" t="str">
        <f>IF(دانش‌آموزان!E100="","",دانش‌آموزان!B100)</f>
        <v/>
      </c>
      <c r="D1153" s="55" t="str">
        <f>IF(دانش‌آموزان!C100="","",دانش‌آموزان!C100)</f>
        <v/>
      </c>
      <c r="E1153" s="55" t="str">
        <f>IF(دانش‌آموزان!E100="","",دانش‌آموزان!E100&amp;" "&amp;دانش‌آموزان!F100)</f>
        <v/>
      </c>
      <c r="F1153" s="34" t="str">
        <f>IF(دانش‌آموزان!I100="","",دانش‌آموزان!I100)</f>
        <v/>
      </c>
      <c r="G1153" s="19"/>
      <c r="H1153" s="20"/>
      <c r="I1153" s="20"/>
      <c r="J1153" s="20"/>
      <c r="K1153" s="20"/>
      <c r="L1153" s="20"/>
      <c r="M1153" s="20"/>
      <c r="N1153" s="20"/>
      <c r="O1153" s="20"/>
      <c r="P1153" s="20"/>
      <c r="Q1153" s="20"/>
      <c r="R1153" s="20"/>
      <c r="S1153" s="20"/>
      <c r="T1153" s="20"/>
      <c r="U1153" s="20"/>
      <c r="V1153" s="20"/>
      <c r="W1153" s="20"/>
      <c r="X1153" s="20"/>
      <c r="Y1153" s="20"/>
      <c r="Z1153" s="20"/>
      <c r="AA1153" s="20"/>
      <c r="AB1153" s="20"/>
      <c r="AC1153" s="20"/>
      <c r="AD1153" s="20"/>
      <c r="AE1153" s="20"/>
      <c r="AF1153" s="20"/>
      <c r="AG1153" s="20"/>
      <c r="AH1153" s="20"/>
      <c r="AI1153" s="20"/>
      <c r="AJ1153" s="20"/>
      <c r="AK1153" s="20"/>
      <c r="AL1153" s="20"/>
      <c r="AM1153" s="20"/>
      <c r="AN1153" s="20"/>
      <c r="AO1153" s="20"/>
      <c r="AP1153" s="20"/>
      <c r="AQ1153" s="20"/>
      <c r="AR1153" s="20"/>
      <c r="AS1153" s="20"/>
      <c r="AT1153" s="20"/>
      <c r="AU1153" s="20"/>
      <c r="AV1153" s="20"/>
      <c r="AW1153" s="20"/>
      <c r="AX1153" s="20"/>
      <c r="AY1153" s="20"/>
      <c r="AZ1153" s="20"/>
      <c r="BA1153" s="20"/>
      <c r="BB1153" s="20"/>
      <c r="BC1153" s="20"/>
      <c r="BD1153" s="20"/>
      <c r="BE1153" s="20"/>
      <c r="BF1153" s="20"/>
      <c r="BG1153" s="20"/>
      <c r="BH1153" s="20"/>
      <c r="BI1153" s="20"/>
      <c r="BJ1153" s="20"/>
      <c r="BK1153" s="20"/>
      <c r="BL1153" s="20"/>
      <c r="BM1153" s="20"/>
      <c r="BN1153" s="20"/>
      <c r="BO1153" s="20"/>
      <c r="BP1153" s="20"/>
      <c r="BQ1153" s="20"/>
      <c r="BR1153" s="20"/>
      <c r="BS1153" s="20"/>
      <c r="BT1153" s="20"/>
      <c r="BU1153" s="20"/>
      <c r="BV1153" s="20"/>
      <c r="BW1153" s="20"/>
      <c r="BX1153" s="20"/>
      <c r="BY1153" s="20"/>
      <c r="BZ1153" s="20"/>
      <c r="CA1153" s="20"/>
      <c r="CB1153" s="21"/>
      <c r="CC1153" s="27" t="str">
        <f t="shared" si="187"/>
        <v/>
      </c>
      <c r="CD1153" s="38" t="str">
        <f t="shared" si="188"/>
        <v/>
      </c>
      <c r="CE1153" s="38" t="str">
        <f t="shared" si="189"/>
        <v/>
      </c>
      <c r="CF1153" s="38" t="str">
        <f t="shared" si="190"/>
        <v/>
      </c>
      <c r="CG1153" s="38" t="str">
        <f t="shared" si="191"/>
        <v/>
      </c>
      <c r="CH1153" s="38" t="str">
        <f t="shared" si="192"/>
        <v/>
      </c>
      <c r="CI1153" s="38" t="str">
        <f t="shared" si="193"/>
        <v/>
      </c>
      <c r="CJ1153" s="38" t="str">
        <f t="shared" si="194"/>
        <v/>
      </c>
      <c r="CK1153" s="38" t="str">
        <f t="shared" si="195"/>
        <v/>
      </c>
      <c r="CL1153" s="38" t="str">
        <f>IF(C1153="","",IF(COUNT(G1153:AZ1153)&lt;46,"",SUMPRODUCT(CC1153:CK1153,'تنظیمات وزن‌دهی'!$C$5:$C$13)/100))</f>
        <v/>
      </c>
      <c r="CM1153" s="38" t="str">
        <f t="shared" si="196"/>
        <v/>
      </c>
      <c r="CN1153" s="38">
        <v>9</v>
      </c>
      <c r="CO1153" s="28" t="str">
        <f t="shared" si="197"/>
        <v/>
      </c>
      <c r="CP1153" s="58"/>
    </row>
    <row r="1154" spans="1:94" ht="17.25" hidden="1">
      <c r="A1154" s="33">
        <v>1150</v>
      </c>
      <c r="B1154" s="55" t="s">
        <v>192</v>
      </c>
      <c r="C1154" s="55" t="str">
        <f>IF(دانش‌آموزان!E100="","",دانش‌آموزان!B100)</f>
        <v/>
      </c>
      <c r="D1154" s="55" t="str">
        <f>IF(دانش‌آموزان!C100="","",دانش‌آموزان!C100)</f>
        <v/>
      </c>
      <c r="E1154" s="55" t="str">
        <f>IF(دانش‌آموزان!E100="","",دانش‌آموزان!E100&amp;" "&amp;دانش‌آموزان!F100)</f>
        <v/>
      </c>
      <c r="F1154" s="34" t="str">
        <f>IF(دانش‌آموزان!I100="","",دانش‌آموزان!I100)</f>
        <v/>
      </c>
      <c r="G1154" s="19"/>
      <c r="H1154" s="20"/>
      <c r="I1154" s="20"/>
      <c r="J1154" s="20"/>
      <c r="K1154" s="20"/>
      <c r="L1154" s="20"/>
      <c r="M1154" s="20"/>
      <c r="N1154" s="20"/>
      <c r="O1154" s="20"/>
      <c r="P1154" s="20"/>
      <c r="Q1154" s="20"/>
      <c r="R1154" s="20"/>
      <c r="S1154" s="20"/>
      <c r="T1154" s="20"/>
      <c r="U1154" s="20"/>
      <c r="V1154" s="20"/>
      <c r="W1154" s="20"/>
      <c r="X1154" s="20"/>
      <c r="Y1154" s="20"/>
      <c r="Z1154" s="20"/>
      <c r="AA1154" s="20"/>
      <c r="AB1154" s="20"/>
      <c r="AC1154" s="20"/>
      <c r="AD1154" s="20"/>
      <c r="AE1154" s="20"/>
      <c r="AF1154" s="20"/>
      <c r="AG1154" s="20"/>
      <c r="AH1154" s="20"/>
      <c r="AI1154" s="20"/>
      <c r="AJ1154" s="20"/>
      <c r="AK1154" s="20"/>
      <c r="AL1154" s="20"/>
      <c r="AM1154" s="20"/>
      <c r="AN1154" s="20"/>
      <c r="AO1154" s="20"/>
      <c r="AP1154" s="20"/>
      <c r="AQ1154" s="20"/>
      <c r="AR1154" s="20"/>
      <c r="AS1154" s="20"/>
      <c r="AT1154" s="20"/>
      <c r="AU1154" s="20"/>
      <c r="AV1154" s="20"/>
      <c r="AW1154" s="20"/>
      <c r="AX1154" s="20"/>
      <c r="AY1154" s="20"/>
      <c r="AZ1154" s="20"/>
      <c r="BA1154" s="20"/>
      <c r="BB1154" s="20"/>
      <c r="BC1154" s="20"/>
      <c r="BD1154" s="20"/>
      <c r="BE1154" s="20"/>
      <c r="BF1154" s="20"/>
      <c r="BG1154" s="20"/>
      <c r="BH1154" s="20"/>
      <c r="BI1154" s="20"/>
      <c r="BJ1154" s="20"/>
      <c r="BK1154" s="20"/>
      <c r="BL1154" s="20"/>
      <c r="BM1154" s="20"/>
      <c r="BN1154" s="20"/>
      <c r="BO1154" s="20"/>
      <c r="BP1154" s="20"/>
      <c r="BQ1154" s="20"/>
      <c r="BR1154" s="20"/>
      <c r="BS1154" s="20"/>
      <c r="BT1154" s="20"/>
      <c r="BU1154" s="20"/>
      <c r="BV1154" s="20"/>
      <c r="BW1154" s="20"/>
      <c r="BX1154" s="20"/>
      <c r="BY1154" s="20"/>
      <c r="BZ1154" s="20"/>
      <c r="CA1154" s="20"/>
      <c r="CB1154" s="21"/>
      <c r="CC1154" s="27" t="str">
        <f t="shared" si="187"/>
        <v/>
      </c>
      <c r="CD1154" s="38" t="str">
        <f t="shared" si="188"/>
        <v/>
      </c>
      <c r="CE1154" s="38" t="str">
        <f t="shared" si="189"/>
        <v/>
      </c>
      <c r="CF1154" s="38" t="str">
        <f t="shared" si="190"/>
        <v/>
      </c>
      <c r="CG1154" s="38" t="str">
        <f t="shared" si="191"/>
        <v/>
      </c>
      <c r="CH1154" s="38" t="str">
        <f t="shared" si="192"/>
        <v/>
      </c>
      <c r="CI1154" s="38" t="str">
        <f t="shared" si="193"/>
        <v/>
      </c>
      <c r="CJ1154" s="38" t="str">
        <f t="shared" si="194"/>
        <v/>
      </c>
      <c r="CK1154" s="38" t="str">
        <f t="shared" si="195"/>
        <v/>
      </c>
      <c r="CL1154" s="38" t="str">
        <f>IF(C1154="","",IF(COUNT(G1154:AZ1154)&lt;46,"",SUMPRODUCT(CC1154:CK1154,'تنظیمات وزن‌دهی'!$C$5:$C$13)/100))</f>
        <v/>
      </c>
      <c r="CM1154" s="38" t="str">
        <f t="shared" si="196"/>
        <v/>
      </c>
      <c r="CN1154" s="38">
        <v>10</v>
      </c>
      <c r="CO1154" s="28" t="str">
        <f t="shared" si="197"/>
        <v/>
      </c>
      <c r="CP1154" s="58"/>
    </row>
    <row r="1155" spans="1:94" ht="17.25" hidden="1">
      <c r="A1155" s="33">
        <v>1151</v>
      </c>
      <c r="B1155" s="55" t="s">
        <v>193</v>
      </c>
      <c r="C1155" s="55" t="str">
        <f>IF(دانش‌آموزان!E100="","",دانش‌آموزان!B100)</f>
        <v/>
      </c>
      <c r="D1155" s="55" t="str">
        <f>IF(دانش‌آموزان!C100="","",دانش‌آموزان!C100)</f>
        <v/>
      </c>
      <c r="E1155" s="55" t="str">
        <f>IF(دانش‌آموزان!E100="","",دانش‌آموزان!E100&amp;" "&amp;دانش‌آموزان!F100)</f>
        <v/>
      </c>
      <c r="F1155" s="34" t="str">
        <f>IF(دانش‌آموزان!I100="","",دانش‌آموزان!I100)</f>
        <v/>
      </c>
      <c r="G1155" s="19"/>
      <c r="H1155" s="20"/>
      <c r="I1155" s="20"/>
      <c r="J1155" s="20"/>
      <c r="K1155" s="20"/>
      <c r="L1155" s="20"/>
      <c r="M1155" s="20"/>
      <c r="N1155" s="20"/>
      <c r="O1155" s="20"/>
      <c r="P1155" s="20"/>
      <c r="Q1155" s="20"/>
      <c r="R1155" s="20"/>
      <c r="S1155" s="20"/>
      <c r="T1155" s="20"/>
      <c r="U1155" s="20"/>
      <c r="V1155" s="20"/>
      <c r="W1155" s="20"/>
      <c r="X1155" s="20"/>
      <c r="Y1155" s="20"/>
      <c r="Z1155" s="20"/>
      <c r="AA1155" s="20"/>
      <c r="AB1155" s="20"/>
      <c r="AC1155" s="20"/>
      <c r="AD1155" s="20"/>
      <c r="AE1155" s="20"/>
      <c r="AF1155" s="20"/>
      <c r="AG1155" s="20"/>
      <c r="AH1155" s="20"/>
      <c r="AI1155" s="20"/>
      <c r="AJ1155" s="20"/>
      <c r="AK1155" s="20"/>
      <c r="AL1155" s="20"/>
      <c r="AM1155" s="20"/>
      <c r="AN1155" s="20"/>
      <c r="AO1155" s="20"/>
      <c r="AP1155" s="20"/>
      <c r="AQ1155" s="20"/>
      <c r="AR1155" s="20"/>
      <c r="AS1155" s="20"/>
      <c r="AT1155" s="20"/>
      <c r="AU1155" s="20"/>
      <c r="AV1155" s="20"/>
      <c r="AW1155" s="20"/>
      <c r="AX1155" s="20"/>
      <c r="AY1155" s="20"/>
      <c r="AZ1155" s="20"/>
      <c r="BA1155" s="20"/>
      <c r="BB1155" s="20"/>
      <c r="BC1155" s="20"/>
      <c r="BD1155" s="20"/>
      <c r="BE1155" s="20"/>
      <c r="BF1155" s="20"/>
      <c r="BG1155" s="20"/>
      <c r="BH1155" s="20"/>
      <c r="BI1155" s="20"/>
      <c r="BJ1155" s="20"/>
      <c r="BK1155" s="20"/>
      <c r="BL1155" s="20"/>
      <c r="BM1155" s="20"/>
      <c r="BN1155" s="20"/>
      <c r="BO1155" s="20"/>
      <c r="BP1155" s="20"/>
      <c r="BQ1155" s="20"/>
      <c r="BR1155" s="20"/>
      <c r="BS1155" s="20"/>
      <c r="BT1155" s="20"/>
      <c r="BU1155" s="20"/>
      <c r="BV1155" s="20"/>
      <c r="BW1155" s="20"/>
      <c r="BX1155" s="20"/>
      <c r="BY1155" s="20"/>
      <c r="BZ1155" s="20"/>
      <c r="CA1155" s="20"/>
      <c r="CB1155" s="21"/>
      <c r="CC1155" s="27" t="str">
        <f t="shared" si="187"/>
        <v/>
      </c>
      <c r="CD1155" s="38" t="str">
        <f t="shared" si="188"/>
        <v/>
      </c>
      <c r="CE1155" s="38" t="str">
        <f t="shared" si="189"/>
        <v/>
      </c>
      <c r="CF1155" s="38" t="str">
        <f t="shared" si="190"/>
        <v/>
      </c>
      <c r="CG1155" s="38" t="str">
        <f t="shared" si="191"/>
        <v/>
      </c>
      <c r="CH1155" s="38" t="str">
        <f t="shared" si="192"/>
        <v/>
      </c>
      <c r="CI1155" s="38" t="str">
        <f t="shared" si="193"/>
        <v/>
      </c>
      <c r="CJ1155" s="38" t="str">
        <f t="shared" si="194"/>
        <v/>
      </c>
      <c r="CK1155" s="38" t="str">
        <f t="shared" si="195"/>
        <v/>
      </c>
      <c r="CL1155" s="38" t="str">
        <f>IF(C1155="","",IF(COUNT(G1155:AZ1155)&lt;46,"",SUMPRODUCT(CC1155:CK1155,'تنظیمات وزن‌دهی'!$C$5:$C$13)/100))</f>
        <v/>
      </c>
      <c r="CM1155" s="38" t="str">
        <f t="shared" si="196"/>
        <v/>
      </c>
      <c r="CN1155" s="38">
        <v>11</v>
      </c>
      <c r="CO1155" s="28" t="str">
        <f t="shared" si="197"/>
        <v/>
      </c>
      <c r="CP1155" s="58"/>
    </row>
    <row r="1156" spans="1:94" ht="17.25" hidden="1">
      <c r="A1156" s="33">
        <v>1152</v>
      </c>
      <c r="B1156" s="55" t="s">
        <v>194</v>
      </c>
      <c r="C1156" s="55" t="str">
        <f>IF(دانش‌آموزان!E100="","",دانش‌آموزان!B100)</f>
        <v/>
      </c>
      <c r="D1156" s="55" t="str">
        <f>IF(دانش‌آموزان!C100="","",دانش‌آموزان!C100)</f>
        <v/>
      </c>
      <c r="E1156" s="55" t="str">
        <f>IF(دانش‌آموزان!E100="","",دانش‌آموزان!E100&amp;" "&amp;دانش‌آموزان!F100)</f>
        <v/>
      </c>
      <c r="F1156" s="34" t="str">
        <f>IF(دانش‌آموزان!I100="","",دانش‌آموزان!I100)</f>
        <v/>
      </c>
      <c r="G1156" s="19"/>
      <c r="H1156" s="20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20"/>
      <c r="T1156" s="20"/>
      <c r="U1156" s="20"/>
      <c r="V1156" s="20"/>
      <c r="W1156" s="20"/>
      <c r="X1156" s="20"/>
      <c r="Y1156" s="20"/>
      <c r="Z1156" s="20"/>
      <c r="AA1156" s="20"/>
      <c r="AB1156" s="20"/>
      <c r="AC1156" s="20"/>
      <c r="AD1156" s="20"/>
      <c r="AE1156" s="20"/>
      <c r="AF1156" s="20"/>
      <c r="AG1156" s="20"/>
      <c r="AH1156" s="20"/>
      <c r="AI1156" s="20"/>
      <c r="AJ1156" s="20"/>
      <c r="AK1156" s="20"/>
      <c r="AL1156" s="20"/>
      <c r="AM1156" s="20"/>
      <c r="AN1156" s="20"/>
      <c r="AO1156" s="20"/>
      <c r="AP1156" s="20"/>
      <c r="AQ1156" s="20"/>
      <c r="AR1156" s="20"/>
      <c r="AS1156" s="20"/>
      <c r="AT1156" s="20"/>
      <c r="AU1156" s="20"/>
      <c r="AV1156" s="20"/>
      <c r="AW1156" s="20"/>
      <c r="AX1156" s="20"/>
      <c r="AY1156" s="20"/>
      <c r="AZ1156" s="20"/>
      <c r="BA1156" s="20"/>
      <c r="BB1156" s="20"/>
      <c r="BC1156" s="20"/>
      <c r="BD1156" s="20"/>
      <c r="BE1156" s="20"/>
      <c r="BF1156" s="20"/>
      <c r="BG1156" s="20"/>
      <c r="BH1156" s="20"/>
      <c r="BI1156" s="20"/>
      <c r="BJ1156" s="20"/>
      <c r="BK1156" s="20"/>
      <c r="BL1156" s="20"/>
      <c r="BM1156" s="20"/>
      <c r="BN1156" s="20"/>
      <c r="BO1156" s="20"/>
      <c r="BP1156" s="20"/>
      <c r="BQ1156" s="20"/>
      <c r="BR1156" s="20"/>
      <c r="BS1156" s="20"/>
      <c r="BT1156" s="20"/>
      <c r="BU1156" s="20"/>
      <c r="BV1156" s="20"/>
      <c r="BW1156" s="20"/>
      <c r="BX1156" s="20"/>
      <c r="BY1156" s="20"/>
      <c r="BZ1156" s="20"/>
      <c r="CA1156" s="20"/>
      <c r="CB1156" s="21"/>
      <c r="CC1156" s="27" t="str">
        <f t="shared" si="187"/>
        <v/>
      </c>
      <c r="CD1156" s="38" t="str">
        <f t="shared" si="188"/>
        <v/>
      </c>
      <c r="CE1156" s="38" t="str">
        <f t="shared" si="189"/>
        <v/>
      </c>
      <c r="CF1156" s="38" t="str">
        <f t="shared" si="190"/>
        <v/>
      </c>
      <c r="CG1156" s="38" t="str">
        <f t="shared" si="191"/>
        <v/>
      </c>
      <c r="CH1156" s="38" t="str">
        <f t="shared" si="192"/>
        <v/>
      </c>
      <c r="CI1156" s="38" t="str">
        <f t="shared" si="193"/>
        <v/>
      </c>
      <c r="CJ1156" s="38" t="str">
        <f t="shared" si="194"/>
        <v/>
      </c>
      <c r="CK1156" s="38" t="str">
        <f t="shared" si="195"/>
        <v/>
      </c>
      <c r="CL1156" s="38" t="str">
        <f>IF(C1156="","",IF(COUNT(G1156:AZ1156)&lt;46,"",SUMPRODUCT(CC1156:CK1156,'تنظیمات وزن‌دهی'!$C$5:$C$13)/100))</f>
        <v/>
      </c>
      <c r="CM1156" s="38" t="str">
        <f t="shared" si="196"/>
        <v/>
      </c>
      <c r="CN1156" s="38">
        <v>12</v>
      </c>
      <c r="CO1156" s="28" t="str">
        <f t="shared" si="197"/>
        <v/>
      </c>
      <c r="CP1156" s="58"/>
    </row>
    <row r="1157" spans="1:94" ht="17.25" hidden="1">
      <c r="A1157" s="33">
        <v>1153</v>
      </c>
      <c r="B1157" s="55" t="s">
        <v>183</v>
      </c>
      <c r="C1157" s="55" t="str">
        <f>IF(دانش‌آموزان!E101="","",دانش‌آموزان!B101)</f>
        <v/>
      </c>
      <c r="D1157" s="55" t="str">
        <f>IF(دانش‌آموزان!C101="","",دانش‌آموزان!C101)</f>
        <v/>
      </c>
      <c r="E1157" s="55" t="str">
        <f>IF(دانش‌آموزان!E101="","",دانش‌آموزان!E101&amp;" "&amp;دانش‌آموزان!F101)</f>
        <v/>
      </c>
      <c r="F1157" s="34" t="str">
        <f>IF(دانش‌آموزان!I101="","",دانش‌آموزان!I101)</f>
        <v/>
      </c>
      <c r="G1157" s="19"/>
      <c r="H1157" s="20"/>
      <c r="I1157" s="20"/>
      <c r="J1157" s="20"/>
      <c r="K1157" s="20"/>
      <c r="L1157" s="20"/>
      <c r="M1157" s="20"/>
      <c r="N1157" s="20"/>
      <c r="O1157" s="20"/>
      <c r="P1157" s="20"/>
      <c r="Q1157" s="20"/>
      <c r="R1157" s="20"/>
      <c r="S1157" s="20"/>
      <c r="T1157" s="20"/>
      <c r="U1157" s="20"/>
      <c r="V1157" s="20"/>
      <c r="W1157" s="20"/>
      <c r="X1157" s="20"/>
      <c r="Y1157" s="20"/>
      <c r="Z1157" s="20"/>
      <c r="AA1157" s="20"/>
      <c r="AB1157" s="20"/>
      <c r="AC1157" s="20"/>
      <c r="AD1157" s="20"/>
      <c r="AE1157" s="20"/>
      <c r="AF1157" s="20"/>
      <c r="AG1157" s="20"/>
      <c r="AH1157" s="20"/>
      <c r="AI1157" s="20"/>
      <c r="AJ1157" s="20"/>
      <c r="AK1157" s="20"/>
      <c r="AL1157" s="20"/>
      <c r="AM1157" s="20"/>
      <c r="AN1157" s="20"/>
      <c r="AO1157" s="20"/>
      <c r="AP1157" s="20"/>
      <c r="AQ1157" s="20"/>
      <c r="AR1157" s="20"/>
      <c r="AS1157" s="20"/>
      <c r="AT1157" s="20"/>
      <c r="AU1157" s="20"/>
      <c r="AV1157" s="20"/>
      <c r="AW1157" s="20"/>
      <c r="AX1157" s="20"/>
      <c r="AY1157" s="20"/>
      <c r="AZ1157" s="20"/>
      <c r="BA1157" s="20"/>
      <c r="BB1157" s="20"/>
      <c r="BC1157" s="20"/>
      <c r="BD1157" s="20"/>
      <c r="BE1157" s="20"/>
      <c r="BF1157" s="20"/>
      <c r="BG1157" s="20"/>
      <c r="BH1157" s="20"/>
      <c r="BI1157" s="20"/>
      <c r="BJ1157" s="20"/>
      <c r="BK1157" s="20"/>
      <c r="BL1157" s="20"/>
      <c r="BM1157" s="20"/>
      <c r="BN1157" s="20"/>
      <c r="BO1157" s="20"/>
      <c r="BP1157" s="20"/>
      <c r="BQ1157" s="20"/>
      <c r="BR1157" s="20"/>
      <c r="BS1157" s="20"/>
      <c r="BT1157" s="20"/>
      <c r="BU1157" s="20"/>
      <c r="BV1157" s="20"/>
      <c r="BW1157" s="20"/>
      <c r="BX1157" s="20"/>
      <c r="BY1157" s="20"/>
      <c r="BZ1157" s="20"/>
      <c r="CA1157" s="20"/>
      <c r="CB1157" s="21"/>
      <c r="CC1157" s="27" t="str">
        <f t="shared" ref="CC1157:CC1204" si="198">IF(COUNT(G1157:N1157)=0,"",AVERAGE(G1157:N1157)*4)</f>
        <v/>
      </c>
      <c r="CD1157" s="38" t="str">
        <f t="shared" ref="CD1157:CD1204" si="199">IF(COUNT(O1157:S1157)=0,"",AVERAGE(O1157:S1157)*4)</f>
        <v/>
      </c>
      <c r="CE1157" s="38" t="str">
        <f t="shared" ref="CE1157:CE1204" si="200">IF(COUNT(T1157:U1157)=0,"",AVERAGE(T1157:U1157)*4)</f>
        <v/>
      </c>
      <c r="CF1157" s="38" t="str">
        <f t="shared" ref="CF1157:CF1204" si="201">IF(COUNT(V1157:Z1157)=0,"",AVERAGE(V1157:Z1157)*4)</f>
        <v/>
      </c>
      <c r="CG1157" s="38" t="str">
        <f t="shared" ref="CG1157:CG1204" si="202">IF(COUNT(AA1157:AC1157)=0,"",AVERAGE(AA1157:AC1157)*4)</f>
        <v/>
      </c>
      <c r="CH1157" s="38" t="str">
        <f t="shared" ref="CH1157:CH1204" si="203">IF(COUNT(AD1157:AI1157)=0,"",AVERAGE(AD1157:AI1157)*4)</f>
        <v/>
      </c>
      <c r="CI1157" s="38" t="str">
        <f t="shared" ref="CI1157:CI1204" si="204">IF(COUNT(AJ1157:AP1157)=0,"",AVERAGE(AJ1157:AP1157)*4)</f>
        <v/>
      </c>
      <c r="CJ1157" s="38" t="str">
        <f t="shared" ref="CJ1157:CJ1204" si="205">IF(COUNT(AQ1157:AW1157)=0,"",AVERAGE(AQ1157:AW1157)*4)</f>
        <v/>
      </c>
      <c r="CK1157" s="38" t="str">
        <f t="shared" ref="CK1157:CK1204" si="206">IF(COUNT(AX1157:AZ1157)=0,"",AVERAGE(AX1157:AZ1157)*4)</f>
        <v/>
      </c>
      <c r="CL1157" s="38" t="str">
        <f>IF(C1157="","",IF(COUNT(G1157:AZ1157)&lt;46,"",SUMPRODUCT(CC1157:CK1157,'تنظیمات وزن‌دهی'!$C$5:$C$13)/100))</f>
        <v/>
      </c>
      <c r="CM1157" s="38" t="str">
        <f t="shared" ref="CM1157:CM1204" si="207">IF(C1157="","",IF(COUNT(G1157:AZ1157)=0,"",IF(COUNT(G1157:AZ1157)&lt;46,"موقت - اطلاعات ناقص",IF(CL1157&gt;=17,"عالی",IF(CL1157&gt;=14,"خوب",IF(CL1157&gt;=10,"متوسط","ضعیف"))))))</f>
        <v/>
      </c>
      <c r="CN1157" s="38">
        <v>1</v>
      </c>
      <c r="CO1157" s="28" t="str">
        <f t="shared" ref="CO1157:CO1204" si="208">IF(C1157="","",COUNT(G1157:AZ1157)/46)</f>
        <v/>
      </c>
      <c r="CP1157" s="58"/>
    </row>
    <row r="1158" spans="1:94" ht="17.25" hidden="1">
      <c r="A1158" s="33">
        <v>1154</v>
      </c>
      <c r="B1158" s="55" t="s">
        <v>184</v>
      </c>
      <c r="C1158" s="55" t="str">
        <f>IF(دانش‌آموزان!E101="","",دانش‌آموزان!B101)</f>
        <v/>
      </c>
      <c r="D1158" s="55" t="str">
        <f>IF(دانش‌آموزان!C101="","",دانش‌آموزان!C101)</f>
        <v/>
      </c>
      <c r="E1158" s="55" t="str">
        <f>IF(دانش‌آموزان!E101="","",دانش‌آموزان!E101&amp;" "&amp;دانش‌آموزان!F101)</f>
        <v/>
      </c>
      <c r="F1158" s="34" t="str">
        <f>IF(دانش‌آموزان!I101="","",دانش‌آموزان!I101)</f>
        <v/>
      </c>
      <c r="G1158" s="19"/>
      <c r="H1158" s="20"/>
      <c r="I1158" s="20"/>
      <c r="J1158" s="20"/>
      <c r="K1158" s="20"/>
      <c r="L1158" s="20"/>
      <c r="M1158" s="20"/>
      <c r="N1158" s="20"/>
      <c r="O1158" s="20"/>
      <c r="P1158" s="20"/>
      <c r="Q1158" s="20"/>
      <c r="R1158" s="20"/>
      <c r="S1158" s="20"/>
      <c r="T1158" s="20"/>
      <c r="U1158" s="20"/>
      <c r="V1158" s="20"/>
      <c r="W1158" s="20"/>
      <c r="X1158" s="20"/>
      <c r="Y1158" s="20"/>
      <c r="Z1158" s="20"/>
      <c r="AA1158" s="20"/>
      <c r="AB1158" s="20"/>
      <c r="AC1158" s="20"/>
      <c r="AD1158" s="20"/>
      <c r="AE1158" s="20"/>
      <c r="AF1158" s="20"/>
      <c r="AG1158" s="20"/>
      <c r="AH1158" s="20"/>
      <c r="AI1158" s="20"/>
      <c r="AJ1158" s="20"/>
      <c r="AK1158" s="20"/>
      <c r="AL1158" s="20"/>
      <c r="AM1158" s="20"/>
      <c r="AN1158" s="20"/>
      <c r="AO1158" s="20"/>
      <c r="AP1158" s="20"/>
      <c r="AQ1158" s="20"/>
      <c r="AR1158" s="20"/>
      <c r="AS1158" s="20"/>
      <c r="AT1158" s="20"/>
      <c r="AU1158" s="20"/>
      <c r="AV1158" s="20"/>
      <c r="AW1158" s="20"/>
      <c r="AX1158" s="20"/>
      <c r="AY1158" s="20"/>
      <c r="AZ1158" s="20"/>
      <c r="BA1158" s="20"/>
      <c r="BB1158" s="20"/>
      <c r="BC1158" s="20"/>
      <c r="BD1158" s="20"/>
      <c r="BE1158" s="20"/>
      <c r="BF1158" s="20"/>
      <c r="BG1158" s="20"/>
      <c r="BH1158" s="20"/>
      <c r="BI1158" s="20"/>
      <c r="BJ1158" s="20"/>
      <c r="BK1158" s="20"/>
      <c r="BL1158" s="20"/>
      <c r="BM1158" s="20"/>
      <c r="BN1158" s="20"/>
      <c r="BO1158" s="20"/>
      <c r="BP1158" s="20"/>
      <c r="BQ1158" s="20"/>
      <c r="BR1158" s="20"/>
      <c r="BS1158" s="20"/>
      <c r="BT1158" s="20"/>
      <c r="BU1158" s="20"/>
      <c r="BV1158" s="20"/>
      <c r="BW1158" s="20"/>
      <c r="BX1158" s="20"/>
      <c r="BY1158" s="20"/>
      <c r="BZ1158" s="20"/>
      <c r="CA1158" s="20"/>
      <c r="CB1158" s="21"/>
      <c r="CC1158" s="27" t="str">
        <f t="shared" si="198"/>
        <v/>
      </c>
      <c r="CD1158" s="38" t="str">
        <f t="shared" si="199"/>
        <v/>
      </c>
      <c r="CE1158" s="38" t="str">
        <f t="shared" si="200"/>
        <v/>
      </c>
      <c r="CF1158" s="38" t="str">
        <f t="shared" si="201"/>
        <v/>
      </c>
      <c r="CG1158" s="38" t="str">
        <f t="shared" si="202"/>
        <v/>
      </c>
      <c r="CH1158" s="38" t="str">
        <f t="shared" si="203"/>
        <v/>
      </c>
      <c r="CI1158" s="38" t="str">
        <f t="shared" si="204"/>
        <v/>
      </c>
      <c r="CJ1158" s="38" t="str">
        <f t="shared" si="205"/>
        <v/>
      </c>
      <c r="CK1158" s="38" t="str">
        <f t="shared" si="206"/>
        <v/>
      </c>
      <c r="CL1158" s="38" t="str">
        <f>IF(C1158="","",IF(COUNT(G1158:AZ1158)&lt;46,"",SUMPRODUCT(CC1158:CK1158,'تنظیمات وزن‌دهی'!$C$5:$C$13)/100))</f>
        <v/>
      </c>
      <c r="CM1158" s="38" t="str">
        <f t="shared" si="207"/>
        <v/>
      </c>
      <c r="CN1158" s="38">
        <v>2</v>
      </c>
      <c r="CO1158" s="28" t="str">
        <f t="shared" si="208"/>
        <v/>
      </c>
      <c r="CP1158" s="58"/>
    </row>
    <row r="1159" spans="1:94" ht="17.25">
      <c r="A1159" s="33">
        <v>1155</v>
      </c>
      <c r="B1159" s="55" t="s">
        <v>185</v>
      </c>
      <c r="C1159" s="55" t="str">
        <f>IF(دانش‌آموزان!E101="","",دانش‌آموزان!B101)</f>
        <v/>
      </c>
      <c r="D1159" s="55" t="str">
        <f>IF(دانش‌آموزان!C101="","",دانش‌آموزان!C101)</f>
        <v/>
      </c>
      <c r="E1159" s="55" t="str">
        <f>IF(دانش‌آموزان!E101="","",دانش‌آموزان!E101&amp;" "&amp;دانش‌آموزان!F101)</f>
        <v/>
      </c>
      <c r="F1159" s="34" t="str">
        <f>IF(دانش‌آموزان!I101="","",دانش‌آموزان!I101)</f>
        <v/>
      </c>
      <c r="G1159" s="19"/>
      <c r="H1159" s="20"/>
      <c r="I1159" s="20"/>
      <c r="J1159" s="20"/>
      <c r="K1159" s="20"/>
      <c r="L1159" s="20"/>
      <c r="M1159" s="20"/>
      <c r="N1159" s="20"/>
      <c r="O1159" s="20"/>
      <c r="P1159" s="20"/>
      <c r="Q1159" s="20"/>
      <c r="R1159" s="20"/>
      <c r="S1159" s="20"/>
      <c r="T1159" s="20"/>
      <c r="U1159" s="20"/>
      <c r="V1159" s="20"/>
      <c r="W1159" s="20"/>
      <c r="X1159" s="20"/>
      <c r="Y1159" s="20"/>
      <c r="Z1159" s="20"/>
      <c r="AA1159" s="20"/>
      <c r="AB1159" s="20"/>
      <c r="AC1159" s="20"/>
      <c r="AD1159" s="20"/>
      <c r="AE1159" s="20"/>
      <c r="AF1159" s="20"/>
      <c r="AG1159" s="20"/>
      <c r="AH1159" s="20"/>
      <c r="AI1159" s="20"/>
      <c r="AJ1159" s="20"/>
      <c r="AK1159" s="20"/>
      <c r="AL1159" s="20"/>
      <c r="AM1159" s="20"/>
      <c r="AN1159" s="20"/>
      <c r="AO1159" s="20"/>
      <c r="AP1159" s="20"/>
      <c r="AQ1159" s="20"/>
      <c r="AR1159" s="20"/>
      <c r="AS1159" s="20"/>
      <c r="AT1159" s="20"/>
      <c r="AU1159" s="20"/>
      <c r="AV1159" s="20"/>
      <c r="AW1159" s="20"/>
      <c r="AX1159" s="20"/>
      <c r="AY1159" s="20"/>
      <c r="AZ1159" s="20"/>
      <c r="BA1159" s="20"/>
      <c r="BB1159" s="20"/>
      <c r="BC1159" s="20"/>
      <c r="BD1159" s="20"/>
      <c r="BE1159" s="20"/>
      <c r="BF1159" s="20"/>
      <c r="BG1159" s="20"/>
      <c r="BH1159" s="20"/>
      <c r="BI1159" s="20"/>
      <c r="BJ1159" s="20"/>
      <c r="BK1159" s="20"/>
      <c r="BL1159" s="20"/>
      <c r="BM1159" s="20"/>
      <c r="BN1159" s="20"/>
      <c r="BO1159" s="20"/>
      <c r="BP1159" s="20"/>
      <c r="BQ1159" s="20"/>
      <c r="BR1159" s="20"/>
      <c r="BS1159" s="20"/>
      <c r="BT1159" s="20"/>
      <c r="BU1159" s="20"/>
      <c r="BV1159" s="20"/>
      <c r="BW1159" s="20"/>
      <c r="BX1159" s="20"/>
      <c r="BY1159" s="20"/>
      <c r="BZ1159" s="20"/>
      <c r="CA1159" s="20"/>
      <c r="CB1159" s="21"/>
      <c r="CC1159" s="27" t="str">
        <f t="shared" si="198"/>
        <v/>
      </c>
      <c r="CD1159" s="38" t="str">
        <f t="shared" si="199"/>
        <v/>
      </c>
      <c r="CE1159" s="38" t="str">
        <f t="shared" si="200"/>
        <v/>
      </c>
      <c r="CF1159" s="38" t="str">
        <f t="shared" si="201"/>
        <v/>
      </c>
      <c r="CG1159" s="38" t="str">
        <f t="shared" si="202"/>
        <v/>
      </c>
      <c r="CH1159" s="38" t="str">
        <f t="shared" si="203"/>
        <v/>
      </c>
      <c r="CI1159" s="38" t="str">
        <f t="shared" si="204"/>
        <v/>
      </c>
      <c r="CJ1159" s="38" t="str">
        <f t="shared" si="205"/>
        <v/>
      </c>
      <c r="CK1159" s="38" t="str">
        <f t="shared" si="206"/>
        <v/>
      </c>
      <c r="CL1159" s="38" t="str">
        <f>IF(C1159="","",IF(COUNT(G1159:AZ1159)&lt;46,"",SUMPRODUCT(CC1159:CK1159,'تنظیمات وزن‌دهی'!$C$5:$C$13)/100))</f>
        <v/>
      </c>
      <c r="CM1159" s="38" t="str">
        <f t="shared" si="207"/>
        <v/>
      </c>
      <c r="CN1159" s="38">
        <v>3</v>
      </c>
      <c r="CO1159" s="28" t="str">
        <f t="shared" si="208"/>
        <v/>
      </c>
      <c r="CP1159" s="58"/>
    </row>
    <row r="1160" spans="1:94" ht="17.25" hidden="1">
      <c r="A1160" s="33">
        <v>1156</v>
      </c>
      <c r="B1160" s="55" t="s">
        <v>186</v>
      </c>
      <c r="C1160" s="55" t="str">
        <f>IF(دانش‌آموزان!E101="","",دانش‌آموزان!B101)</f>
        <v/>
      </c>
      <c r="D1160" s="55" t="str">
        <f>IF(دانش‌آموزان!C101="","",دانش‌آموزان!C101)</f>
        <v/>
      </c>
      <c r="E1160" s="55" t="str">
        <f>IF(دانش‌آموزان!E101="","",دانش‌آموزان!E101&amp;" "&amp;دانش‌آموزان!F101)</f>
        <v/>
      </c>
      <c r="F1160" s="34" t="str">
        <f>IF(دانش‌آموزان!I101="","",دانش‌آموزان!I101)</f>
        <v/>
      </c>
      <c r="G1160" s="19"/>
      <c r="H1160" s="20"/>
      <c r="I1160" s="20"/>
      <c r="J1160" s="20"/>
      <c r="K1160" s="20"/>
      <c r="L1160" s="20"/>
      <c r="M1160" s="20"/>
      <c r="N1160" s="20"/>
      <c r="O1160" s="20"/>
      <c r="P1160" s="20"/>
      <c r="Q1160" s="20"/>
      <c r="R1160" s="20"/>
      <c r="S1160" s="20"/>
      <c r="T1160" s="20"/>
      <c r="U1160" s="20"/>
      <c r="V1160" s="20"/>
      <c r="W1160" s="20"/>
      <c r="X1160" s="20"/>
      <c r="Y1160" s="20"/>
      <c r="Z1160" s="20"/>
      <c r="AA1160" s="20"/>
      <c r="AB1160" s="20"/>
      <c r="AC1160" s="20"/>
      <c r="AD1160" s="20"/>
      <c r="AE1160" s="20"/>
      <c r="AF1160" s="20"/>
      <c r="AG1160" s="20"/>
      <c r="AH1160" s="20"/>
      <c r="AI1160" s="20"/>
      <c r="AJ1160" s="20"/>
      <c r="AK1160" s="20"/>
      <c r="AL1160" s="20"/>
      <c r="AM1160" s="20"/>
      <c r="AN1160" s="20"/>
      <c r="AO1160" s="20"/>
      <c r="AP1160" s="20"/>
      <c r="AQ1160" s="20"/>
      <c r="AR1160" s="20"/>
      <c r="AS1160" s="20"/>
      <c r="AT1160" s="20"/>
      <c r="AU1160" s="20"/>
      <c r="AV1160" s="20"/>
      <c r="AW1160" s="20"/>
      <c r="AX1160" s="20"/>
      <c r="AY1160" s="20"/>
      <c r="AZ1160" s="20"/>
      <c r="BA1160" s="20"/>
      <c r="BB1160" s="20"/>
      <c r="BC1160" s="20"/>
      <c r="BD1160" s="20"/>
      <c r="BE1160" s="20"/>
      <c r="BF1160" s="20"/>
      <c r="BG1160" s="20"/>
      <c r="BH1160" s="20"/>
      <c r="BI1160" s="20"/>
      <c r="BJ1160" s="20"/>
      <c r="BK1160" s="20"/>
      <c r="BL1160" s="20"/>
      <c r="BM1160" s="20"/>
      <c r="BN1160" s="20"/>
      <c r="BO1160" s="20"/>
      <c r="BP1160" s="20"/>
      <c r="BQ1160" s="20"/>
      <c r="BR1160" s="20"/>
      <c r="BS1160" s="20"/>
      <c r="BT1160" s="20"/>
      <c r="BU1160" s="20"/>
      <c r="BV1160" s="20"/>
      <c r="BW1160" s="20"/>
      <c r="BX1160" s="20"/>
      <c r="BY1160" s="20"/>
      <c r="BZ1160" s="20"/>
      <c r="CA1160" s="20"/>
      <c r="CB1160" s="21"/>
      <c r="CC1160" s="27" t="str">
        <f t="shared" si="198"/>
        <v/>
      </c>
      <c r="CD1160" s="38" t="str">
        <f t="shared" si="199"/>
        <v/>
      </c>
      <c r="CE1160" s="38" t="str">
        <f t="shared" si="200"/>
        <v/>
      </c>
      <c r="CF1160" s="38" t="str">
        <f t="shared" si="201"/>
        <v/>
      </c>
      <c r="CG1160" s="38" t="str">
        <f t="shared" si="202"/>
        <v/>
      </c>
      <c r="CH1160" s="38" t="str">
        <f t="shared" si="203"/>
        <v/>
      </c>
      <c r="CI1160" s="38" t="str">
        <f t="shared" si="204"/>
        <v/>
      </c>
      <c r="CJ1160" s="38" t="str">
        <f t="shared" si="205"/>
        <v/>
      </c>
      <c r="CK1160" s="38" t="str">
        <f t="shared" si="206"/>
        <v/>
      </c>
      <c r="CL1160" s="38" t="str">
        <f>IF(C1160="","",IF(COUNT(G1160:AZ1160)&lt;46,"",SUMPRODUCT(CC1160:CK1160,'تنظیمات وزن‌دهی'!$C$5:$C$13)/100))</f>
        <v/>
      </c>
      <c r="CM1160" s="38" t="str">
        <f t="shared" si="207"/>
        <v/>
      </c>
      <c r="CN1160" s="38">
        <v>4</v>
      </c>
      <c r="CO1160" s="28" t="str">
        <f t="shared" si="208"/>
        <v/>
      </c>
      <c r="CP1160" s="58"/>
    </row>
    <row r="1161" spans="1:94" ht="17.25" hidden="1">
      <c r="A1161" s="33">
        <v>1157</v>
      </c>
      <c r="B1161" s="55" t="s">
        <v>187</v>
      </c>
      <c r="C1161" s="55" t="str">
        <f>IF(دانش‌آموزان!E101="","",دانش‌آموزان!B101)</f>
        <v/>
      </c>
      <c r="D1161" s="55" t="str">
        <f>IF(دانش‌آموزان!C101="","",دانش‌آموزان!C101)</f>
        <v/>
      </c>
      <c r="E1161" s="55" t="str">
        <f>IF(دانش‌آموزان!E101="","",دانش‌آموزان!E101&amp;" "&amp;دانش‌آموزان!F101)</f>
        <v/>
      </c>
      <c r="F1161" s="34" t="str">
        <f>IF(دانش‌آموزان!I101="","",دانش‌آموزان!I101)</f>
        <v/>
      </c>
      <c r="G1161" s="19"/>
      <c r="H1161" s="20"/>
      <c r="I1161" s="20"/>
      <c r="J1161" s="20"/>
      <c r="K1161" s="20"/>
      <c r="L1161" s="20"/>
      <c r="M1161" s="20"/>
      <c r="N1161" s="20"/>
      <c r="O1161" s="20"/>
      <c r="P1161" s="20"/>
      <c r="Q1161" s="20"/>
      <c r="R1161" s="20"/>
      <c r="S1161" s="20"/>
      <c r="T1161" s="20"/>
      <c r="U1161" s="20"/>
      <c r="V1161" s="20"/>
      <c r="W1161" s="20"/>
      <c r="X1161" s="20"/>
      <c r="Y1161" s="20"/>
      <c r="Z1161" s="20"/>
      <c r="AA1161" s="20"/>
      <c r="AB1161" s="20"/>
      <c r="AC1161" s="20"/>
      <c r="AD1161" s="20"/>
      <c r="AE1161" s="20"/>
      <c r="AF1161" s="20"/>
      <c r="AG1161" s="20"/>
      <c r="AH1161" s="20"/>
      <c r="AI1161" s="20"/>
      <c r="AJ1161" s="20"/>
      <c r="AK1161" s="20"/>
      <c r="AL1161" s="20"/>
      <c r="AM1161" s="20"/>
      <c r="AN1161" s="20"/>
      <c r="AO1161" s="20"/>
      <c r="AP1161" s="20"/>
      <c r="AQ1161" s="20"/>
      <c r="AR1161" s="20"/>
      <c r="AS1161" s="20"/>
      <c r="AT1161" s="20"/>
      <c r="AU1161" s="20"/>
      <c r="AV1161" s="20"/>
      <c r="AW1161" s="20"/>
      <c r="AX1161" s="20"/>
      <c r="AY1161" s="20"/>
      <c r="AZ1161" s="20"/>
      <c r="BA1161" s="20"/>
      <c r="BB1161" s="20"/>
      <c r="BC1161" s="20"/>
      <c r="BD1161" s="20"/>
      <c r="BE1161" s="20"/>
      <c r="BF1161" s="20"/>
      <c r="BG1161" s="20"/>
      <c r="BH1161" s="20"/>
      <c r="BI1161" s="20"/>
      <c r="BJ1161" s="20"/>
      <c r="BK1161" s="20"/>
      <c r="BL1161" s="20"/>
      <c r="BM1161" s="20"/>
      <c r="BN1161" s="20"/>
      <c r="BO1161" s="20"/>
      <c r="BP1161" s="20"/>
      <c r="BQ1161" s="20"/>
      <c r="BR1161" s="20"/>
      <c r="BS1161" s="20"/>
      <c r="BT1161" s="20"/>
      <c r="BU1161" s="20"/>
      <c r="BV1161" s="20"/>
      <c r="BW1161" s="20"/>
      <c r="BX1161" s="20"/>
      <c r="BY1161" s="20"/>
      <c r="BZ1161" s="20"/>
      <c r="CA1161" s="20"/>
      <c r="CB1161" s="21"/>
      <c r="CC1161" s="27" t="str">
        <f t="shared" si="198"/>
        <v/>
      </c>
      <c r="CD1161" s="38" t="str">
        <f t="shared" si="199"/>
        <v/>
      </c>
      <c r="CE1161" s="38" t="str">
        <f t="shared" si="200"/>
        <v/>
      </c>
      <c r="CF1161" s="38" t="str">
        <f t="shared" si="201"/>
        <v/>
      </c>
      <c r="CG1161" s="38" t="str">
        <f t="shared" si="202"/>
        <v/>
      </c>
      <c r="CH1161" s="38" t="str">
        <f t="shared" si="203"/>
        <v/>
      </c>
      <c r="CI1161" s="38" t="str">
        <f t="shared" si="204"/>
        <v/>
      </c>
      <c r="CJ1161" s="38" t="str">
        <f t="shared" si="205"/>
        <v/>
      </c>
      <c r="CK1161" s="38" t="str">
        <f t="shared" si="206"/>
        <v/>
      </c>
      <c r="CL1161" s="38" t="str">
        <f>IF(C1161="","",IF(COUNT(G1161:AZ1161)&lt;46,"",SUMPRODUCT(CC1161:CK1161,'تنظیمات وزن‌دهی'!$C$5:$C$13)/100))</f>
        <v/>
      </c>
      <c r="CM1161" s="38" t="str">
        <f t="shared" si="207"/>
        <v/>
      </c>
      <c r="CN1161" s="38">
        <v>5</v>
      </c>
      <c r="CO1161" s="28" t="str">
        <f t="shared" si="208"/>
        <v/>
      </c>
      <c r="CP1161" s="58"/>
    </row>
    <row r="1162" spans="1:94" ht="17.25" hidden="1">
      <c r="A1162" s="33">
        <v>1158</v>
      </c>
      <c r="B1162" s="55" t="s">
        <v>188</v>
      </c>
      <c r="C1162" s="55" t="str">
        <f>IF(دانش‌آموزان!E101="","",دانش‌آموزان!B101)</f>
        <v/>
      </c>
      <c r="D1162" s="55" t="str">
        <f>IF(دانش‌آموزان!C101="","",دانش‌آموزان!C101)</f>
        <v/>
      </c>
      <c r="E1162" s="55" t="str">
        <f>IF(دانش‌آموزان!E101="","",دانش‌آموزان!E101&amp;" "&amp;دانش‌آموزان!F101)</f>
        <v/>
      </c>
      <c r="F1162" s="34" t="str">
        <f>IF(دانش‌آموزان!I101="","",دانش‌آموزان!I101)</f>
        <v/>
      </c>
      <c r="G1162" s="19"/>
      <c r="H1162" s="20"/>
      <c r="I1162" s="20"/>
      <c r="J1162" s="20"/>
      <c r="K1162" s="20"/>
      <c r="L1162" s="20"/>
      <c r="M1162" s="20"/>
      <c r="N1162" s="20"/>
      <c r="O1162" s="20"/>
      <c r="P1162" s="20"/>
      <c r="Q1162" s="20"/>
      <c r="R1162" s="20"/>
      <c r="S1162" s="20"/>
      <c r="T1162" s="20"/>
      <c r="U1162" s="20"/>
      <c r="V1162" s="20"/>
      <c r="W1162" s="20"/>
      <c r="X1162" s="20"/>
      <c r="Y1162" s="20"/>
      <c r="Z1162" s="20"/>
      <c r="AA1162" s="20"/>
      <c r="AB1162" s="20"/>
      <c r="AC1162" s="20"/>
      <c r="AD1162" s="20"/>
      <c r="AE1162" s="20"/>
      <c r="AF1162" s="20"/>
      <c r="AG1162" s="20"/>
      <c r="AH1162" s="20"/>
      <c r="AI1162" s="20"/>
      <c r="AJ1162" s="20"/>
      <c r="AK1162" s="20"/>
      <c r="AL1162" s="20"/>
      <c r="AM1162" s="20"/>
      <c r="AN1162" s="20"/>
      <c r="AO1162" s="20"/>
      <c r="AP1162" s="20"/>
      <c r="AQ1162" s="20"/>
      <c r="AR1162" s="20"/>
      <c r="AS1162" s="20"/>
      <c r="AT1162" s="20"/>
      <c r="AU1162" s="20"/>
      <c r="AV1162" s="20"/>
      <c r="AW1162" s="20"/>
      <c r="AX1162" s="20"/>
      <c r="AY1162" s="20"/>
      <c r="AZ1162" s="20"/>
      <c r="BA1162" s="20"/>
      <c r="BB1162" s="20"/>
      <c r="BC1162" s="20"/>
      <c r="BD1162" s="20"/>
      <c r="BE1162" s="20"/>
      <c r="BF1162" s="20"/>
      <c r="BG1162" s="20"/>
      <c r="BH1162" s="20"/>
      <c r="BI1162" s="20"/>
      <c r="BJ1162" s="20"/>
      <c r="BK1162" s="20"/>
      <c r="BL1162" s="20"/>
      <c r="BM1162" s="20"/>
      <c r="BN1162" s="20"/>
      <c r="BO1162" s="20"/>
      <c r="BP1162" s="20"/>
      <c r="BQ1162" s="20"/>
      <c r="BR1162" s="20"/>
      <c r="BS1162" s="20"/>
      <c r="BT1162" s="20"/>
      <c r="BU1162" s="20"/>
      <c r="BV1162" s="20"/>
      <c r="BW1162" s="20"/>
      <c r="BX1162" s="20"/>
      <c r="BY1162" s="20"/>
      <c r="BZ1162" s="20"/>
      <c r="CA1162" s="20"/>
      <c r="CB1162" s="21"/>
      <c r="CC1162" s="27" t="str">
        <f t="shared" si="198"/>
        <v/>
      </c>
      <c r="CD1162" s="38" t="str">
        <f t="shared" si="199"/>
        <v/>
      </c>
      <c r="CE1162" s="38" t="str">
        <f t="shared" si="200"/>
        <v/>
      </c>
      <c r="CF1162" s="38" t="str">
        <f t="shared" si="201"/>
        <v/>
      </c>
      <c r="CG1162" s="38" t="str">
        <f t="shared" si="202"/>
        <v/>
      </c>
      <c r="CH1162" s="38" t="str">
        <f t="shared" si="203"/>
        <v/>
      </c>
      <c r="CI1162" s="38" t="str">
        <f t="shared" si="204"/>
        <v/>
      </c>
      <c r="CJ1162" s="38" t="str">
        <f t="shared" si="205"/>
        <v/>
      </c>
      <c r="CK1162" s="38" t="str">
        <f t="shared" si="206"/>
        <v/>
      </c>
      <c r="CL1162" s="38" t="str">
        <f>IF(C1162="","",IF(COUNT(G1162:AZ1162)&lt;46,"",SUMPRODUCT(CC1162:CK1162,'تنظیمات وزن‌دهی'!$C$5:$C$13)/100))</f>
        <v/>
      </c>
      <c r="CM1162" s="38" t="str">
        <f t="shared" si="207"/>
        <v/>
      </c>
      <c r="CN1162" s="38">
        <v>6</v>
      </c>
      <c r="CO1162" s="28" t="str">
        <f t="shared" si="208"/>
        <v/>
      </c>
      <c r="CP1162" s="58"/>
    </row>
    <row r="1163" spans="1:94" ht="17.25" hidden="1">
      <c r="A1163" s="33">
        <v>1159</v>
      </c>
      <c r="B1163" s="55" t="s">
        <v>189</v>
      </c>
      <c r="C1163" s="55" t="str">
        <f>IF(دانش‌آموزان!E101="","",دانش‌آموزان!B101)</f>
        <v/>
      </c>
      <c r="D1163" s="55" t="str">
        <f>IF(دانش‌آموزان!C101="","",دانش‌آموزان!C101)</f>
        <v/>
      </c>
      <c r="E1163" s="55" t="str">
        <f>IF(دانش‌آموزان!E101="","",دانش‌آموزان!E101&amp;" "&amp;دانش‌آموزان!F101)</f>
        <v/>
      </c>
      <c r="F1163" s="34" t="str">
        <f>IF(دانش‌آموزان!I101="","",دانش‌آموزان!I101)</f>
        <v/>
      </c>
      <c r="G1163" s="19"/>
      <c r="H1163" s="20"/>
      <c r="I1163" s="20"/>
      <c r="J1163" s="20"/>
      <c r="K1163" s="20"/>
      <c r="L1163" s="20"/>
      <c r="M1163" s="20"/>
      <c r="N1163" s="20"/>
      <c r="O1163" s="20"/>
      <c r="P1163" s="20"/>
      <c r="Q1163" s="20"/>
      <c r="R1163" s="20"/>
      <c r="S1163" s="20"/>
      <c r="T1163" s="20"/>
      <c r="U1163" s="20"/>
      <c r="V1163" s="20"/>
      <c r="W1163" s="20"/>
      <c r="X1163" s="20"/>
      <c r="Y1163" s="20"/>
      <c r="Z1163" s="20"/>
      <c r="AA1163" s="20"/>
      <c r="AB1163" s="20"/>
      <c r="AC1163" s="20"/>
      <c r="AD1163" s="20"/>
      <c r="AE1163" s="20"/>
      <c r="AF1163" s="20"/>
      <c r="AG1163" s="20"/>
      <c r="AH1163" s="20"/>
      <c r="AI1163" s="20"/>
      <c r="AJ1163" s="20"/>
      <c r="AK1163" s="20"/>
      <c r="AL1163" s="20"/>
      <c r="AM1163" s="20"/>
      <c r="AN1163" s="20"/>
      <c r="AO1163" s="20"/>
      <c r="AP1163" s="20"/>
      <c r="AQ1163" s="20"/>
      <c r="AR1163" s="20"/>
      <c r="AS1163" s="20"/>
      <c r="AT1163" s="20"/>
      <c r="AU1163" s="20"/>
      <c r="AV1163" s="20"/>
      <c r="AW1163" s="20"/>
      <c r="AX1163" s="20"/>
      <c r="AY1163" s="20"/>
      <c r="AZ1163" s="20"/>
      <c r="BA1163" s="20"/>
      <c r="BB1163" s="20"/>
      <c r="BC1163" s="20"/>
      <c r="BD1163" s="20"/>
      <c r="BE1163" s="20"/>
      <c r="BF1163" s="20"/>
      <c r="BG1163" s="20"/>
      <c r="BH1163" s="20"/>
      <c r="BI1163" s="20"/>
      <c r="BJ1163" s="20"/>
      <c r="BK1163" s="20"/>
      <c r="BL1163" s="20"/>
      <c r="BM1163" s="20"/>
      <c r="BN1163" s="20"/>
      <c r="BO1163" s="20"/>
      <c r="BP1163" s="20"/>
      <c r="BQ1163" s="20"/>
      <c r="BR1163" s="20"/>
      <c r="BS1163" s="20"/>
      <c r="BT1163" s="20"/>
      <c r="BU1163" s="20"/>
      <c r="BV1163" s="20"/>
      <c r="BW1163" s="20"/>
      <c r="BX1163" s="20"/>
      <c r="BY1163" s="20"/>
      <c r="BZ1163" s="20"/>
      <c r="CA1163" s="20"/>
      <c r="CB1163" s="21"/>
      <c r="CC1163" s="27" t="str">
        <f t="shared" si="198"/>
        <v/>
      </c>
      <c r="CD1163" s="38" t="str">
        <f t="shared" si="199"/>
        <v/>
      </c>
      <c r="CE1163" s="38" t="str">
        <f t="shared" si="200"/>
        <v/>
      </c>
      <c r="CF1163" s="38" t="str">
        <f t="shared" si="201"/>
        <v/>
      </c>
      <c r="CG1163" s="38" t="str">
        <f t="shared" si="202"/>
        <v/>
      </c>
      <c r="CH1163" s="38" t="str">
        <f t="shared" si="203"/>
        <v/>
      </c>
      <c r="CI1163" s="38" t="str">
        <f t="shared" si="204"/>
        <v/>
      </c>
      <c r="CJ1163" s="38" t="str">
        <f t="shared" si="205"/>
        <v/>
      </c>
      <c r="CK1163" s="38" t="str">
        <f t="shared" si="206"/>
        <v/>
      </c>
      <c r="CL1163" s="38" t="str">
        <f>IF(C1163="","",IF(COUNT(G1163:AZ1163)&lt;46,"",SUMPRODUCT(CC1163:CK1163,'تنظیمات وزن‌دهی'!$C$5:$C$13)/100))</f>
        <v/>
      </c>
      <c r="CM1163" s="38" t="str">
        <f t="shared" si="207"/>
        <v/>
      </c>
      <c r="CN1163" s="38">
        <v>7</v>
      </c>
      <c r="CO1163" s="28" t="str">
        <f t="shared" si="208"/>
        <v/>
      </c>
      <c r="CP1163" s="58"/>
    </row>
    <row r="1164" spans="1:94" ht="17.25" hidden="1">
      <c r="A1164" s="33">
        <v>1160</v>
      </c>
      <c r="B1164" s="55" t="s">
        <v>190</v>
      </c>
      <c r="C1164" s="55" t="str">
        <f>IF(دانش‌آموزان!E101="","",دانش‌آموزان!B101)</f>
        <v/>
      </c>
      <c r="D1164" s="55" t="str">
        <f>IF(دانش‌آموزان!C101="","",دانش‌آموزان!C101)</f>
        <v/>
      </c>
      <c r="E1164" s="55" t="str">
        <f>IF(دانش‌آموزان!E101="","",دانش‌آموزان!E101&amp;" "&amp;دانش‌آموزان!F101)</f>
        <v/>
      </c>
      <c r="F1164" s="34" t="str">
        <f>IF(دانش‌آموزان!I101="","",دانش‌آموزان!I101)</f>
        <v/>
      </c>
      <c r="G1164" s="19"/>
      <c r="H1164" s="20"/>
      <c r="I1164" s="20"/>
      <c r="J1164" s="20"/>
      <c r="K1164" s="20"/>
      <c r="L1164" s="20"/>
      <c r="M1164" s="20"/>
      <c r="N1164" s="20"/>
      <c r="O1164" s="20"/>
      <c r="P1164" s="20"/>
      <c r="Q1164" s="20"/>
      <c r="R1164" s="20"/>
      <c r="S1164" s="20"/>
      <c r="T1164" s="20"/>
      <c r="U1164" s="20"/>
      <c r="V1164" s="20"/>
      <c r="W1164" s="20"/>
      <c r="X1164" s="20"/>
      <c r="Y1164" s="20"/>
      <c r="Z1164" s="20"/>
      <c r="AA1164" s="20"/>
      <c r="AB1164" s="20"/>
      <c r="AC1164" s="20"/>
      <c r="AD1164" s="20"/>
      <c r="AE1164" s="20"/>
      <c r="AF1164" s="20"/>
      <c r="AG1164" s="20"/>
      <c r="AH1164" s="20"/>
      <c r="AI1164" s="20"/>
      <c r="AJ1164" s="20"/>
      <c r="AK1164" s="20"/>
      <c r="AL1164" s="20"/>
      <c r="AM1164" s="20"/>
      <c r="AN1164" s="20"/>
      <c r="AO1164" s="20"/>
      <c r="AP1164" s="20"/>
      <c r="AQ1164" s="20"/>
      <c r="AR1164" s="20"/>
      <c r="AS1164" s="20"/>
      <c r="AT1164" s="20"/>
      <c r="AU1164" s="20"/>
      <c r="AV1164" s="20"/>
      <c r="AW1164" s="20"/>
      <c r="AX1164" s="20"/>
      <c r="AY1164" s="20"/>
      <c r="AZ1164" s="20"/>
      <c r="BA1164" s="20"/>
      <c r="BB1164" s="20"/>
      <c r="BC1164" s="20"/>
      <c r="BD1164" s="20"/>
      <c r="BE1164" s="20"/>
      <c r="BF1164" s="20"/>
      <c r="BG1164" s="20"/>
      <c r="BH1164" s="20"/>
      <c r="BI1164" s="20"/>
      <c r="BJ1164" s="20"/>
      <c r="BK1164" s="20"/>
      <c r="BL1164" s="20"/>
      <c r="BM1164" s="20"/>
      <c r="BN1164" s="20"/>
      <c r="BO1164" s="20"/>
      <c r="BP1164" s="20"/>
      <c r="BQ1164" s="20"/>
      <c r="BR1164" s="20"/>
      <c r="BS1164" s="20"/>
      <c r="BT1164" s="20"/>
      <c r="BU1164" s="20"/>
      <c r="BV1164" s="20"/>
      <c r="BW1164" s="20"/>
      <c r="BX1164" s="20"/>
      <c r="BY1164" s="20"/>
      <c r="BZ1164" s="20"/>
      <c r="CA1164" s="20"/>
      <c r="CB1164" s="21"/>
      <c r="CC1164" s="27" t="str">
        <f t="shared" si="198"/>
        <v/>
      </c>
      <c r="CD1164" s="38" t="str">
        <f t="shared" si="199"/>
        <v/>
      </c>
      <c r="CE1164" s="38" t="str">
        <f t="shared" si="200"/>
        <v/>
      </c>
      <c r="CF1164" s="38" t="str">
        <f t="shared" si="201"/>
        <v/>
      </c>
      <c r="CG1164" s="38" t="str">
        <f t="shared" si="202"/>
        <v/>
      </c>
      <c r="CH1164" s="38" t="str">
        <f t="shared" si="203"/>
        <v/>
      </c>
      <c r="CI1164" s="38" t="str">
        <f t="shared" si="204"/>
        <v/>
      </c>
      <c r="CJ1164" s="38" t="str">
        <f t="shared" si="205"/>
        <v/>
      </c>
      <c r="CK1164" s="38" t="str">
        <f t="shared" si="206"/>
        <v/>
      </c>
      <c r="CL1164" s="38" t="str">
        <f>IF(C1164="","",IF(COUNT(G1164:AZ1164)&lt;46,"",SUMPRODUCT(CC1164:CK1164,'تنظیمات وزن‌دهی'!$C$5:$C$13)/100))</f>
        <v/>
      </c>
      <c r="CM1164" s="38" t="str">
        <f t="shared" si="207"/>
        <v/>
      </c>
      <c r="CN1164" s="38">
        <v>8</v>
      </c>
      <c r="CO1164" s="28" t="str">
        <f t="shared" si="208"/>
        <v/>
      </c>
      <c r="CP1164" s="58"/>
    </row>
    <row r="1165" spans="1:94" ht="17.25" hidden="1">
      <c r="A1165" s="33">
        <v>1161</v>
      </c>
      <c r="B1165" s="55" t="s">
        <v>191</v>
      </c>
      <c r="C1165" s="55" t="str">
        <f>IF(دانش‌آموزان!E101="","",دانش‌آموزان!B101)</f>
        <v/>
      </c>
      <c r="D1165" s="55" t="str">
        <f>IF(دانش‌آموزان!C101="","",دانش‌آموزان!C101)</f>
        <v/>
      </c>
      <c r="E1165" s="55" t="str">
        <f>IF(دانش‌آموزان!E101="","",دانش‌آموزان!E101&amp;" "&amp;دانش‌آموزان!F101)</f>
        <v/>
      </c>
      <c r="F1165" s="34" t="str">
        <f>IF(دانش‌آموزان!I101="","",دانش‌آموزان!I101)</f>
        <v/>
      </c>
      <c r="G1165" s="19"/>
      <c r="H1165" s="20"/>
      <c r="I1165" s="20"/>
      <c r="J1165" s="20"/>
      <c r="K1165" s="20"/>
      <c r="L1165" s="20"/>
      <c r="M1165" s="20"/>
      <c r="N1165" s="20"/>
      <c r="O1165" s="20"/>
      <c r="P1165" s="20"/>
      <c r="Q1165" s="20"/>
      <c r="R1165" s="20"/>
      <c r="S1165" s="20"/>
      <c r="T1165" s="20"/>
      <c r="U1165" s="20"/>
      <c r="V1165" s="20"/>
      <c r="W1165" s="20"/>
      <c r="X1165" s="20"/>
      <c r="Y1165" s="20"/>
      <c r="Z1165" s="20"/>
      <c r="AA1165" s="20"/>
      <c r="AB1165" s="20"/>
      <c r="AC1165" s="20"/>
      <c r="AD1165" s="20"/>
      <c r="AE1165" s="20"/>
      <c r="AF1165" s="20"/>
      <c r="AG1165" s="20"/>
      <c r="AH1165" s="20"/>
      <c r="AI1165" s="20"/>
      <c r="AJ1165" s="20"/>
      <c r="AK1165" s="20"/>
      <c r="AL1165" s="20"/>
      <c r="AM1165" s="20"/>
      <c r="AN1165" s="20"/>
      <c r="AO1165" s="20"/>
      <c r="AP1165" s="20"/>
      <c r="AQ1165" s="20"/>
      <c r="AR1165" s="20"/>
      <c r="AS1165" s="20"/>
      <c r="AT1165" s="20"/>
      <c r="AU1165" s="20"/>
      <c r="AV1165" s="20"/>
      <c r="AW1165" s="20"/>
      <c r="AX1165" s="20"/>
      <c r="AY1165" s="20"/>
      <c r="AZ1165" s="20"/>
      <c r="BA1165" s="20"/>
      <c r="BB1165" s="20"/>
      <c r="BC1165" s="20"/>
      <c r="BD1165" s="20"/>
      <c r="BE1165" s="20"/>
      <c r="BF1165" s="20"/>
      <c r="BG1165" s="20"/>
      <c r="BH1165" s="20"/>
      <c r="BI1165" s="20"/>
      <c r="BJ1165" s="20"/>
      <c r="BK1165" s="20"/>
      <c r="BL1165" s="20"/>
      <c r="BM1165" s="20"/>
      <c r="BN1165" s="20"/>
      <c r="BO1165" s="20"/>
      <c r="BP1165" s="20"/>
      <c r="BQ1165" s="20"/>
      <c r="BR1165" s="20"/>
      <c r="BS1165" s="20"/>
      <c r="BT1165" s="20"/>
      <c r="BU1165" s="20"/>
      <c r="BV1165" s="20"/>
      <c r="BW1165" s="20"/>
      <c r="BX1165" s="20"/>
      <c r="BY1165" s="20"/>
      <c r="BZ1165" s="20"/>
      <c r="CA1165" s="20"/>
      <c r="CB1165" s="21"/>
      <c r="CC1165" s="27" t="str">
        <f t="shared" si="198"/>
        <v/>
      </c>
      <c r="CD1165" s="38" t="str">
        <f t="shared" si="199"/>
        <v/>
      </c>
      <c r="CE1165" s="38" t="str">
        <f t="shared" si="200"/>
        <v/>
      </c>
      <c r="CF1165" s="38" t="str">
        <f t="shared" si="201"/>
        <v/>
      </c>
      <c r="CG1165" s="38" t="str">
        <f t="shared" si="202"/>
        <v/>
      </c>
      <c r="CH1165" s="38" t="str">
        <f t="shared" si="203"/>
        <v/>
      </c>
      <c r="CI1165" s="38" t="str">
        <f t="shared" si="204"/>
        <v/>
      </c>
      <c r="CJ1165" s="38" t="str">
        <f t="shared" si="205"/>
        <v/>
      </c>
      <c r="CK1165" s="38" t="str">
        <f t="shared" si="206"/>
        <v/>
      </c>
      <c r="CL1165" s="38" t="str">
        <f>IF(C1165="","",IF(COUNT(G1165:AZ1165)&lt;46,"",SUMPRODUCT(CC1165:CK1165,'تنظیمات وزن‌دهی'!$C$5:$C$13)/100))</f>
        <v/>
      </c>
      <c r="CM1165" s="38" t="str">
        <f t="shared" si="207"/>
        <v/>
      </c>
      <c r="CN1165" s="38">
        <v>9</v>
      </c>
      <c r="CO1165" s="28" t="str">
        <f t="shared" si="208"/>
        <v/>
      </c>
      <c r="CP1165" s="58"/>
    </row>
    <row r="1166" spans="1:94" ht="17.25" hidden="1">
      <c r="A1166" s="33">
        <v>1162</v>
      </c>
      <c r="B1166" s="55" t="s">
        <v>192</v>
      </c>
      <c r="C1166" s="55" t="str">
        <f>IF(دانش‌آموزان!E101="","",دانش‌آموزان!B101)</f>
        <v/>
      </c>
      <c r="D1166" s="55" t="str">
        <f>IF(دانش‌آموزان!C101="","",دانش‌آموزان!C101)</f>
        <v/>
      </c>
      <c r="E1166" s="55" t="str">
        <f>IF(دانش‌آموزان!E101="","",دانش‌آموزان!E101&amp;" "&amp;دانش‌آموزان!F101)</f>
        <v/>
      </c>
      <c r="F1166" s="34" t="str">
        <f>IF(دانش‌آموزان!I101="","",دانش‌آموزان!I101)</f>
        <v/>
      </c>
      <c r="G1166" s="19"/>
      <c r="H1166" s="20"/>
      <c r="I1166" s="20"/>
      <c r="J1166" s="20"/>
      <c r="K1166" s="20"/>
      <c r="L1166" s="20"/>
      <c r="M1166" s="20"/>
      <c r="N1166" s="20"/>
      <c r="O1166" s="20"/>
      <c r="P1166" s="20"/>
      <c r="Q1166" s="20"/>
      <c r="R1166" s="20"/>
      <c r="S1166" s="20"/>
      <c r="T1166" s="20"/>
      <c r="U1166" s="20"/>
      <c r="V1166" s="20"/>
      <c r="W1166" s="20"/>
      <c r="X1166" s="20"/>
      <c r="Y1166" s="20"/>
      <c r="Z1166" s="20"/>
      <c r="AA1166" s="20"/>
      <c r="AB1166" s="20"/>
      <c r="AC1166" s="20"/>
      <c r="AD1166" s="20"/>
      <c r="AE1166" s="20"/>
      <c r="AF1166" s="20"/>
      <c r="AG1166" s="20"/>
      <c r="AH1166" s="20"/>
      <c r="AI1166" s="20"/>
      <c r="AJ1166" s="20"/>
      <c r="AK1166" s="20"/>
      <c r="AL1166" s="20"/>
      <c r="AM1166" s="20"/>
      <c r="AN1166" s="20"/>
      <c r="AO1166" s="20"/>
      <c r="AP1166" s="20"/>
      <c r="AQ1166" s="20"/>
      <c r="AR1166" s="20"/>
      <c r="AS1166" s="20"/>
      <c r="AT1166" s="20"/>
      <c r="AU1166" s="20"/>
      <c r="AV1166" s="20"/>
      <c r="AW1166" s="20"/>
      <c r="AX1166" s="20"/>
      <c r="AY1166" s="20"/>
      <c r="AZ1166" s="20"/>
      <c r="BA1166" s="20"/>
      <c r="BB1166" s="20"/>
      <c r="BC1166" s="20"/>
      <c r="BD1166" s="20"/>
      <c r="BE1166" s="20"/>
      <c r="BF1166" s="20"/>
      <c r="BG1166" s="20"/>
      <c r="BH1166" s="20"/>
      <c r="BI1166" s="20"/>
      <c r="BJ1166" s="20"/>
      <c r="BK1166" s="20"/>
      <c r="BL1166" s="20"/>
      <c r="BM1166" s="20"/>
      <c r="BN1166" s="20"/>
      <c r="BO1166" s="20"/>
      <c r="BP1166" s="20"/>
      <c r="BQ1166" s="20"/>
      <c r="BR1166" s="20"/>
      <c r="BS1166" s="20"/>
      <c r="BT1166" s="20"/>
      <c r="BU1166" s="20"/>
      <c r="BV1166" s="20"/>
      <c r="BW1166" s="20"/>
      <c r="BX1166" s="20"/>
      <c r="BY1166" s="20"/>
      <c r="BZ1166" s="20"/>
      <c r="CA1166" s="20"/>
      <c r="CB1166" s="21"/>
      <c r="CC1166" s="27" t="str">
        <f t="shared" si="198"/>
        <v/>
      </c>
      <c r="CD1166" s="38" t="str">
        <f t="shared" si="199"/>
        <v/>
      </c>
      <c r="CE1166" s="38" t="str">
        <f t="shared" si="200"/>
        <v/>
      </c>
      <c r="CF1166" s="38" t="str">
        <f t="shared" si="201"/>
        <v/>
      </c>
      <c r="CG1166" s="38" t="str">
        <f t="shared" si="202"/>
        <v/>
      </c>
      <c r="CH1166" s="38" t="str">
        <f t="shared" si="203"/>
        <v/>
      </c>
      <c r="CI1166" s="38" t="str">
        <f t="shared" si="204"/>
        <v/>
      </c>
      <c r="CJ1166" s="38" t="str">
        <f t="shared" si="205"/>
        <v/>
      </c>
      <c r="CK1166" s="38" t="str">
        <f t="shared" si="206"/>
        <v/>
      </c>
      <c r="CL1166" s="38" t="str">
        <f>IF(C1166="","",IF(COUNT(G1166:AZ1166)&lt;46,"",SUMPRODUCT(CC1166:CK1166,'تنظیمات وزن‌دهی'!$C$5:$C$13)/100))</f>
        <v/>
      </c>
      <c r="CM1166" s="38" t="str">
        <f t="shared" si="207"/>
        <v/>
      </c>
      <c r="CN1166" s="38">
        <v>10</v>
      </c>
      <c r="CO1166" s="28" t="str">
        <f t="shared" si="208"/>
        <v/>
      </c>
      <c r="CP1166" s="58"/>
    </row>
    <row r="1167" spans="1:94" ht="17.25" hidden="1">
      <c r="A1167" s="33">
        <v>1163</v>
      </c>
      <c r="B1167" s="55" t="s">
        <v>193</v>
      </c>
      <c r="C1167" s="55" t="str">
        <f>IF(دانش‌آموزان!E101="","",دانش‌آموزان!B101)</f>
        <v/>
      </c>
      <c r="D1167" s="55" t="str">
        <f>IF(دانش‌آموزان!C101="","",دانش‌آموزان!C101)</f>
        <v/>
      </c>
      <c r="E1167" s="55" t="str">
        <f>IF(دانش‌آموزان!E101="","",دانش‌آموزان!E101&amp;" "&amp;دانش‌آموزان!F101)</f>
        <v/>
      </c>
      <c r="F1167" s="34" t="str">
        <f>IF(دانش‌آموزان!I101="","",دانش‌آموزان!I101)</f>
        <v/>
      </c>
      <c r="G1167" s="19"/>
      <c r="H1167" s="20"/>
      <c r="I1167" s="20"/>
      <c r="J1167" s="20"/>
      <c r="K1167" s="20"/>
      <c r="L1167" s="20"/>
      <c r="M1167" s="20"/>
      <c r="N1167" s="20"/>
      <c r="O1167" s="20"/>
      <c r="P1167" s="20"/>
      <c r="Q1167" s="20"/>
      <c r="R1167" s="20"/>
      <c r="S1167" s="20"/>
      <c r="T1167" s="20"/>
      <c r="U1167" s="20"/>
      <c r="V1167" s="20"/>
      <c r="W1167" s="20"/>
      <c r="X1167" s="20"/>
      <c r="Y1167" s="20"/>
      <c r="Z1167" s="20"/>
      <c r="AA1167" s="20"/>
      <c r="AB1167" s="20"/>
      <c r="AC1167" s="20"/>
      <c r="AD1167" s="20"/>
      <c r="AE1167" s="20"/>
      <c r="AF1167" s="20"/>
      <c r="AG1167" s="20"/>
      <c r="AH1167" s="20"/>
      <c r="AI1167" s="20"/>
      <c r="AJ1167" s="20"/>
      <c r="AK1167" s="20"/>
      <c r="AL1167" s="20"/>
      <c r="AM1167" s="20"/>
      <c r="AN1167" s="20"/>
      <c r="AO1167" s="20"/>
      <c r="AP1167" s="20"/>
      <c r="AQ1167" s="20"/>
      <c r="AR1167" s="20"/>
      <c r="AS1167" s="20"/>
      <c r="AT1167" s="20"/>
      <c r="AU1167" s="20"/>
      <c r="AV1167" s="20"/>
      <c r="AW1167" s="20"/>
      <c r="AX1167" s="20"/>
      <c r="AY1167" s="20"/>
      <c r="AZ1167" s="20"/>
      <c r="BA1167" s="20"/>
      <c r="BB1167" s="20"/>
      <c r="BC1167" s="20"/>
      <c r="BD1167" s="20"/>
      <c r="BE1167" s="20"/>
      <c r="BF1167" s="20"/>
      <c r="BG1167" s="20"/>
      <c r="BH1167" s="20"/>
      <c r="BI1167" s="20"/>
      <c r="BJ1167" s="20"/>
      <c r="BK1167" s="20"/>
      <c r="BL1167" s="20"/>
      <c r="BM1167" s="20"/>
      <c r="BN1167" s="20"/>
      <c r="BO1167" s="20"/>
      <c r="BP1167" s="20"/>
      <c r="BQ1167" s="20"/>
      <c r="BR1167" s="20"/>
      <c r="BS1167" s="20"/>
      <c r="BT1167" s="20"/>
      <c r="BU1167" s="20"/>
      <c r="BV1167" s="20"/>
      <c r="BW1167" s="20"/>
      <c r="BX1167" s="20"/>
      <c r="BY1167" s="20"/>
      <c r="BZ1167" s="20"/>
      <c r="CA1167" s="20"/>
      <c r="CB1167" s="21"/>
      <c r="CC1167" s="27" t="str">
        <f t="shared" si="198"/>
        <v/>
      </c>
      <c r="CD1167" s="38" t="str">
        <f t="shared" si="199"/>
        <v/>
      </c>
      <c r="CE1167" s="38" t="str">
        <f t="shared" si="200"/>
        <v/>
      </c>
      <c r="CF1167" s="38" t="str">
        <f t="shared" si="201"/>
        <v/>
      </c>
      <c r="CG1167" s="38" t="str">
        <f t="shared" si="202"/>
        <v/>
      </c>
      <c r="CH1167" s="38" t="str">
        <f t="shared" si="203"/>
        <v/>
      </c>
      <c r="CI1167" s="38" t="str">
        <f t="shared" si="204"/>
        <v/>
      </c>
      <c r="CJ1167" s="38" t="str">
        <f t="shared" si="205"/>
        <v/>
      </c>
      <c r="CK1167" s="38" t="str">
        <f t="shared" si="206"/>
        <v/>
      </c>
      <c r="CL1167" s="38" t="str">
        <f>IF(C1167="","",IF(COUNT(G1167:AZ1167)&lt;46,"",SUMPRODUCT(CC1167:CK1167,'تنظیمات وزن‌دهی'!$C$5:$C$13)/100))</f>
        <v/>
      </c>
      <c r="CM1167" s="38" t="str">
        <f t="shared" si="207"/>
        <v/>
      </c>
      <c r="CN1167" s="38">
        <v>11</v>
      </c>
      <c r="CO1167" s="28" t="str">
        <f t="shared" si="208"/>
        <v/>
      </c>
      <c r="CP1167" s="58"/>
    </row>
    <row r="1168" spans="1:94" ht="17.25" hidden="1">
      <c r="A1168" s="33">
        <v>1164</v>
      </c>
      <c r="B1168" s="55" t="s">
        <v>194</v>
      </c>
      <c r="C1168" s="55" t="str">
        <f>IF(دانش‌آموزان!E101="","",دانش‌آموزان!B101)</f>
        <v/>
      </c>
      <c r="D1168" s="55" t="str">
        <f>IF(دانش‌آموزان!C101="","",دانش‌آموزان!C101)</f>
        <v/>
      </c>
      <c r="E1168" s="55" t="str">
        <f>IF(دانش‌آموزان!E101="","",دانش‌آموزان!E101&amp;" "&amp;دانش‌آموزان!F101)</f>
        <v/>
      </c>
      <c r="F1168" s="34" t="str">
        <f>IF(دانش‌آموزان!I101="","",دانش‌آموزان!I101)</f>
        <v/>
      </c>
      <c r="G1168" s="19"/>
      <c r="H1168" s="20"/>
      <c r="I1168" s="20"/>
      <c r="J1168" s="20"/>
      <c r="K1168" s="20"/>
      <c r="L1168" s="20"/>
      <c r="M1168" s="20"/>
      <c r="N1168" s="20"/>
      <c r="O1168" s="20"/>
      <c r="P1168" s="20"/>
      <c r="Q1168" s="20"/>
      <c r="R1168" s="20"/>
      <c r="S1168" s="20"/>
      <c r="T1168" s="20"/>
      <c r="U1168" s="20"/>
      <c r="V1168" s="20"/>
      <c r="W1168" s="20"/>
      <c r="X1168" s="20"/>
      <c r="Y1168" s="20"/>
      <c r="Z1168" s="20"/>
      <c r="AA1168" s="20"/>
      <c r="AB1168" s="20"/>
      <c r="AC1168" s="20"/>
      <c r="AD1168" s="20"/>
      <c r="AE1168" s="20"/>
      <c r="AF1168" s="20"/>
      <c r="AG1168" s="20"/>
      <c r="AH1168" s="20"/>
      <c r="AI1168" s="20"/>
      <c r="AJ1168" s="20"/>
      <c r="AK1168" s="20"/>
      <c r="AL1168" s="20"/>
      <c r="AM1168" s="20"/>
      <c r="AN1168" s="20"/>
      <c r="AO1168" s="20"/>
      <c r="AP1168" s="20"/>
      <c r="AQ1168" s="20"/>
      <c r="AR1168" s="20"/>
      <c r="AS1168" s="20"/>
      <c r="AT1168" s="20"/>
      <c r="AU1168" s="20"/>
      <c r="AV1168" s="20"/>
      <c r="AW1168" s="20"/>
      <c r="AX1168" s="20"/>
      <c r="AY1168" s="20"/>
      <c r="AZ1168" s="20"/>
      <c r="BA1168" s="20"/>
      <c r="BB1168" s="20"/>
      <c r="BC1168" s="20"/>
      <c r="BD1168" s="20"/>
      <c r="BE1168" s="20"/>
      <c r="BF1168" s="20"/>
      <c r="BG1168" s="20"/>
      <c r="BH1168" s="20"/>
      <c r="BI1168" s="20"/>
      <c r="BJ1168" s="20"/>
      <c r="BK1168" s="20"/>
      <c r="BL1168" s="20"/>
      <c r="BM1168" s="20"/>
      <c r="BN1168" s="20"/>
      <c r="BO1168" s="20"/>
      <c r="BP1168" s="20"/>
      <c r="BQ1168" s="20"/>
      <c r="BR1168" s="20"/>
      <c r="BS1168" s="20"/>
      <c r="BT1168" s="20"/>
      <c r="BU1168" s="20"/>
      <c r="BV1168" s="20"/>
      <c r="BW1168" s="20"/>
      <c r="BX1168" s="20"/>
      <c r="BY1168" s="20"/>
      <c r="BZ1168" s="20"/>
      <c r="CA1168" s="20"/>
      <c r="CB1168" s="21"/>
      <c r="CC1168" s="27" t="str">
        <f t="shared" si="198"/>
        <v/>
      </c>
      <c r="CD1168" s="38" t="str">
        <f t="shared" si="199"/>
        <v/>
      </c>
      <c r="CE1168" s="38" t="str">
        <f t="shared" si="200"/>
        <v/>
      </c>
      <c r="CF1168" s="38" t="str">
        <f t="shared" si="201"/>
        <v/>
      </c>
      <c r="CG1168" s="38" t="str">
        <f t="shared" si="202"/>
        <v/>
      </c>
      <c r="CH1168" s="38" t="str">
        <f t="shared" si="203"/>
        <v/>
      </c>
      <c r="CI1168" s="38" t="str">
        <f t="shared" si="204"/>
        <v/>
      </c>
      <c r="CJ1168" s="38" t="str">
        <f t="shared" si="205"/>
        <v/>
      </c>
      <c r="CK1168" s="38" t="str">
        <f t="shared" si="206"/>
        <v/>
      </c>
      <c r="CL1168" s="38" t="str">
        <f>IF(C1168="","",IF(COUNT(G1168:AZ1168)&lt;46,"",SUMPRODUCT(CC1168:CK1168,'تنظیمات وزن‌دهی'!$C$5:$C$13)/100))</f>
        <v/>
      </c>
      <c r="CM1168" s="38" t="str">
        <f t="shared" si="207"/>
        <v/>
      </c>
      <c r="CN1168" s="38">
        <v>12</v>
      </c>
      <c r="CO1168" s="28" t="str">
        <f t="shared" si="208"/>
        <v/>
      </c>
      <c r="CP1168" s="58"/>
    </row>
    <row r="1169" spans="1:94" ht="17.25" hidden="1">
      <c r="A1169" s="33">
        <v>1165</v>
      </c>
      <c r="B1169" s="55" t="s">
        <v>183</v>
      </c>
      <c r="C1169" s="55" t="str">
        <f>IF(دانش‌آموزان!E102="","",دانش‌آموزان!B102)</f>
        <v/>
      </c>
      <c r="D1169" s="55" t="str">
        <f>IF(دانش‌آموزان!C102="","",دانش‌آموزان!C102)</f>
        <v/>
      </c>
      <c r="E1169" s="55" t="str">
        <f>IF(دانش‌آموزان!E102="","",دانش‌آموزان!E102&amp;" "&amp;دانش‌آموزان!F102)</f>
        <v/>
      </c>
      <c r="F1169" s="34" t="str">
        <f>IF(دانش‌آموزان!I102="","",دانش‌آموزان!I102)</f>
        <v/>
      </c>
      <c r="G1169" s="19"/>
      <c r="H1169" s="20"/>
      <c r="I1169" s="20"/>
      <c r="J1169" s="20"/>
      <c r="K1169" s="20"/>
      <c r="L1169" s="20"/>
      <c r="M1169" s="20"/>
      <c r="N1169" s="20"/>
      <c r="O1169" s="20"/>
      <c r="P1169" s="20"/>
      <c r="Q1169" s="20"/>
      <c r="R1169" s="20"/>
      <c r="S1169" s="20"/>
      <c r="T1169" s="20"/>
      <c r="U1169" s="20"/>
      <c r="V1169" s="20"/>
      <c r="W1169" s="20"/>
      <c r="X1169" s="20"/>
      <c r="Y1169" s="20"/>
      <c r="Z1169" s="20"/>
      <c r="AA1169" s="20"/>
      <c r="AB1169" s="20"/>
      <c r="AC1169" s="20"/>
      <c r="AD1169" s="20"/>
      <c r="AE1169" s="20"/>
      <c r="AF1169" s="20"/>
      <c r="AG1169" s="20"/>
      <c r="AH1169" s="20"/>
      <c r="AI1169" s="20"/>
      <c r="AJ1169" s="20"/>
      <c r="AK1169" s="20"/>
      <c r="AL1169" s="20"/>
      <c r="AM1169" s="20"/>
      <c r="AN1169" s="20"/>
      <c r="AO1169" s="20"/>
      <c r="AP1169" s="20"/>
      <c r="AQ1169" s="20"/>
      <c r="AR1169" s="20"/>
      <c r="AS1169" s="20"/>
      <c r="AT1169" s="20"/>
      <c r="AU1169" s="20"/>
      <c r="AV1169" s="20"/>
      <c r="AW1169" s="20"/>
      <c r="AX1169" s="20"/>
      <c r="AY1169" s="20"/>
      <c r="AZ1169" s="20"/>
      <c r="BA1169" s="20"/>
      <c r="BB1169" s="20"/>
      <c r="BC1169" s="20"/>
      <c r="BD1169" s="20"/>
      <c r="BE1169" s="20"/>
      <c r="BF1169" s="20"/>
      <c r="BG1169" s="20"/>
      <c r="BH1169" s="20"/>
      <c r="BI1169" s="20"/>
      <c r="BJ1169" s="20"/>
      <c r="BK1169" s="20"/>
      <c r="BL1169" s="20"/>
      <c r="BM1169" s="20"/>
      <c r="BN1169" s="20"/>
      <c r="BO1169" s="20"/>
      <c r="BP1169" s="20"/>
      <c r="BQ1169" s="20"/>
      <c r="BR1169" s="20"/>
      <c r="BS1169" s="20"/>
      <c r="BT1169" s="20"/>
      <c r="BU1169" s="20"/>
      <c r="BV1169" s="20"/>
      <c r="BW1169" s="20"/>
      <c r="BX1169" s="20"/>
      <c r="BY1169" s="20"/>
      <c r="BZ1169" s="20"/>
      <c r="CA1169" s="20"/>
      <c r="CB1169" s="21"/>
      <c r="CC1169" s="27" t="str">
        <f t="shared" si="198"/>
        <v/>
      </c>
      <c r="CD1169" s="38" t="str">
        <f t="shared" si="199"/>
        <v/>
      </c>
      <c r="CE1169" s="38" t="str">
        <f t="shared" si="200"/>
        <v/>
      </c>
      <c r="CF1169" s="38" t="str">
        <f t="shared" si="201"/>
        <v/>
      </c>
      <c r="CG1169" s="38" t="str">
        <f t="shared" si="202"/>
        <v/>
      </c>
      <c r="CH1169" s="38" t="str">
        <f t="shared" si="203"/>
        <v/>
      </c>
      <c r="CI1169" s="38" t="str">
        <f t="shared" si="204"/>
        <v/>
      </c>
      <c r="CJ1169" s="38" t="str">
        <f t="shared" si="205"/>
        <v/>
      </c>
      <c r="CK1169" s="38" t="str">
        <f t="shared" si="206"/>
        <v/>
      </c>
      <c r="CL1169" s="38" t="str">
        <f>IF(C1169="","",IF(COUNT(G1169:AZ1169)&lt;46,"",SUMPRODUCT(CC1169:CK1169,'تنظیمات وزن‌دهی'!$C$5:$C$13)/100))</f>
        <v/>
      </c>
      <c r="CM1169" s="38" t="str">
        <f t="shared" si="207"/>
        <v/>
      </c>
      <c r="CN1169" s="38">
        <v>1</v>
      </c>
      <c r="CO1169" s="28" t="str">
        <f t="shared" si="208"/>
        <v/>
      </c>
      <c r="CP1169" s="58"/>
    </row>
    <row r="1170" spans="1:94" ht="17.25" hidden="1">
      <c r="A1170" s="33">
        <v>1166</v>
      </c>
      <c r="B1170" s="55" t="s">
        <v>184</v>
      </c>
      <c r="C1170" s="55" t="str">
        <f>IF(دانش‌آموزان!E102="","",دانش‌آموزان!B102)</f>
        <v/>
      </c>
      <c r="D1170" s="55" t="str">
        <f>IF(دانش‌آموزان!C102="","",دانش‌آموزان!C102)</f>
        <v/>
      </c>
      <c r="E1170" s="55" t="str">
        <f>IF(دانش‌آموزان!E102="","",دانش‌آموزان!E102&amp;" "&amp;دانش‌آموزان!F102)</f>
        <v/>
      </c>
      <c r="F1170" s="34" t="str">
        <f>IF(دانش‌آموزان!I102="","",دانش‌آموزان!I102)</f>
        <v/>
      </c>
      <c r="G1170" s="19"/>
      <c r="H1170" s="20"/>
      <c r="I1170" s="20"/>
      <c r="J1170" s="20"/>
      <c r="K1170" s="20"/>
      <c r="L1170" s="20"/>
      <c r="M1170" s="20"/>
      <c r="N1170" s="20"/>
      <c r="O1170" s="20"/>
      <c r="P1170" s="20"/>
      <c r="Q1170" s="20"/>
      <c r="R1170" s="20"/>
      <c r="S1170" s="20"/>
      <c r="T1170" s="20"/>
      <c r="U1170" s="20"/>
      <c r="V1170" s="20"/>
      <c r="W1170" s="20"/>
      <c r="X1170" s="20"/>
      <c r="Y1170" s="20"/>
      <c r="Z1170" s="20"/>
      <c r="AA1170" s="20"/>
      <c r="AB1170" s="20"/>
      <c r="AC1170" s="20"/>
      <c r="AD1170" s="20"/>
      <c r="AE1170" s="20"/>
      <c r="AF1170" s="20"/>
      <c r="AG1170" s="20"/>
      <c r="AH1170" s="20"/>
      <c r="AI1170" s="20"/>
      <c r="AJ1170" s="20"/>
      <c r="AK1170" s="20"/>
      <c r="AL1170" s="20"/>
      <c r="AM1170" s="20"/>
      <c r="AN1170" s="20"/>
      <c r="AO1170" s="20"/>
      <c r="AP1170" s="20"/>
      <c r="AQ1170" s="20"/>
      <c r="AR1170" s="20"/>
      <c r="AS1170" s="20"/>
      <c r="AT1170" s="20"/>
      <c r="AU1170" s="20"/>
      <c r="AV1170" s="20"/>
      <c r="AW1170" s="20"/>
      <c r="AX1170" s="20"/>
      <c r="AY1170" s="20"/>
      <c r="AZ1170" s="20"/>
      <c r="BA1170" s="20"/>
      <c r="BB1170" s="20"/>
      <c r="BC1170" s="20"/>
      <c r="BD1170" s="20"/>
      <c r="BE1170" s="20"/>
      <c r="BF1170" s="20"/>
      <c r="BG1170" s="20"/>
      <c r="BH1170" s="20"/>
      <c r="BI1170" s="20"/>
      <c r="BJ1170" s="20"/>
      <c r="BK1170" s="20"/>
      <c r="BL1170" s="20"/>
      <c r="BM1170" s="20"/>
      <c r="BN1170" s="20"/>
      <c r="BO1170" s="20"/>
      <c r="BP1170" s="20"/>
      <c r="BQ1170" s="20"/>
      <c r="BR1170" s="20"/>
      <c r="BS1170" s="20"/>
      <c r="BT1170" s="20"/>
      <c r="BU1170" s="20"/>
      <c r="BV1170" s="20"/>
      <c r="BW1170" s="20"/>
      <c r="BX1170" s="20"/>
      <c r="BY1170" s="20"/>
      <c r="BZ1170" s="20"/>
      <c r="CA1170" s="20"/>
      <c r="CB1170" s="21"/>
      <c r="CC1170" s="27" t="str">
        <f t="shared" si="198"/>
        <v/>
      </c>
      <c r="CD1170" s="38" t="str">
        <f t="shared" si="199"/>
        <v/>
      </c>
      <c r="CE1170" s="38" t="str">
        <f t="shared" si="200"/>
        <v/>
      </c>
      <c r="CF1170" s="38" t="str">
        <f t="shared" si="201"/>
        <v/>
      </c>
      <c r="CG1170" s="38" t="str">
        <f t="shared" si="202"/>
        <v/>
      </c>
      <c r="CH1170" s="38" t="str">
        <f t="shared" si="203"/>
        <v/>
      </c>
      <c r="CI1170" s="38" t="str">
        <f t="shared" si="204"/>
        <v/>
      </c>
      <c r="CJ1170" s="38" t="str">
        <f t="shared" si="205"/>
        <v/>
      </c>
      <c r="CK1170" s="38" t="str">
        <f t="shared" si="206"/>
        <v/>
      </c>
      <c r="CL1170" s="38" t="str">
        <f>IF(C1170="","",IF(COUNT(G1170:AZ1170)&lt;46,"",SUMPRODUCT(CC1170:CK1170,'تنظیمات وزن‌دهی'!$C$5:$C$13)/100))</f>
        <v/>
      </c>
      <c r="CM1170" s="38" t="str">
        <f t="shared" si="207"/>
        <v/>
      </c>
      <c r="CN1170" s="38">
        <v>2</v>
      </c>
      <c r="CO1170" s="28" t="str">
        <f t="shared" si="208"/>
        <v/>
      </c>
      <c r="CP1170" s="58"/>
    </row>
    <row r="1171" spans="1:94" ht="17.25">
      <c r="A1171" s="33">
        <v>1167</v>
      </c>
      <c r="B1171" s="55" t="s">
        <v>185</v>
      </c>
      <c r="C1171" s="55" t="str">
        <f>IF(دانش‌آموزان!E102="","",دانش‌آموزان!B102)</f>
        <v/>
      </c>
      <c r="D1171" s="55" t="str">
        <f>IF(دانش‌آموزان!C102="","",دانش‌آموزان!C102)</f>
        <v/>
      </c>
      <c r="E1171" s="55" t="str">
        <f>IF(دانش‌آموزان!E102="","",دانش‌آموزان!E102&amp;" "&amp;دانش‌آموزان!F102)</f>
        <v/>
      </c>
      <c r="F1171" s="34" t="str">
        <f>IF(دانش‌آموزان!I102="","",دانش‌آموزان!I102)</f>
        <v/>
      </c>
      <c r="G1171" s="19"/>
      <c r="H1171" s="20"/>
      <c r="I1171" s="20"/>
      <c r="J1171" s="20"/>
      <c r="K1171" s="20"/>
      <c r="L1171" s="20"/>
      <c r="M1171" s="20"/>
      <c r="N1171" s="20"/>
      <c r="O1171" s="20"/>
      <c r="P1171" s="20"/>
      <c r="Q1171" s="20"/>
      <c r="R1171" s="20"/>
      <c r="S1171" s="20"/>
      <c r="T1171" s="20"/>
      <c r="U1171" s="20"/>
      <c r="V1171" s="20"/>
      <c r="W1171" s="20"/>
      <c r="X1171" s="20"/>
      <c r="Y1171" s="20"/>
      <c r="Z1171" s="20"/>
      <c r="AA1171" s="20"/>
      <c r="AB1171" s="20"/>
      <c r="AC1171" s="20"/>
      <c r="AD1171" s="20"/>
      <c r="AE1171" s="20"/>
      <c r="AF1171" s="20"/>
      <c r="AG1171" s="20"/>
      <c r="AH1171" s="20"/>
      <c r="AI1171" s="20"/>
      <c r="AJ1171" s="20"/>
      <c r="AK1171" s="20"/>
      <c r="AL1171" s="20"/>
      <c r="AM1171" s="20"/>
      <c r="AN1171" s="20"/>
      <c r="AO1171" s="20"/>
      <c r="AP1171" s="20"/>
      <c r="AQ1171" s="20"/>
      <c r="AR1171" s="20"/>
      <c r="AS1171" s="20"/>
      <c r="AT1171" s="20"/>
      <c r="AU1171" s="20"/>
      <c r="AV1171" s="20"/>
      <c r="AW1171" s="20"/>
      <c r="AX1171" s="20"/>
      <c r="AY1171" s="20"/>
      <c r="AZ1171" s="20"/>
      <c r="BA1171" s="20"/>
      <c r="BB1171" s="20"/>
      <c r="BC1171" s="20"/>
      <c r="BD1171" s="20"/>
      <c r="BE1171" s="20"/>
      <c r="BF1171" s="20"/>
      <c r="BG1171" s="20"/>
      <c r="BH1171" s="20"/>
      <c r="BI1171" s="20"/>
      <c r="BJ1171" s="20"/>
      <c r="BK1171" s="20"/>
      <c r="BL1171" s="20"/>
      <c r="BM1171" s="20"/>
      <c r="BN1171" s="20"/>
      <c r="BO1171" s="20"/>
      <c r="BP1171" s="20"/>
      <c r="BQ1171" s="20"/>
      <c r="BR1171" s="20"/>
      <c r="BS1171" s="20"/>
      <c r="BT1171" s="20"/>
      <c r="BU1171" s="20"/>
      <c r="BV1171" s="20"/>
      <c r="BW1171" s="20"/>
      <c r="BX1171" s="20"/>
      <c r="BY1171" s="20"/>
      <c r="BZ1171" s="20"/>
      <c r="CA1171" s="20"/>
      <c r="CB1171" s="21"/>
      <c r="CC1171" s="27" t="str">
        <f t="shared" si="198"/>
        <v/>
      </c>
      <c r="CD1171" s="38" t="str">
        <f t="shared" si="199"/>
        <v/>
      </c>
      <c r="CE1171" s="38" t="str">
        <f t="shared" si="200"/>
        <v/>
      </c>
      <c r="CF1171" s="38" t="str">
        <f t="shared" si="201"/>
        <v/>
      </c>
      <c r="CG1171" s="38" t="str">
        <f t="shared" si="202"/>
        <v/>
      </c>
      <c r="CH1171" s="38" t="str">
        <f t="shared" si="203"/>
        <v/>
      </c>
      <c r="CI1171" s="38" t="str">
        <f t="shared" si="204"/>
        <v/>
      </c>
      <c r="CJ1171" s="38" t="str">
        <f t="shared" si="205"/>
        <v/>
      </c>
      <c r="CK1171" s="38" t="str">
        <f t="shared" si="206"/>
        <v/>
      </c>
      <c r="CL1171" s="38" t="str">
        <f>IF(C1171="","",IF(COUNT(G1171:AZ1171)&lt;46,"",SUMPRODUCT(CC1171:CK1171,'تنظیمات وزن‌دهی'!$C$5:$C$13)/100))</f>
        <v/>
      </c>
      <c r="CM1171" s="38" t="str">
        <f t="shared" si="207"/>
        <v/>
      </c>
      <c r="CN1171" s="38">
        <v>3</v>
      </c>
      <c r="CO1171" s="28" t="str">
        <f t="shared" si="208"/>
        <v/>
      </c>
      <c r="CP1171" s="58"/>
    </row>
    <row r="1172" spans="1:94" ht="17.25" hidden="1">
      <c r="A1172" s="33">
        <v>1168</v>
      </c>
      <c r="B1172" s="55" t="s">
        <v>186</v>
      </c>
      <c r="C1172" s="55" t="str">
        <f>IF(دانش‌آموزان!E102="","",دانش‌آموزان!B102)</f>
        <v/>
      </c>
      <c r="D1172" s="55" t="str">
        <f>IF(دانش‌آموزان!C102="","",دانش‌آموزان!C102)</f>
        <v/>
      </c>
      <c r="E1172" s="55" t="str">
        <f>IF(دانش‌آموزان!E102="","",دانش‌آموزان!E102&amp;" "&amp;دانش‌آموزان!F102)</f>
        <v/>
      </c>
      <c r="F1172" s="34" t="str">
        <f>IF(دانش‌آموزان!I102="","",دانش‌آموزان!I102)</f>
        <v/>
      </c>
      <c r="G1172" s="19"/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20"/>
      <c r="T1172" s="20"/>
      <c r="U1172" s="20"/>
      <c r="V1172" s="20"/>
      <c r="W1172" s="20"/>
      <c r="X1172" s="20"/>
      <c r="Y1172" s="20"/>
      <c r="Z1172" s="20"/>
      <c r="AA1172" s="20"/>
      <c r="AB1172" s="20"/>
      <c r="AC1172" s="20"/>
      <c r="AD1172" s="20"/>
      <c r="AE1172" s="20"/>
      <c r="AF1172" s="20"/>
      <c r="AG1172" s="20"/>
      <c r="AH1172" s="20"/>
      <c r="AI1172" s="20"/>
      <c r="AJ1172" s="20"/>
      <c r="AK1172" s="20"/>
      <c r="AL1172" s="20"/>
      <c r="AM1172" s="20"/>
      <c r="AN1172" s="20"/>
      <c r="AO1172" s="20"/>
      <c r="AP1172" s="20"/>
      <c r="AQ1172" s="20"/>
      <c r="AR1172" s="20"/>
      <c r="AS1172" s="20"/>
      <c r="AT1172" s="20"/>
      <c r="AU1172" s="20"/>
      <c r="AV1172" s="20"/>
      <c r="AW1172" s="20"/>
      <c r="AX1172" s="20"/>
      <c r="AY1172" s="20"/>
      <c r="AZ1172" s="20"/>
      <c r="BA1172" s="20"/>
      <c r="BB1172" s="20"/>
      <c r="BC1172" s="20"/>
      <c r="BD1172" s="20"/>
      <c r="BE1172" s="20"/>
      <c r="BF1172" s="20"/>
      <c r="BG1172" s="20"/>
      <c r="BH1172" s="20"/>
      <c r="BI1172" s="20"/>
      <c r="BJ1172" s="20"/>
      <c r="BK1172" s="20"/>
      <c r="BL1172" s="20"/>
      <c r="BM1172" s="20"/>
      <c r="BN1172" s="20"/>
      <c r="BO1172" s="20"/>
      <c r="BP1172" s="20"/>
      <c r="BQ1172" s="20"/>
      <c r="BR1172" s="20"/>
      <c r="BS1172" s="20"/>
      <c r="BT1172" s="20"/>
      <c r="BU1172" s="20"/>
      <c r="BV1172" s="20"/>
      <c r="BW1172" s="20"/>
      <c r="BX1172" s="20"/>
      <c r="BY1172" s="20"/>
      <c r="BZ1172" s="20"/>
      <c r="CA1172" s="20"/>
      <c r="CB1172" s="21"/>
      <c r="CC1172" s="27" t="str">
        <f t="shared" si="198"/>
        <v/>
      </c>
      <c r="CD1172" s="38" t="str">
        <f t="shared" si="199"/>
        <v/>
      </c>
      <c r="CE1172" s="38" t="str">
        <f t="shared" si="200"/>
        <v/>
      </c>
      <c r="CF1172" s="38" t="str">
        <f t="shared" si="201"/>
        <v/>
      </c>
      <c r="CG1172" s="38" t="str">
        <f t="shared" si="202"/>
        <v/>
      </c>
      <c r="CH1172" s="38" t="str">
        <f t="shared" si="203"/>
        <v/>
      </c>
      <c r="CI1172" s="38" t="str">
        <f t="shared" si="204"/>
        <v/>
      </c>
      <c r="CJ1172" s="38" t="str">
        <f t="shared" si="205"/>
        <v/>
      </c>
      <c r="CK1172" s="38" t="str">
        <f t="shared" si="206"/>
        <v/>
      </c>
      <c r="CL1172" s="38" t="str">
        <f>IF(C1172="","",IF(COUNT(G1172:AZ1172)&lt;46,"",SUMPRODUCT(CC1172:CK1172,'تنظیمات وزن‌دهی'!$C$5:$C$13)/100))</f>
        <v/>
      </c>
      <c r="CM1172" s="38" t="str">
        <f t="shared" si="207"/>
        <v/>
      </c>
      <c r="CN1172" s="38">
        <v>4</v>
      </c>
      <c r="CO1172" s="28" t="str">
        <f t="shared" si="208"/>
        <v/>
      </c>
      <c r="CP1172" s="58"/>
    </row>
    <row r="1173" spans="1:94" ht="17.25" hidden="1">
      <c r="A1173" s="33">
        <v>1169</v>
      </c>
      <c r="B1173" s="55" t="s">
        <v>187</v>
      </c>
      <c r="C1173" s="55" t="str">
        <f>IF(دانش‌آموزان!E102="","",دانش‌آموزان!B102)</f>
        <v/>
      </c>
      <c r="D1173" s="55" t="str">
        <f>IF(دانش‌آموزان!C102="","",دانش‌آموزان!C102)</f>
        <v/>
      </c>
      <c r="E1173" s="55" t="str">
        <f>IF(دانش‌آموزان!E102="","",دانش‌آموزان!E102&amp;" "&amp;دانش‌آموزان!F102)</f>
        <v/>
      </c>
      <c r="F1173" s="34" t="str">
        <f>IF(دانش‌آموزان!I102="","",دانش‌آموزان!I102)</f>
        <v/>
      </c>
      <c r="G1173" s="19"/>
      <c r="H1173" s="20"/>
      <c r="I1173" s="20"/>
      <c r="J1173" s="20"/>
      <c r="K1173" s="20"/>
      <c r="L1173" s="20"/>
      <c r="M1173" s="20"/>
      <c r="N1173" s="20"/>
      <c r="O1173" s="20"/>
      <c r="P1173" s="20"/>
      <c r="Q1173" s="20"/>
      <c r="R1173" s="20"/>
      <c r="S1173" s="20"/>
      <c r="T1173" s="20"/>
      <c r="U1173" s="20"/>
      <c r="V1173" s="20"/>
      <c r="W1173" s="20"/>
      <c r="X1173" s="20"/>
      <c r="Y1173" s="20"/>
      <c r="Z1173" s="20"/>
      <c r="AA1173" s="20"/>
      <c r="AB1173" s="20"/>
      <c r="AC1173" s="20"/>
      <c r="AD1173" s="20"/>
      <c r="AE1173" s="20"/>
      <c r="AF1173" s="20"/>
      <c r="AG1173" s="20"/>
      <c r="AH1173" s="20"/>
      <c r="AI1173" s="20"/>
      <c r="AJ1173" s="20"/>
      <c r="AK1173" s="20"/>
      <c r="AL1173" s="20"/>
      <c r="AM1173" s="20"/>
      <c r="AN1173" s="20"/>
      <c r="AO1173" s="20"/>
      <c r="AP1173" s="20"/>
      <c r="AQ1173" s="20"/>
      <c r="AR1173" s="20"/>
      <c r="AS1173" s="20"/>
      <c r="AT1173" s="20"/>
      <c r="AU1173" s="20"/>
      <c r="AV1173" s="20"/>
      <c r="AW1173" s="20"/>
      <c r="AX1173" s="20"/>
      <c r="AY1173" s="20"/>
      <c r="AZ1173" s="20"/>
      <c r="BA1173" s="20"/>
      <c r="BB1173" s="20"/>
      <c r="BC1173" s="20"/>
      <c r="BD1173" s="20"/>
      <c r="BE1173" s="20"/>
      <c r="BF1173" s="20"/>
      <c r="BG1173" s="20"/>
      <c r="BH1173" s="20"/>
      <c r="BI1173" s="20"/>
      <c r="BJ1173" s="20"/>
      <c r="BK1173" s="20"/>
      <c r="BL1173" s="20"/>
      <c r="BM1173" s="20"/>
      <c r="BN1173" s="20"/>
      <c r="BO1173" s="20"/>
      <c r="BP1173" s="20"/>
      <c r="BQ1173" s="20"/>
      <c r="BR1173" s="20"/>
      <c r="BS1173" s="20"/>
      <c r="BT1173" s="20"/>
      <c r="BU1173" s="20"/>
      <c r="BV1173" s="20"/>
      <c r="BW1173" s="20"/>
      <c r="BX1173" s="20"/>
      <c r="BY1173" s="20"/>
      <c r="BZ1173" s="20"/>
      <c r="CA1173" s="20"/>
      <c r="CB1173" s="21"/>
      <c r="CC1173" s="27" t="str">
        <f t="shared" si="198"/>
        <v/>
      </c>
      <c r="CD1173" s="38" t="str">
        <f t="shared" si="199"/>
        <v/>
      </c>
      <c r="CE1173" s="38" t="str">
        <f t="shared" si="200"/>
        <v/>
      </c>
      <c r="CF1173" s="38" t="str">
        <f t="shared" si="201"/>
        <v/>
      </c>
      <c r="CG1173" s="38" t="str">
        <f t="shared" si="202"/>
        <v/>
      </c>
      <c r="CH1173" s="38" t="str">
        <f t="shared" si="203"/>
        <v/>
      </c>
      <c r="CI1173" s="38" t="str">
        <f t="shared" si="204"/>
        <v/>
      </c>
      <c r="CJ1173" s="38" t="str">
        <f t="shared" si="205"/>
        <v/>
      </c>
      <c r="CK1173" s="38" t="str">
        <f t="shared" si="206"/>
        <v/>
      </c>
      <c r="CL1173" s="38" t="str">
        <f>IF(C1173="","",IF(COUNT(G1173:AZ1173)&lt;46,"",SUMPRODUCT(CC1173:CK1173,'تنظیمات وزن‌دهی'!$C$5:$C$13)/100))</f>
        <v/>
      </c>
      <c r="CM1173" s="38" t="str">
        <f t="shared" si="207"/>
        <v/>
      </c>
      <c r="CN1173" s="38">
        <v>5</v>
      </c>
      <c r="CO1173" s="28" t="str">
        <f t="shared" si="208"/>
        <v/>
      </c>
      <c r="CP1173" s="58"/>
    </row>
    <row r="1174" spans="1:94" ht="17.25" hidden="1">
      <c r="A1174" s="33">
        <v>1170</v>
      </c>
      <c r="B1174" s="55" t="s">
        <v>188</v>
      </c>
      <c r="C1174" s="55" t="str">
        <f>IF(دانش‌آموزان!E102="","",دانش‌آموزان!B102)</f>
        <v/>
      </c>
      <c r="D1174" s="55" t="str">
        <f>IF(دانش‌آموزان!C102="","",دانش‌آموزان!C102)</f>
        <v/>
      </c>
      <c r="E1174" s="55" t="str">
        <f>IF(دانش‌آموزان!E102="","",دانش‌آموزان!E102&amp;" "&amp;دانش‌آموزان!F102)</f>
        <v/>
      </c>
      <c r="F1174" s="34" t="str">
        <f>IF(دانش‌آموزان!I102="","",دانش‌آموزان!I102)</f>
        <v/>
      </c>
      <c r="G1174" s="19"/>
      <c r="H1174" s="20"/>
      <c r="I1174" s="20"/>
      <c r="J1174" s="20"/>
      <c r="K1174" s="20"/>
      <c r="L1174" s="20"/>
      <c r="M1174" s="20"/>
      <c r="N1174" s="20"/>
      <c r="O1174" s="20"/>
      <c r="P1174" s="20"/>
      <c r="Q1174" s="20"/>
      <c r="R1174" s="20"/>
      <c r="S1174" s="20"/>
      <c r="T1174" s="20"/>
      <c r="U1174" s="20"/>
      <c r="V1174" s="20"/>
      <c r="W1174" s="20"/>
      <c r="X1174" s="20"/>
      <c r="Y1174" s="20"/>
      <c r="Z1174" s="20"/>
      <c r="AA1174" s="20"/>
      <c r="AB1174" s="20"/>
      <c r="AC1174" s="20"/>
      <c r="AD1174" s="20"/>
      <c r="AE1174" s="20"/>
      <c r="AF1174" s="20"/>
      <c r="AG1174" s="20"/>
      <c r="AH1174" s="20"/>
      <c r="AI1174" s="20"/>
      <c r="AJ1174" s="20"/>
      <c r="AK1174" s="20"/>
      <c r="AL1174" s="20"/>
      <c r="AM1174" s="20"/>
      <c r="AN1174" s="20"/>
      <c r="AO1174" s="20"/>
      <c r="AP1174" s="20"/>
      <c r="AQ1174" s="20"/>
      <c r="AR1174" s="20"/>
      <c r="AS1174" s="20"/>
      <c r="AT1174" s="20"/>
      <c r="AU1174" s="20"/>
      <c r="AV1174" s="20"/>
      <c r="AW1174" s="20"/>
      <c r="AX1174" s="20"/>
      <c r="AY1174" s="20"/>
      <c r="AZ1174" s="20"/>
      <c r="BA1174" s="20"/>
      <c r="BB1174" s="20"/>
      <c r="BC1174" s="20"/>
      <c r="BD1174" s="20"/>
      <c r="BE1174" s="20"/>
      <c r="BF1174" s="20"/>
      <c r="BG1174" s="20"/>
      <c r="BH1174" s="20"/>
      <c r="BI1174" s="20"/>
      <c r="BJ1174" s="20"/>
      <c r="BK1174" s="20"/>
      <c r="BL1174" s="20"/>
      <c r="BM1174" s="20"/>
      <c r="BN1174" s="20"/>
      <c r="BO1174" s="20"/>
      <c r="BP1174" s="20"/>
      <c r="BQ1174" s="20"/>
      <c r="BR1174" s="20"/>
      <c r="BS1174" s="20"/>
      <c r="BT1174" s="20"/>
      <c r="BU1174" s="20"/>
      <c r="BV1174" s="20"/>
      <c r="BW1174" s="20"/>
      <c r="BX1174" s="20"/>
      <c r="BY1174" s="20"/>
      <c r="BZ1174" s="20"/>
      <c r="CA1174" s="20"/>
      <c r="CB1174" s="21"/>
      <c r="CC1174" s="27" t="str">
        <f t="shared" si="198"/>
        <v/>
      </c>
      <c r="CD1174" s="38" t="str">
        <f t="shared" si="199"/>
        <v/>
      </c>
      <c r="CE1174" s="38" t="str">
        <f t="shared" si="200"/>
        <v/>
      </c>
      <c r="CF1174" s="38" t="str">
        <f t="shared" si="201"/>
        <v/>
      </c>
      <c r="CG1174" s="38" t="str">
        <f t="shared" si="202"/>
        <v/>
      </c>
      <c r="CH1174" s="38" t="str">
        <f t="shared" si="203"/>
        <v/>
      </c>
      <c r="CI1174" s="38" t="str">
        <f t="shared" si="204"/>
        <v/>
      </c>
      <c r="CJ1174" s="38" t="str">
        <f t="shared" si="205"/>
        <v/>
      </c>
      <c r="CK1174" s="38" t="str">
        <f t="shared" si="206"/>
        <v/>
      </c>
      <c r="CL1174" s="38" t="str">
        <f>IF(C1174="","",IF(COUNT(G1174:AZ1174)&lt;46,"",SUMPRODUCT(CC1174:CK1174,'تنظیمات وزن‌دهی'!$C$5:$C$13)/100))</f>
        <v/>
      </c>
      <c r="CM1174" s="38" t="str">
        <f t="shared" si="207"/>
        <v/>
      </c>
      <c r="CN1174" s="38">
        <v>6</v>
      </c>
      <c r="CO1174" s="28" t="str">
        <f t="shared" si="208"/>
        <v/>
      </c>
      <c r="CP1174" s="58"/>
    </row>
    <row r="1175" spans="1:94" ht="17.25" hidden="1">
      <c r="A1175" s="33">
        <v>1171</v>
      </c>
      <c r="B1175" s="55" t="s">
        <v>189</v>
      </c>
      <c r="C1175" s="55" t="str">
        <f>IF(دانش‌آموزان!E102="","",دانش‌آموزان!B102)</f>
        <v/>
      </c>
      <c r="D1175" s="55" t="str">
        <f>IF(دانش‌آموزان!C102="","",دانش‌آموزان!C102)</f>
        <v/>
      </c>
      <c r="E1175" s="55" t="str">
        <f>IF(دانش‌آموزان!E102="","",دانش‌آموزان!E102&amp;" "&amp;دانش‌آموزان!F102)</f>
        <v/>
      </c>
      <c r="F1175" s="34" t="str">
        <f>IF(دانش‌آموزان!I102="","",دانش‌آموزان!I102)</f>
        <v/>
      </c>
      <c r="G1175" s="19"/>
      <c r="H1175" s="20"/>
      <c r="I1175" s="20"/>
      <c r="J1175" s="20"/>
      <c r="K1175" s="20"/>
      <c r="L1175" s="20"/>
      <c r="M1175" s="20"/>
      <c r="N1175" s="20"/>
      <c r="O1175" s="20"/>
      <c r="P1175" s="20"/>
      <c r="Q1175" s="20"/>
      <c r="R1175" s="20"/>
      <c r="S1175" s="20"/>
      <c r="T1175" s="20"/>
      <c r="U1175" s="20"/>
      <c r="V1175" s="20"/>
      <c r="W1175" s="20"/>
      <c r="X1175" s="20"/>
      <c r="Y1175" s="20"/>
      <c r="Z1175" s="20"/>
      <c r="AA1175" s="20"/>
      <c r="AB1175" s="20"/>
      <c r="AC1175" s="20"/>
      <c r="AD1175" s="20"/>
      <c r="AE1175" s="20"/>
      <c r="AF1175" s="20"/>
      <c r="AG1175" s="20"/>
      <c r="AH1175" s="20"/>
      <c r="AI1175" s="20"/>
      <c r="AJ1175" s="20"/>
      <c r="AK1175" s="20"/>
      <c r="AL1175" s="20"/>
      <c r="AM1175" s="20"/>
      <c r="AN1175" s="20"/>
      <c r="AO1175" s="20"/>
      <c r="AP1175" s="20"/>
      <c r="AQ1175" s="20"/>
      <c r="AR1175" s="20"/>
      <c r="AS1175" s="20"/>
      <c r="AT1175" s="20"/>
      <c r="AU1175" s="20"/>
      <c r="AV1175" s="20"/>
      <c r="AW1175" s="20"/>
      <c r="AX1175" s="20"/>
      <c r="AY1175" s="20"/>
      <c r="AZ1175" s="20"/>
      <c r="BA1175" s="20"/>
      <c r="BB1175" s="20"/>
      <c r="BC1175" s="20"/>
      <c r="BD1175" s="20"/>
      <c r="BE1175" s="20"/>
      <c r="BF1175" s="20"/>
      <c r="BG1175" s="20"/>
      <c r="BH1175" s="20"/>
      <c r="BI1175" s="20"/>
      <c r="BJ1175" s="20"/>
      <c r="BK1175" s="20"/>
      <c r="BL1175" s="20"/>
      <c r="BM1175" s="20"/>
      <c r="BN1175" s="20"/>
      <c r="BO1175" s="20"/>
      <c r="BP1175" s="20"/>
      <c r="BQ1175" s="20"/>
      <c r="BR1175" s="20"/>
      <c r="BS1175" s="20"/>
      <c r="BT1175" s="20"/>
      <c r="BU1175" s="20"/>
      <c r="BV1175" s="20"/>
      <c r="BW1175" s="20"/>
      <c r="BX1175" s="20"/>
      <c r="BY1175" s="20"/>
      <c r="BZ1175" s="20"/>
      <c r="CA1175" s="20"/>
      <c r="CB1175" s="21"/>
      <c r="CC1175" s="27" t="str">
        <f t="shared" si="198"/>
        <v/>
      </c>
      <c r="CD1175" s="38" t="str">
        <f t="shared" si="199"/>
        <v/>
      </c>
      <c r="CE1175" s="38" t="str">
        <f t="shared" si="200"/>
        <v/>
      </c>
      <c r="CF1175" s="38" t="str">
        <f t="shared" si="201"/>
        <v/>
      </c>
      <c r="CG1175" s="38" t="str">
        <f t="shared" si="202"/>
        <v/>
      </c>
      <c r="CH1175" s="38" t="str">
        <f t="shared" si="203"/>
        <v/>
      </c>
      <c r="CI1175" s="38" t="str">
        <f t="shared" si="204"/>
        <v/>
      </c>
      <c r="CJ1175" s="38" t="str">
        <f t="shared" si="205"/>
        <v/>
      </c>
      <c r="CK1175" s="38" t="str">
        <f t="shared" si="206"/>
        <v/>
      </c>
      <c r="CL1175" s="38" t="str">
        <f>IF(C1175="","",IF(COUNT(G1175:AZ1175)&lt;46,"",SUMPRODUCT(CC1175:CK1175,'تنظیمات وزن‌دهی'!$C$5:$C$13)/100))</f>
        <v/>
      </c>
      <c r="CM1175" s="38" t="str">
        <f t="shared" si="207"/>
        <v/>
      </c>
      <c r="CN1175" s="38">
        <v>7</v>
      </c>
      <c r="CO1175" s="28" t="str">
        <f t="shared" si="208"/>
        <v/>
      </c>
      <c r="CP1175" s="58"/>
    </row>
    <row r="1176" spans="1:94" ht="17.25" hidden="1">
      <c r="A1176" s="33">
        <v>1172</v>
      </c>
      <c r="B1176" s="55" t="s">
        <v>190</v>
      </c>
      <c r="C1176" s="55" t="str">
        <f>IF(دانش‌آموزان!E102="","",دانش‌آموزان!B102)</f>
        <v/>
      </c>
      <c r="D1176" s="55" t="str">
        <f>IF(دانش‌آموزان!C102="","",دانش‌آموزان!C102)</f>
        <v/>
      </c>
      <c r="E1176" s="55" t="str">
        <f>IF(دانش‌آموزان!E102="","",دانش‌آموزان!E102&amp;" "&amp;دانش‌آموزان!F102)</f>
        <v/>
      </c>
      <c r="F1176" s="34" t="str">
        <f>IF(دانش‌آموزان!I102="","",دانش‌آموزان!I102)</f>
        <v/>
      </c>
      <c r="G1176" s="19"/>
      <c r="H1176" s="20"/>
      <c r="I1176" s="20"/>
      <c r="J1176" s="20"/>
      <c r="K1176" s="20"/>
      <c r="L1176" s="20"/>
      <c r="M1176" s="20"/>
      <c r="N1176" s="20"/>
      <c r="O1176" s="20"/>
      <c r="P1176" s="20"/>
      <c r="Q1176" s="20"/>
      <c r="R1176" s="20"/>
      <c r="S1176" s="20"/>
      <c r="T1176" s="20"/>
      <c r="U1176" s="20"/>
      <c r="V1176" s="20"/>
      <c r="W1176" s="20"/>
      <c r="X1176" s="20"/>
      <c r="Y1176" s="20"/>
      <c r="Z1176" s="20"/>
      <c r="AA1176" s="20"/>
      <c r="AB1176" s="20"/>
      <c r="AC1176" s="20"/>
      <c r="AD1176" s="20"/>
      <c r="AE1176" s="20"/>
      <c r="AF1176" s="20"/>
      <c r="AG1176" s="20"/>
      <c r="AH1176" s="20"/>
      <c r="AI1176" s="20"/>
      <c r="AJ1176" s="20"/>
      <c r="AK1176" s="20"/>
      <c r="AL1176" s="20"/>
      <c r="AM1176" s="20"/>
      <c r="AN1176" s="20"/>
      <c r="AO1176" s="20"/>
      <c r="AP1176" s="20"/>
      <c r="AQ1176" s="20"/>
      <c r="AR1176" s="20"/>
      <c r="AS1176" s="20"/>
      <c r="AT1176" s="20"/>
      <c r="AU1176" s="20"/>
      <c r="AV1176" s="20"/>
      <c r="AW1176" s="20"/>
      <c r="AX1176" s="20"/>
      <c r="AY1176" s="20"/>
      <c r="AZ1176" s="20"/>
      <c r="BA1176" s="20"/>
      <c r="BB1176" s="20"/>
      <c r="BC1176" s="20"/>
      <c r="BD1176" s="20"/>
      <c r="BE1176" s="20"/>
      <c r="BF1176" s="20"/>
      <c r="BG1176" s="20"/>
      <c r="BH1176" s="20"/>
      <c r="BI1176" s="20"/>
      <c r="BJ1176" s="20"/>
      <c r="BK1176" s="20"/>
      <c r="BL1176" s="20"/>
      <c r="BM1176" s="20"/>
      <c r="BN1176" s="20"/>
      <c r="BO1176" s="20"/>
      <c r="BP1176" s="20"/>
      <c r="BQ1176" s="20"/>
      <c r="BR1176" s="20"/>
      <c r="BS1176" s="20"/>
      <c r="BT1176" s="20"/>
      <c r="BU1176" s="20"/>
      <c r="BV1176" s="20"/>
      <c r="BW1176" s="20"/>
      <c r="BX1176" s="20"/>
      <c r="BY1176" s="20"/>
      <c r="BZ1176" s="20"/>
      <c r="CA1176" s="20"/>
      <c r="CB1176" s="21"/>
      <c r="CC1176" s="27" t="str">
        <f t="shared" si="198"/>
        <v/>
      </c>
      <c r="CD1176" s="38" t="str">
        <f t="shared" si="199"/>
        <v/>
      </c>
      <c r="CE1176" s="38" t="str">
        <f t="shared" si="200"/>
        <v/>
      </c>
      <c r="CF1176" s="38" t="str">
        <f t="shared" si="201"/>
        <v/>
      </c>
      <c r="CG1176" s="38" t="str">
        <f t="shared" si="202"/>
        <v/>
      </c>
      <c r="CH1176" s="38" t="str">
        <f t="shared" si="203"/>
        <v/>
      </c>
      <c r="CI1176" s="38" t="str">
        <f t="shared" si="204"/>
        <v/>
      </c>
      <c r="CJ1176" s="38" t="str">
        <f t="shared" si="205"/>
        <v/>
      </c>
      <c r="CK1176" s="38" t="str">
        <f t="shared" si="206"/>
        <v/>
      </c>
      <c r="CL1176" s="38" t="str">
        <f>IF(C1176="","",IF(COUNT(G1176:AZ1176)&lt;46,"",SUMPRODUCT(CC1176:CK1176,'تنظیمات وزن‌دهی'!$C$5:$C$13)/100))</f>
        <v/>
      </c>
      <c r="CM1176" s="38" t="str">
        <f t="shared" si="207"/>
        <v/>
      </c>
      <c r="CN1176" s="38">
        <v>8</v>
      </c>
      <c r="CO1176" s="28" t="str">
        <f t="shared" si="208"/>
        <v/>
      </c>
      <c r="CP1176" s="58"/>
    </row>
    <row r="1177" spans="1:94" ht="17.25" hidden="1">
      <c r="A1177" s="33">
        <v>1173</v>
      </c>
      <c r="B1177" s="55" t="s">
        <v>191</v>
      </c>
      <c r="C1177" s="55" t="str">
        <f>IF(دانش‌آموزان!E102="","",دانش‌آموزان!B102)</f>
        <v/>
      </c>
      <c r="D1177" s="55" t="str">
        <f>IF(دانش‌آموزان!C102="","",دانش‌آموزان!C102)</f>
        <v/>
      </c>
      <c r="E1177" s="55" t="str">
        <f>IF(دانش‌آموزان!E102="","",دانش‌آموزان!E102&amp;" "&amp;دانش‌آموزان!F102)</f>
        <v/>
      </c>
      <c r="F1177" s="34" t="str">
        <f>IF(دانش‌آموزان!I102="","",دانش‌آموزان!I102)</f>
        <v/>
      </c>
      <c r="G1177" s="19"/>
      <c r="H1177" s="20"/>
      <c r="I1177" s="20"/>
      <c r="J1177" s="20"/>
      <c r="K1177" s="20"/>
      <c r="L1177" s="20"/>
      <c r="M1177" s="20"/>
      <c r="N1177" s="20"/>
      <c r="O1177" s="20"/>
      <c r="P1177" s="20"/>
      <c r="Q1177" s="20"/>
      <c r="R1177" s="20"/>
      <c r="S1177" s="20"/>
      <c r="T1177" s="20"/>
      <c r="U1177" s="20"/>
      <c r="V1177" s="20"/>
      <c r="W1177" s="20"/>
      <c r="X1177" s="20"/>
      <c r="Y1177" s="20"/>
      <c r="Z1177" s="20"/>
      <c r="AA1177" s="20"/>
      <c r="AB1177" s="20"/>
      <c r="AC1177" s="20"/>
      <c r="AD1177" s="20"/>
      <c r="AE1177" s="20"/>
      <c r="AF1177" s="20"/>
      <c r="AG1177" s="20"/>
      <c r="AH1177" s="20"/>
      <c r="AI1177" s="20"/>
      <c r="AJ1177" s="20"/>
      <c r="AK1177" s="20"/>
      <c r="AL1177" s="20"/>
      <c r="AM1177" s="20"/>
      <c r="AN1177" s="20"/>
      <c r="AO1177" s="20"/>
      <c r="AP1177" s="20"/>
      <c r="AQ1177" s="20"/>
      <c r="AR1177" s="20"/>
      <c r="AS1177" s="20"/>
      <c r="AT1177" s="20"/>
      <c r="AU1177" s="20"/>
      <c r="AV1177" s="20"/>
      <c r="AW1177" s="20"/>
      <c r="AX1177" s="20"/>
      <c r="AY1177" s="20"/>
      <c r="AZ1177" s="20"/>
      <c r="BA1177" s="20"/>
      <c r="BB1177" s="20"/>
      <c r="BC1177" s="20"/>
      <c r="BD1177" s="20"/>
      <c r="BE1177" s="20"/>
      <c r="BF1177" s="20"/>
      <c r="BG1177" s="20"/>
      <c r="BH1177" s="20"/>
      <c r="BI1177" s="20"/>
      <c r="BJ1177" s="20"/>
      <c r="BK1177" s="20"/>
      <c r="BL1177" s="20"/>
      <c r="BM1177" s="20"/>
      <c r="BN1177" s="20"/>
      <c r="BO1177" s="20"/>
      <c r="BP1177" s="20"/>
      <c r="BQ1177" s="20"/>
      <c r="BR1177" s="20"/>
      <c r="BS1177" s="20"/>
      <c r="BT1177" s="20"/>
      <c r="BU1177" s="20"/>
      <c r="BV1177" s="20"/>
      <c r="BW1177" s="20"/>
      <c r="BX1177" s="20"/>
      <c r="BY1177" s="20"/>
      <c r="BZ1177" s="20"/>
      <c r="CA1177" s="20"/>
      <c r="CB1177" s="21"/>
      <c r="CC1177" s="27" t="str">
        <f t="shared" si="198"/>
        <v/>
      </c>
      <c r="CD1177" s="38" t="str">
        <f t="shared" si="199"/>
        <v/>
      </c>
      <c r="CE1177" s="38" t="str">
        <f t="shared" si="200"/>
        <v/>
      </c>
      <c r="CF1177" s="38" t="str">
        <f t="shared" si="201"/>
        <v/>
      </c>
      <c r="CG1177" s="38" t="str">
        <f t="shared" si="202"/>
        <v/>
      </c>
      <c r="CH1177" s="38" t="str">
        <f t="shared" si="203"/>
        <v/>
      </c>
      <c r="CI1177" s="38" t="str">
        <f t="shared" si="204"/>
        <v/>
      </c>
      <c r="CJ1177" s="38" t="str">
        <f t="shared" si="205"/>
        <v/>
      </c>
      <c r="CK1177" s="38" t="str">
        <f t="shared" si="206"/>
        <v/>
      </c>
      <c r="CL1177" s="38" t="str">
        <f>IF(C1177="","",IF(COUNT(G1177:AZ1177)&lt;46,"",SUMPRODUCT(CC1177:CK1177,'تنظیمات وزن‌دهی'!$C$5:$C$13)/100))</f>
        <v/>
      </c>
      <c r="CM1177" s="38" t="str">
        <f t="shared" si="207"/>
        <v/>
      </c>
      <c r="CN1177" s="38">
        <v>9</v>
      </c>
      <c r="CO1177" s="28" t="str">
        <f t="shared" si="208"/>
        <v/>
      </c>
      <c r="CP1177" s="58"/>
    </row>
    <row r="1178" spans="1:94" ht="17.25" hidden="1">
      <c r="A1178" s="33">
        <v>1174</v>
      </c>
      <c r="B1178" s="55" t="s">
        <v>192</v>
      </c>
      <c r="C1178" s="55" t="str">
        <f>IF(دانش‌آموزان!E102="","",دانش‌آموزان!B102)</f>
        <v/>
      </c>
      <c r="D1178" s="55" t="str">
        <f>IF(دانش‌آموزان!C102="","",دانش‌آموزان!C102)</f>
        <v/>
      </c>
      <c r="E1178" s="55" t="str">
        <f>IF(دانش‌آموزان!E102="","",دانش‌آموزان!E102&amp;" "&amp;دانش‌آموزان!F102)</f>
        <v/>
      </c>
      <c r="F1178" s="34" t="str">
        <f>IF(دانش‌آموزان!I102="","",دانش‌آموزان!I102)</f>
        <v/>
      </c>
      <c r="G1178" s="19"/>
      <c r="H1178" s="20"/>
      <c r="I1178" s="20"/>
      <c r="J1178" s="20"/>
      <c r="K1178" s="20"/>
      <c r="L1178" s="20"/>
      <c r="M1178" s="20"/>
      <c r="N1178" s="20"/>
      <c r="O1178" s="20"/>
      <c r="P1178" s="20"/>
      <c r="Q1178" s="20"/>
      <c r="R1178" s="20"/>
      <c r="S1178" s="20"/>
      <c r="T1178" s="20"/>
      <c r="U1178" s="20"/>
      <c r="V1178" s="20"/>
      <c r="W1178" s="20"/>
      <c r="X1178" s="20"/>
      <c r="Y1178" s="20"/>
      <c r="Z1178" s="20"/>
      <c r="AA1178" s="20"/>
      <c r="AB1178" s="20"/>
      <c r="AC1178" s="20"/>
      <c r="AD1178" s="20"/>
      <c r="AE1178" s="20"/>
      <c r="AF1178" s="20"/>
      <c r="AG1178" s="20"/>
      <c r="AH1178" s="20"/>
      <c r="AI1178" s="20"/>
      <c r="AJ1178" s="20"/>
      <c r="AK1178" s="20"/>
      <c r="AL1178" s="20"/>
      <c r="AM1178" s="20"/>
      <c r="AN1178" s="20"/>
      <c r="AO1178" s="20"/>
      <c r="AP1178" s="20"/>
      <c r="AQ1178" s="20"/>
      <c r="AR1178" s="20"/>
      <c r="AS1178" s="20"/>
      <c r="AT1178" s="20"/>
      <c r="AU1178" s="20"/>
      <c r="AV1178" s="20"/>
      <c r="AW1178" s="20"/>
      <c r="AX1178" s="20"/>
      <c r="AY1178" s="20"/>
      <c r="AZ1178" s="20"/>
      <c r="BA1178" s="20"/>
      <c r="BB1178" s="20"/>
      <c r="BC1178" s="20"/>
      <c r="BD1178" s="20"/>
      <c r="BE1178" s="20"/>
      <c r="BF1178" s="20"/>
      <c r="BG1178" s="20"/>
      <c r="BH1178" s="20"/>
      <c r="BI1178" s="20"/>
      <c r="BJ1178" s="20"/>
      <c r="BK1178" s="20"/>
      <c r="BL1178" s="20"/>
      <c r="BM1178" s="20"/>
      <c r="BN1178" s="20"/>
      <c r="BO1178" s="20"/>
      <c r="BP1178" s="20"/>
      <c r="BQ1178" s="20"/>
      <c r="BR1178" s="20"/>
      <c r="BS1178" s="20"/>
      <c r="BT1178" s="20"/>
      <c r="BU1178" s="20"/>
      <c r="BV1178" s="20"/>
      <c r="BW1178" s="20"/>
      <c r="BX1178" s="20"/>
      <c r="BY1178" s="20"/>
      <c r="BZ1178" s="20"/>
      <c r="CA1178" s="20"/>
      <c r="CB1178" s="21"/>
      <c r="CC1178" s="27" t="str">
        <f t="shared" si="198"/>
        <v/>
      </c>
      <c r="CD1178" s="38" t="str">
        <f t="shared" si="199"/>
        <v/>
      </c>
      <c r="CE1178" s="38" t="str">
        <f t="shared" si="200"/>
        <v/>
      </c>
      <c r="CF1178" s="38" t="str">
        <f t="shared" si="201"/>
        <v/>
      </c>
      <c r="CG1178" s="38" t="str">
        <f t="shared" si="202"/>
        <v/>
      </c>
      <c r="CH1178" s="38" t="str">
        <f t="shared" si="203"/>
        <v/>
      </c>
      <c r="CI1178" s="38" t="str">
        <f t="shared" si="204"/>
        <v/>
      </c>
      <c r="CJ1178" s="38" t="str">
        <f t="shared" si="205"/>
        <v/>
      </c>
      <c r="CK1178" s="38" t="str">
        <f t="shared" si="206"/>
        <v/>
      </c>
      <c r="CL1178" s="38" t="str">
        <f>IF(C1178="","",IF(COUNT(G1178:AZ1178)&lt;46,"",SUMPRODUCT(CC1178:CK1178,'تنظیمات وزن‌دهی'!$C$5:$C$13)/100))</f>
        <v/>
      </c>
      <c r="CM1178" s="38" t="str">
        <f t="shared" si="207"/>
        <v/>
      </c>
      <c r="CN1178" s="38">
        <v>10</v>
      </c>
      <c r="CO1178" s="28" t="str">
        <f t="shared" si="208"/>
        <v/>
      </c>
      <c r="CP1178" s="58"/>
    </row>
    <row r="1179" spans="1:94" ht="17.25" hidden="1">
      <c r="A1179" s="33">
        <v>1175</v>
      </c>
      <c r="B1179" s="55" t="s">
        <v>193</v>
      </c>
      <c r="C1179" s="55" t="str">
        <f>IF(دانش‌آموزان!E102="","",دانش‌آموزان!B102)</f>
        <v/>
      </c>
      <c r="D1179" s="55" t="str">
        <f>IF(دانش‌آموزان!C102="","",دانش‌آموزان!C102)</f>
        <v/>
      </c>
      <c r="E1179" s="55" t="str">
        <f>IF(دانش‌آموزان!E102="","",دانش‌آموزان!E102&amp;" "&amp;دانش‌آموزان!F102)</f>
        <v/>
      </c>
      <c r="F1179" s="34" t="str">
        <f>IF(دانش‌آموزان!I102="","",دانش‌آموزان!I102)</f>
        <v/>
      </c>
      <c r="G1179" s="19"/>
      <c r="H1179" s="20"/>
      <c r="I1179" s="20"/>
      <c r="J1179" s="20"/>
      <c r="K1179" s="20"/>
      <c r="L1179" s="20"/>
      <c r="M1179" s="20"/>
      <c r="N1179" s="20"/>
      <c r="O1179" s="20"/>
      <c r="P1179" s="20"/>
      <c r="Q1179" s="20"/>
      <c r="R1179" s="20"/>
      <c r="S1179" s="20"/>
      <c r="T1179" s="20"/>
      <c r="U1179" s="20"/>
      <c r="V1179" s="20"/>
      <c r="W1179" s="20"/>
      <c r="X1179" s="20"/>
      <c r="Y1179" s="20"/>
      <c r="Z1179" s="20"/>
      <c r="AA1179" s="20"/>
      <c r="AB1179" s="20"/>
      <c r="AC1179" s="20"/>
      <c r="AD1179" s="20"/>
      <c r="AE1179" s="20"/>
      <c r="AF1179" s="20"/>
      <c r="AG1179" s="20"/>
      <c r="AH1179" s="20"/>
      <c r="AI1179" s="20"/>
      <c r="AJ1179" s="20"/>
      <c r="AK1179" s="20"/>
      <c r="AL1179" s="20"/>
      <c r="AM1179" s="20"/>
      <c r="AN1179" s="20"/>
      <c r="AO1179" s="20"/>
      <c r="AP1179" s="20"/>
      <c r="AQ1179" s="20"/>
      <c r="AR1179" s="20"/>
      <c r="AS1179" s="20"/>
      <c r="AT1179" s="20"/>
      <c r="AU1179" s="20"/>
      <c r="AV1179" s="20"/>
      <c r="AW1179" s="20"/>
      <c r="AX1179" s="20"/>
      <c r="AY1179" s="20"/>
      <c r="AZ1179" s="20"/>
      <c r="BA1179" s="20"/>
      <c r="BB1179" s="20"/>
      <c r="BC1179" s="20"/>
      <c r="BD1179" s="20"/>
      <c r="BE1179" s="20"/>
      <c r="BF1179" s="20"/>
      <c r="BG1179" s="20"/>
      <c r="BH1179" s="20"/>
      <c r="BI1179" s="20"/>
      <c r="BJ1179" s="20"/>
      <c r="BK1179" s="20"/>
      <c r="BL1179" s="20"/>
      <c r="BM1179" s="20"/>
      <c r="BN1179" s="20"/>
      <c r="BO1179" s="20"/>
      <c r="BP1179" s="20"/>
      <c r="BQ1179" s="20"/>
      <c r="BR1179" s="20"/>
      <c r="BS1179" s="20"/>
      <c r="BT1179" s="20"/>
      <c r="BU1179" s="20"/>
      <c r="BV1179" s="20"/>
      <c r="BW1179" s="20"/>
      <c r="BX1179" s="20"/>
      <c r="BY1179" s="20"/>
      <c r="BZ1179" s="20"/>
      <c r="CA1179" s="20"/>
      <c r="CB1179" s="21"/>
      <c r="CC1179" s="27" t="str">
        <f t="shared" si="198"/>
        <v/>
      </c>
      <c r="CD1179" s="38" t="str">
        <f t="shared" si="199"/>
        <v/>
      </c>
      <c r="CE1179" s="38" t="str">
        <f t="shared" si="200"/>
        <v/>
      </c>
      <c r="CF1179" s="38" t="str">
        <f t="shared" si="201"/>
        <v/>
      </c>
      <c r="CG1179" s="38" t="str">
        <f t="shared" si="202"/>
        <v/>
      </c>
      <c r="CH1179" s="38" t="str">
        <f t="shared" si="203"/>
        <v/>
      </c>
      <c r="CI1179" s="38" t="str">
        <f t="shared" si="204"/>
        <v/>
      </c>
      <c r="CJ1179" s="38" t="str">
        <f t="shared" si="205"/>
        <v/>
      </c>
      <c r="CK1179" s="38" t="str">
        <f t="shared" si="206"/>
        <v/>
      </c>
      <c r="CL1179" s="38" t="str">
        <f>IF(C1179="","",IF(COUNT(G1179:AZ1179)&lt;46,"",SUMPRODUCT(CC1179:CK1179,'تنظیمات وزن‌دهی'!$C$5:$C$13)/100))</f>
        <v/>
      </c>
      <c r="CM1179" s="38" t="str">
        <f t="shared" si="207"/>
        <v/>
      </c>
      <c r="CN1179" s="38">
        <v>11</v>
      </c>
      <c r="CO1179" s="28" t="str">
        <f t="shared" si="208"/>
        <v/>
      </c>
      <c r="CP1179" s="58"/>
    </row>
    <row r="1180" spans="1:94" ht="17.25" hidden="1">
      <c r="A1180" s="33">
        <v>1176</v>
      </c>
      <c r="B1180" s="55" t="s">
        <v>194</v>
      </c>
      <c r="C1180" s="55" t="str">
        <f>IF(دانش‌آموزان!E102="","",دانش‌آموزان!B102)</f>
        <v/>
      </c>
      <c r="D1180" s="55" t="str">
        <f>IF(دانش‌آموزان!C102="","",دانش‌آموزان!C102)</f>
        <v/>
      </c>
      <c r="E1180" s="55" t="str">
        <f>IF(دانش‌آموزان!E102="","",دانش‌آموزان!E102&amp;" "&amp;دانش‌آموزان!F102)</f>
        <v/>
      </c>
      <c r="F1180" s="34" t="str">
        <f>IF(دانش‌آموزان!I102="","",دانش‌آموزان!I102)</f>
        <v/>
      </c>
      <c r="G1180" s="19"/>
      <c r="H1180" s="20"/>
      <c r="I1180" s="20"/>
      <c r="J1180" s="20"/>
      <c r="K1180" s="20"/>
      <c r="L1180" s="20"/>
      <c r="M1180" s="20"/>
      <c r="N1180" s="20"/>
      <c r="O1180" s="20"/>
      <c r="P1180" s="20"/>
      <c r="Q1180" s="20"/>
      <c r="R1180" s="20"/>
      <c r="S1180" s="20"/>
      <c r="T1180" s="20"/>
      <c r="U1180" s="20"/>
      <c r="V1180" s="20"/>
      <c r="W1180" s="20"/>
      <c r="X1180" s="20"/>
      <c r="Y1180" s="20"/>
      <c r="Z1180" s="20"/>
      <c r="AA1180" s="20"/>
      <c r="AB1180" s="20"/>
      <c r="AC1180" s="20"/>
      <c r="AD1180" s="20"/>
      <c r="AE1180" s="20"/>
      <c r="AF1180" s="20"/>
      <c r="AG1180" s="20"/>
      <c r="AH1180" s="20"/>
      <c r="AI1180" s="20"/>
      <c r="AJ1180" s="20"/>
      <c r="AK1180" s="20"/>
      <c r="AL1180" s="20"/>
      <c r="AM1180" s="20"/>
      <c r="AN1180" s="20"/>
      <c r="AO1180" s="20"/>
      <c r="AP1180" s="20"/>
      <c r="AQ1180" s="20"/>
      <c r="AR1180" s="20"/>
      <c r="AS1180" s="20"/>
      <c r="AT1180" s="20"/>
      <c r="AU1180" s="20"/>
      <c r="AV1180" s="20"/>
      <c r="AW1180" s="20"/>
      <c r="AX1180" s="20"/>
      <c r="AY1180" s="20"/>
      <c r="AZ1180" s="20"/>
      <c r="BA1180" s="20"/>
      <c r="BB1180" s="20"/>
      <c r="BC1180" s="20"/>
      <c r="BD1180" s="20"/>
      <c r="BE1180" s="20"/>
      <c r="BF1180" s="20"/>
      <c r="BG1180" s="20"/>
      <c r="BH1180" s="20"/>
      <c r="BI1180" s="20"/>
      <c r="BJ1180" s="20"/>
      <c r="BK1180" s="20"/>
      <c r="BL1180" s="20"/>
      <c r="BM1180" s="20"/>
      <c r="BN1180" s="20"/>
      <c r="BO1180" s="20"/>
      <c r="BP1180" s="20"/>
      <c r="BQ1180" s="20"/>
      <c r="BR1180" s="20"/>
      <c r="BS1180" s="20"/>
      <c r="BT1180" s="20"/>
      <c r="BU1180" s="20"/>
      <c r="BV1180" s="20"/>
      <c r="BW1180" s="20"/>
      <c r="BX1180" s="20"/>
      <c r="BY1180" s="20"/>
      <c r="BZ1180" s="20"/>
      <c r="CA1180" s="20"/>
      <c r="CB1180" s="21"/>
      <c r="CC1180" s="27" t="str">
        <f t="shared" si="198"/>
        <v/>
      </c>
      <c r="CD1180" s="38" t="str">
        <f t="shared" si="199"/>
        <v/>
      </c>
      <c r="CE1180" s="38" t="str">
        <f t="shared" si="200"/>
        <v/>
      </c>
      <c r="CF1180" s="38" t="str">
        <f t="shared" si="201"/>
        <v/>
      </c>
      <c r="CG1180" s="38" t="str">
        <f t="shared" si="202"/>
        <v/>
      </c>
      <c r="CH1180" s="38" t="str">
        <f t="shared" si="203"/>
        <v/>
      </c>
      <c r="CI1180" s="38" t="str">
        <f t="shared" si="204"/>
        <v/>
      </c>
      <c r="CJ1180" s="38" t="str">
        <f t="shared" si="205"/>
        <v/>
      </c>
      <c r="CK1180" s="38" t="str">
        <f t="shared" si="206"/>
        <v/>
      </c>
      <c r="CL1180" s="38" t="str">
        <f>IF(C1180="","",IF(COUNT(G1180:AZ1180)&lt;46,"",SUMPRODUCT(CC1180:CK1180,'تنظیمات وزن‌دهی'!$C$5:$C$13)/100))</f>
        <v/>
      </c>
      <c r="CM1180" s="38" t="str">
        <f t="shared" si="207"/>
        <v/>
      </c>
      <c r="CN1180" s="38">
        <v>12</v>
      </c>
      <c r="CO1180" s="28" t="str">
        <f t="shared" si="208"/>
        <v/>
      </c>
      <c r="CP1180" s="58"/>
    </row>
    <row r="1181" spans="1:94" ht="17.25" hidden="1">
      <c r="A1181" s="33">
        <v>1177</v>
      </c>
      <c r="B1181" s="55" t="s">
        <v>183</v>
      </c>
      <c r="C1181" s="55" t="str">
        <f>IF(دانش‌آموزان!E103="","",دانش‌آموزان!B103)</f>
        <v/>
      </c>
      <c r="D1181" s="55" t="str">
        <f>IF(دانش‌آموزان!C103="","",دانش‌آموزان!C103)</f>
        <v/>
      </c>
      <c r="E1181" s="55" t="str">
        <f>IF(دانش‌آموزان!E103="","",دانش‌آموزان!E103&amp;" "&amp;دانش‌آموزان!F103)</f>
        <v/>
      </c>
      <c r="F1181" s="34" t="str">
        <f>IF(دانش‌آموزان!I103="","",دانش‌آموزان!I103)</f>
        <v/>
      </c>
      <c r="G1181" s="19"/>
      <c r="H1181" s="20"/>
      <c r="I1181" s="20"/>
      <c r="J1181" s="20"/>
      <c r="K1181" s="20"/>
      <c r="L1181" s="20"/>
      <c r="M1181" s="20"/>
      <c r="N1181" s="20"/>
      <c r="O1181" s="20"/>
      <c r="P1181" s="20"/>
      <c r="Q1181" s="20"/>
      <c r="R1181" s="20"/>
      <c r="S1181" s="20"/>
      <c r="T1181" s="20"/>
      <c r="U1181" s="20"/>
      <c r="V1181" s="20"/>
      <c r="W1181" s="20"/>
      <c r="X1181" s="20"/>
      <c r="Y1181" s="20"/>
      <c r="Z1181" s="20"/>
      <c r="AA1181" s="20"/>
      <c r="AB1181" s="20"/>
      <c r="AC1181" s="20"/>
      <c r="AD1181" s="20"/>
      <c r="AE1181" s="20"/>
      <c r="AF1181" s="20"/>
      <c r="AG1181" s="20"/>
      <c r="AH1181" s="20"/>
      <c r="AI1181" s="20"/>
      <c r="AJ1181" s="20"/>
      <c r="AK1181" s="20"/>
      <c r="AL1181" s="20"/>
      <c r="AM1181" s="20"/>
      <c r="AN1181" s="20"/>
      <c r="AO1181" s="20"/>
      <c r="AP1181" s="20"/>
      <c r="AQ1181" s="20"/>
      <c r="AR1181" s="20"/>
      <c r="AS1181" s="20"/>
      <c r="AT1181" s="20"/>
      <c r="AU1181" s="20"/>
      <c r="AV1181" s="20"/>
      <c r="AW1181" s="20"/>
      <c r="AX1181" s="20"/>
      <c r="AY1181" s="20"/>
      <c r="AZ1181" s="20"/>
      <c r="BA1181" s="20"/>
      <c r="BB1181" s="20"/>
      <c r="BC1181" s="20"/>
      <c r="BD1181" s="20"/>
      <c r="BE1181" s="20"/>
      <c r="BF1181" s="20"/>
      <c r="BG1181" s="20"/>
      <c r="BH1181" s="20"/>
      <c r="BI1181" s="20"/>
      <c r="BJ1181" s="20"/>
      <c r="BK1181" s="20"/>
      <c r="BL1181" s="20"/>
      <c r="BM1181" s="20"/>
      <c r="BN1181" s="20"/>
      <c r="BO1181" s="20"/>
      <c r="BP1181" s="20"/>
      <c r="BQ1181" s="20"/>
      <c r="BR1181" s="20"/>
      <c r="BS1181" s="20"/>
      <c r="BT1181" s="20"/>
      <c r="BU1181" s="20"/>
      <c r="BV1181" s="20"/>
      <c r="BW1181" s="20"/>
      <c r="BX1181" s="20"/>
      <c r="BY1181" s="20"/>
      <c r="BZ1181" s="20"/>
      <c r="CA1181" s="20"/>
      <c r="CB1181" s="21"/>
      <c r="CC1181" s="27" t="str">
        <f t="shared" si="198"/>
        <v/>
      </c>
      <c r="CD1181" s="38" t="str">
        <f t="shared" si="199"/>
        <v/>
      </c>
      <c r="CE1181" s="38" t="str">
        <f t="shared" si="200"/>
        <v/>
      </c>
      <c r="CF1181" s="38" t="str">
        <f t="shared" si="201"/>
        <v/>
      </c>
      <c r="CG1181" s="38" t="str">
        <f t="shared" si="202"/>
        <v/>
      </c>
      <c r="CH1181" s="38" t="str">
        <f t="shared" si="203"/>
        <v/>
      </c>
      <c r="CI1181" s="38" t="str">
        <f t="shared" si="204"/>
        <v/>
      </c>
      <c r="CJ1181" s="38" t="str">
        <f t="shared" si="205"/>
        <v/>
      </c>
      <c r="CK1181" s="38" t="str">
        <f t="shared" si="206"/>
        <v/>
      </c>
      <c r="CL1181" s="38" t="str">
        <f>IF(C1181="","",IF(COUNT(G1181:AZ1181)&lt;46,"",SUMPRODUCT(CC1181:CK1181,'تنظیمات وزن‌دهی'!$C$5:$C$13)/100))</f>
        <v/>
      </c>
      <c r="CM1181" s="38" t="str">
        <f t="shared" si="207"/>
        <v/>
      </c>
      <c r="CN1181" s="38">
        <v>1</v>
      </c>
      <c r="CO1181" s="28" t="str">
        <f t="shared" si="208"/>
        <v/>
      </c>
      <c r="CP1181" s="58"/>
    </row>
    <row r="1182" spans="1:94" ht="17.25" hidden="1">
      <c r="A1182" s="33">
        <v>1178</v>
      </c>
      <c r="B1182" s="55" t="s">
        <v>184</v>
      </c>
      <c r="C1182" s="55" t="str">
        <f>IF(دانش‌آموزان!E103="","",دانش‌آموزان!B103)</f>
        <v/>
      </c>
      <c r="D1182" s="55" t="str">
        <f>IF(دانش‌آموزان!C103="","",دانش‌آموزان!C103)</f>
        <v/>
      </c>
      <c r="E1182" s="55" t="str">
        <f>IF(دانش‌آموزان!E103="","",دانش‌آموزان!E103&amp;" "&amp;دانش‌آموزان!F103)</f>
        <v/>
      </c>
      <c r="F1182" s="34" t="str">
        <f>IF(دانش‌آموزان!I103="","",دانش‌آموزان!I103)</f>
        <v/>
      </c>
      <c r="G1182" s="19"/>
      <c r="H1182" s="20"/>
      <c r="I1182" s="20"/>
      <c r="J1182" s="20"/>
      <c r="K1182" s="20"/>
      <c r="L1182" s="20"/>
      <c r="M1182" s="20"/>
      <c r="N1182" s="20"/>
      <c r="O1182" s="20"/>
      <c r="P1182" s="20"/>
      <c r="Q1182" s="20"/>
      <c r="R1182" s="20"/>
      <c r="S1182" s="20"/>
      <c r="T1182" s="20"/>
      <c r="U1182" s="20"/>
      <c r="V1182" s="20"/>
      <c r="W1182" s="20"/>
      <c r="X1182" s="20"/>
      <c r="Y1182" s="20"/>
      <c r="Z1182" s="20"/>
      <c r="AA1182" s="20"/>
      <c r="AB1182" s="20"/>
      <c r="AC1182" s="20"/>
      <c r="AD1182" s="20"/>
      <c r="AE1182" s="20"/>
      <c r="AF1182" s="20"/>
      <c r="AG1182" s="20"/>
      <c r="AH1182" s="20"/>
      <c r="AI1182" s="20"/>
      <c r="AJ1182" s="20"/>
      <c r="AK1182" s="20"/>
      <c r="AL1182" s="20"/>
      <c r="AM1182" s="20"/>
      <c r="AN1182" s="20"/>
      <c r="AO1182" s="20"/>
      <c r="AP1182" s="20"/>
      <c r="AQ1182" s="20"/>
      <c r="AR1182" s="20"/>
      <c r="AS1182" s="20"/>
      <c r="AT1182" s="20"/>
      <c r="AU1182" s="20"/>
      <c r="AV1182" s="20"/>
      <c r="AW1182" s="20"/>
      <c r="AX1182" s="20"/>
      <c r="AY1182" s="20"/>
      <c r="AZ1182" s="20"/>
      <c r="BA1182" s="20"/>
      <c r="BB1182" s="20"/>
      <c r="BC1182" s="20"/>
      <c r="BD1182" s="20"/>
      <c r="BE1182" s="20"/>
      <c r="BF1182" s="20"/>
      <c r="BG1182" s="20"/>
      <c r="BH1182" s="20"/>
      <c r="BI1182" s="20"/>
      <c r="BJ1182" s="20"/>
      <c r="BK1182" s="20"/>
      <c r="BL1182" s="20"/>
      <c r="BM1182" s="20"/>
      <c r="BN1182" s="20"/>
      <c r="BO1182" s="20"/>
      <c r="BP1182" s="20"/>
      <c r="BQ1182" s="20"/>
      <c r="BR1182" s="20"/>
      <c r="BS1182" s="20"/>
      <c r="BT1182" s="20"/>
      <c r="BU1182" s="20"/>
      <c r="BV1182" s="20"/>
      <c r="BW1182" s="20"/>
      <c r="BX1182" s="20"/>
      <c r="BY1182" s="20"/>
      <c r="BZ1182" s="20"/>
      <c r="CA1182" s="20"/>
      <c r="CB1182" s="21"/>
      <c r="CC1182" s="27" t="str">
        <f t="shared" si="198"/>
        <v/>
      </c>
      <c r="CD1182" s="38" t="str">
        <f t="shared" si="199"/>
        <v/>
      </c>
      <c r="CE1182" s="38" t="str">
        <f t="shared" si="200"/>
        <v/>
      </c>
      <c r="CF1182" s="38" t="str">
        <f t="shared" si="201"/>
        <v/>
      </c>
      <c r="CG1182" s="38" t="str">
        <f t="shared" si="202"/>
        <v/>
      </c>
      <c r="CH1182" s="38" t="str">
        <f t="shared" si="203"/>
        <v/>
      </c>
      <c r="CI1182" s="38" t="str">
        <f t="shared" si="204"/>
        <v/>
      </c>
      <c r="CJ1182" s="38" t="str">
        <f t="shared" si="205"/>
        <v/>
      </c>
      <c r="CK1182" s="38" t="str">
        <f t="shared" si="206"/>
        <v/>
      </c>
      <c r="CL1182" s="38" t="str">
        <f>IF(C1182="","",IF(COUNT(G1182:AZ1182)&lt;46,"",SUMPRODUCT(CC1182:CK1182,'تنظیمات وزن‌دهی'!$C$5:$C$13)/100))</f>
        <v/>
      </c>
      <c r="CM1182" s="38" t="str">
        <f t="shared" si="207"/>
        <v/>
      </c>
      <c r="CN1182" s="38">
        <v>2</v>
      </c>
      <c r="CO1182" s="28" t="str">
        <f t="shared" si="208"/>
        <v/>
      </c>
      <c r="CP1182" s="58"/>
    </row>
    <row r="1183" spans="1:94" ht="17.25">
      <c r="A1183" s="33">
        <v>1179</v>
      </c>
      <c r="B1183" s="55" t="s">
        <v>185</v>
      </c>
      <c r="C1183" s="55" t="str">
        <f>IF(دانش‌آموزان!E103="","",دانش‌آموزان!B103)</f>
        <v/>
      </c>
      <c r="D1183" s="55" t="str">
        <f>IF(دانش‌آموزان!C103="","",دانش‌آموزان!C103)</f>
        <v/>
      </c>
      <c r="E1183" s="55" t="str">
        <f>IF(دانش‌آموزان!E103="","",دانش‌آموزان!E103&amp;" "&amp;دانش‌آموزان!F103)</f>
        <v/>
      </c>
      <c r="F1183" s="34" t="str">
        <f>IF(دانش‌آموزان!I103="","",دانش‌آموزان!I103)</f>
        <v/>
      </c>
      <c r="G1183" s="19"/>
      <c r="H1183" s="20"/>
      <c r="I1183" s="20"/>
      <c r="J1183" s="20"/>
      <c r="K1183" s="20"/>
      <c r="L1183" s="20"/>
      <c r="M1183" s="20"/>
      <c r="N1183" s="20"/>
      <c r="O1183" s="20"/>
      <c r="P1183" s="20"/>
      <c r="Q1183" s="20"/>
      <c r="R1183" s="20"/>
      <c r="S1183" s="20"/>
      <c r="T1183" s="20"/>
      <c r="U1183" s="20"/>
      <c r="V1183" s="20"/>
      <c r="W1183" s="20"/>
      <c r="X1183" s="20"/>
      <c r="Y1183" s="20"/>
      <c r="Z1183" s="20"/>
      <c r="AA1183" s="20"/>
      <c r="AB1183" s="20"/>
      <c r="AC1183" s="20"/>
      <c r="AD1183" s="20"/>
      <c r="AE1183" s="20"/>
      <c r="AF1183" s="20"/>
      <c r="AG1183" s="20"/>
      <c r="AH1183" s="20"/>
      <c r="AI1183" s="20"/>
      <c r="AJ1183" s="20"/>
      <c r="AK1183" s="20"/>
      <c r="AL1183" s="20"/>
      <c r="AM1183" s="20"/>
      <c r="AN1183" s="20"/>
      <c r="AO1183" s="20"/>
      <c r="AP1183" s="20"/>
      <c r="AQ1183" s="20"/>
      <c r="AR1183" s="20"/>
      <c r="AS1183" s="20"/>
      <c r="AT1183" s="20"/>
      <c r="AU1183" s="20"/>
      <c r="AV1183" s="20"/>
      <c r="AW1183" s="20"/>
      <c r="AX1183" s="20"/>
      <c r="AY1183" s="20"/>
      <c r="AZ1183" s="20"/>
      <c r="BA1183" s="20"/>
      <c r="BB1183" s="20"/>
      <c r="BC1183" s="20"/>
      <c r="BD1183" s="20"/>
      <c r="BE1183" s="20"/>
      <c r="BF1183" s="20"/>
      <c r="BG1183" s="20"/>
      <c r="BH1183" s="20"/>
      <c r="BI1183" s="20"/>
      <c r="BJ1183" s="20"/>
      <c r="BK1183" s="20"/>
      <c r="BL1183" s="20"/>
      <c r="BM1183" s="20"/>
      <c r="BN1183" s="20"/>
      <c r="BO1183" s="20"/>
      <c r="BP1183" s="20"/>
      <c r="BQ1183" s="20"/>
      <c r="BR1183" s="20"/>
      <c r="BS1183" s="20"/>
      <c r="BT1183" s="20"/>
      <c r="BU1183" s="20"/>
      <c r="BV1183" s="20"/>
      <c r="BW1183" s="20"/>
      <c r="BX1183" s="20"/>
      <c r="BY1183" s="20"/>
      <c r="BZ1183" s="20"/>
      <c r="CA1183" s="20"/>
      <c r="CB1183" s="21"/>
      <c r="CC1183" s="27" t="str">
        <f t="shared" si="198"/>
        <v/>
      </c>
      <c r="CD1183" s="38" t="str">
        <f t="shared" si="199"/>
        <v/>
      </c>
      <c r="CE1183" s="38" t="str">
        <f t="shared" si="200"/>
        <v/>
      </c>
      <c r="CF1183" s="38" t="str">
        <f t="shared" si="201"/>
        <v/>
      </c>
      <c r="CG1183" s="38" t="str">
        <f t="shared" si="202"/>
        <v/>
      </c>
      <c r="CH1183" s="38" t="str">
        <f t="shared" si="203"/>
        <v/>
      </c>
      <c r="CI1183" s="38" t="str">
        <f t="shared" si="204"/>
        <v/>
      </c>
      <c r="CJ1183" s="38" t="str">
        <f t="shared" si="205"/>
        <v/>
      </c>
      <c r="CK1183" s="38" t="str">
        <f t="shared" si="206"/>
        <v/>
      </c>
      <c r="CL1183" s="38" t="str">
        <f>IF(C1183="","",IF(COUNT(G1183:AZ1183)&lt;46,"",SUMPRODUCT(CC1183:CK1183,'تنظیمات وزن‌دهی'!$C$5:$C$13)/100))</f>
        <v/>
      </c>
      <c r="CM1183" s="38" t="str">
        <f t="shared" si="207"/>
        <v/>
      </c>
      <c r="CN1183" s="38">
        <v>3</v>
      </c>
      <c r="CO1183" s="28" t="str">
        <f t="shared" si="208"/>
        <v/>
      </c>
      <c r="CP1183" s="58"/>
    </row>
    <row r="1184" spans="1:94" ht="17.25" hidden="1">
      <c r="A1184" s="33">
        <v>1180</v>
      </c>
      <c r="B1184" s="55" t="s">
        <v>186</v>
      </c>
      <c r="C1184" s="55" t="str">
        <f>IF(دانش‌آموزان!E103="","",دانش‌آموزان!B103)</f>
        <v/>
      </c>
      <c r="D1184" s="55" t="str">
        <f>IF(دانش‌آموزان!C103="","",دانش‌آموزان!C103)</f>
        <v/>
      </c>
      <c r="E1184" s="55" t="str">
        <f>IF(دانش‌آموزان!E103="","",دانش‌آموزان!E103&amp;" "&amp;دانش‌آموزان!F103)</f>
        <v/>
      </c>
      <c r="F1184" s="34" t="str">
        <f>IF(دانش‌آموزان!I103="","",دانش‌آموزان!I103)</f>
        <v/>
      </c>
      <c r="G1184" s="19"/>
      <c r="H1184" s="20"/>
      <c r="I1184" s="20"/>
      <c r="J1184" s="20"/>
      <c r="K1184" s="20"/>
      <c r="L1184" s="20"/>
      <c r="M1184" s="20"/>
      <c r="N1184" s="20"/>
      <c r="O1184" s="20"/>
      <c r="P1184" s="20"/>
      <c r="Q1184" s="20"/>
      <c r="R1184" s="20"/>
      <c r="S1184" s="20"/>
      <c r="T1184" s="20"/>
      <c r="U1184" s="20"/>
      <c r="V1184" s="20"/>
      <c r="W1184" s="20"/>
      <c r="X1184" s="20"/>
      <c r="Y1184" s="20"/>
      <c r="Z1184" s="20"/>
      <c r="AA1184" s="20"/>
      <c r="AB1184" s="20"/>
      <c r="AC1184" s="20"/>
      <c r="AD1184" s="20"/>
      <c r="AE1184" s="20"/>
      <c r="AF1184" s="20"/>
      <c r="AG1184" s="20"/>
      <c r="AH1184" s="20"/>
      <c r="AI1184" s="20"/>
      <c r="AJ1184" s="20"/>
      <c r="AK1184" s="20"/>
      <c r="AL1184" s="20"/>
      <c r="AM1184" s="20"/>
      <c r="AN1184" s="20"/>
      <c r="AO1184" s="20"/>
      <c r="AP1184" s="20"/>
      <c r="AQ1184" s="20"/>
      <c r="AR1184" s="20"/>
      <c r="AS1184" s="20"/>
      <c r="AT1184" s="20"/>
      <c r="AU1184" s="20"/>
      <c r="AV1184" s="20"/>
      <c r="AW1184" s="20"/>
      <c r="AX1184" s="20"/>
      <c r="AY1184" s="20"/>
      <c r="AZ1184" s="20"/>
      <c r="BA1184" s="20"/>
      <c r="BB1184" s="20"/>
      <c r="BC1184" s="20"/>
      <c r="BD1184" s="20"/>
      <c r="BE1184" s="20"/>
      <c r="BF1184" s="20"/>
      <c r="BG1184" s="20"/>
      <c r="BH1184" s="20"/>
      <c r="BI1184" s="20"/>
      <c r="BJ1184" s="20"/>
      <c r="BK1184" s="20"/>
      <c r="BL1184" s="20"/>
      <c r="BM1184" s="20"/>
      <c r="BN1184" s="20"/>
      <c r="BO1184" s="20"/>
      <c r="BP1184" s="20"/>
      <c r="BQ1184" s="20"/>
      <c r="BR1184" s="20"/>
      <c r="BS1184" s="20"/>
      <c r="BT1184" s="20"/>
      <c r="BU1184" s="20"/>
      <c r="BV1184" s="20"/>
      <c r="BW1184" s="20"/>
      <c r="BX1184" s="20"/>
      <c r="BY1184" s="20"/>
      <c r="BZ1184" s="20"/>
      <c r="CA1184" s="20"/>
      <c r="CB1184" s="21"/>
      <c r="CC1184" s="27" t="str">
        <f t="shared" si="198"/>
        <v/>
      </c>
      <c r="CD1184" s="38" t="str">
        <f t="shared" si="199"/>
        <v/>
      </c>
      <c r="CE1184" s="38" t="str">
        <f t="shared" si="200"/>
        <v/>
      </c>
      <c r="CF1184" s="38" t="str">
        <f t="shared" si="201"/>
        <v/>
      </c>
      <c r="CG1184" s="38" t="str">
        <f t="shared" si="202"/>
        <v/>
      </c>
      <c r="CH1184" s="38" t="str">
        <f t="shared" si="203"/>
        <v/>
      </c>
      <c r="CI1184" s="38" t="str">
        <f t="shared" si="204"/>
        <v/>
      </c>
      <c r="CJ1184" s="38" t="str">
        <f t="shared" si="205"/>
        <v/>
      </c>
      <c r="CK1184" s="38" t="str">
        <f t="shared" si="206"/>
        <v/>
      </c>
      <c r="CL1184" s="38" t="str">
        <f>IF(C1184="","",IF(COUNT(G1184:AZ1184)&lt;46,"",SUMPRODUCT(CC1184:CK1184,'تنظیمات وزن‌دهی'!$C$5:$C$13)/100))</f>
        <v/>
      </c>
      <c r="CM1184" s="38" t="str">
        <f t="shared" si="207"/>
        <v/>
      </c>
      <c r="CN1184" s="38">
        <v>4</v>
      </c>
      <c r="CO1184" s="28" t="str">
        <f t="shared" si="208"/>
        <v/>
      </c>
      <c r="CP1184" s="58"/>
    </row>
    <row r="1185" spans="1:94" ht="17.25" hidden="1">
      <c r="A1185" s="33">
        <v>1181</v>
      </c>
      <c r="B1185" s="55" t="s">
        <v>187</v>
      </c>
      <c r="C1185" s="55" t="str">
        <f>IF(دانش‌آموزان!E103="","",دانش‌آموزان!B103)</f>
        <v/>
      </c>
      <c r="D1185" s="55" t="str">
        <f>IF(دانش‌آموزان!C103="","",دانش‌آموزان!C103)</f>
        <v/>
      </c>
      <c r="E1185" s="55" t="str">
        <f>IF(دانش‌آموزان!E103="","",دانش‌آموزان!E103&amp;" "&amp;دانش‌آموزان!F103)</f>
        <v/>
      </c>
      <c r="F1185" s="34" t="str">
        <f>IF(دانش‌آموزان!I103="","",دانش‌آموزان!I103)</f>
        <v/>
      </c>
      <c r="G1185" s="19"/>
      <c r="H1185" s="20"/>
      <c r="I1185" s="20"/>
      <c r="J1185" s="20"/>
      <c r="K1185" s="20"/>
      <c r="L1185" s="20"/>
      <c r="M1185" s="20"/>
      <c r="N1185" s="20"/>
      <c r="O1185" s="20"/>
      <c r="P1185" s="20"/>
      <c r="Q1185" s="20"/>
      <c r="R1185" s="20"/>
      <c r="S1185" s="20"/>
      <c r="T1185" s="20"/>
      <c r="U1185" s="20"/>
      <c r="V1185" s="20"/>
      <c r="W1185" s="20"/>
      <c r="X1185" s="20"/>
      <c r="Y1185" s="20"/>
      <c r="Z1185" s="20"/>
      <c r="AA1185" s="20"/>
      <c r="AB1185" s="20"/>
      <c r="AC1185" s="20"/>
      <c r="AD1185" s="20"/>
      <c r="AE1185" s="20"/>
      <c r="AF1185" s="20"/>
      <c r="AG1185" s="20"/>
      <c r="AH1185" s="20"/>
      <c r="AI1185" s="20"/>
      <c r="AJ1185" s="20"/>
      <c r="AK1185" s="20"/>
      <c r="AL1185" s="20"/>
      <c r="AM1185" s="20"/>
      <c r="AN1185" s="20"/>
      <c r="AO1185" s="20"/>
      <c r="AP1185" s="20"/>
      <c r="AQ1185" s="20"/>
      <c r="AR1185" s="20"/>
      <c r="AS1185" s="20"/>
      <c r="AT1185" s="20"/>
      <c r="AU1185" s="20"/>
      <c r="AV1185" s="20"/>
      <c r="AW1185" s="20"/>
      <c r="AX1185" s="20"/>
      <c r="AY1185" s="20"/>
      <c r="AZ1185" s="20"/>
      <c r="BA1185" s="20"/>
      <c r="BB1185" s="20"/>
      <c r="BC1185" s="20"/>
      <c r="BD1185" s="20"/>
      <c r="BE1185" s="20"/>
      <c r="BF1185" s="20"/>
      <c r="BG1185" s="20"/>
      <c r="BH1185" s="20"/>
      <c r="BI1185" s="20"/>
      <c r="BJ1185" s="20"/>
      <c r="BK1185" s="20"/>
      <c r="BL1185" s="20"/>
      <c r="BM1185" s="20"/>
      <c r="BN1185" s="20"/>
      <c r="BO1185" s="20"/>
      <c r="BP1185" s="20"/>
      <c r="BQ1185" s="20"/>
      <c r="BR1185" s="20"/>
      <c r="BS1185" s="20"/>
      <c r="BT1185" s="20"/>
      <c r="BU1185" s="20"/>
      <c r="BV1185" s="20"/>
      <c r="BW1185" s="20"/>
      <c r="BX1185" s="20"/>
      <c r="BY1185" s="20"/>
      <c r="BZ1185" s="20"/>
      <c r="CA1185" s="20"/>
      <c r="CB1185" s="21"/>
      <c r="CC1185" s="27" t="str">
        <f t="shared" si="198"/>
        <v/>
      </c>
      <c r="CD1185" s="38" t="str">
        <f t="shared" si="199"/>
        <v/>
      </c>
      <c r="CE1185" s="38" t="str">
        <f t="shared" si="200"/>
        <v/>
      </c>
      <c r="CF1185" s="38" t="str">
        <f t="shared" si="201"/>
        <v/>
      </c>
      <c r="CG1185" s="38" t="str">
        <f t="shared" si="202"/>
        <v/>
      </c>
      <c r="CH1185" s="38" t="str">
        <f t="shared" si="203"/>
        <v/>
      </c>
      <c r="CI1185" s="38" t="str">
        <f t="shared" si="204"/>
        <v/>
      </c>
      <c r="CJ1185" s="38" t="str">
        <f t="shared" si="205"/>
        <v/>
      </c>
      <c r="CK1185" s="38" t="str">
        <f t="shared" si="206"/>
        <v/>
      </c>
      <c r="CL1185" s="38" t="str">
        <f>IF(C1185="","",IF(COUNT(G1185:AZ1185)&lt;46,"",SUMPRODUCT(CC1185:CK1185,'تنظیمات وزن‌دهی'!$C$5:$C$13)/100))</f>
        <v/>
      </c>
      <c r="CM1185" s="38" t="str">
        <f t="shared" si="207"/>
        <v/>
      </c>
      <c r="CN1185" s="38">
        <v>5</v>
      </c>
      <c r="CO1185" s="28" t="str">
        <f t="shared" si="208"/>
        <v/>
      </c>
      <c r="CP1185" s="58"/>
    </row>
    <row r="1186" spans="1:94" ht="17.25" hidden="1">
      <c r="A1186" s="33">
        <v>1182</v>
      </c>
      <c r="B1186" s="55" t="s">
        <v>188</v>
      </c>
      <c r="C1186" s="55" t="str">
        <f>IF(دانش‌آموزان!E103="","",دانش‌آموزان!B103)</f>
        <v/>
      </c>
      <c r="D1186" s="55" t="str">
        <f>IF(دانش‌آموزان!C103="","",دانش‌آموزان!C103)</f>
        <v/>
      </c>
      <c r="E1186" s="55" t="str">
        <f>IF(دانش‌آموزان!E103="","",دانش‌آموزان!E103&amp;" "&amp;دانش‌آموزان!F103)</f>
        <v/>
      </c>
      <c r="F1186" s="34" t="str">
        <f>IF(دانش‌آموزان!I103="","",دانش‌آموزان!I103)</f>
        <v/>
      </c>
      <c r="G1186" s="19"/>
      <c r="H1186" s="20"/>
      <c r="I1186" s="20"/>
      <c r="J1186" s="20"/>
      <c r="K1186" s="20"/>
      <c r="L1186" s="20"/>
      <c r="M1186" s="20"/>
      <c r="N1186" s="20"/>
      <c r="O1186" s="20"/>
      <c r="P1186" s="20"/>
      <c r="Q1186" s="20"/>
      <c r="R1186" s="20"/>
      <c r="S1186" s="20"/>
      <c r="T1186" s="20"/>
      <c r="U1186" s="20"/>
      <c r="V1186" s="20"/>
      <c r="W1186" s="20"/>
      <c r="X1186" s="20"/>
      <c r="Y1186" s="20"/>
      <c r="Z1186" s="20"/>
      <c r="AA1186" s="20"/>
      <c r="AB1186" s="20"/>
      <c r="AC1186" s="20"/>
      <c r="AD1186" s="20"/>
      <c r="AE1186" s="20"/>
      <c r="AF1186" s="20"/>
      <c r="AG1186" s="20"/>
      <c r="AH1186" s="20"/>
      <c r="AI1186" s="20"/>
      <c r="AJ1186" s="20"/>
      <c r="AK1186" s="20"/>
      <c r="AL1186" s="20"/>
      <c r="AM1186" s="20"/>
      <c r="AN1186" s="20"/>
      <c r="AO1186" s="20"/>
      <c r="AP1186" s="20"/>
      <c r="AQ1186" s="20"/>
      <c r="AR1186" s="20"/>
      <c r="AS1186" s="20"/>
      <c r="AT1186" s="20"/>
      <c r="AU1186" s="20"/>
      <c r="AV1186" s="20"/>
      <c r="AW1186" s="20"/>
      <c r="AX1186" s="20"/>
      <c r="AY1186" s="20"/>
      <c r="AZ1186" s="20"/>
      <c r="BA1186" s="20"/>
      <c r="BB1186" s="20"/>
      <c r="BC1186" s="20"/>
      <c r="BD1186" s="20"/>
      <c r="BE1186" s="20"/>
      <c r="BF1186" s="20"/>
      <c r="BG1186" s="20"/>
      <c r="BH1186" s="20"/>
      <c r="BI1186" s="20"/>
      <c r="BJ1186" s="20"/>
      <c r="BK1186" s="20"/>
      <c r="BL1186" s="20"/>
      <c r="BM1186" s="20"/>
      <c r="BN1186" s="20"/>
      <c r="BO1186" s="20"/>
      <c r="BP1186" s="20"/>
      <c r="BQ1186" s="20"/>
      <c r="BR1186" s="20"/>
      <c r="BS1186" s="20"/>
      <c r="BT1186" s="20"/>
      <c r="BU1186" s="20"/>
      <c r="BV1186" s="20"/>
      <c r="BW1186" s="20"/>
      <c r="BX1186" s="20"/>
      <c r="BY1186" s="20"/>
      <c r="BZ1186" s="20"/>
      <c r="CA1186" s="20"/>
      <c r="CB1186" s="21"/>
      <c r="CC1186" s="27" t="str">
        <f t="shared" si="198"/>
        <v/>
      </c>
      <c r="CD1186" s="38" t="str">
        <f t="shared" si="199"/>
        <v/>
      </c>
      <c r="CE1186" s="38" t="str">
        <f t="shared" si="200"/>
        <v/>
      </c>
      <c r="CF1186" s="38" t="str">
        <f t="shared" si="201"/>
        <v/>
      </c>
      <c r="CG1186" s="38" t="str">
        <f t="shared" si="202"/>
        <v/>
      </c>
      <c r="CH1186" s="38" t="str">
        <f t="shared" si="203"/>
        <v/>
      </c>
      <c r="CI1186" s="38" t="str">
        <f t="shared" si="204"/>
        <v/>
      </c>
      <c r="CJ1186" s="38" t="str">
        <f t="shared" si="205"/>
        <v/>
      </c>
      <c r="CK1186" s="38" t="str">
        <f t="shared" si="206"/>
        <v/>
      </c>
      <c r="CL1186" s="38" t="str">
        <f>IF(C1186="","",IF(COUNT(G1186:AZ1186)&lt;46,"",SUMPRODUCT(CC1186:CK1186,'تنظیمات وزن‌دهی'!$C$5:$C$13)/100))</f>
        <v/>
      </c>
      <c r="CM1186" s="38" t="str">
        <f t="shared" si="207"/>
        <v/>
      </c>
      <c r="CN1186" s="38">
        <v>6</v>
      </c>
      <c r="CO1186" s="28" t="str">
        <f t="shared" si="208"/>
        <v/>
      </c>
      <c r="CP1186" s="58"/>
    </row>
    <row r="1187" spans="1:94" ht="17.25" hidden="1">
      <c r="A1187" s="33">
        <v>1183</v>
      </c>
      <c r="B1187" s="55" t="s">
        <v>189</v>
      </c>
      <c r="C1187" s="55" t="str">
        <f>IF(دانش‌آموزان!E103="","",دانش‌آموزان!B103)</f>
        <v/>
      </c>
      <c r="D1187" s="55" t="str">
        <f>IF(دانش‌آموزان!C103="","",دانش‌آموزان!C103)</f>
        <v/>
      </c>
      <c r="E1187" s="55" t="str">
        <f>IF(دانش‌آموزان!E103="","",دانش‌آموزان!E103&amp;" "&amp;دانش‌آموزان!F103)</f>
        <v/>
      </c>
      <c r="F1187" s="34" t="str">
        <f>IF(دانش‌آموزان!I103="","",دانش‌آموزان!I103)</f>
        <v/>
      </c>
      <c r="G1187" s="19"/>
      <c r="H1187" s="20"/>
      <c r="I1187" s="20"/>
      <c r="J1187" s="20"/>
      <c r="K1187" s="20"/>
      <c r="L1187" s="20"/>
      <c r="M1187" s="20"/>
      <c r="N1187" s="20"/>
      <c r="O1187" s="20"/>
      <c r="P1187" s="20"/>
      <c r="Q1187" s="20"/>
      <c r="R1187" s="20"/>
      <c r="S1187" s="20"/>
      <c r="T1187" s="20"/>
      <c r="U1187" s="20"/>
      <c r="V1187" s="20"/>
      <c r="W1187" s="20"/>
      <c r="X1187" s="20"/>
      <c r="Y1187" s="20"/>
      <c r="Z1187" s="20"/>
      <c r="AA1187" s="20"/>
      <c r="AB1187" s="20"/>
      <c r="AC1187" s="20"/>
      <c r="AD1187" s="20"/>
      <c r="AE1187" s="20"/>
      <c r="AF1187" s="20"/>
      <c r="AG1187" s="20"/>
      <c r="AH1187" s="20"/>
      <c r="AI1187" s="20"/>
      <c r="AJ1187" s="20"/>
      <c r="AK1187" s="20"/>
      <c r="AL1187" s="20"/>
      <c r="AM1187" s="20"/>
      <c r="AN1187" s="20"/>
      <c r="AO1187" s="20"/>
      <c r="AP1187" s="20"/>
      <c r="AQ1187" s="20"/>
      <c r="AR1187" s="20"/>
      <c r="AS1187" s="20"/>
      <c r="AT1187" s="20"/>
      <c r="AU1187" s="20"/>
      <c r="AV1187" s="20"/>
      <c r="AW1187" s="20"/>
      <c r="AX1187" s="20"/>
      <c r="AY1187" s="20"/>
      <c r="AZ1187" s="20"/>
      <c r="BA1187" s="20"/>
      <c r="BB1187" s="20"/>
      <c r="BC1187" s="20"/>
      <c r="BD1187" s="20"/>
      <c r="BE1187" s="20"/>
      <c r="BF1187" s="20"/>
      <c r="BG1187" s="20"/>
      <c r="BH1187" s="20"/>
      <c r="BI1187" s="20"/>
      <c r="BJ1187" s="20"/>
      <c r="BK1187" s="20"/>
      <c r="BL1187" s="20"/>
      <c r="BM1187" s="20"/>
      <c r="BN1187" s="20"/>
      <c r="BO1187" s="20"/>
      <c r="BP1187" s="20"/>
      <c r="BQ1187" s="20"/>
      <c r="BR1187" s="20"/>
      <c r="BS1187" s="20"/>
      <c r="BT1187" s="20"/>
      <c r="BU1187" s="20"/>
      <c r="BV1187" s="20"/>
      <c r="BW1187" s="20"/>
      <c r="BX1187" s="20"/>
      <c r="BY1187" s="20"/>
      <c r="BZ1187" s="20"/>
      <c r="CA1187" s="20"/>
      <c r="CB1187" s="21"/>
      <c r="CC1187" s="27" t="str">
        <f t="shared" si="198"/>
        <v/>
      </c>
      <c r="CD1187" s="38" t="str">
        <f t="shared" si="199"/>
        <v/>
      </c>
      <c r="CE1187" s="38" t="str">
        <f t="shared" si="200"/>
        <v/>
      </c>
      <c r="CF1187" s="38" t="str">
        <f t="shared" si="201"/>
        <v/>
      </c>
      <c r="CG1187" s="38" t="str">
        <f t="shared" si="202"/>
        <v/>
      </c>
      <c r="CH1187" s="38" t="str">
        <f t="shared" si="203"/>
        <v/>
      </c>
      <c r="CI1187" s="38" t="str">
        <f t="shared" si="204"/>
        <v/>
      </c>
      <c r="CJ1187" s="38" t="str">
        <f t="shared" si="205"/>
        <v/>
      </c>
      <c r="CK1187" s="38" t="str">
        <f t="shared" si="206"/>
        <v/>
      </c>
      <c r="CL1187" s="38" t="str">
        <f>IF(C1187="","",IF(COUNT(G1187:AZ1187)&lt;46,"",SUMPRODUCT(CC1187:CK1187,'تنظیمات وزن‌دهی'!$C$5:$C$13)/100))</f>
        <v/>
      </c>
      <c r="CM1187" s="38" t="str">
        <f t="shared" si="207"/>
        <v/>
      </c>
      <c r="CN1187" s="38">
        <v>7</v>
      </c>
      <c r="CO1187" s="28" t="str">
        <f t="shared" si="208"/>
        <v/>
      </c>
      <c r="CP1187" s="58"/>
    </row>
    <row r="1188" spans="1:94" ht="17.25" hidden="1">
      <c r="A1188" s="33">
        <v>1184</v>
      </c>
      <c r="B1188" s="55" t="s">
        <v>190</v>
      </c>
      <c r="C1188" s="55" t="str">
        <f>IF(دانش‌آموزان!E103="","",دانش‌آموزان!B103)</f>
        <v/>
      </c>
      <c r="D1188" s="55" t="str">
        <f>IF(دانش‌آموزان!C103="","",دانش‌آموزان!C103)</f>
        <v/>
      </c>
      <c r="E1188" s="55" t="str">
        <f>IF(دانش‌آموزان!E103="","",دانش‌آموزان!E103&amp;" "&amp;دانش‌آموزان!F103)</f>
        <v/>
      </c>
      <c r="F1188" s="34" t="str">
        <f>IF(دانش‌آموزان!I103="","",دانش‌آموزان!I103)</f>
        <v/>
      </c>
      <c r="G1188" s="19"/>
      <c r="H1188" s="20"/>
      <c r="I1188" s="20"/>
      <c r="J1188" s="20"/>
      <c r="K1188" s="20"/>
      <c r="L1188" s="20"/>
      <c r="M1188" s="20"/>
      <c r="N1188" s="20"/>
      <c r="O1188" s="20"/>
      <c r="P1188" s="20"/>
      <c r="Q1188" s="20"/>
      <c r="R1188" s="20"/>
      <c r="S1188" s="20"/>
      <c r="T1188" s="20"/>
      <c r="U1188" s="20"/>
      <c r="V1188" s="20"/>
      <c r="W1188" s="20"/>
      <c r="X1188" s="20"/>
      <c r="Y1188" s="20"/>
      <c r="Z1188" s="20"/>
      <c r="AA1188" s="20"/>
      <c r="AB1188" s="20"/>
      <c r="AC1188" s="20"/>
      <c r="AD1188" s="20"/>
      <c r="AE1188" s="20"/>
      <c r="AF1188" s="20"/>
      <c r="AG1188" s="20"/>
      <c r="AH1188" s="20"/>
      <c r="AI1188" s="20"/>
      <c r="AJ1188" s="20"/>
      <c r="AK1188" s="20"/>
      <c r="AL1188" s="20"/>
      <c r="AM1188" s="20"/>
      <c r="AN1188" s="20"/>
      <c r="AO1188" s="20"/>
      <c r="AP1188" s="20"/>
      <c r="AQ1188" s="20"/>
      <c r="AR1188" s="20"/>
      <c r="AS1188" s="20"/>
      <c r="AT1188" s="20"/>
      <c r="AU1188" s="20"/>
      <c r="AV1188" s="20"/>
      <c r="AW1188" s="20"/>
      <c r="AX1188" s="20"/>
      <c r="AY1188" s="20"/>
      <c r="AZ1188" s="20"/>
      <c r="BA1188" s="20"/>
      <c r="BB1188" s="20"/>
      <c r="BC1188" s="20"/>
      <c r="BD1188" s="20"/>
      <c r="BE1188" s="20"/>
      <c r="BF1188" s="20"/>
      <c r="BG1188" s="20"/>
      <c r="BH1188" s="20"/>
      <c r="BI1188" s="20"/>
      <c r="BJ1188" s="20"/>
      <c r="BK1188" s="20"/>
      <c r="BL1188" s="20"/>
      <c r="BM1188" s="20"/>
      <c r="BN1188" s="20"/>
      <c r="BO1188" s="20"/>
      <c r="BP1188" s="20"/>
      <c r="BQ1188" s="20"/>
      <c r="BR1188" s="20"/>
      <c r="BS1188" s="20"/>
      <c r="BT1188" s="20"/>
      <c r="BU1188" s="20"/>
      <c r="BV1188" s="20"/>
      <c r="BW1188" s="20"/>
      <c r="BX1188" s="20"/>
      <c r="BY1188" s="20"/>
      <c r="BZ1188" s="20"/>
      <c r="CA1188" s="20"/>
      <c r="CB1188" s="21"/>
      <c r="CC1188" s="27" t="str">
        <f t="shared" si="198"/>
        <v/>
      </c>
      <c r="CD1188" s="38" t="str">
        <f t="shared" si="199"/>
        <v/>
      </c>
      <c r="CE1188" s="38" t="str">
        <f t="shared" si="200"/>
        <v/>
      </c>
      <c r="CF1188" s="38" t="str">
        <f t="shared" si="201"/>
        <v/>
      </c>
      <c r="CG1188" s="38" t="str">
        <f t="shared" si="202"/>
        <v/>
      </c>
      <c r="CH1188" s="38" t="str">
        <f t="shared" si="203"/>
        <v/>
      </c>
      <c r="CI1188" s="38" t="str">
        <f t="shared" si="204"/>
        <v/>
      </c>
      <c r="CJ1188" s="38" t="str">
        <f t="shared" si="205"/>
        <v/>
      </c>
      <c r="CK1188" s="38" t="str">
        <f t="shared" si="206"/>
        <v/>
      </c>
      <c r="CL1188" s="38" t="str">
        <f>IF(C1188="","",IF(COUNT(G1188:AZ1188)&lt;46,"",SUMPRODUCT(CC1188:CK1188,'تنظیمات وزن‌دهی'!$C$5:$C$13)/100))</f>
        <v/>
      </c>
      <c r="CM1188" s="38" t="str">
        <f t="shared" si="207"/>
        <v/>
      </c>
      <c r="CN1188" s="38">
        <v>8</v>
      </c>
      <c r="CO1188" s="28" t="str">
        <f t="shared" si="208"/>
        <v/>
      </c>
      <c r="CP1188" s="58"/>
    </row>
    <row r="1189" spans="1:94" ht="17.25" hidden="1">
      <c r="A1189" s="33">
        <v>1185</v>
      </c>
      <c r="B1189" s="55" t="s">
        <v>191</v>
      </c>
      <c r="C1189" s="55" t="str">
        <f>IF(دانش‌آموزان!E103="","",دانش‌آموزان!B103)</f>
        <v/>
      </c>
      <c r="D1189" s="55" t="str">
        <f>IF(دانش‌آموزان!C103="","",دانش‌آموزان!C103)</f>
        <v/>
      </c>
      <c r="E1189" s="55" t="str">
        <f>IF(دانش‌آموزان!E103="","",دانش‌آموزان!E103&amp;" "&amp;دانش‌آموزان!F103)</f>
        <v/>
      </c>
      <c r="F1189" s="34" t="str">
        <f>IF(دانش‌آموزان!I103="","",دانش‌آموزان!I103)</f>
        <v/>
      </c>
      <c r="G1189" s="19"/>
      <c r="H1189" s="20"/>
      <c r="I1189" s="20"/>
      <c r="J1189" s="20"/>
      <c r="K1189" s="20"/>
      <c r="L1189" s="20"/>
      <c r="M1189" s="20"/>
      <c r="N1189" s="20"/>
      <c r="O1189" s="20"/>
      <c r="P1189" s="20"/>
      <c r="Q1189" s="20"/>
      <c r="R1189" s="20"/>
      <c r="S1189" s="20"/>
      <c r="T1189" s="20"/>
      <c r="U1189" s="20"/>
      <c r="V1189" s="20"/>
      <c r="W1189" s="20"/>
      <c r="X1189" s="20"/>
      <c r="Y1189" s="20"/>
      <c r="Z1189" s="20"/>
      <c r="AA1189" s="20"/>
      <c r="AB1189" s="20"/>
      <c r="AC1189" s="20"/>
      <c r="AD1189" s="20"/>
      <c r="AE1189" s="20"/>
      <c r="AF1189" s="20"/>
      <c r="AG1189" s="20"/>
      <c r="AH1189" s="20"/>
      <c r="AI1189" s="20"/>
      <c r="AJ1189" s="20"/>
      <c r="AK1189" s="20"/>
      <c r="AL1189" s="20"/>
      <c r="AM1189" s="20"/>
      <c r="AN1189" s="20"/>
      <c r="AO1189" s="20"/>
      <c r="AP1189" s="20"/>
      <c r="AQ1189" s="20"/>
      <c r="AR1189" s="20"/>
      <c r="AS1189" s="20"/>
      <c r="AT1189" s="20"/>
      <c r="AU1189" s="20"/>
      <c r="AV1189" s="20"/>
      <c r="AW1189" s="20"/>
      <c r="AX1189" s="20"/>
      <c r="AY1189" s="20"/>
      <c r="AZ1189" s="20"/>
      <c r="BA1189" s="20"/>
      <c r="BB1189" s="20"/>
      <c r="BC1189" s="20"/>
      <c r="BD1189" s="20"/>
      <c r="BE1189" s="20"/>
      <c r="BF1189" s="20"/>
      <c r="BG1189" s="20"/>
      <c r="BH1189" s="20"/>
      <c r="BI1189" s="20"/>
      <c r="BJ1189" s="20"/>
      <c r="BK1189" s="20"/>
      <c r="BL1189" s="20"/>
      <c r="BM1189" s="20"/>
      <c r="BN1189" s="20"/>
      <c r="BO1189" s="20"/>
      <c r="BP1189" s="20"/>
      <c r="BQ1189" s="20"/>
      <c r="BR1189" s="20"/>
      <c r="BS1189" s="20"/>
      <c r="BT1189" s="20"/>
      <c r="BU1189" s="20"/>
      <c r="BV1189" s="20"/>
      <c r="BW1189" s="20"/>
      <c r="BX1189" s="20"/>
      <c r="BY1189" s="20"/>
      <c r="BZ1189" s="20"/>
      <c r="CA1189" s="20"/>
      <c r="CB1189" s="21"/>
      <c r="CC1189" s="27" t="str">
        <f t="shared" si="198"/>
        <v/>
      </c>
      <c r="CD1189" s="38" t="str">
        <f t="shared" si="199"/>
        <v/>
      </c>
      <c r="CE1189" s="38" t="str">
        <f t="shared" si="200"/>
        <v/>
      </c>
      <c r="CF1189" s="38" t="str">
        <f t="shared" si="201"/>
        <v/>
      </c>
      <c r="CG1189" s="38" t="str">
        <f t="shared" si="202"/>
        <v/>
      </c>
      <c r="CH1189" s="38" t="str">
        <f t="shared" si="203"/>
        <v/>
      </c>
      <c r="CI1189" s="38" t="str">
        <f t="shared" si="204"/>
        <v/>
      </c>
      <c r="CJ1189" s="38" t="str">
        <f t="shared" si="205"/>
        <v/>
      </c>
      <c r="CK1189" s="38" t="str">
        <f t="shared" si="206"/>
        <v/>
      </c>
      <c r="CL1189" s="38" t="str">
        <f>IF(C1189="","",IF(COUNT(G1189:AZ1189)&lt;46,"",SUMPRODUCT(CC1189:CK1189,'تنظیمات وزن‌دهی'!$C$5:$C$13)/100))</f>
        <v/>
      </c>
      <c r="CM1189" s="38" t="str">
        <f t="shared" si="207"/>
        <v/>
      </c>
      <c r="CN1189" s="38">
        <v>9</v>
      </c>
      <c r="CO1189" s="28" t="str">
        <f t="shared" si="208"/>
        <v/>
      </c>
      <c r="CP1189" s="58"/>
    </row>
    <row r="1190" spans="1:94" ht="17.25" hidden="1">
      <c r="A1190" s="33">
        <v>1186</v>
      </c>
      <c r="B1190" s="55" t="s">
        <v>192</v>
      </c>
      <c r="C1190" s="55" t="str">
        <f>IF(دانش‌آموزان!E103="","",دانش‌آموزان!B103)</f>
        <v/>
      </c>
      <c r="D1190" s="55" t="str">
        <f>IF(دانش‌آموزان!C103="","",دانش‌آموزان!C103)</f>
        <v/>
      </c>
      <c r="E1190" s="55" t="str">
        <f>IF(دانش‌آموزان!E103="","",دانش‌آموزان!E103&amp;" "&amp;دانش‌آموزان!F103)</f>
        <v/>
      </c>
      <c r="F1190" s="34" t="str">
        <f>IF(دانش‌آموزان!I103="","",دانش‌آموزان!I103)</f>
        <v/>
      </c>
      <c r="G1190" s="19"/>
      <c r="H1190" s="20"/>
      <c r="I1190" s="20"/>
      <c r="J1190" s="20"/>
      <c r="K1190" s="20"/>
      <c r="L1190" s="20"/>
      <c r="M1190" s="20"/>
      <c r="N1190" s="20"/>
      <c r="O1190" s="20"/>
      <c r="P1190" s="20"/>
      <c r="Q1190" s="20"/>
      <c r="R1190" s="20"/>
      <c r="S1190" s="20"/>
      <c r="T1190" s="20"/>
      <c r="U1190" s="20"/>
      <c r="V1190" s="20"/>
      <c r="W1190" s="20"/>
      <c r="X1190" s="20"/>
      <c r="Y1190" s="20"/>
      <c r="Z1190" s="20"/>
      <c r="AA1190" s="20"/>
      <c r="AB1190" s="20"/>
      <c r="AC1190" s="20"/>
      <c r="AD1190" s="20"/>
      <c r="AE1190" s="20"/>
      <c r="AF1190" s="20"/>
      <c r="AG1190" s="20"/>
      <c r="AH1190" s="20"/>
      <c r="AI1190" s="20"/>
      <c r="AJ1190" s="20"/>
      <c r="AK1190" s="20"/>
      <c r="AL1190" s="20"/>
      <c r="AM1190" s="20"/>
      <c r="AN1190" s="20"/>
      <c r="AO1190" s="20"/>
      <c r="AP1190" s="20"/>
      <c r="AQ1190" s="20"/>
      <c r="AR1190" s="20"/>
      <c r="AS1190" s="20"/>
      <c r="AT1190" s="20"/>
      <c r="AU1190" s="20"/>
      <c r="AV1190" s="20"/>
      <c r="AW1190" s="20"/>
      <c r="AX1190" s="20"/>
      <c r="AY1190" s="20"/>
      <c r="AZ1190" s="20"/>
      <c r="BA1190" s="20"/>
      <c r="BB1190" s="20"/>
      <c r="BC1190" s="20"/>
      <c r="BD1190" s="20"/>
      <c r="BE1190" s="20"/>
      <c r="BF1190" s="20"/>
      <c r="BG1190" s="20"/>
      <c r="BH1190" s="20"/>
      <c r="BI1190" s="20"/>
      <c r="BJ1190" s="20"/>
      <c r="BK1190" s="20"/>
      <c r="BL1190" s="20"/>
      <c r="BM1190" s="20"/>
      <c r="BN1190" s="20"/>
      <c r="BO1190" s="20"/>
      <c r="BP1190" s="20"/>
      <c r="BQ1190" s="20"/>
      <c r="BR1190" s="20"/>
      <c r="BS1190" s="20"/>
      <c r="BT1190" s="20"/>
      <c r="BU1190" s="20"/>
      <c r="BV1190" s="20"/>
      <c r="BW1190" s="20"/>
      <c r="BX1190" s="20"/>
      <c r="BY1190" s="20"/>
      <c r="BZ1190" s="20"/>
      <c r="CA1190" s="20"/>
      <c r="CB1190" s="21"/>
      <c r="CC1190" s="27" t="str">
        <f t="shared" si="198"/>
        <v/>
      </c>
      <c r="CD1190" s="38" t="str">
        <f t="shared" si="199"/>
        <v/>
      </c>
      <c r="CE1190" s="38" t="str">
        <f t="shared" si="200"/>
        <v/>
      </c>
      <c r="CF1190" s="38" t="str">
        <f t="shared" si="201"/>
        <v/>
      </c>
      <c r="CG1190" s="38" t="str">
        <f t="shared" si="202"/>
        <v/>
      </c>
      <c r="CH1190" s="38" t="str">
        <f t="shared" si="203"/>
        <v/>
      </c>
      <c r="CI1190" s="38" t="str">
        <f t="shared" si="204"/>
        <v/>
      </c>
      <c r="CJ1190" s="38" t="str">
        <f t="shared" si="205"/>
        <v/>
      </c>
      <c r="CK1190" s="38" t="str">
        <f t="shared" si="206"/>
        <v/>
      </c>
      <c r="CL1190" s="38" t="str">
        <f>IF(C1190="","",IF(COUNT(G1190:AZ1190)&lt;46,"",SUMPRODUCT(CC1190:CK1190,'تنظیمات وزن‌دهی'!$C$5:$C$13)/100))</f>
        <v/>
      </c>
      <c r="CM1190" s="38" t="str">
        <f t="shared" si="207"/>
        <v/>
      </c>
      <c r="CN1190" s="38">
        <v>10</v>
      </c>
      <c r="CO1190" s="28" t="str">
        <f t="shared" si="208"/>
        <v/>
      </c>
      <c r="CP1190" s="58"/>
    </row>
    <row r="1191" spans="1:94" ht="17.25" hidden="1">
      <c r="A1191" s="33">
        <v>1187</v>
      </c>
      <c r="B1191" s="55" t="s">
        <v>193</v>
      </c>
      <c r="C1191" s="55" t="str">
        <f>IF(دانش‌آموزان!E103="","",دانش‌آموزان!B103)</f>
        <v/>
      </c>
      <c r="D1191" s="55" t="str">
        <f>IF(دانش‌آموزان!C103="","",دانش‌آموزان!C103)</f>
        <v/>
      </c>
      <c r="E1191" s="55" t="str">
        <f>IF(دانش‌آموزان!E103="","",دانش‌آموزان!E103&amp;" "&amp;دانش‌آموزان!F103)</f>
        <v/>
      </c>
      <c r="F1191" s="34" t="str">
        <f>IF(دانش‌آموزان!I103="","",دانش‌آموزان!I103)</f>
        <v/>
      </c>
      <c r="G1191" s="19"/>
      <c r="H1191" s="20"/>
      <c r="I1191" s="20"/>
      <c r="J1191" s="20"/>
      <c r="K1191" s="20"/>
      <c r="L1191" s="20"/>
      <c r="M1191" s="20"/>
      <c r="N1191" s="20"/>
      <c r="O1191" s="20"/>
      <c r="P1191" s="20"/>
      <c r="Q1191" s="20"/>
      <c r="R1191" s="20"/>
      <c r="S1191" s="20"/>
      <c r="T1191" s="20"/>
      <c r="U1191" s="20"/>
      <c r="V1191" s="20"/>
      <c r="W1191" s="20"/>
      <c r="X1191" s="20"/>
      <c r="Y1191" s="20"/>
      <c r="Z1191" s="20"/>
      <c r="AA1191" s="20"/>
      <c r="AB1191" s="20"/>
      <c r="AC1191" s="20"/>
      <c r="AD1191" s="20"/>
      <c r="AE1191" s="20"/>
      <c r="AF1191" s="20"/>
      <c r="AG1191" s="20"/>
      <c r="AH1191" s="20"/>
      <c r="AI1191" s="20"/>
      <c r="AJ1191" s="20"/>
      <c r="AK1191" s="20"/>
      <c r="AL1191" s="20"/>
      <c r="AM1191" s="20"/>
      <c r="AN1191" s="20"/>
      <c r="AO1191" s="20"/>
      <c r="AP1191" s="20"/>
      <c r="AQ1191" s="20"/>
      <c r="AR1191" s="20"/>
      <c r="AS1191" s="20"/>
      <c r="AT1191" s="20"/>
      <c r="AU1191" s="20"/>
      <c r="AV1191" s="20"/>
      <c r="AW1191" s="20"/>
      <c r="AX1191" s="20"/>
      <c r="AY1191" s="20"/>
      <c r="AZ1191" s="20"/>
      <c r="BA1191" s="20"/>
      <c r="BB1191" s="20"/>
      <c r="BC1191" s="20"/>
      <c r="BD1191" s="20"/>
      <c r="BE1191" s="20"/>
      <c r="BF1191" s="20"/>
      <c r="BG1191" s="20"/>
      <c r="BH1191" s="20"/>
      <c r="BI1191" s="20"/>
      <c r="BJ1191" s="20"/>
      <c r="BK1191" s="20"/>
      <c r="BL1191" s="20"/>
      <c r="BM1191" s="20"/>
      <c r="BN1191" s="20"/>
      <c r="BO1191" s="20"/>
      <c r="BP1191" s="20"/>
      <c r="BQ1191" s="20"/>
      <c r="BR1191" s="20"/>
      <c r="BS1191" s="20"/>
      <c r="BT1191" s="20"/>
      <c r="BU1191" s="20"/>
      <c r="BV1191" s="20"/>
      <c r="BW1191" s="20"/>
      <c r="BX1191" s="20"/>
      <c r="BY1191" s="20"/>
      <c r="BZ1191" s="20"/>
      <c r="CA1191" s="20"/>
      <c r="CB1191" s="21"/>
      <c r="CC1191" s="27" t="str">
        <f t="shared" si="198"/>
        <v/>
      </c>
      <c r="CD1191" s="38" t="str">
        <f t="shared" si="199"/>
        <v/>
      </c>
      <c r="CE1191" s="38" t="str">
        <f t="shared" si="200"/>
        <v/>
      </c>
      <c r="CF1191" s="38" t="str">
        <f t="shared" si="201"/>
        <v/>
      </c>
      <c r="CG1191" s="38" t="str">
        <f t="shared" si="202"/>
        <v/>
      </c>
      <c r="CH1191" s="38" t="str">
        <f t="shared" si="203"/>
        <v/>
      </c>
      <c r="CI1191" s="38" t="str">
        <f t="shared" si="204"/>
        <v/>
      </c>
      <c r="CJ1191" s="38" t="str">
        <f t="shared" si="205"/>
        <v/>
      </c>
      <c r="CK1191" s="38" t="str">
        <f t="shared" si="206"/>
        <v/>
      </c>
      <c r="CL1191" s="38" t="str">
        <f>IF(C1191="","",IF(COUNT(G1191:AZ1191)&lt;46,"",SUMPRODUCT(CC1191:CK1191,'تنظیمات وزن‌دهی'!$C$5:$C$13)/100))</f>
        <v/>
      </c>
      <c r="CM1191" s="38" t="str">
        <f t="shared" si="207"/>
        <v/>
      </c>
      <c r="CN1191" s="38">
        <v>11</v>
      </c>
      <c r="CO1191" s="28" t="str">
        <f t="shared" si="208"/>
        <v/>
      </c>
      <c r="CP1191" s="58"/>
    </row>
    <row r="1192" spans="1:94" ht="17.25" hidden="1">
      <c r="A1192" s="33">
        <v>1188</v>
      </c>
      <c r="B1192" s="55" t="s">
        <v>194</v>
      </c>
      <c r="C1192" s="55" t="str">
        <f>IF(دانش‌آموزان!E103="","",دانش‌آموزان!B103)</f>
        <v/>
      </c>
      <c r="D1192" s="55" t="str">
        <f>IF(دانش‌آموزان!C103="","",دانش‌آموزان!C103)</f>
        <v/>
      </c>
      <c r="E1192" s="55" t="str">
        <f>IF(دانش‌آموزان!E103="","",دانش‌آموزان!E103&amp;" "&amp;دانش‌آموزان!F103)</f>
        <v/>
      </c>
      <c r="F1192" s="34" t="str">
        <f>IF(دانش‌آموزان!I103="","",دانش‌آموزان!I103)</f>
        <v/>
      </c>
      <c r="G1192" s="19"/>
      <c r="H1192" s="20"/>
      <c r="I1192" s="20"/>
      <c r="J1192" s="20"/>
      <c r="K1192" s="20"/>
      <c r="L1192" s="20"/>
      <c r="M1192" s="20"/>
      <c r="N1192" s="20"/>
      <c r="O1192" s="20"/>
      <c r="P1192" s="20"/>
      <c r="Q1192" s="20"/>
      <c r="R1192" s="20"/>
      <c r="S1192" s="20"/>
      <c r="T1192" s="20"/>
      <c r="U1192" s="20"/>
      <c r="V1192" s="20"/>
      <c r="W1192" s="20"/>
      <c r="X1192" s="20"/>
      <c r="Y1192" s="20"/>
      <c r="Z1192" s="20"/>
      <c r="AA1192" s="20"/>
      <c r="AB1192" s="20"/>
      <c r="AC1192" s="20"/>
      <c r="AD1192" s="20"/>
      <c r="AE1192" s="20"/>
      <c r="AF1192" s="20"/>
      <c r="AG1192" s="20"/>
      <c r="AH1192" s="20"/>
      <c r="AI1192" s="20"/>
      <c r="AJ1192" s="20"/>
      <c r="AK1192" s="20"/>
      <c r="AL1192" s="20"/>
      <c r="AM1192" s="20"/>
      <c r="AN1192" s="20"/>
      <c r="AO1192" s="20"/>
      <c r="AP1192" s="20"/>
      <c r="AQ1192" s="20"/>
      <c r="AR1192" s="20"/>
      <c r="AS1192" s="20"/>
      <c r="AT1192" s="20"/>
      <c r="AU1192" s="20"/>
      <c r="AV1192" s="20"/>
      <c r="AW1192" s="20"/>
      <c r="AX1192" s="20"/>
      <c r="AY1192" s="20"/>
      <c r="AZ1192" s="20"/>
      <c r="BA1192" s="20"/>
      <c r="BB1192" s="20"/>
      <c r="BC1192" s="20"/>
      <c r="BD1192" s="20"/>
      <c r="BE1192" s="20"/>
      <c r="BF1192" s="20"/>
      <c r="BG1192" s="20"/>
      <c r="BH1192" s="20"/>
      <c r="BI1192" s="20"/>
      <c r="BJ1192" s="20"/>
      <c r="BK1192" s="20"/>
      <c r="BL1192" s="20"/>
      <c r="BM1192" s="20"/>
      <c r="BN1192" s="20"/>
      <c r="BO1192" s="20"/>
      <c r="BP1192" s="20"/>
      <c r="BQ1192" s="20"/>
      <c r="BR1192" s="20"/>
      <c r="BS1192" s="20"/>
      <c r="BT1192" s="20"/>
      <c r="BU1192" s="20"/>
      <c r="BV1192" s="20"/>
      <c r="BW1192" s="20"/>
      <c r="BX1192" s="20"/>
      <c r="BY1192" s="20"/>
      <c r="BZ1192" s="20"/>
      <c r="CA1192" s="20"/>
      <c r="CB1192" s="21"/>
      <c r="CC1192" s="27" t="str">
        <f t="shared" si="198"/>
        <v/>
      </c>
      <c r="CD1192" s="38" t="str">
        <f t="shared" si="199"/>
        <v/>
      </c>
      <c r="CE1192" s="38" t="str">
        <f t="shared" si="200"/>
        <v/>
      </c>
      <c r="CF1192" s="38" t="str">
        <f t="shared" si="201"/>
        <v/>
      </c>
      <c r="CG1192" s="38" t="str">
        <f t="shared" si="202"/>
        <v/>
      </c>
      <c r="CH1192" s="38" t="str">
        <f t="shared" si="203"/>
        <v/>
      </c>
      <c r="CI1192" s="38" t="str">
        <f t="shared" si="204"/>
        <v/>
      </c>
      <c r="CJ1192" s="38" t="str">
        <f t="shared" si="205"/>
        <v/>
      </c>
      <c r="CK1192" s="38" t="str">
        <f t="shared" si="206"/>
        <v/>
      </c>
      <c r="CL1192" s="38" t="str">
        <f>IF(C1192="","",IF(COUNT(G1192:AZ1192)&lt;46,"",SUMPRODUCT(CC1192:CK1192,'تنظیمات وزن‌دهی'!$C$5:$C$13)/100))</f>
        <v/>
      </c>
      <c r="CM1192" s="38" t="str">
        <f t="shared" si="207"/>
        <v/>
      </c>
      <c r="CN1192" s="38">
        <v>12</v>
      </c>
      <c r="CO1192" s="28" t="str">
        <f t="shared" si="208"/>
        <v/>
      </c>
      <c r="CP1192" s="58"/>
    </row>
    <row r="1193" spans="1:94" ht="17.25" hidden="1">
      <c r="A1193" s="33">
        <v>1189</v>
      </c>
      <c r="B1193" s="55" t="s">
        <v>183</v>
      </c>
      <c r="C1193" s="55" t="str">
        <f>IF(دانش‌آموزان!E104="","",دانش‌آموزان!B104)</f>
        <v/>
      </c>
      <c r="D1193" s="55" t="str">
        <f>IF(دانش‌آموزان!C104="","",دانش‌آموزان!C104)</f>
        <v/>
      </c>
      <c r="E1193" s="55" t="str">
        <f>IF(دانش‌آموزان!E104="","",دانش‌آموزان!E104&amp;" "&amp;دانش‌آموزان!F104)</f>
        <v/>
      </c>
      <c r="F1193" s="34" t="str">
        <f>IF(دانش‌آموزان!I104="","",دانش‌آموزان!I104)</f>
        <v/>
      </c>
      <c r="G1193" s="19"/>
      <c r="H1193" s="20"/>
      <c r="I1193" s="20"/>
      <c r="J1193" s="20"/>
      <c r="K1193" s="20"/>
      <c r="L1193" s="20"/>
      <c r="M1193" s="20"/>
      <c r="N1193" s="20"/>
      <c r="O1193" s="20"/>
      <c r="P1193" s="20"/>
      <c r="Q1193" s="20"/>
      <c r="R1193" s="20"/>
      <c r="S1193" s="20"/>
      <c r="T1193" s="20"/>
      <c r="U1193" s="20"/>
      <c r="V1193" s="20"/>
      <c r="W1193" s="20"/>
      <c r="X1193" s="20"/>
      <c r="Y1193" s="20"/>
      <c r="Z1193" s="20"/>
      <c r="AA1193" s="20"/>
      <c r="AB1193" s="20"/>
      <c r="AC1193" s="20"/>
      <c r="AD1193" s="20"/>
      <c r="AE1193" s="20"/>
      <c r="AF1193" s="20"/>
      <c r="AG1193" s="20"/>
      <c r="AH1193" s="20"/>
      <c r="AI1193" s="20"/>
      <c r="AJ1193" s="20"/>
      <c r="AK1193" s="20"/>
      <c r="AL1193" s="20"/>
      <c r="AM1193" s="20"/>
      <c r="AN1193" s="20"/>
      <c r="AO1193" s="20"/>
      <c r="AP1193" s="20"/>
      <c r="AQ1193" s="20"/>
      <c r="AR1193" s="20"/>
      <c r="AS1193" s="20"/>
      <c r="AT1193" s="20"/>
      <c r="AU1193" s="20"/>
      <c r="AV1193" s="20"/>
      <c r="AW1193" s="20"/>
      <c r="AX1193" s="20"/>
      <c r="AY1193" s="20"/>
      <c r="AZ1193" s="20"/>
      <c r="BA1193" s="20"/>
      <c r="BB1193" s="20"/>
      <c r="BC1193" s="20"/>
      <c r="BD1193" s="20"/>
      <c r="BE1193" s="20"/>
      <c r="BF1193" s="20"/>
      <c r="BG1193" s="20"/>
      <c r="BH1193" s="20"/>
      <c r="BI1193" s="20"/>
      <c r="BJ1193" s="20"/>
      <c r="BK1193" s="20"/>
      <c r="BL1193" s="20"/>
      <c r="BM1193" s="20"/>
      <c r="BN1193" s="20"/>
      <c r="BO1193" s="20"/>
      <c r="BP1193" s="20"/>
      <c r="BQ1193" s="20"/>
      <c r="BR1193" s="20"/>
      <c r="BS1193" s="20"/>
      <c r="BT1193" s="20"/>
      <c r="BU1193" s="20"/>
      <c r="BV1193" s="20"/>
      <c r="BW1193" s="20"/>
      <c r="BX1193" s="20"/>
      <c r="BY1193" s="20"/>
      <c r="BZ1193" s="20"/>
      <c r="CA1193" s="20"/>
      <c r="CB1193" s="21"/>
      <c r="CC1193" s="27" t="str">
        <f t="shared" si="198"/>
        <v/>
      </c>
      <c r="CD1193" s="38" t="str">
        <f t="shared" si="199"/>
        <v/>
      </c>
      <c r="CE1193" s="38" t="str">
        <f t="shared" si="200"/>
        <v/>
      </c>
      <c r="CF1193" s="38" t="str">
        <f t="shared" si="201"/>
        <v/>
      </c>
      <c r="CG1193" s="38" t="str">
        <f t="shared" si="202"/>
        <v/>
      </c>
      <c r="CH1193" s="38" t="str">
        <f t="shared" si="203"/>
        <v/>
      </c>
      <c r="CI1193" s="38" t="str">
        <f t="shared" si="204"/>
        <v/>
      </c>
      <c r="CJ1193" s="38" t="str">
        <f t="shared" si="205"/>
        <v/>
      </c>
      <c r="CK1193" s="38" t="str">
        <f t="shared" si="206"/>
        <v/>
      </c>
      <c r="CL1193" s="38" t="str">
        <f>IF(C1193="","",IF(COUNT(G1193:AZ1193)&lt;46,"",SUMPRODUCT(CC1193:CK1193,'تنظیمات وزن‌دهی'!$C$5:$C$13)/100))</f>
        <v/>
      </c>
      <c r="CM1193" s="38" t="str">
        <f t="shared" si="207"/>
        <v/>
      </c>
      <c r="CN1193" s="38">
        <v>1</v>
      </c>
      <c r="CO1193" s="28" t="str">
        <f t="shared" si="208"/>
        <v/>
      </c>
      <c r="CP1193" s="58"/>
    </row>
    <row r="1194" spans="1:94" ht="17.25" hidden="1">
      <c r="A1194" s="33">
        <v>1190</v>
      </c>
      <c r="B1194" s="55" t="s">
        <v>184</v>
      </c>
      <c r="C1194" s="55" t="str">
        <f>IF(دانش‌آموزان!E104="","",دانش‌آموزان!B104)</f>
        <v/>
      </c>
      <c r="D1194" s="55" t="str">
        <f>IF(دانش‌آموزان!C104="","",دانش‌آموزان!C104)</f>
        <v/>
      </c>
      <c r="E1194" s="55" t="str">
        <f>IF(دانش‌آموزان!E104="","",دانش‌آموزان!E104&amp;" "&amp;دانش‌آموزان!F104)</f>
        <v/>
      </c>
      <c r="F1194" s="34" t="str">
        <f>IF(دانش‌آموزان!I104="","",دانش‌آموزان!I104)</f>
        <v/>
      </c>
      <c r="G1194" s="19"/>
      <c r="H1194" s="20"/>
      <c r="I1194" s="20"/>
      <c r="J1194" s="20"/>
      <c r="K1194" s="20"/>
      <c r="L1194" s="20"/>
      <c r="M1194" s="20"/>
      <c r="N1194" s="20"/>
      <c r="O1194" s="20"/>
      <c r="P1194" s="20"/>
      <c r="Q1194" s="20"/>
      <c r="R1194" s="20"/>
      <c r="S1194" s="20"/>
      <c r="T1194" s="20"/>
      <c r="U1194" s="20"/>
      <c r="V1194" s="20"/>
      <c r="W1194" s="20"/>
      <c r="X1194" s="20"/>
      <c r="Y1194" s="20"/>
      <c r="Z1194" s="20"/>
      <c r="AA1194" s="20"/>
      <c r="AB1194" s="20"/>
      <c r="AC1194" s="20"/>
      <c r="AD1194" s="20"/>
      <c r="AE1194" s="20"/>
      <c r="AF1194" s="20"/>
      <c r="AG1194" s="20"/>
      <c r="AH1194" s="20"/>
      <c r="AI1194" s="20"/>
      <c r="AJ1194" s="20"/>
      <c r="AK1194" s="20"/>
      <c r="AL1194" s="20"/>
      <c r="AM1194" s="20"/>
      <c r="AN1194" s="20"/>
      <c r="AO1194" s="20"/>
      <c r="AP1194" s="20"/>
      <c r="AQ1194" s="20"/>
      <c r="AR1194" s="20"/>
      <c r="AS1194" s="20"/>
      <c r="AT1194" s="20"/>
      <c r="AU1194" s="20"/>
      <c r="AV1194" s="20"/>
      <c r="AW1194" s="20"/>
      <c r="AX1194" s="20"/>
      <c r="AY1194" s="20"/>
      <c r="AZ1194" s="20"/>
      <c r="BA1194" s="20"/>
      <c r="BB1194" s="20"/>
      <c r="BC1194" s="20"/>
      <c r="BD1194" s="20"/>
      <c r="BE1194" s="20"/>
      <c r="BF1194" s="20"/>
      <c r="BG1194" s="20"/>
      <c r="BH1194" s="20"/>
      <c r="BI1194" s="20"/>
      <c r="BJ1194" s="20"/>
      <c r="BK1194" s="20"/>
      <c r="BL1194" s="20"/>
      <c r="BM1194" s="20"/>
      <c r="BN1194" s="20"/>
      <c r="BO1194" s="20"/>
      <c r="BP1194" s="20"/>
      <c r="BQ1194" s="20"/>
      <c r="BR1194" s="20"/>
      <c r="BS1194" s="20"/>
      <c r="BT1194" s="20"/>
      <c r="BU1194" s="20"/>
      <c r="BV1194" s="20"/>
      <c r="BW1194" s="20"/>
      <c r="BX1194" s="20"/>
      <c r="BY1194" s="20"/>
      <c r="BZ1194" s="20"/>
      <c r="CA1194" s="20"/>
      <c r="CB1194" s="21"/>
      <c r="CC1194" s="27" t="str">
        <f t="shared" si="198"/>
        <v/>
      </c>
      <c r="CD1194" s="38" t="str">
        <f t="shared" si="199"/>
        <v/>
      </c>
      <c r="CE1194" s="38" t="str">
        <f t="shared" si="200"/>
        <v/>
      </c>
      <c r="CF1194" s="38" t="str">
        <f t="shared" si="201"/>
        <v/>
      </c>
      <c r="CG1194" s="38" t="str">
        <f t="shared" si="202"/>
        <v/>
      </c>
      <c r="CH1194" s="38" t="str">
        <f t="shared" si="203"/>
        <v/>
      </c>
      <c r="CI1194" s="38" t="str">
        <f t="shared" si="204"/>
        <v/>
      </c>
      <c r="CJ1194" s="38" t="str">
        <f t="shared" si="205"/>
        <v/>
      </c>
      <c r="CK1194" s="38" t="str">
        <f t="shared" si="206"/>
        <v/>
      </c>
      <c r="CL1194" s="38" t="str">
        <f>IF(C1194="","",IF(COUNT(G1194:AZ1194)&lt;46,"",SUMPRODUCT(CC1194:CK1194,'تنظیمات وزن‌دهی'!$C$5:$C$13)/100))</f>
        <v/>
      </c>
      <c r="CM1194" s="38" t="str">
        <f t="shared" si="207"/>
        <v/>
      </c>
      <c r="CN1194" s="38">
        <v>2</v>
      </c>
      <c r="CO1194" s="28" t="str">
        <f t="shared" si="208"/>
        <v/>
      </c>
      <c r="CP1194" s="58"/>
    </row>
    <row r="1195" spans="1:94" ht="17.25">
      <c r="A1195" s="33">
        <v>1191</v>
      </c>
      <c r="B1195" s="55" t="s">
        <v>185</v>
      </c>
      <c r="C1195" s="55" t="str">
        <f>IF(دانش‌آموزان!E104="","",دانش‌آموزان!B104)</f>
        <v/>
      </c>
      <c r="D1195" s="55" t="str">
        <f>IF(دانش‌آموزان!C104="","",دانش‌آموزان!C104)</f>
        <v/>
      </c>
      <c r="E1195" s="55" t="str">
        <f>IF(دانش‌آموزان!E104="","",دانش‌آموزان!E104&amp;" "&amp;دانش‌آموزان!F104)</f>
        <v/>
      </c>
      <c r="F1195" s="34" t="str">
        <f>IF(دانش‌آموزان!I104="","",دانش‌آموزان!I104)</f>
        <v/>
      </c>
      <c r="G1195" s="19"/>
      <c r="H1195" s="20"/>
      <c r="I1195" s="20"/>
      <c r="J1195" s="20"/>
      <c r="K1195" s="20"/>
      <c r="L1195" s="20"/>
      <c r="M1195" s="20"/>
      <c r="N1195" s="20"/>
      <c r="O1195" s="20"/>
      <c r="P1195" s="20"/>
      <c r="Q1195" s="20"/>
      <c r="R1195" s="20"/>
      <c r="S1195" s="20"/>
      <c r="T1195" s="20"/>
      <c r="U1195" s="20"/>
      <c r="V1195" s="20"/>
      <c r="W1195" s="20"/>
      <c r="X1195" s="20"/>
      <c r="Y1195" s="20"/>
      <c r="Z1195" s="20"/>
      <c r="AA1195" s="20"/>
      <c r="AB1195" s="20"/>
      <c r="AC1195" s="20"/>
      <c r="AD1195" s="20"/>
      <c r="AE1195" s="20"/>
      <c r="AF1195" s="20"/>
      <c r="AG1195" s="20"/>
      <c r="AH1195" s="20"/>
      <c r="AI1195" s="20"/>
      <c r="AJ1195" s="20"/>
      <c r="AK1195" s="20"/>
      <c r="AL1195" s="20"/>
      <c r="AM1195" s="20"/>
      <c r="AN1195" s="20"/>
      <c r="AO1195" s="20"/>
      <c r="AP1195" s="20"/>
      <c r="AQ1195" s="20"/>
      <c r="AR1195" s="20"/>
      <c r="AS1195" s="20"/>
      <c r="AT1195" s="20"/>
      <c r="AU1195" s="20"/>
      <c r="AV1195" s="20"/>
      <c r="AW1195" s="20"/>
      <c r="AX1195" s="20"/>
      <c r="AY1195" s="20"/>
      <c r="AZ1195" s="20"/>
      <c r="BA1195" s="20"/>
      <c r="BB1195" s="20"/>
      <c r="BC1195" s="20"/>
      <c r="BD1195" s="20"/>
      <c r="BE1195" s="20"/>
      <c r="BF1195" s="20"/>
      <c r="BG1195" s="20"/>
      <c r="BH1195" s="20"/>
      <c r="BI1195" s="20"/>
      <c r="BJ1195" s="20"/>
      <c r="BK1195" s="20"/>
      <c r="BL1195" s="20"/>
      <c r="BM1195" s="20"/>
      <c r="BN1195" s="20"/>
      <c r="BO1195" s="20"/>
      <c r="BP1195" s="20"/>
      <c r="BQ1195" s="20"/>
      <c r="BR1195" s="20"/>
      <c r="BS1195" s="20"/>
      <c r="BT1195" s="20"/>
      <c r="BU1195" s="20"/>
      <c r="BV1195" s="20"/>
      <c r="BW1195" s="20"/>
      <c r="BX1195" s="20"/>
      <c r="BY1195" s="20"/>
      <c r="BZ1195" s="20"/>
      <c r="CA1195" s="20"/>
      <c r="CB1195" s="21"/>
      <c r="CC1195" s="27" t="str">
        <f t="shared" si="198"/>
        <v/>
      </c>
      <c r="CD1195" s="38" t="str">
        <f t="shared" si="199"/>
        <v/>
      </c>
      <c r="CE1195" s="38" t="str">
        <f t="shared" si="200"/>
        <v/>
      </c>
      <c r="CF1195" s="38" t="str">
        <f t="shared" si="201"/>
        <v/>
      </c>
      <c r="CG1195" s="38" t="str">
        <f t="shared" si="202"/>
        <v/>
      </c>
      <c r="CH1195" s="38" t="str">
        <f t="shared" si="203"/>
        <v/>
      </c>
      <c r="CI1195" s="38" t="str">
        <f t="shared" si="204"/>
        <v/>
      </c>
      <c r="CJ1195" s="38" t="str">
        <f t="shared" si="205"/>
        <v/>
      </c>
      <c r="CK1195" s="38" t="str">
        <f t="shared" si="206"/>
        <v/>
      </c>
      <c r="CL1195" s="38" t="str">
        <f>IF(C1195="","",IF(COUNT(G1195:AZ1195)&lt;46,"",SUMPRODUCT(CC1195:CK1195,'تنظیمات وزن‌دهی'!$C$5:$C$13)/100))</f>
        <v/>
      </c>
      <c r="CM1195" s="38" t="str">
        <f t="shared" si="207"/>
        <v/>
      </c>
      <c r="CN1195" s="38">
        <v>3</v>
      </c>
      <c r="CO1195" s="28" t="str">
        <f t="shared" si="208"/>
        <v/>
      </c>
      <c r="CP1195" s="58"/>
    </row>
    <row r="1196" spans="1:94" ht="17.25" hidden="1">
      <c r="A1196" s="33">
        <v>1192</v>
      </c>
      <c r="B1196" s="55" t="s">
        <v>186</v>
      </c>
      <c r="C1196" s="55" t="str">
        <f>IF(دانش‌آموزان!E104="","",دانش‌آموزان!B104)</f>
        <v/>
      </c>
      <c r="D1196" s="55" t="str">
        <f>IF(دانش‌آموزان!C104="","",دانش‌آموزان!C104)</f>
        <v/>
      </c>
      <c r="E1196" s="55" t="str">
        <f>IF(دانش‌آموزان!E104="","",دانش‌آموزان!E104&amp;" "&amp;دانش‌آموزان!F104)</f>
        <v/>
      </c>
      <c r="F1196" s="34" t="str">
        <f>IF(دانش‌آموزان!I104="","",دانش‌آموزان!I104)</f>
        <v/>
      </c>
      <c r="G1196" s="19"/>
      <c r="H1196" s="20"/>
      <c r="I1196" s="20"/>
      <c r="J1196" s="20"/>
      <c r="K1196" s="20"/>
      <c r="L1196" s="20"/>
      <c r="M1196" s="20"/>
      <c r="N1196" s="20"/>
      <c r="O1196" s="20"/>
      <c r="P1196" s="20"/>
      <c r="Q1196" s="20"/>
      <c r="R1196" s="20"/>
      <c r="S1196" s="20"/>
      <c r="T1196" s="20"/>
      <c r="U1196" s="20"/>
      <c r="V1196" s="20"/>
      <c r="W1196" s="20"/>
      <c r="X1196" s="20"/>
      <c r="Y1196" s="20"/>
      <c r="Z1196" s="20"/>
      <c r="AA1196" s="20"/>
      <c r="AB1196" s="20"/>
      <c r="AC1196" s="20"/>
      <c r="AD1196" s="20"/>
      <c r="AE1196" s="20"/>
      <c r="AF1196" s="20"/>
      <c r="AG1196" s="20"/>
      <c r="AH1196" s="20"/>
      <c r="AI1196" s="20"/>
      <c r="AJ1196" s="20"/>
      <c r="AK1196" s="20"/>
      <c r="AL1196" s="20"/>
      <c r="AM1196" s="20"/>
      <c r="AN1196" s="20"/>
      <c r="AO1196" s="20"/>
      <c r="AP1196" s="20"/>
      <c r="AQ1196" s="20"/>
      <c r="AR1196" s="20"/>
      <c r="AS1196" s="20"/>
      <c r="AT1196" s="20"/>
      <c r="AU1196" s="20"/>
      <c r="AV1196" s="20"/>
      <c r="AW1196" s="20"/>
      <c r="AX1196" s="20"/>
      <c r="AY1196" s="20"/>
      <c r="AZ1196" s="20"/>
      <c r="BA1196" s="20"/>
      <c r="BB1196" s="20"/>
      <c r="BC1196" s="20"/>
      <c r="BD1196" s="20"/>
      <c r="BE1196" s="20"/>
      <c r="BF1196" s="20"/>
      <c r="BG1196" s="20"/>
      <c r="BH1196" s="20"/>
      <c r="BI1196" s="20"/>
      <c r="BJ1196" s="20"/>
      <c r="BK1196" s="20"/>
      <c r="BL1196" s="20"/>
      <c r="BM1196" s="20"/>
      <c r="BN1196" s="20"/>
      <c r="BO1196" s="20"/>
      <c r="BP1196" s="20"/>
      <c r="BQ1196" s="20"/>
      <c r="BR1196" s="20"/>
      <c r="BS1196" s="20"/>
      <c r="BT1196" s="20"/>
      <c r="BU1196" s="20"/>
      <c r="BV1196" s="20"/>
      <c r="BW1196" s="20"/>
      <c r="BX1196" s="20"/>
      <c r="BY1196" s="20"/>
      <c r="BZ1196" s="20"/>
      <c r="CA1196" s="20"/>
      <c r="CB1196" s="21"/>
      <c r="CC1196" s="27" t="str">
        <f t="shared" si="198"/>
        <v/>
      </c>
      <c r="CD1196" s="38" t="str">
        <f t="shared" si="199"/>
        <v/>
      </c>
      <c r="CE1196" s="38" t="str">
        <f t="shared" si="200"/>
        <v/>
      </c>
      <c r="CF1196" s="38" t="str">
        <f t="shared" si="201"/>
        <v/>
      </c>
      <c r="CG1196" s="38" t="str">
        <f t="shared" si="202"/>
        <v/>
      </c>
      <c r="CH1196" s="38" t="str">
        <f t="shared" si="203"/>
        <v/>
      </c>
      <c r="CI1196" s="38" t="str">
        <f t="shared" si="204"/>
        <v/>
      </c>
      <c r="CJ1196" s="38" t="str">
        <f t="shared" si="205"/>
        <v/>
      </c>
      <c r="CK1196" s="38" t="str">
        <f t="shared" si="206"/>
        <v/>
      </c>
      <c r="CL1196" s="38" t="str">
        <f>IF(C1196="","",IF(COUNT(G1196:AZ1196)&lt;46,"",SUMPRODUCT(CC1196:CK1196,'تنظیمات وزن‌دهی'!$C$5:$C$13)/100))</f>
        <v/>
      </c>
      <c r="CM1196" s="38" t="str">
        <f t="shared" si="207"/>
        <v/>
      </c>
      <c r="CN1196" s="38">
        <v>4</v>
      </c>
      <c r="CO1196" s="28" t="str">
        <f t="shared" si="208"/>
        <v/>
      </c>
      <c r="CP1196" s="58"/>
    </row>
    <row r="1197" spans="1:94" ht="17.25" hidden="1">
      <c r="A1197" s="33">
        <v>1193</v>
      </c>
      <c r="B1197" s="55" t="s">
        <v>187</v>
      </c>
      <c r="C1197" s="55" t="str">
        <f>IF(دانش‌آموزان!E104="","",دانش‌آموزان!B104)</f>
        <v/>
      </c>
      <c r="D1197" s="55" t="str">
        <f>IF(دانش‌آموزان!C104="","",دانش‌آموزان!C104)</f>
        <v/>
      </c>
      <c r="E1197" s="55" t="str">
        <f>IF(دانش‌آموزان!E104="","",دانش‌آموزان!E104&amp;" "&amp;دانش‌آموزان!F104)</f>
        <v/>
      </c>
      <c r="F1197" s="34" t="str">
        <f>IF(دانش‌آموزان!I104="","",دانش‌آموزان!I104)</f>
        <v/>
      </c>
      <c r="G1197" s="19"/>
      <c r="H1197" s="20"/>
      <c r="I1197" s="20"/>
      <c r="J1197" s="20"/>
      <c r="K1197" s="20"/>
      <c r="L1197" s="20"/>
      <c r="M1197" s="20"/>
      <c r="N1197" s="20"/>
      <c r="O1197" s="20"/>
      <c r="P1197" s="20"/>
      <c r="Q1197" s="20"/>
      <c r="R1197" s="20"/>
      <c r="S1197" s="20"/>
      <c r="T1197" s="20"/>
      <c r="U1197" s="20"/>
      <c r="V1197" s="20"/>
      <c r="W1197" s="20"/>
      <c r="X1197" s="20"/>
      <c r="Y1197" s="20"/>
      <c r="Z1197" s="20"/>
      <c r="AA1197" s="20"/>
      <c r="AB1197" s="20"/>
      <c r="AC1197" s="20"/>
      <c r="AD1197" s="20"/>
      <c r="AE1197" s="20"/>
      <c r="AF1197" s="20"/>
      <c r="AG1197" s="20"/>
      <c r="AH1197" s="20"/>
      <c r="AI1197" s="20"/>
      <c r="AJ1197" s="20"/>
      <c r="AK1197" s="20"/>
      <c r="AL1197" s="20"/>
      <c r="AM1197" s="20"/>
      <c r="AN1197" s="20"/>
      <c r="AO1197" s="20"/>
      <c r="AP1197" s="20"/>
      <c r="AQ1197" s="20"/>
      <c r="AR1197" s="20"/>
      <c r="AS1197" s="20"/>
      <c r="AT1197" s="20"/>
      <c r="AU1197" s="20"/>
      <c r="AV1197" s="20"/>
      <c r="AW1197" s="20"/>
      <c r="AX1197" s="20"/>
      <c r="AY1197" s="20"/>
      <c r="AZ1197" s="20"/>
      <c r="BA1197" s="20"/>
      <c r="BB1197" s="20"/>
      <c r="BC1197" s="20"/>
      <c r="BD1197" s="20"/>
      <c r="BE1197" s="20"/>
      <c r="BF1197" s="20"/>
      <c r="BG1197" s="20"/>
      <c r="BH1197" s="20"/>
      <c r="BI1197" s="20"/>
      <c r="BJ1197" s="20"/>
      <c r="BK1197" s="20"/>
      <c r="BL1197" s="20"/>
      <c r="BM1197" s="20"/>
      <c r="BN1197" s="20"/>
      <c r="BO1197" s="20"/>
      <c r="BP1197" s="20"/>
      <c r="BQ1197" s="20"/>
      <c r="BR1197" s="20"/>
      <c r="BS1197" s="20"/>
      <c r="BT1197" s="20"/>
      <c r="BU1197" s="20"/>
      <c r="BV1197" s="20"/>
      <c r="BW1197" s="20"/>
      <c r="BX1197" s="20"/>
      <c r="BY1197" s="20"/>
      <c r="BZ1197" s="20"/>
      <c r="CA1197" s="20"/>
      <c r="CB1197" s="21"/>
      <c r="CC1197" s="27" t="str">
        <f t="shared" si="198"/>
        <v/>
      </c>
      <c r="CD1197" s="38" t="str">
        <f t="shared" si="199"/>
        <v/>
      </c>
      <c r="CE1197" s="38" t="str">
        <f t="shared" si="200"/>
        <v/>
      </c>
      <c r="CF1197" s="38" t="str">
        <f t="shared" si="201"/>
        <v/>
      </c>
      <c r="CG1197" s="38" t="str">
        <f t="shared" si="202"/>
        <v/>
      </c>
      <c r="CH1197" s="38" t="str">
        <f t="shared" si="203"/>
        <v/>
      </c>
      <c r="CI1197" s="38" t="str">
        <f t="shared" si="204"/>
        <v/>
      </c>
      <c r="CJ1197" s="38" t="str">
        <f t="shared" si="205"/>
        <v/>
      </c>
      <c r="CK1197" s="38" t="str">
        <f t="shared" si="206"/>
        <v/>
      </c>
      <c r="CL1197" s="38" t="str">
        <f>IF(C1197="","",IF(COUNT(G1197:AZ1197)&lt;46,"",SUMPRODUCT(CC1197:CK1197,'تنظیمات وزن‌دهی'!$C$5:$C$13)/100))</f>
        <v/>
      </c>
      <c r="CM1197" s="38" t="str">
        <f t="shared" si="207"/>
        <v/>
      </c>
      <c r="CN1197" s="38">
        <v>5</v>
      </c>
      <c r="CO1197" s="28" t="str">
        <f t="shared" si="208"/>
        <v/>
      </c>
      <c r="CP1197" s="58"/>
    </row>
    <row r="1198" spans="1:94" ht="17.25" hidden="1">
      <c r="A1198" s="33">
        <v>1194</v>
      </c>
      <c r="B1198" s="55" t="s">
        <v>188</v>
      </c>
      <c r="C1198" s="55" t="str">
        <f>IF(دانش‌آموزان!E104="","",دانش‌آموزان!B104)</f>
        <v/>
      </c>
      <c r="D1198" s="55" t="str">
        <f>IF(دانش‌آموزان!C104="","",دانش‌آموزان!C104)</f>
        <v/>
      </c>
      <c r="E1198" s="55" t="str">
        <f>IF(دانش‌آموزان!E104="","",دانش‌آموزان!E104&amp;" "&amp;دانش‌آموزان!F104)</f>
        <v/>
      </c>
      <c r="F1198" s="34" t="str">
        <f>IF(دانش‌آموزان!I104="","",دانش‌آموزان!I104)</f>
        <v/>
      </c>
      <c r="G1198" s="19"/>
      <c r="H1198" s="20"/>
      <c r="I1198" s="20"/>
      <c r="J1198" s="20"/>
      <c r="K1198" s="20"/>
      <c r="L1198" s="20"/>
      <c r="M1198" s="20"/>
      <c r="N1198" s="20"/>
      <c r="O1198" s="20"/>
      <c r="P1198" s="20"/>
      <c r="Q1198" s="20"/>
      <c r="R1198" s="20"/>
      <c r="S1198" s="20"/>
      <c r="T1198" s="20"/>
      <c r="U1198" s="20"/>
      <c r="V1198" s="20"/>
      <c r="W1198" s="20"/>
      <c r="X1198" s="20"/>
      <c r="Y1198" s="20"/>
      <c r="Z1198" s="20"/>
      <c r="AA1198" s="20"/>
      <c r="AB1198" s="20"/>
      <c r="AC1198" s="20"/>
      <c r="AD1198" s="20"/>
      <c r="AE1198" s="20"/>
      <c r="AF1198" s="20"/>
      <c r="AG1198" s="20"/>
      <c r="AH1198" s="20"/>
      <c r="AI1198" s="20"/>
      <c r="AJ1198" s="20"/>
      <c r="AK1198" s="20"/>
      <c r="AL1198" s="20"/>
      <c r="AM1198" s="20"/>
      <c r="AN1198" s="20"/>
      <c r="AO1198" s="20"/>
      <c r="AP1198" s="20"/>
      <c r="AQ1198" s="20"/>
      <c r="AR1198" s="20"/>
      <c r="AS1198" s="20"/>
      <c r="AT1198" s="20"/>
      <c r="AU1198" s="20"/>
      <c r="AV1198" s="20"/>
      <c r="AW1198" s="20"/>
      <c r="AX1198" s="20"/>
      <c r="AY1198" s="20"/>
      <c r="AZ1198" s="20"/>
      <c r="BA1198" s="20"/>
      <c r="BB1198" s="20"/>
      <c r="BC1198" s="20"/>
      <c r="BD1198" s="20"/>
      <c r="BE1198" s="20"/>
      <c r="BF1198" s="20"/>
      <c r="BG1198" s="20"/>
      <c r="BH1198" s="20"/>
      <c r="BI1198" s="20"/>
      <c r="BJ1198" s="20"/>
      <c r="BK1198" s="20"/>
      <c r="BL1198" s="20"/>
      <c r="BM1198" s="20"/>
      <c r="BN1198" s="20"/>
      <c r="BO1198" s="20"/>
      <c r="BP1198" s="20"/>
      <c r="BQ1198" s="20"/>
      <c r="BR1198" s="20"/>
      <c r="BS1198" s="20"/>
      <c r="BT1198" s="20"/>
      <c r="BU1198" s="20"/>
      <c r="BV1198" s="20"/>
      <c r="BW1198" s="20"/>
      <c r="BX1198" s="20"/>
      <c r="BY1198" s="20"/>
      <c r="BZ1198" s="20"/>
      <c r="CA1198" s="20"/>
      <c r="CB1198" s="21"/>
      <c r="CC1198" s="27" t="str">
        <f t="shared" si="198"/>
        <v/>
      </c>
      <c r="CD1198" s="38" t="str">
        <f t="shared" si="199"/>
        <v/>
      </c>
      <c r="CE1198" s="38" t="str">
        <f t="shared" si="200"/>
        <v/>
      </c>
      <c r="CF1198" s="38" t="str">
        <f t="shared" si="201"/>
        <v/>
      </c>
      <c r="CG1198" s="38" t="str">
        <f t="shared" si="202"/>
        <v/>
      </c>
      <c r="CH1198" s="38" t="str">
        <f t="shared" si="203"/>
        <v/>
      </c>
      <c r="CI1198" s="38" t="str">
        <f t="shared" si="204"/>
        <v/>
      </c>
      <c r="CJ1198" s="38" t="str">
        <f t="shared" si="205"/>
        <v/>
      </c>
      <c r="CK1198" s="38" t="str">
        <f t="shared" si="206"/>
        <v/>
      </c>
      <c r="CL1198" s="38" t="str">
        <f>IF(C1198="","",IF(COUNT(G1198:AZ1198)&lt;46,"",SUMPRODUCT(CC1198:CK1198,'تنظیمات وزن‌دهی'!$C$5:$C$13)/100))</f>
        <v/>
      </c>
      <c r="CM1198" s="38" t="str">
        <f t="shared" si="207"/>
        <v/>
      </c>
      <c r="CN1198" s="38">
        <v>6</v>
      </c>
      <c r="CO1198" s="28" t="str">
        <f t="shared" si="208"/>
        <v/>
      </c>
      <c r="CP1198" s="58"/>
    </row>
    <row r="1199" spans="1:94" ht="17.25" hidden="1">
      <c r="A1199" s="33">
        <v>1195</v>
      </c>
      <c r="B1199" s="55" t="s">
        <v>189</v>
      </c>
      <c r="C1199" s="55" t="str">
        <f>IF(دانش‌آموزان!E104="","",دانش‌آموزان!B104)</f>
        <v/>
      </c>
      <c r="D1199" s="55" t="str">
        <f>IF(دانش‌آموزان!C104="","",دانش‌آموزان!C104)</f>
        <v/>
      </c>
      <c r="E1199" s="55" t="str">
        <f>IF(دانش‌آموزان!E104="","",دانش‌آموزان!E104&amp;" "&amp;دانش‌آموزان!F104)</f>
        <v/>
      </c>
      <c r="F1199" s="34" t="str">
        <f>IF(دانش‌آموزان!I104="","",دانش‌آموزان!I104)</f>
        <v/>
      </c>
      <c r="G1199" s="19"/>
      <c r="H1199" s="20"/>
      <c r="I1199" s="20"/>
      <c r="J1199" s="20"/>
      <c r="K1199" s="20"/>
      <c r="L1199" s="20"/>
      <c r="M1199" s="20"/>
      <c r="N1199" s="20"/>
      <c r="O1199" s="20"/>
      <c r="P1199" s="20"/>
      <c r="Q1199" s="20"/>
      <c r="R1199" s="20"/>
      <c r="S1199" s="20"/>
      <c r="T1199" s="20"/>
      <c r="U1199" s="20"/>
      <c r="V1199" s="20"/>
      <c r="W1199" s="20"/>
      <c r="X1199" s="20"/>
      <c r="Y1199" s="20"/>
      <c r="Z1199" s="20"/>
      <c r="AA1199" s="20"/>
      <c r="AB1199" s="20"/>
      <c r="AC1199" s="20"/>
      <c r="AD1199" s="20"/>
      <c r="AE1199" s="20"/>
      <c r="AF1199" s="20"/>
      <c r="AG1199" s="20"/>
      <c r="AH1199" s="20"/>
      <c r="AI1199" s="20"/>
      <c r="AJ1199" s="20"/>
      <c r="AK1199" s="20"/>
      <c r="AL1199" s="20"/>
      <c r="AM1199" s="20"/>
      <c r="AN1199" s="20"/>
      <c r="AO1199" s="20"/>
      <c r="AP1199" s="20"/>
      <c r="AQ1199" s="20"/>
      <c r="AR1199" s="20"/>
      <c r="AS1199" s="20"/>
      <c r="AT1199" s="20"/>
      <c r="AU1199" s="20"/>
      <c r="AV1199" s="20"/>
      <c r="AW1199" s="20"/>
      <c r="AX1199" s="20"/>
      <c r="AY1199" s="20"/>
      <c r="AZ1199" s="20"/>
      <c r="BA1199" s="20"/>
      <c r="BB1199" s="20"/>
      <c r="BC1199" s="20"/>
      <c r="BD1199" s="20"/>
      <c r="BE1199" s="20"/>
      <c r="BF1199" s="20"/>
      <c r="BG1199" s="20"/>
      <c r="BH1199" s="20"/>
      <c r="BI1199" s="20"/>
      <c r="BJ1199" s="20"/>
      <c r="BK1199" s="20"/>
      <c r="BL1199" s="20"/>
      <c r="BM1199" s="20"/>
      <c r="BN1199" s="20"/>
      <c r="BO1199" s="20"/>
      <c r="BP1199" s="20"/>
      <c r="BQ1199" s="20"/>
      <c r="BR1199" s="20"/>
      <c r="BS1199" s="20"/>
      <c r="BT1199" s="20"/>
      <c r="BU1199" s="20"/>
      <c r="BV1199" s="20"/>
      <c r="BW1199" s="20"/>
      <c r="BX1199" s="20"/>
      <c r="BY1199" s="20"/>
      <c r="BZ1199" s="20"/>
      <c r="CA1199" s="20"/>
      <c r="CB1199" s="21"/>
      <c r="CC1199" s="27" t="str">
        <f t="shared" si="198"/>
        <v/>
      </c>
      <c r="CD1199" s="38" t="str">
        <f t="shared" si="199"/>
        <v/>
      </c>
      <c r="CE1199" s="38" t="str">
        <f t="shared" si="200"/>
        <v/>
      </c>
      <c r="CF1199" s="38" t="str">
        <f t="shared" si="201"/>
        <v/>
      </c>
      <c r="CG1199" s="38" t="str">
        <f t="shared" si="202"/>
        <v/>
      </c>
      <c r="CH1199" s="38" t="str">
        <f t="shared" si="203"/>
        <v/>
      </c>
      <c r="CI1199" s="38" t="str">
        <f t="shared" si="204"/>
        <v/>
      </c>
      <c r="CJ1199" s="38" t="str">
        <f t="shared" si="205"/>
        <v/>
      </c>
      <c r="CK1199" s="38" t="str">
        <f t="shared" si="206"/>
        <v/>
      </c>
      <c r="CL1199" s="38" t="str">
        <f>IF(C1199="","",IF(COUNT(G1199:AZ1199)&lt;46,"",SUMPRODUCT(CC1199:CK1199,'تنظیمات وزن‌دهی'!$C$5:$C$13)/100))</f>
        <v/>
      </c>
      <c r="CM1199" s="38" t="str">
        <f t="shared" si="207"/>
        <v/>
      </c>
      <c r="CN1199" s="38">
        <v>7</v>
      </c>
      <c r="CO1199" s="28" t="str">
        <f t="shared" si="208"/>
        <v/>
      </c>
      <c r="CP1199" s="58"/>
    </row>
    <row r="1200" spans="1:94" ht="17.25" hidden="1">
      <c r="A1200" s="33">
        <v>1196</v>
      </c>
      <c r="B1200" s="55" t="s">
        <v>190</v>
      </c>
      <c r="C1200" s="55" t="str">
        <f>IF(دانش‌آموزان!E104="","",دانش‌آموزان!B104)</f>
        <v/>
      </c>
      <c r="D1200" s="55" t="str">
        <f>IF(دانش‌آموزان!C104="","",دانش‌آموزان!C104)</f>
        <v/>
      </c>
      <c r="E1200" s="55" t="str">
        <f>IF(دانش‌آموزان!E104="","",دانش‌آموزان!E104&amp;" "&amp;دانش‌آموزان!F104)</f>
        <v/>
      </c>
      <c r="F1200" s="34" t="str">
        <f>IF(دانش‌آموزان!I104="","",دانش‌آموزان!I104)</f>
        <v/>
      </c>
      <c r="G1200" s="19"/>
      <c r="H1200" s="20"/>
      <c r="I1200" s="20"/>
      <c r="J1200" s="20"/>
      <c r="K1200" s="20"/>
      <c r="L1200" s="20"/>
      <c r="M1200" s="20"/>
      <c r="N1200" s="20"/>
      <c r="O1200" s="20"/>
      <c r="P1200" s="20"/>
      <c r="Q1200" s="20"/>
      <c r="R1200" s="20"/>
      <c r="S1200" s="20"/>
      <c r="T1200" s="20"/>
      <c r="U1200" s="20"/>
      <c r="V1200" s="20"/>
      <c r="W1200" s="20"/>
      <c r="X1200" s="20"/>
      <c r="Y1200" s="20"/>
      <c r="Z1200" s="20"/>
      <c r="AA1200" s="20"/>
      <c r="AB1200" s="20"/>
      <c r="AC1200" s="20"/>
      <c r="AD1200" s="20"/>
      <c r="AE1200" s="20"/>
      <c r="AF1200" s="20"/>
      <c r="AG1200" s="20"/>
      <c r="AH1200" s="20"/>
      <c r="AI1200" s="20"/>
      <c r="AJ1200" s="20"/>
      <c r="AK1200" s="20"/>
      <c r="AL1200" s="20"/>
      <c r="AM1200" s="20"/>
      <c r="AN1200" s="20"/>
      <c r="AO1200" s="20"/>
      <c r="AP1200" s="20"/>
      <c r="AQ1200" s="20"/>
      <c r="AR1200" s="20"/>
      <c r="AS1200" s="20"/>
      <c r="AT1200" s="20"/>
      <c r="AU1200" s="20"/>
      <c r="AV1200" s="20"/>
      <c r="AW1200" s="20"/>
      <c r="AX1200" s="20"/>
      <c r="AY1200" s="20"/>
      <c r="AZ1200" s="20"/>
      <c r="BA1200" s="20"/>
      <c r="BB1200" s="20"/>
      <c r="BC1200" s="20"/>
      <c r="BD1200" s="20"/>
      <c r="BE1200" s="20"/>
      <c r="BF1200" s="20"/>
      <c r="BG1200" s="20"/>
      <c r="BH1200" s="20"/>
      <c r="BI1200" s="20"/>
      <c r="BJ1200" s="20"/>
      <c r="BK1200" s="20"/>
      <c r="BL1200" s="20"/>
      <c r="BM1200" s="20"/>
      <c r="BN1200" s="20"/>
      <c r="BO1200" s="20"/>
      <c r="BP1200" s="20"/>
      <c r="BQ1200" s="20"/>
      <c r="BR1200" s="20"/>
      <c r="BS1200" s="20"/>
      <c r="BT1200" s="20"/>
      <c r="BU1200" s="20"/>
      <c r="BV1200" s="20"/>
      <c r="BW1200" s="20"/>
      <c r="BX1200" s="20"/>
      <c r="BY1200" s="20"/>
      <c r="BZ1200" s="20"/>
      <c r="CA1200" s="20"/>
      <c r="CB1200" s="21"/>
      <c r="CC1200" s="27" t="str">
        <f t="shared" si="198"/>
        <v/>
      </c>
      <c r="CD1200" s="38" t="str">
        <f t="shared" si="199"/>
        <v/>
      </c>
      <c r="CE1200" s="38" t="str">
        <f t="shared" si="200"/>
        <v/>
      </c>
      <c r="CF1200" s="38" t="str">
        <f t="shared" si="201"/>
        <v/>
      </c>
      <c r="CG1200" s="38" t="str">
        <f t="shared" si="202"/>
        <v/>
      </c>
      <c r="CH1200" s="38" t="str">
        <f t="shared" si="203"/>
        <v/>
      </c>
      <c r="CI1200" s="38" t="str">
        <f t="shared" si="204"/>
        <v/>
      </c>
      <c r="CJ1200" s="38" t="str">
        <f t="shared" si="205"/>
        <v/>
      </c>
      <c r="CK1200" s="38" t="str">
        <f t="shared" si="206"/>
        <v/>
      </c>
      <c r="CL1200" s="38" t="str">
        <f>IF(C1200="","",IF(COUNT(G1200:AZ1200)&lt;46,"",SUMPRODUCT(CC1200:CK1200,'تنظیمات وزن‌دهی'!$C$5:$C$13)/100))</f>
        <v/>
      </c>
      <c r="CM1200" s="38" t="str">
        <f t="shared" si="207"/>
        <v/>
      </c>
      <c r="CN1200" s="38">
        <v>8</v>
      </c>
      <c r="CO1200" s="28" t="str">
        <f t="shared" si="208"/>
        <v/>
      </c>
      <c r="CP1200" s="58"/>
    </row>
    <row r="1201" spans="1:94" ht="17.25" hidden="1">
      <c r="A1201" s="33">
        <v>1197</v>
      </c>
      <c r="B1201" s="55" t="s">
        <v>191</v>
      </c>
      <c r="C1201" s="55" t="str">
        <f>IF(دانش‌آموزان!E104="","",دانش‌آموزان!B104)</f>
        <v/>
      </c>
      <c r="D1201" s="55" t="str">
        <f>IF(دانش‌آموزان!C104="","",دانش‌آموزان!C104)</f>
        <v/>
      </c>
      <c r="E1201" s="55" t="str">
        <f>IF(دانش‌آموزان!E104="","",دانش‌آموزان!E104&amp;" "&amp;دانش‌آموزان!F104)</f>
        <v/>
      </c>
      <c r="F1201" s="34" t="str">
        <f>IF(دانش‌آموزان!I104="","",دانش‌آموزان!I104)</f>
        <v/>
      </c>
      <c r="G1201" s="19"/>
      <c r="H1201" s="20"/>
      <c r="I1201" s="20"/>
      <c r="J1201" s="20"/>
      <c r="K1201" s="20"/>
      <c r="L1201" s="20"/>
      <c r="M1201" s="20"/>
      <c r="N1201" s="20"/>
      <c r="O1201" s="20"/>
      <c r="P1201" s="20"/>
      <c r="Q1201" s="20"/>
      <c r="R1201" s="20"/>
      <c r="S1201" s="20"/>
      <c r="T1201" s="20"/>
      <c r="U1201" s="20"/>
      <c r="V1201" s="20"/>
      <c r="W1201" s="20"/>
      <c r="X1201" s="20"/>
      <c r="Y1201" s="20"/>
      <c r="Z1201" s="20"/>
      <c r="AA1201" s="20"/>
      <c r="AB1201" s="20"/>
      <c r="AC1201" s="20"/>
      <c r="AD1201" s="20"/>
      <c r="AE1201" s="20"/>
      <c r="AF1201" s="20"/>
      <c r="AG1201" s="20"/>
      <c r="AH1201" s="20"/>
      <c r="AI1201" s="20"/>
      <c r="AJ1201" s="20"/>
      <c r="AK1201" s="20"/>
      <c r="AL1201" s="20"/>
      <c r="AM1201" s="20"/>
      <c r="AN1201" s="20"/>
      <c r="AO1201" s="20"/>
      <c r="AP1201" s="20"/>
      <c r="AQ1201" s="20"/>
      <c r="AR1201" s="20"/>
      <c r="AS1201" s="20"/>
      <c r="AT1201" s="20"/>
      <c r="AU1201" s="20"/>
      <c r="AV1201" s="20"/>
      <c r="AW1201" s="20"/>
      <c r="AX1201" s="20"/>
      <c r="AY1201" s="20"/>
      <c r="AZ1201" s="20"/>
      <c r="BA1201" s="20"/>
      <c r="BB1201" s="20"/>
      <c r="BC1201" s="20"/>
      <c r="BD1201" s="20"/>
      <c r="BE1201" s="20"/>
      <c r="BF1201" s="20"/>
      <c r="BG1201" s="20"/>
      <c r="BH1201" s="20"/>
      <c r="BI1201" s="20"/>
      <c r="BJ1201" s="20"/>
      <c r="BK1201" s="20"/>
      <c r="BL1201" s="20"/>
      <c r="BM1201" s="20"/>
      <c r="BN1201" s="20"/>
      <c r="BO1201" s="20"/>
      <c r="BP1201" s="20"/>
      <c r="BQ1201" s="20"/>
      <c r="BR1201" s="20"/>
      <c r="BS1201" s="20"/>
      <c r="BT1201" s="20"/>
      <c r="BU1201" s="20"/>
      <c r="BV1201" s="20"/>
      <c r="BW1201" s="20"/>
      <c r="BX1201" s="20"/>
      <c r="BY1201" s="20"/>
      <c r="BZ1201" s="20"/>
      <c r="CA1201" s="20"/>
      <c r="CB1201" s="21"/>
      <c r="CC1201" s="27" t="str">
        <f t="shared" si="198"/>
        <v/>
      </c>
      <c r="CD1201" s="38" t="str">
        <f t="shared" si="199"/>
        <v/>
      </c>
      <c r="CE1201" s="38" t="str">
        <f t="shared" si="200"/>
        <v/>
      </c>
      <c r="CF1201" s="38" t="str">
        <f t="shared" si="201"/>
        <v/>
      </c>
      <c r="CG1201" s="38" t="str">
        <f t="shared" si="202"/>
        <v/>
      </c>
      <c r="CH1201" s="38" t="str">
        <f t="shared" si="203"/>
        <v/>
      </c>
      <c r="CI1201" s="38" t="str">
        <f t="shared" si="204"/>
        <v/>
      </c>
      <c r="CJ1201" s="38" t="str">
        <f t="shared" si="205"/>
        <v/>
      </c>
      <c r="CK1201" s="38" t="str">
        <f t="shared" si="206"/>
        <v/>
      </c>
      <c r="CL1201" s="38" t="str">
        <f>IF(C1201="","",IF(COUNT(G1201:AZ1201)&lt;46,"",SUMPRODUCT(CC1201:CK1201,'تنظیمات وزن‌دهی'!$C$5:$C$13)/100))</f>
        <v/>
      </c>
      <c r="CM1201" s="38" t="str">
        <f t="shared" si="207"/>
        <v/>
      </c>
      <c r="CN1201" s="38">
        <v>9</v>
      </c>
      <c r="CO1201" s="28" t="str">
        <f t="shared" si="208"/>
        <v/>
      </c>
      <c r="CP1201" s="58"/>
    </row>
    <row r="1202" spans="1:94" ht="17.25" hidden="1">
      <c r="A1202" s="33">
        <v>1198</v>
      </c>
      <c r="B1202" s="55" t="s">
        <v>192</v>
      </c>
      <c r="C1202" s="55" t="str">
        <f>IF(دانش‌آموزان!E104="","",دانش‌آموزان!B104)</f>
        <v/>
      </c>
      <c r="D1202" s="55" t="str">
        <f>IF(دانش‌آموزان!C104="","",دانش‌آموزان!C104)</f>
        <v/>
      </c>
      <c r="E1202" s="55" t="str">
        <f>IF(دانش‌آموزان!E104="","",دانش‌آموزان!E104&amp;" "&amp;دانش‌آموزان!F104)</f>
        <v/>
      </c>
      <c r="F1202" s="34" t="str">
        <f>IF(دانش‌آموزان!I104="","",دانش‌آموزان!I104)</f>
        <v/>
      </c>
      <c r="G1202" s="19"/>
      <c r="H1202" s="20"/>
      <c r="I1202" s="20"/>
      <c r="J1202" s="20"/>
      <c r="K1202" s="20"/>
      <c r="L1202" s="20"/>
      <c r="M1202" s="20"/>
      <c r="N1202" s="20"/>
      <c r="O1202" s="20"/>
      <c r="P1202" s="20"/>
      <c r="Q1202" s="20"/>
      <c r="R1202" s="20"/>
      <c r="S1202" s="20"/>
      <c r="T1202" s="20"/>
      <c r="U1202" s="20"/>
      <c r="V1202" s="20"/>
      <c r="W1202" s="20"/>
      <c r="X1202" s="20"/>
      <c r="Y1202" s="20"/>
      <c r="Z1202" s="20"/>
      <c r="AA1202" s="20"/>
      <c r="AB1202" s="20"/>
      <c r="AC1202" s="20"/>
      <c r="AD1202" s="20"/>
      <c r="AE1202" s="20"/>
      <c r="AF1202" s="20"/>
      <c r="AG1202" s="20"/>
      <c r="AH1202" s="20"/>
      <c r="AI1202" s="20"/>
      <c r="AJ1202" s="20"/>
      <c r="AK1202" s="20"/>
      <c r="AL1202" s="20"/>
      <c r="AM1202" s="20"/>
      <c r="AN1202" s="20"/>
      <c r="AO1202" s="20"/>
      <c r="AP1202" s="20"/>
      <c r="AQ1202" s="20"/>
      <c r="AR1202" s="20"/>
      <c r="AS1202" s="20"/>
      <c r="AT1202" s="20"/>
      <c r="AU1202" s="20"/>
      <c r="AV1202" s="20"/>
      <c r="AW1202" s="20"/>
      <c r="AX1202" s="20"/>
      <c r="AY1202" s="20"/>
      <c r="AZ1202" s="20"/>
      <c r="BA1202" s="20"/>
      <c r="BB1202" s="20"/>
      <c r="BC1202" s="20"/>
      <c r="BD1202" s="20"/>
      <c r="BE1202" s="20"/>
      <c r="BF1202" s="20"/>
      <c r="BG1202" s="20"/>
      <c r="BH1202" s="20"/>
      <c r="BI1202" s="20"/>
      <c r="BJ1202" s="20"/>
      <c r="BK1202" s="20"/>
      <c r="BL1202" s="20"/>
      <c r="BM1202" s="20"/>
      <c r="BN1202" s="20"/>
      <c r="BO1202" s="20"/>
      <c r="BP1202" s="20"/>
      <c r="BQ1202" s="20"/>
      <c r="BR1202" s="20"/>
      <c r="BS1202" s="20"/>
      <c r="BT1202" s="20"/>
      <c r="BU1202" s="20"/>
      <c r="BV1202" s="20"/>
      <c r="BW1202" s="20"/>
      <c r="BX1202" s="20"/>
      <c r="BY1202" s="20"/>
      <c r="BZ1202" s="20"/>
      <c r="CA1202" s="20"/>
      <c r="CB1202" s="21"/>
      <c r="CC1202" s="27" t="str">
        <f t="shared" si="198"/>
        <v/>
      </c>
      <c r="CD1202" s="38" t="str">
        <f t="shared" si="199"/>
        <v/>
      </c>
      <c r="CE1202" s="38" t="str">
        <f t="shared" si="200"/>
        <v/>
      </c>
      <c r="CF1202" s="38" t="str">
        <f t="shared" si="201"/>
        <v/>
      </c>
      <c r="CG1202" s="38" t="str">
        <f t="shared" si="202"/>
        <v/>
      </c>
      <c r="CH1202" s="38" t="str">
        <f t="shared" si="203"/>
        <v/>
      </c>
      <c r="CI1202" s="38" t="str">
        <f t="shared" si="204"/>
        <v/>
      </c>
      <c r="CJ1202" s="38" t="str">
        <f t="shared" si="205"/>
        <v/>
      </c>
      <c r="CK1202" s="38" t="str">
        <f t="shared" si="206"/>
        <v/>
      </c>
      <c r="CL1202" s="38" t="str">
        <f>IF(C1202="","",IF(COUNT(G1202:AZ1202)&lt;46,"",SUMPRODUCT(CC1202:CK1202,'تنظیمات وزن‌دهی'!$C$5:$C$13)/100))</f>
        <v/>
      </c>
      <c r="CM1202" s="38" t="str">
        <f t="shared" si="207"/>
        <v/>
      </c>
      <c r="CN1202" s="38">
        <v>10</v>
      </c>
      <c r="CO1202" s="28" t="str">
        <f t="shared" si="208"/>
        <v/>
      </c>
      <c r="CP1202" s="58"/>
    </row>
    <row r="1203" spans="1:94" ht="17.25" hidden="1">
      <c r="A1203" s="33">
        <v>1199</v>
      </c>
      <c r="B1203" s="55" t="s">
        <v>193</v>
      </c>
      <c r="C1203" s="55" t="str">
        <f>IF(دانش‌آموزان!E104="","",دانش‌آموزان!B104)</f>
        <v/>
      </c>
      <c r="D1203" s="55" t="str">
        <f>IF(دانش‌آموزان!C104="","",دانش‌آموزان!C104)</f>
        <v/>
      </c>
      <c r="E1203" s="55" t="str">
        <f>IF(دانش‌آموزان!E104="","",دانش‌آموزان!E104&amp;" "&amp;دانش‌آموزان!F104)</f>
        <v/>
      </c>
      <c r="F1203" s="34" t="str">
        <f>IF(دانش‌آموزان!I104="","",دانش‌آموزان!I104)</f>
        <v/>
      </c>
      <c r="G1203" s="19"/>
      <c r="H1203" s="20"/>
      <c r="I1203" s="20"/>
      <c r="J1203" s="20"/>
      <c r="K1203" s="20"/>
      <c r="L1203" s="20"/>
      <c r="M1203" s="20"/>
      <c r="N1203" s="20"/>
      <c r="O1203" s="20"/>
      <c r="P1203" s="20"/>
      <c r="Q1203" s="20"/>
      <c r="R1203" s="20"/>
      <c r="S1203" s="20"/>
      <c r="T1203" s="20"/>
      <c r="U1203" s="20"/>
      <c r="V1203" s="20"/>
      <c r="W1203" s="20"/>
      <c r="X1203" s="20"/>
      <c r="Y1203" s="20"/>
      <c r="Z1203" s="20"/>
      <c r="AA1203" s="20"/>
      <c r="AB1203" s="20"/>
      <c r="AC1203" s="20"/>
      <c r="AD1203" s="20"/>
      <c r="AE1203" s="20"/>
      <c r="AF1203" s="20"/>
      <c r="AG1203" s="20"/>
      <c r="AH1203" s="20"/>
      <c r="AI1203" s="20"/>
      <c r="AJ1203" s="20"/>
      <c r="AK1203" s="20"/>
      <c r="AL1203" s="20"/>
      <c r="AM1203" s="20"/>
      <c r="AN1203" s="20"/>
      <c r="AO1203" s="20"/>
      <c r="AP1203" s="20"/>
      <c r="AQ1203" s="20"/>
      <c r="AR1203" s="20"/>
      <c r="AS1203" s="20"/>
      <c r="AT1203" s="20"/>
      <c r="AU1203" s="20"/>
      <c r="AV1203" s="20"/>
      <c r="AW1203" s="20"/>
      <c r="AX1203" s="20"/>
      <c r="AY1203" s="20"/>
      <c r="AZ1203" s="20"/>
      <c r="BA1203" s="20"/>
      <c r="BB1203" s="20"/>
      <c r="BC1203" s="20"/>
      <c r="BD1203" s="20"/>
      <c r="BE1203" s="20"/>
      <c r="BF1203" s="20"/>
      <c r="BG1203" s="20"/>
      <c r="BH1203" s="20"/>
      <c r="BI1203" s="20"/>
      <c r="BJ1203" s="20"/>
      <c r="BK1203" s="20"/>
      <c r="BL1203" s="20"/>
      <c r="BM1203" s="20"/>
      <c r="BN1203" s="20"/>
      <c r="BO1203" s="20"/>
      <c r="BP1203" s="20"/>
      <c r="BQ1203" s="20"/>
      <c r="BR1203" s="20"/>
      <c r="BS1203" s="20"/>
      <c r="BT1203" s="20"/>
      <c r="BU1203" s="20"/>
      <c r="BV1203" s="20"/>
      <c r="BW1203" s="20"/>
      <c r="BX1203" s="20"/>
      <c r="BY1203" s="20"/>
      <c r="BZ1203" s="20"/>
      <c r="CA1203" s="20"/>
      <c r="CB1203" s="21"/>
      <c r="CC1203" s="27" t="str">
        <f t="shared" si="198"/>
        <v/>
      </c>
      <c r="CD1203" s="38" t="str">
        <f t="shared" si="199"/>
        <v/>
      </c>
      <c r="CE1203" s="38" t="str">
        <f t="shared" si="200"/>
        <v/>
      </c>
      <c r="CF1203" s="38" t="str">
        <f t="shared" si="201"/>
        <v/>
      </c>
      <c r="CG1203" s="38" t="str">
        <f t="shared" si="202"/>
        <v/>
      </c>
      <c r="CH1203" s="38" t="str">
        <f t="shared" si="203"/>
        <v/>
      </c>
      <c r="CI1203" s="38" t="str">
        <f t="shared" si="204"/>
        <v/>
      </c>
      <c r="CJ1203" s="38" t="str">
        <f t="shared" si="205"/>
        <v/>
      </c>
      <c r="CK1203" s="38" t="str">
        <f t="shared" si="206"/>
        <v/>
      </c>
      <c r="CL1203" s="38" t="str">
        <f>IF(C1203="","",IF(COUNT(G1203:AZ1203)&lt;46,"",SUMPRODUCT(CC1203:CK1203,'تنظیمات وزن‌دهی'!$C$5:$C$13)/100))</f>
        <v/>
      </c>
      <c r="CM1203" s="38" t="str">
        <f t="shared" si="207"/>
        <v/>
      </c>
      <c r="CN1203" s="38">
        <v>11</v>
      </c>
      <c r="CO1203" s="28" t="str">
        <f t="shared" si="208"/>
        <v/>
      </c>
      <c r="CP1203" s="58"/>
    </row>
    <row r="1204" spans="1:94" ht="17.25" hidden="1">
      <c r="A1204" s="35">
        <v>1200</v>
      </c>
      <c r="B1204" s="56" t="s">
        <v>194</v>
      </c>
      <c r="C1204" s="56" t="str">
        <f>IF(دانش‌آموزان!E104="","",دانش‌آموزان!B104)</f>
        <v/>
      </c>
      <c r="D1204" s="56" t="str">
        <f>IF(دانش‌آموزان!C104="","",دانش‌آموزان!C104)</f>
        <v/>
      </c>
      <c r="E1204" s="56" t="str">
        <f>IF(دانش‌آموزان!E104="","",دانش‌آموزان!E104&amp;" "&amp;دانش‌آموزان!F104)</f>
        <v/>
      </c>
      <c r="F1204" s="36" t="str">
        <f>IF(دانش‌آموزان!I104="","",دانش‌آموزان!I104)</f>
        <v/>
      </c>
      <c r="G1204" s="22"/>
      <c r="H1204" s="23"/>
      <c r="I1204" s="23"/>
      <c r="J1204" s="23"/>
      <c r="K1204" s="23"/>
      <c r="L1204" s="23"/>
      <c r="M1204" s="23"/>
      <c r="N1204" s="23"/>
      <c r="O1204" s="23"/>
      <c r="P1204" s="23"/>
      <c r="Q1204" s="23"/>
      <c r="R1204" s="23"/>
      <c r="S1204" s="23"/>
      <c r="T1204" s="23"/>
      <c r="U1204" s="23"/>
      <c r="V1204" s="23"/>
      <c r="W1204" s="23"/>
      <c r="X1204" s="23"/>
      <c r="Y1204" s="23"/>
      <c r="Z1204" s="23"/>
      <c r="AA1204" s="23"/>
      <c r="AB1204" s="23"/>
      <c r="AC1204" s="23"/>
      <c r="AD1204" s="23"/>
      <c r="AE1204" s="23"/>
      <c r="AF1204" s="23"/>
      <c r="AG1204" s="23"/>
      <c r="AH1204" s="23"/>
      <c r="AI1204" s="23"/>
      <c r="AJ1204" s="23"/>
      <c r="AK1204" s="23"/>
      <c r="AL1204" s="23"/>
      <c r="AM1204" s="23"/>
      <c r="AN1204" s="23"/>
      <c r="AO1204" s="23"/>
      <c r="AP1204" s="23"/>
      <c r="AQ1204" s="23"/>
      <c r="AR1204" s="23"/>
      <c r="AS1204" s="23"/>
      <c r="AT1204" s="23"/>
      <c r="AU1204" s="23"/>
      <c r="AV1204" s="23"/>
      <c r="AW1204" s="23"/>
      <c r="AX1204" s="23"/>
      <c r="AY1204" s="23"/>
      <c r="AZ1204" s="23"/>
      <c r="BA1204" s="23"/>
      <c r="BB1204" s="23"/>
      <c r="BC1204" s="23"/>
      <c r="BD1204" s="23"/>
      <c r="BE1204" s="23"/>
      <c r="BF1204" s="23"/>
      <c r="BG1204" s="23"/>
      <c r="BH1204" s="23"/>
      <c r="BI1204" s="23"/>
      <c r="BJ1204" s="23"/>
      <c r="BK1204" s="23"/>
      <c r="BL1204" s="23"/>
      <c r="BM1204" s="23"/>
      <c r="BN1204" s="23"/>
      <c r="BO1204" s="23"/>
      <c r="BP1204" s="23"/>
      <c r="BQ1204" s="23"/>
      <c r="BR1204" s="23"/>
      <c r="BS1204" s="23"/>
      <c r="BT1204" s="23"/>
      <c r="BU1204" s="23"/>
      <c r="BV1204" s="23"/>
      <c r="BW1204" s="23"/>
      <c r="BX1204" s="23"/>
      <c r="BY1204" s="23"/>
      <c r="BZ1204" s="23"/>
      <c r="CA1204" s="23"/>
      <c r="CB1204" s="24"/>
      <c r="CC1204" s="29" t="str">
        <f t="shared" si="198"/>
        <v/>
      </c>
      <c r="CD1204" s="39" t="str">
        <f t="shared" si="199"/>
        <v/>
      </c>
      <c r="CE1204" s="39" t="str">
        <f t="shared" si="200"/>
        <v/>
      </c>
      <c r="CF1204" s="39" t="str">
        <f t="shared" si="201"/>
        <v/>
      </c>
      <c r="CG1204" s="39" t="str">
        <f t="shared" si="202"/>
        <v/>
      </c>
      <c r="CH1204" s="39" t="str">
        <f t="shared" si="203"/>
        <v/>
      </c>
      <c r="CI1204" s="39" t="str">
        <f t="shared" si="204"/>
        <v/>
      </c>
      <c r="CJ1204" s="39" t="str">
        <f t="shared" si="205"/>
        <v/>
      </c>
      <c r="CK1204" s="39" t="str">
        <f t="shared" si="206"/>
        <v/>
      </c>
      <c r="CL1204" s="39" t="str">
        <f>IF(C1204="","",IF(COUNT(G1204:AZ1204)&lt;46,"",SUMPRODUCT(CC1204:CK1204,'تنظیمات وزن‌دهی'!$C$5:$C$13)/100))</f>
        <v/>
      </c>
      <c r="CM1204" s="39" t="str">
        <f t="shared" si="207"/>
        <v/>
      </c>
      <c r="CN1204" s="39">
        <v>12</v>
      </c>
      <c r="CO1204" s="30" t="str">
        <f t="shared" si="208"/>
        <v/>
      </c>
      <c r="CP1204" s="59"/>
    </row>
  </sheetData>
  <autoFilter ref="A4:AZ1204" xr:uid="{00000000-0009-0000-0000-000005000000}">
    <filterColumn colId="1">
      <filters>
        <filter val="شهریور"/>
      </filters>
    </filterColumn>
  </autoFilter>
  <mergeCells count="2">
    <mergeCell ref="A1:CP1"/>
    <mergeCell ref="A2:CP2"/>
  </mergeCells>
  <dataValidations count="1">
    <dataValidation type="whole" sqref="G5:CB1204" xr:uid="{00000000-0002-0000-0500-000000000000}">
      <formula1>0</formula1>
      <formula2>5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4"/>
  <sheetViews>
    <sheetView showGridLines="0" workbookViewId="0">
      <selection activeCell="E6" sqref="E6"/>
    </sheetView>
  </sheetViews>
  <sheetFormatPr defaultRowHeight="14.25"/>
  <cols>
    <col min="1" max="2" width="14" customWidth="1"/>
    <col min="3" max="3" width="24" customWidth="1"/>
    <col min="4" max="23" width="16" customWidth="1"/>
    <col min="24" max="24" width="19" customWidth="1"/>
    <col min="25" max="25" width="55" customWidth="1"/>
  </cols>
  <sheetData>
    <row r="1" spans="1:25" ht="32.1" customHeight="1">
      <c r="A1" s="71" t="s">
        <v>195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</row>
    <row r="2" spans="1:25" ht="32.1" customHeight="1">
      <c r="A2" s="73" t="s">
        <v>196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</row>
    <row r="3" spans="1:25" ht="21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</row>
    <row r="4" spans="1:25" ht="42" customHeight="1">
      <c r="A4" s="1" t="s">
        <v>50</v>
      </c>
      <c r="B4" s="2" t="s">
        <v>51</v>
      </c>
      <c r="C4" s="2" t="s">
        <v>122</v>
      </c>
      <c r="D4" s="2" t="s">
        <v>43</v>
      </c>
      <c r="E4" s="2" t="s">
        <v>68</v>
      </c>
      <c r="F4" s="2" t="s">
        <v>72</v>
      </c>
      <c r="G4" s="2" t="s">
        <v>76</v>
      </c>
      <c r="H4" s="2" t="s">
        <v>80</v>
      </c>
      <c r="I4" s="2" t="s">
        <v>84</v>
      </c>
      <c r="J4" s="2" t="s">
        <v>88</v>
      </c>
      <c r="K4" s="2" t="s">
        <v>92</v>
      </c>
      <c r="L4" s="2" t="s">
        <v>96</v>
      </c>
      <c r="M4" s="2" t="s">
        <v>100</v>
      </c>
      <c r="N4" s="2" t="s">
        <v>197</v>
      </c>
      <c r="O4" s="2" t="s">
        <v>198</v>
      </c>
      <c r="P4" s="2" t="s">
        <v>199</v>
      </c>
      <c r="Q4" s="2" t="s">
        <v>200</v>
      </c>
      <c r="R4" s="2" t="s">
        <v>201</v>
      </c>
      <c r="S4" s="2" t="s">
        <v>202</v>
      </c>
      <c r="T4" s="2" t="s">
        <v>203</v>
      </c>
      <c r="U4" s="2" t="s">
        <v>204</v>
      </c>
      <c r="V4" s="2" t="s">
        <v>205</v>
      </c>
      <c r="W4" s="2" t="s">
        <v>206</v>
      </c>
      <c r="X4" s="2" t="s">
        <v>207</v>
      </c>
      <c r="Y4" s="3" t="s">
        <v>208</v>
      </c>
    </row>
    <row r="5" spans="1:25" ht="17.25">
      <c r="A5" s="31">
        <f>IF(دانش‌آموزان!L5="","",دانش‌آموزان!B5)</f>
        <v>1</v>
      </c>
      <c r="B5" s="54" t="str">
        <f>IF(A5="","",دانش‌آموزان!C5)</f>
        <v>0960326367</v>
      </c>
      <c r="C5" s="54" t="str">
        <f>IF(A5="","",دانش‌آموزان!E5&amp;" "&amp;دانش‌آموزان!F5)</f>
        <v>نيما اسكندري تربقان</v>
      </c>
      <c r="D5" s="32">
        <f>IF(A5="","",دانش‌آموزان!I5)</f>
        <v>901</v>
      </c>
      <c r="E5" s="25">
        <f>IF(A5="","",IFERROR(AVERAGEIFS('ثبت اطلاعات'!$CC$5:$CC$1204,'ثبت اطلاعات'!$C$5:$C$1204,A5,'ثبت اطلاعات'!$CL$5:$CL$1204,"&lt;&gt;"),""))</f>
        <v>9.5</v>
      </c>
      <c r="F5" s="37">
        <f>IF(A5="","",IFERROR(AVERAGEIFS('ثبت اطلاعات'!$CD$5:$CD$1204,'ثبت اطلاعات'!$C$5:$C$1204,A5,'ثبت اطلاعات'!$CL$5:$CL$1204,"&lt;&gt;"),""))</f>
        <v>0</v>
      </c>
      <c r="G5" s="37">
        <f>IF(A5="","",IFERROR(AVERAGEIFS('ثبت اطلاعات'!$CE$5:$CE$1204,'ثبت اطلاعات'!$C$5:$C$1204,A5,'ثبت اطلاعات'!$CL$5:$CL$1204,"&lt;&gt;"),""))</f>
        <v>0</v>
      </c>
      <c r="H5" s="37">
        <f>IF(A5="","",IFERROR(AVERAGEIFS('ثبت اطلاعات'!$CF$5:$CF$1204,'ثبت اطلاعات'!$C$5:$C$1204,A5,'ثبت اطلاعات'!$CL$5:$CL$1204,"&lt;&gt;"),""))</f>
        <v>3.2</v>
      </c>
      <c r="I5" s="37">
        <f>IF(A5="","",IFERROR(AVERAGEIFS('ثبت اطلاعات'!$CG$5:$CG$1204,'ثبت اطلاعات'!$C$5:$C$1204,A5,'ثبت اطلاعات'!$CL$5:$CL$1204,"&lt;&gt;"),""))</f>
        <v>0</v>
      </c>
      <c r="J5" s="37">
        <f>IF(A5="","",IFERROR(AVERAGEIFS('ثبت اطلاعات'!$CH$5:$CH$1204,'ثبت اطلاعات'!$C$5:$C$1204,A5,'ثبت اطلاعات'!$CL$5:$CL$1204,"&lt;&gt;"),""))</f>
        <v>0</v>
      </c>
      <c r="K5" s="37">
        <f>IF(A5="","",IFERROR(AVERAGEIFS('ثبت اطلاعات'!$CI$5:$CI$1204,'ثبت اطلاعات'!$C$5:$C$1204,A5,'ثبت اطلاعات'!$CL$5:$CL$1204,"&lt;&gt;"),""))</f>
        <v>0</v>
      </c>
      <c r="L5" s="37">
        <f>IF(A5="","",IFERROR(AVERAGEIFS('ثبت اطلاعات'!$CJ$5:$CJ$1204,'ثبت اطلاعات'!$C$5:$C$1204,A5,'ثبت اطلاعات'!$CL$5:$CL$1204,"&lt;&gt;"),""))</f>
        <v>0</v>
      </c>
      <c r="M5" s="37">
        <f>IF(A5="","",IFERROR(AVERAGEIFS('ثبت اطلاعات'!$CK$5:$CK$1204,'ثبت اطلاعات'!$C$5:$C$1204,A5,'ثبت اطلاعات'!$CL$5:$CL$1204,"&lt;&gt;"),""))</f>
        <v>0</v>
      </c>
      <c r="N5" s="37" t="str">
        <f>IF(A5="","",IFERROR(AVERAGEIFS('ثبت اطلاعات'!$CL$5:$CL$1204,'ثبت اطلاعات'!$C$5:$C$1204,A5,'ثبت اطلاعات'!$CL$5:$CL$1204,"&lt;&gt;"),""))</f>
        <v/>
      </c>
      <c r="O5" s="37">
        <f>IF(A5="","",COUNTIFS('ثبت اطلاعات'!$C$5:$C$1204,A5,'ثبت اطلاعات'!$CL$5:$CL$1204,"&lt;&gt;"))</f>
        <v>12</v>
      </c>
      <c r="P5" s="37" t="e">
        <f ca="1">IF(O5=0,"",_xludf.MINIFS('ثبت اطلاعات'!$CN$5:$CN$1204,'ثبت اطلاعات'!$C$5:$C$1204,A5,'ثبت اطلاعات'!$CL$5:$CL$1204,"&lt;&gt;"))</f>
        <v>#NAME?</v>
      </c>
      <c r="Q5" s="37" t="e">
        <f ca="1">IF(O5=0,"",_xludf.MAXIFS('ثبت اطلاعات'!$CN$5:$CN$1204,'ثبت اطلاعات'!$C$5:$C$1204,A5,'ثبت اطلاعات'!$CL$5:$CL$1204,"&lt;&gt;"))</f>
        <v>#NAME?</v>
      </c>
      <c r="R5" s="37">
        <f ca="1">IF(O5&lt;2,"",SUMIFS('ثبت اطلاعات'!$CL$5:$CL$1204,'ثبت اطلاعات'!$C$5:$C$1204,A5,'ثبت اطلاعات'!$CN$5:$CN$1204,Q5)-SUMIFS('ثبت اطلاعات'!$CL$5:$CL$1204,'ثبت اطلاعات'!$C$5:$C$1204,A5,'ثبت اطلاعات'!$CN$5:$CN$1204,P5))</f>
        <v>0</v>
      </c>
      <c r="S5" s="37" t="str">
        <f t="shared" ref="S5:S36" ca="1" si="0">IF(A5="","",IF(O5=0,"فاقد ارزیابی نهایی",IF(O5=1,"داده ناکافی",IF(R5&gt;0.5,"پیشرفت",IF(R5&lt;-0.5,"افت","ثبات")))))</f>
        <v>ثبات</v>
      </c>
      <c r="T5" s="37" t="str">
        <f t="shared" ref="T5:T36" si="1">IF(N5="","",INDEX($E$4:$M$4,1,MATCH(MAX(E5:M5),E5:M5,0)))</f>
        <v/>
      </c>
      <c r="U5" s="37" t="str">
        <f t="shared" ref="U5:U36" si="2">IF(N5="","",INDEX($E$4:$M$4,1,MATCH(MIN(E5:M5),E5:M5,0)))</f>
        <v/>
      </c>
      <c r="V5" s="37" t="str">
        <f t="shared" ref="V5:V36" si="3">IF(N5="","",IF(N5&gt;=17,"عالی",IF(N5&gt;=14,"خوب",IF(N5&gt;=10,"متوسط","ضعیف"))))</f>
        <v/>
      </c>
      <c r="W5" s="37" t="str">
        <f>IF(N5="","",_xludf.RANK.EQ(N5,$N$5:$N$104,0))</f>
        <v/>
      </c>
      <c r="X5" s="37" t="str">
        <f t="shared" ref="X5:X36" si="4">IF(N5="","",COUNT($N$5:$N$104))</f>
        <v/>
      </c>
      <c r="Y5" s="26" t="str">
        <f>IF(U5="","",IFERROR(INDEX('بانک راهکارها'!$C$5:$C$13,MATCH(U5,'بانک راهکارها'!$B$5:$B$13,0)),""))</f>
        <v/>
      </c>
    </row>
    <row r="6" spans="1:25" ht="17.25">
      <c r="A6" s="33">
        <f>IF(دانش‌آموزان!L6="","",دانش‌آموزان!B6)</f>
        <v>2</v>
      </c>
      <c r="B6" s="55" t="str">
        <f>IF(A6="","",دانش‌آموزان!C6)</f>
        <v>0980506328</v>
      </c>
      <c r="C6" s="55" t="str">
        <f>IF(A6="","",دانش‌آموزان!E6&amp;" "&amp;دانش‌آموزان!F6)</f>
        <v>اميررضا اميري</v>
      </c>
      <c r="D6" s="34">
        <f>IF(A6="","",دانش‌آموزان!I6)</f>
        <v>901</v>
      </c>
      <c r="E6" s="27">
        <f>IF(A6="","",IFERROR(AVERAGEIFS('ثبت اطلاعات'!$CC$5:$CC$1204,'ثبت اطلاعات'!$C$5:$C$1204,A6,'ثبت اطلاعات'!$CL$5:$CL$1204,"&lt;&gt;"),""))</f>
        <v>7.5</v>
      </c>
      <c r="F6" s="38">
        <f>IF(A6="","",IFERROR(AVERAGEIFS('ثبت اطلاعات'!$CD$5:$CD$1204,'ثبت اطلاعات'!$C$5:$C$1204,A6,'ثبت اطلاعات'!$CL$5:$CL$1204,"&lt;&gt;"),""))</f>
        <v>12.8</v>
      </c>
      <c r="G6" s="38">
        <f>IF(A6="","",IFERROR(AVERAGEIFS('ثبت اطلاعات'!$CE$5:$CE$1204,'ثبت اطلاعات'!$C$5:$C$1204,A6,'ثبت اطلاعات'!$CL$5:$CL$1204,"&lt;&gt;"),""))</f>
        <v>8</v>
      </c>
      <c r="H6" s="38">
        <f>IF(A6="","",IFERROR(AVERAGEIFS('ثبت اطلاعات'!$CF$5:$CF$1204,'ثبت اطلاعات'!$C$5:$C$1204,A6,'ثبت اطلاعات'!$CL$5:$CL$1204,"&lt;&gt;"),""))</f>
        <v>15.2</v>
      </c>
      <c r="I6" s="38">
        <f>IF(A6="","",IFERROR(AVERAGEIFS('ثبت اطلاعات'!$CG$5:$CG$1204,'ثبت اطلاعات'!$C$5:$C$1204,A6,'ثبت اطلاعات'!$CL$5:$CL$1204,"&lt;&gt;"),""))</f>
        <v>0</v>
      </c>
      <c r="J6" s="38">
        <f>IF(A6="","",IFERROR(AVERAGEIFS('ثبت اطلاعات'!$CH$5:$CH$1204,'ثبت اطلاعات'!$C$5:$C$1204,A6,'ثبت اطلاعات'!$CL$5:$CL$1204,"&lt;&gt;"),""))</f>
        <v>0</v>
      </c>
      <c r="K6" s="38">
        <f>IF(A6="","",IFERROR(AVERAGEIFS('ثبت اطلاعات'!$CI$5:$CI$1204,'ثبت اطلاعات'!$C$5:$C$1204,A6,'ثبت اطلاعات'!$CL$5:$CL$1204,"&lt;&gt;"),""))</f>
        <v>0</v>
      </c>
      <c r="L6" s="38">
        <f>IF(A6="","",IFERROR(AVERAGEIFS('ثبت اطلاعات'!$CJ$5:$CJ$1204,'ثبت اطلاعات'!$C$5:$C$1204,A6,'ثبت اطلاعات'!$CL$5:$CL$1204,"&lt;&gt;"),""))</f>
        <v>0</v>
      </c>
      <c r="M6" s="38">
        <f>IF(A6="","",IFERROR(AVERAGEIFS('ثبت اطلاعات'!$CK$5:$CK$1204,'ثبت اطلاعات'!$C$5:$C$1204,A6,'ثبت اطلاعات'!$CL$5:$CL$1204,"&lt;&gt;"),""))</f>
        <v>0</v>
      </c>
      <c r="N6" s="38" t="str">
        <f>IF(A6="","",IFERROR(AVERAGEIFS('ثبت اطلاعات'!$CL$5:$CL$1204,'ثبت اطلاعات'!$C$5:$C$1204,A6,'ثبت اطلاعات'!$CL$5:$CL$1204,"&lt;&gt;"),""))</f>
        <v/>
      </c>
      <c r="O6" s="38">
        <f>IF(A6="","",COUNTIFS('ثبت اطلاعات'!$C$5:$C$1204,A6,'ثبت اطلاعات'!$CL$5:$CL$1204,"&lt;&gt;"))</f>
        <v>12</v>
      </c>
      <c r="P6" s="38" t="e">
        <f ca="1">IF(O6=0,"",_xludf.MINIFS('ثبت اطلاعات'!$CN$5:$CN$1204,'ثبت اطلاعات'!$C$5:$C$1204,A6,'ثبت اطلاعات'!$CL$5:$CL$1204,"&lt;&gt;"))</f>
        <v>#NAME?</v>
      </c>
      <c r="Q6" s="38" t="e">
        <f ca="1">IF(O6=0,"",_xludf.MAXIFS('ثبت اطلاعات'!$CN$5:$CN$1204,'ثبت اطلاعات'!$C$5:$C$1204,A6,'ثبت اطلاعات'!$CL$5:$CL$1204,"&lt;&gt;"))</f>
        <v>#NAME?</v>
      </c>
      <c r="R6" s="38">
        <f ca="1">IF(O6&lt;2,"",SUMIFS('ثبت اطلاعات'!$CL$5:$CL$1204,'ثبت اطلاعات'!$C$5:$C$1204,A6,'ثبت اطلاعات'!$CN$5:$CN$1204,Q6)-SUMIFS('ثبت اطلاعات'!$CL$5:$CL$1204,'ثبت اطلاعات'!$C$5:$C$1204,A6,'ثبت اطلاعات'!$CN$5:$CN$1204,P6))</f>
        <v>0</v>
      </c>
      <c r="S6" s="38" t="str">
        <f t="shared" ca="1" si="0"/>
        <v>ثبات</v>
      </c>
      <c r="T6" s="38" t="str">
        <f t="shared" si="1"/>
        <v/>
      </c>
      <c r="U6" s="38" t="str">
        <f t="shared" si="2"/>
        <v/>
      </c>
      <c r="V6" s="38" t="str">
        <f t="shared" si="3"/>
        <v/>
      </c>
      <c r="W6" s="38" t="str">
        <f>IF(N6="","",_xludf.RANK.EQ(N6,$N$5:$N$104,0))</f>
        <v/>
      </c>
      <c r="X6" s="38" t="str">
        <f t="shared" si="4"/>
        <v/>
      </c>
      <c r="Y6" s="28" t="str">
        <f>IF(U6="","",IFERROR(INDEX('بانک راهکارها'!$C$5:$C$13,MATCH(U6,'بانک راهکارها'!$B$5:$B$13,0)),""))</f>
        <v/>
      </c>
    </row>
    <row r="7" spans="1:25" ht="17.25">
      <c r="A7" s="33">
        <f>IF(دانش‌آموزان!L7="","",دانش‌آموزان!B7)</f>
        <v>3</v>
      </c>
      <c r="B7" s="55" t="str">
        <f>IF(A7="","",دانش‌آموزان!C7)</f>
        <v>0960300473</v>
      </c>
      <c r="C7" s="55" t="str">
        <f>IF(A7="","",دانش‌آموزان!E7&amp;" "&amp;دانش‌آموزان!F7)</f>
        <v>محمدامين باقري</v>
      </c>
      <c r="D7" s="34">
        <f>IF(A7="","",دانش‌آموزان!I7)</f>
        <v>901</v>
      </c>
      <c r="E7" s="27">
        <f>IF(A7="","",IFERROR(AVERAGEIFS('ثبت اطلاعات'!$CC$5:$CC$1204,'ثبت اطلاعات'!$C$5:$C$1204,A7,'ثبت اطلاعات'!$CL$5:$CL$1204,"&lt;&gt;"),""))</f>
        <v>11.215</v>
      </c>
      <c r="F7" s="38">
        <f>IF(A7="","",IFERROR(AVERAGEIFS('ثبت اطلاعات'!$CD$5:$CD$1204,'ثبت اطلاعات'!$C$5:$C$1204,A7,'ثبت اطلاعات'!$CL$5:$CL$1204,"&lt;&gt;"),""))</f>
        <v>9.6</v>
      </c>
      <c r="G7" s="38">
        <f>IF(A7="","",IFERROR(AVERAGEIFS('ثبت اطلاعات'!$CE$5:$CE$1204,'ثبت اطلاعات'!$C$5:$C$1204,A7,'ثبت اطلاعات'!$CL$5:$CL$1204,"&lt;&gt;"),""))</f>
        <v>8</v>
      </c>
      <c r="H7" s="38">
        <f>IF(A7="","",IFERROR(AVERAGEIFS('ثبت اطلاعات'!$CF$5:$CF$1204,'ثبت اطلاعات'!$C$5:$C$1204,A7,'ثبت اطلاعات'!$CL$5:$CL$1204,"&lt;&gt;"),""))</f>
        <v>12.8</v>
      </c>
      <c r="I7" s="38">
        <f>IF(A7="","",IFERROR(AVERAGEIFS('ثبت اطلاعات'!$CG$5:$CG$1204,'ثبت اطلاعات'!$C$5:$C$1204,A7,'ثبت اطلاعات'!$CL$5:$CL$1204,"&lt;&gt;"),""))</f>
        <v>0</v>
      </c>
      <c r="J7" s="38">
        <f>IF(A7="","",IFERROR(AVERAGEIFS('ثبت اطلاعات'!$CH$5:$CH$1204,'ثبت اطلاعات'!$C$5:$C$1204,A7,'ثبت اطلاعات'!$CL$5:$CL$1204,"&lt;&gt;"),""))</f>
        <v>0</v>
      </c>
      <c r="K7" s="38">
        <f>IF(A7="","",IFERROR(AVERAGEIFS('ثبت اطلاعات'!$CI$5:$CI$1204,'ثبت اطلاعات'!$C$5:$C$1204,A7,'ثبت اطلاعات'!$CL$5:$CL$1204,"&lt;&gt;"),""))</f>
        <v>0</v>
      </c>
      <c r="L7" s="38">
        <f>IF(A7="","",IFERROR(AVERAGEIFS('ثبت اطلاعات'!$CJ$5:$CJ$1204,'ثبت اطلاعات'!$C$5:$C$1204,A7,'ثبت اطلاعات'!$CL$5:$CL$1204,"&lt;&gt;"),""))</f>
        <v>0</v>
      </c>
      <c r="M7" s="38">
        <f>IF(A7="","",IFERROR(AVERAGEIFS('ثبت اطلاعات'!$CK$5:$CK$1204,'ثبت اطلاعات'!$C$5:$C$1204,A7,'ثبت اطلاعات'!$CL$5:$CL$1204,"&lt;&gt;"),""))</f>
        <v>0</v>
      </c>
      <c r="N7" s="38" t="str">
        <f>IF(A7="","",IFERROR(AVERAGEIFS('ثبت اطلاعات'!$CL$5:$CL$1204,'ثبت اطلاعات'!$C$5:$C$1204,A7,'ثبت اطلاعات'!$CL$5:$CL$1204,"&lt;&gt;"),""))</f>
        <v/>
      </c>
      <c r="O7" s="38">
        <f>IF(A7="","",COUNTIFS('ثبت اطلاعات'!$C$5:$C$1204,A7,'ثبت اطلاعات'!$CL$5:$CL$1204,"&lt;&gt;"))</f>
        <v>12</v>
      </c>
      <c r="P7" s="38" t="e">
        <f ca="1">IF(O7=0,"",_xludf.MINIFS('ثبت اطلاعات'!$CN$5:$CN$1204,'ثبت اطلاعات'!$C$5:$C$1204,A7,'ثبت اطلاعات'!$CL$5:$CL$1204,"&lt;&gt;"))</f>
        <v>#NAME?</v>
      </c>
      <c r="Q7" s="38" t="e">
        <f ca="1">IF(O7=0,"",_xludf.MAXIFS('ثبت اطلاعات'!$CN$5:$CN$1204,'ثبت اطلاعات'!$C$5:$C$1204,A7,'ثبت اطلاعات'!$CL$5:$CL$1204,"&lt;&gt;"))</f>
        <v>#NAME?</v>
      </c>
      <c r="R7" s="38">
        <f ca="1">IF(O7&lt;2,"",SUMIFS('ثبت اطلاعات'!$CL$5:$CL$1204,'ثبت اطلاعات'!$C$5:$C$1204,A7,'ثبت اطلاعات'!$CN$5:$CN$1204,Q7)-SUMIFS('ثبت اطلاعات'!$CL$5:$CL$1204,'ثبت اطلاعات'!$C$5:$C$1204,A7,'ثبت اطلاعات'!$CN$5:$CN$1204,P7))</f>
        <v>0</v>
      </c>
      <c r="S7" s="38" t="str">
        <f t="shared" ca="1" si="0"/>
        <v>ثبات</v>
      </c>
      <c r="T7" s="38" t="str">
        <f t="shared" si="1"/>
        <v/>
      </c>
      <c r="U7" s="38" t="str">
        <f t="shared" si="2"/>
        <v/>
      </c>
      <c r="V7" s="38" t="str">
        <f t="shared" si="3"/>
        <v/>
      </c>
      <c r="W7" s="38" t="str">
        <f>IF(N7="","",_xludf.RANK.EQ(N7,$N$5:$N$104,0))</f>
        <v/>
      </c>
      <c r="X7" s="38" t="str">
        <f t="shared" si="4"/>
        <v/>
      </c>
      <c r="Y7" s="28" t="str">
        <f>IF(U7="","",IFERROR(INDEX('بانک راهکارها'!$C$5:$C$13,MATCH(U7,'بانک راهکارها'!$B$5:$B$13,0)),""))</f>
        <v/>
      </c>
    </row>
    <row r="8" spans="1:25" ht="17.25">
      <c r="A8" s="33">
        <f>IF(دانش‌آموزان!L8="","",دانش‌آموزان!B8)</f>
        <v>4</v>
      </c>
      <c r="B8" s="55" t="str">
        <f>IF(A8="","",دانش‌آموزان!C8)</f>
        <v>0960412271</v>
      </c>
      <c r="C8" s="55" t="str">
        <f>IF(A8="","",دانش‌آموزان!E8&amp;" "&amp;دانش‌آموزان!F8)</f>
        <v>اميرحيدر ترابي</v>
      </c>
      <c r="D8" s="34">
        <f>IF(A8="","",دانش‌آموزان!I8)</f>
        <v>901</v>
      </c>
      <c r="E8" s="27">
        <f>IF(A8="","",IFERROR(AVERAGEIFS('ثبت اطلاعات'!$CC$5:$CC$1204,'ثبت اطلاعات'!$C$5:$C$1204,A8,'ثبت اطلاعات'!$CL$5:$CL$1204,"&lt;&gt;"),""))</f>
        <v>9</v>
      </c>
      <c r="F8" s="38">
        <f>IF(A8="","",IFERROR(AVERAGEIFS('ثبت اطلاعات'!$CD$5:$CD$1204,'ثبت اطلاعات'!$C$5:$C$1204,A8,'ثبت اطلاعات'!$CL$5:$CL$1204,"&lt;&gt;"),""))</f>
        <v>16.8</v>
      </c>
      <c r="G8" s="38">
        <f>IF(A8="","",IFERROR(AVERAGEIFS('ثبت اطلاعات'!$CE$5:$CE$1204,'ثبت اطلاعات'!$C$5:$C$1204,A8,'ثبت اطلاعات'!$CL$5:$CL$1204,"&lt;&gt;"),""))</f>
        <v>8</v>
      </c>
      <c r="H8" s="38">
        <f>IF(A8="","",IFERROR(AVERAGEIFS('ثبت اطلاعات'!$CF$5:$CF$1204,'ثبت اطلاعات'!$C$5:$C$1204,A8,'ثبت اطلاعات'!$CL$5:$CL$1204,"&lt;&gt;"),""))</f>
        <v>16.8</v>
      </c>
      <c r="I8" s="38">
        <f>IF(A8="","",IFERROR(AVERAGEIFS('ثبت اطلاعات'!$CG$5:$CG$1204,'ثبت اطلاعات'!$C$5:$C$1204,A8,'ثبت اطلاعات'!$CL$5:$CL$1204,"&lt;&gt;"),""))</f>
        <v>0</v>
      </c>
      <c r="J8" s="38">
        <f>IF(A8="","",IFERROR(AVERAGEIFS('ثبت اطلاعات'!$CH$5:$CH$1204,'ثبت اطلاعات'!$C$5:$C$1204,A8,'ثبت اطلاعات'!$CL$5:$CL$1204,"&lt;&gt;"),""))</f>
        <v>0</v>
      </c>
      <c r="K8" s="38">
        <f>IF(A8="","",IFERROR(AVERAGEIFS('ثبت اطلاعات'!$CI$5:$CI$1204,'ثبت اطلاعات'!$C$5:$C$1204,A8,'ثبت اطلاعات'!$CL$5:$CL$1204,"&lt;&gt;"),""))</f>
        <v>0</v>
      </c>
      <c r="L8" s="38">
        <f>IF(A8="","",IFERROR(AVERAGEIFS('ثبت اطلاعات'!$CJ$5:$CJ$1204,'ثبت اطلاعات'!$C$5:$C$1204,A8,'ثبت اطلاعات'!$CL$5:$CL$1204,"&lt;&gt;"),""))</f>
        <v>0</v>
      </c>
      <c r="M8" s="38">
        <f>IF(A8="","",IFERROR(AVERAGEIFS('ثبت اطلاعات'!$CK$5:$CK$1204,'ثبت اطلاعات'!$C$5:$C$1204,A8,'ثبت اطلاعات'!$CL$5:$CL$1204,"&lt;&gt;"),""))</f>
        <v>0</v>
      </c>
      <c r="N8" s="38" t="str">
        <f>IF(A8="","",IFERROR(AVERAGEIFS('ثبت اطلاعات'!$CL$5:$CL$1204,'ثبت اطلاعات'!$C$5:$C$1204,A8,'ثبت اطلاعات'!$CL$5:$CL$1204,"&lt;&gt;"),""))</f>
        <v/>
      </c>
      <c r="O8" s="38">
        <f>IF(A8="","",COUNTIFS('ثبت اطلاعات'!$C$5:$C$1204,A8,'ثبت اطلاعات'!$CL$5:$CL$1204,"&lt;&gt;"))</f>
        <v>12</v>
      </c>
      <c r="P8" s="38" t="e">
        <f ca="1">IF(O8=0,"",_xludf.MINIFS('ثبت اطلاعات'!$CN$5:$CN$1204,'ثبت اطلاعات'!$C$5:$C$1204,A8,'ثبت اطلاعات'!$CL$5:$CL$1204,"&lt;&gt;"))</f>
        <v>#NAME?</v>
      </c>
      <c r="Q8" s="38" t="e">
        <f ca="1">IF(O8=0,"",_xludf.MAXIFS('ثبت اطلاعات'!$CN$5:$CN$1204,'ثبت اطلاعات'!$C$5:$C$1204,A8,'ثبت اطلاعات'!$CL$5:$CL$1204,"&lt;&gt;"))</f>
        <v>#NAME?</v>
      </c>
      <c r="R8" s="38">
        <f ca="1">IF(O8&lt;2,"",SUMIFS('ثبت اطلاعات'!$CL$5:$CL$1204,'ثبت اطلاعات'!$C$5:$C$1204,A8,'ثبت اطلاعات'!$CN$5:$CN$1204,Q8)-SUMIFS('ثبت اطلاعات'!$CL$5:$CL$1204,'ثبت اطلاعات'!$C$5:$C$1204,A8,'ثبت اطلاعات'!$CN$5:$CN$1204,P8))</f>
        <v>0</v>
      </c>
      <c r="S8" s="38" t="str">
        <f t="shared" ca="1" si="0"/>
        <v>ثبات</v>
      </c>
      <c r="T8" s="38" t="str">
        <f t="shared" si="1"/>
        <v/>
      </c>
      <c r="U8" s="38" t="str">
        <f t="shared" si="2"/>
        <v/>
      </c>
      <c r="V8" s="38" t="str">
        <f t="shared" si="3"/>
        <v/>
      </c>
      <c r="W8" s="38" t="str">
        <f>IF(N8="","",_xludf.RANK.EQ(N8,$N$5:$N$104,0))</f>
        <v/>
      </c>
      <c r="X8" s="38" t="str">
        <f t="shared" si="4"/>
        <v/>
      </c>
      <c r="Y8" s="28" t="str">
        <f>IF(U8="","",IFERROR(INDEX('بانک راهکارها'!$C$5:$C$13,MATCH(U8,'بانک راهکارها'!$B$5:$B$13,0)),""))</f>
        <v/>
      </c>
    </row>
    <row r="9" spans="1:25" ht="17.25">
      <c r="A9" s="33">
        <f>IF(دانش‌آموزان!L9="","",دانش‌آموزان!B9)</f>
        <v>5</v>
      </c>
      <c r="B9" s="55" t="str">
        <f>IF(A9="","",دانش‌آموزان!C9)</f>
        <v>0960309799</v>
      </c>
      <c r="C9" s="55" t="str">
        <f>IF(A9="","",دانش‌آموزان!E9&amp;" "&amp;دانش‌آموزان!F9)</f>
        <v>سيدآرمان تقوي</v>
      </c>
      <c r="D9" s="34">
        <f>IF(A9="","",دانش‌آموزان!I9)</f>
        <v>901</v>
      </c>
      <c r="E9" s="27">
        <f>IF(A9="","",IFERROR(AVERAGEIFS('ثبت اطلاعات'!$CC$5:$CC$1204,'ثبت اطلاعات'!$C$5:$C$1204,A9,'ثبت اطلاعات'!$CL$5:$CL$1204,"&lt;&gt;"),""))</f>
        <v>7</v>
      </c>
      <c r="F9" s="38">
        <f>IF(A9="","",IFERROR(AVERAGEIFS('ثبت اطلاعات'!$CD$5:$CD$1204,'ثبت اطلاعات'!$C$5:$C$1204,A9,'ثبت اطلاعات'!$CL$5:$CL$1204,"&lt;&gt;"),""))</f>
        <v>12.8</v>
      </c>
      <c r="G9" s="38">
        <f>IF(A9="","",IFERROR(AVERAGEIFS('ثبت اطلاعات'!$CE$5:$CE$1204,'ثبت اطلاعات'!$C$5:$C$1204,A9,'ثبت اطلاعات'!$CL$5:$CL$1204,"&lt;&gt;"),""))</f>
        <v>6</v>
      </c>
      <c r="H9" s="38">
        <f>IF(A9="","",IFERROR(AVERAGEIFS('ثبت اطلاعات'!$CF$5:$CF$1204,'ثبت اطلاعات'!$C$5:$C$1204,A9,'ثبت اطلاعات'!$CL$5:$CL$1204,"&lt;&gt;"),""))</f>
        <v>10.4</v>
      </c>
      <c r="I9" s="38">
        <f>IF(A9="","",IFERROR(AVERAGEIFS('ثبت اطلاعات'!$CG$5:$CG$1204,'ثبت اطلاعات'!$C$5:$C$1204,A9,'ثبت اطلاعات'!$CL$5:$CL$1204,"&lt;&gt;"),""))</f>
        <v>0</v>
      </c>
      <c r="J9" s="38">
        <f>IF(A9="","",IFERROR(AVERAGEIFS('ثبت اطلاعات'!$CH$5:$CH$1204,'ثبت اطلاعات'!$C$5:$C$1204,A9,'ثبت اطلاعات'!$CL$5:$CL$1204,"&lt;&gt;"),""))</f>
        <v>0</v>
      </c>
      <c r="K9" s="38">
        <f>IF(A9="","",IFERROR(AVERAGEIFS('ثبت اطلاعات'!$CI$5:$CI$1204,'ثبت اطلاعات'!$C$5:$C$1204,A9,'ثبت اطلاعات'!$CL$5:$CL$1204,"&lt;&gt;"),""))</f>
        <v>0</v>
      </c>
      <c r="L9" s="38">
        <f>IF(A9="","",IFERROR(AVERAGEIFS('ثبت اطلاعات'!$CJ$5:$CJ$1204,'ثبت اطلاعات'!$C$5:$C$1204,A9,'ثبت اطلاعات'!$CL$5:$CL$1204,"&lt;&gt;"),""))</f>
        <v>0</v>
      </c>
      <c r="M9" s="38">
        <f>IF(A9="","",IFERROR(AVERAGEIFS('ثبت اطلاعات'!$CK$5:$CK$1204,'ثبت اطلاعات'!$C$5:$C$1204,A9,'ثبت اطلاعات'!$CL$5:$CL$1204,"&lt;&gt;"),""))</f>
        <v>0</v>
      </c>
      <c r="N9" s="38" t="str">
        <f>IF(A9="","",IFERROR(AVERAGEIFS('ثبت اطلاعات'!$CL$5:$CL$1204,'ثبت اطلاعات'!$C$5:$C$1204,A9,'ثبت اطلاعات'!$CL$5:$CL$1204,"&lt;&gt;"),""))</f>
        <v/>
      </c>
      <c r="O9" s="38">
        <f>IF(A9="","",COUNTIFS('ثبت اطلاعات'!$C$5:$C$1204,A9,'ثبت اطلاعات'!$CL$5:$CL$1204,"&lt;&gt;"))</f>
        <v>12</v>
      </c>
      <c r="P9" s="38" t="e">
        <f ca="1">IF(O9=0,"",_xludf.MINIFS('ثبت اطلاعات'!$CN$5:$CN$1204,'ثبت اطلاعات'!$C$5:$C$1204,A9,'ثبت اطلاعات'!$CL$5:$CL$1204,"&lt;&gt;"))</f>
        <v>#NAME?</v>
      </c>
      <c r="Q9" s="38" t="e">
        <f ca="1">IF(O9=0,"",_xludf.MAXIFS('ثبت اطلاعات'!$CN$5:$CN$1204,'ثبت اطلاعات'!$C$5:$C$1204,A9,'ثبت اطلاعات'!$CL$5:$CL$1204,"&lt;&gt;"))</f>
        <v>#NAME?</v>
      </c>
      <c r="R9" s="38">
        <f ca="1">IF(O9&lt;2,"",SUMIFS('ثبت اطلاعات'!$CL$5:$CL$1204,'ثبت اطلاعات'!$C$5:$C$1204,A9,'ثبت اطلاعات'!$CN$5:$CN$1204,Q9)-SUMIFS('ثبت اطلاعات'!$CL$5:$CL$1204,'ثبت اطلاعات'!$C$5:$C$1204,A9,'ثبت اطلاعات'!$CN$5:$CN$1204,P9))</f>
        <v>0</v>
      </c>
      <c r="S9" s="38" t="str">
        <f t="shared" ca="1" si="0"/>
        <v>ثبات</v>
      </c>
      <c r="T9" s="38" t="str">
        <f t="shared" si="1"/>
        <v/>
      </c>
      <c r="U9" s="38" t="str">
        <f t="shared" si="2"/>
        <v/>
      </c>
      <c r="V9" s="38" t="str">
        <f t="shared" si="3"/>
        <v/>
      </c>
      <c r="W9" s="38" t="str">
        <f>IF(N9="","",_xludf.RANK.EQ(N9,$N$5:$N$104,0))</f>
        <v/>
      </c>
      <c r="X9" s="38" t="str">
        <f t="shared" si="4"/>
        <v/>
      </c>
      <c r="Y9" s="28" t="str">
        <f>IF(U9="","",IFERROR(INDEX('بانک راهکارها'!$C$5:$C$13,MATCH(U9,'بانک راهکارها'!$B$5:$B$13,0)),""))</f>
        <v/>
      </c>
    </row>
    <row r="10" spans="1:25" ht="17.25">
      <c r="A10" s="33">
        <f>IF(دانش‌آموزان!L10="","",دانش‌آموزان!B10)</f>
        <v>6</v>
      </c>
      <c r="B10" s="55" t="str">
        <f>IF(A10="","",دانش‌آموزان!C10)</f>
        <v>0980449561</v>
      </c>
      <c r="C10" s="55" t="str">
        <f>IF(A10="","",دانش‌آموزان!E10&amp;" "&amp;دانش‌آموزان!F10)</f>
        <v>كيان تقي پور حصاري</v>
      </c>
      <c r="D10" s="34">
        <f>IF(A10="","",دانش‌آموزان!I10)</f>
        <v>901</v>
      </c>
      <c r="E10" s="27">
        <f>IF(A10="","",IFERROR(AVERAGEIFS('ثبت اطلاعات'!$CC$5:$CC$1204,'ثبت اطلاعات'!$C$5:$C$1204,A10,'ثبت اطلاعات'!$CL$5:$CL$1204,"&lt;&gt;"),""))</f>
        <v>10.5</v>
      </c>
      <c r="F10" s="38">
        <f>IF(A10="","",IFERROR(AVERAGEIFS('ثبت اطلاعات'!$CD$5:$CD$1204,'ثبت اطلاعات'!$C$5:$C$1204,A10,'ثبت اطلاعات'!$CL$5:$CL$1204,"&lt;&gt;"),""))</f>
        <v>16</v>
      </c>
      <c r="G10" s="38">
        <f>IF(A10="","",IFERROR(AVERAGEIFS('ثبت اطلاعات'!$CE$5:$CE$1204,'ثبت اطلاعات'!$C$5:$C$1204,A10,'ثبت اطلاعات'!$CL$5:$CL$1204,"&lt;&gt;"),""))</f>
        <v>8</v>
      </c>
      <c r="H10" s="38">
        <f>IF(A10="","",IFERROR(AVERAGEIFS('ثبت اطلاعات'!$CF$5:$CF$1204,'ثبت اطلاعات'!$C$5:$C$1204,A10,'ثبت اطلاعات'!$CL$5:$CL$1204,"&lt;&gt;"),""))</f>
        <v>17.600000000000001</v>
      </c>
      <c r="I10" s="38">
        <f>IF(A10="","",IFERROR(AVERAGEIFS('ثبت اطلاعات'!$CG$5:$CG$1204,'ثبت اطلاعات'!$C$5:$C$1204,A10,'ثبت اطلاعات'!$CL$5:$CL$1204,"&lt;&gt;"),""))</f>
        <v>0</v>
      </c>
      <c r="J10" s="38">
        <f>IF(A10="","",IFERROR(AVERAGEIFS('ثبت اطلاعات'!$CH$5:$CH$1204,'ثبت اطلاعات'!$C$5:$C$1204,A10,'ثبت اطلاعات'!$CL$5:$CL$1204,"&lt;&gt;"),""))</f>
        <v>0</v>
      </c>
      <c r="K10" s="38">
        <f>IF(A10="","",IFERROR(AVERAGEIFS('ثبت اطلاعات'!$CI$5:$CI$1204,'ثبت اطلاعات'!$C$5:$C$1204,A10,'ثبت اطلاعات'!$CL$5:$CL$1204,"&lt;&gt;"),""))</f>
        <v>0</v>
      </c>
      <c r="L10" s="38">
        <f>IF(A10="","",IFERROR(AVERAGEIFS('ثبت اطلاعات'!$CJ$5:$CJ$1204,'ثبت اطلاعات'!$C$5:$C$1204,A10,'ثبت اطلاعات'!$CL$5:$CL$1204,"&lt;&gt;"),""))</f>
        <v>0</v>
      </c>
      <c r="M10" s="38">
        <f>IF(A10="","",IFERROR(AVERAGEIFS('ثبت اطلاعات'!$CK$5:$CK$1204,'ثبت اطلاعات'!$C$5:$C$1204,A10,'ثبت اطلاعات'!$CL$5:$CL$1204,"&lt;&gt;"),""))</f>
        <v>0</v>
      </c>
      <c r="N10" s="38" t="str">
        <f>IF(A10="","",IFERROR(AVERAGEIFS('ثبت اطلاعات'!$CL$5:$CL$1204,'ثبت اطلاعات'!$C$5:$C$1204,A10,'ثبت اطلاعات'!$CL$5:$CL$1204,"&lt;&gt;"),""))</f>
        <v/>
      </c>
      <c r="O10" s="38">
        <f>IF(A10="","",COUNTIFS('ثبت اطلاعات'!$C$5:$C$1204,A10,'ثبت اطلاعات'!$CL$5:$CL$1204,"&lt;&gt;"))</f>
        <v>12</v>
      </c>
      <c r="P10" s="38" t="e">
        <f ca="1">IF(O10=0,"",_xludf.MINIFS('ثبت اطلاعات'!$CN$5:$CN$1204,'ثبت اطلاعات'!$C$5:$C$1204,A10,'ثبت اطلاعات'!$CL$5:$CL$1204,"&lt;&gt;"))</f>
        <v>#NAME?</v>
      </c>
      <c r="Q10" s="38" t="e">
        <f ca="1">IF(O10=0,"",_xludf.MAXIFS('ثبت اطلاعات'!$CN$5:$CN$1204,'ثبت اطلاعات'!$C$5:$C$1204,A10,'ثبت اطلاعات'!$CL$5:$CL$1204,"&lt;&gt;"))</f>
        <v>#NAME?</v>
      </c>
      <c r="R10" s="38">
        <f ca="1">IF(O10&lt;2,"",SUMIFS('ثبت اطلاعات'!$CL$5:$CL$1204,'ثبت اطلاعات'!$C$5:$C$1204,A10,'ثبت اطلاعات'!$CN$5:$CN$1204,Q10)-SUMIFS('ثبت اطلاعات'!$CL$5:$CL$1204,'ثبت اطلاعات'!$C$5:$C$1204,A10,'ثبت اطلاعات'!$CN$5:$CN$1204,P10))</f>
        <v>0</v>
      </c>
      <c r="S10" s="38" t="str">
        <f t="shared" ca="1" si="0"/>
        <v>ثبات</v>
      </c>
      <c r="T10" s="38" t="str">
        <f t="shared" si="1"/>
        <v/>
      </c>
      <c r="U10" s="38" t="str">
        <f t="shared" si="2"/>
        <v/>
      </c>
      <c r="V10" s="38" t="str">
        <f t="shared" si="3"/>
        <v/>
      </c>
      <c r="W10" s="38" t="str">
        <f>IF(N10="","",_xludf.RANK.EQ(N10,$N$5:$N$104,0))</f>
        <v/>
      </c>
      <c r="X10" s="38" t="str">
        <f t="shared" si="4"/>
        <v/>
      </c>
      <c r="Y10" s="28" t="str">
        <f>IF(U10="","",IFERROR(INDEX('بانک راهکارها'!$C$5:$C$13,MATCH(U10,'بانک راهکارها'!$B$5:$B$13,0)),""))</f>
        <v/>
      </c>
    </row>
    <row r="11" spans="1:25" ht="17.25">
      <c r="A11" s="33">
        <f>IF(دانش‌آموزان!L11="","",دانش‌آموزان!B11)</f>
        <v>7</v>
      </c>
      <c r="B11" s="55" t="str">
        <f>IF(A11="","",دانش‌آموزان!C11)</f>
        <v>0970629982</v>
      </c>
      <c r="C11" s="55" t="str">
        <f>IF(A11="","",دانش‌آموزان!E11&amp;" "&amp;دانش‌آموزان!F11)</f>
        <v>اميررضا جاجرمي</v>
      </c>
      <c r="D11" s="34">
        <f>IF(A11="","",دانش‌آموزان!I11)</f>
        <v>901</v>
      </c>
      <c r="E11" s="27">
        <f>IF(A11="","",IFERROR(AVERAGEIFS('ثبت اطلاعات'!$CC$5:$CC$1204,'ثبت اطلاعات'!$C$5:$C$1204,A11,'ثبت اطلاعات'!$CL$5:$CL$1204,"&lt;&gt;"),""))</f>
        <v>7.5</v>
      </c>
      <c r="F11" s="38">
        <f>IF(A11="","",IFERROR(AVERAGEIFS('ثبت اطلاعات'!$CD$5:$CD$1204,'ثبت اطلاعات'!$C$5:$C$1204,A11,'ثبت اطلاعات'!$CL$5:$CL$1204,"&lt;&gt;"),""))</f>
        <v>0</v>
      </c>
      <c r="G11" s="38">
        <f>IF(A11="","",IFERROR(AVERAGEIFS('ثبت اطلاعات'!$CE$5:$CE$1204,'ثبت اطلاعات'!$C$5:$C$1204,A11,'ثبت اطلاعات'!$CL$5:$CL$1204,"&lt;&gt;"),""))</f>
        <v>0</v>
      </c>
      <c r="H11" s="38">
        <f>IF(A11="","",IFERROR(AVERAGEIFS('ثبت اطلاعات'!$CF$5:$CF$1204,'ثبت اطلاعات'!$C$5:$C$1204,A11,'ثبت اطلاعات'!$CL$5:$CL$1204,"&lt;&gt;"),""))</f>
        <v>3.2</v>
      </c>
      <c r="I11" s="38">
        <f>IF(A11="","",IFERROR(AVERAGEIFS('ثبت اطلاعات'!$CG$5:$CG$1204,'ثبت اطلاعات'!$C$5:$C$1204,A11,'ثبت اطلاعات'!$CL$5:$CL$1204,"&lt;&gt;"),""))</f>
        <v>0</v>
      </c>
      <c r="J11" s="38">
        <f>IF(A11="","",IFERROR(AVERAGEIFS('ثبت اطلاعات'!$CH$5:$CH$1204,'ثبت اطلاعات'!$C$5:$C$1204,A11,'ثبت اطلاعات'!$CL$5:$CL$1204,"&lt;&gt;"),""))</f>
        <v>0</v>
      </c>
      <c r="K11" s="38">
        <f>IF(A11="","",IFERROR(AVERAGEIFS('ثبت اطلاعات'!$CI$5:$CI$1204,'ثبت اطلاعات'!$C$5:$C$1204,A11,'ثبت اطلاعات'!$CL$5:$CL$1204,"&lt;&gt;"),""))</f>
        <v>0</v>
      </c>
      <c r="L11" s="38">
        <f>IF(A11="","",IFERROR(AVERAGEIFS('ثبت اطلاعات'!$CJ$5:$CJ$1204,'ثبت اطلاعات'!$C$5:$C$1204,A11,'ثبت اطلاعات'!$CL$5:$CL$1204,"&lt;&gt;"),""))</f>
        <v>0</v>
      </c>
      <c r="M11" s="38">
        <f>IF(A11="","",IFERROR(AVERAGEIFS('ثبت اطلاعات'!$CK$5:$CK$1204,'ثبت اطلاعات'!$C$5:$C$1204,A11,'ثبت اطلاعات'!$CL$5:$CL$1204,"&lt;&gt;"),""))</f>
        <v>0</v>
      </c>
      <c r="N11" s="38" t="str">
        <f>IF(A11="","",IFERROR(AVERAGEIFS('ثبت اطلاعات'!$CL$5:$CL$1204,'ثبت اطلاعات'!$C$5:$C$1204,A11,'ثبت اطلاعات'!$CL$5:$CL$1204,"&lt;&gt;"),""))</f>
        <v/>
      </c>
      <c r="O11" s="38">
        <f>IF(A11="","",COUNTIFS('ثبت اطلاعات'!$C$5:$C$1204,A11,'ثبت اطلاعات'!$CL$5:$CL$1204,"&lt;&gt;"))</f>
        <v>12</v>
      </c>
      <c r="P11" s="38" t="e">
        <f ca="1">IF(O11=0,"",_xludf.MINIFS('ثبت اطلاعات'!$CN$5:$CN$1204,'ثبت اطلاعات'!$C$5:$C$1204,A11,'ثبت اطلاعات'!$CL$5:$CL$1204,"&lt;&gt;"))</f>
        <v>#NAME?</v>
      </c>
      <c r="Q11" s="38" t="e">
        <f ca="1">IF(O11=0,"",_xludf.MAXIFS('ثبت اطلاعات'!$CN$5:$CN$1204,'ثبت اطلاعات'!$C$5:$C$1204,A11,'ثبت اطلاعات'!$CL$5:$CL$1204,"&lt;&gt;"))</f>
        <v>#NAME?</v>
      </c>
      <c r="R11" s="38">
        <f ca="1">IF(O11&lt;2,"",SUMIFS('ثبت اطلاعات'!$CL$5:$CL$1204,'ثبت اطلاعات'!$C$5:$C$1204,A11,'ثبت اطلاعات'!$CN$5:$CN$1204,Q11)-SUMIFS('ثبت اطلاعات'!$CL$5:$CL$1204,'ثبت اطلاعات'!$C$5:$C$1204,A11,'ثبت اطلاعات'!$CN$5:$CN$1204,P11))</f>
        <v>0</v>
      </c>
      <c r="S11" s="38" t="str">
        <f t="shared" ca="1" si="0"/>
        <v>ثبات</v>
      </c>
      <c r="T11" s="38" t="str">
        <f t="shared" si="1"/>
        <v/>
      </c>
      <c r="U11" s="38" t="str">
        <f t="shared" si="2"/>
        <v/>
      </c>
      <c r="V11" s="38" t="str">
        <f t="shared" si="3"/>
        <v/>
      </c>
      <c r="W11" s="38" t="str">
        <f>IF(N11="","",_xludf.RANK.EQ(N11,$N$5:$N$104,0))</f>
        <v/>
      </c>
      <c r="X11" s="38" t="str">
        <f t="shared" si="4"/>
        <v/>
      </c>
      <c r="Y11" s="28" t="str">
        <f>IF(U11="","",IFERROR(INDEX('بانک راهکارها'!$C$5:$C$13,MATCH(U11,'بانک راهکارها'!$B$5:$B$13,0)),""))</f>
        <v/>
      </c>
    </row>
    <row r="12" spans="1:25" ht="17.25">
      <c r="A12" s="33">
        <f>IF(دانش‌آموزان!L12="","",دانش‌آموزان!B12)</f>
        <v>8</v>
      </c>
      <c r="B12" s="55" t="str">
        <f>IF(A12="","",دانش‌آموزان!C12)</f>
        <v>0960433929</v>
      </c>
      <c r="C12" s="55" t="str">
        <f>IF(A12="","",دانش‌آموزان!E12&amp;" "&amp;دانش‌آموزان!F12)</f>
        <v>سپهر جمشيديان مجاور</v>
      </c>
      <c r="D12" s="34">
        <f>IF(A12="","",دانش‌آموزان!I12)</f>
        <v>901</v>
      </c>
      <c r="E12" s="27">
        <f>IF(A12="","",IFERROR(AVERAGEIFS('ثبت اطلاعات'!$CC$5:$CC$1204,'ثبت اطلاعات'!$C$5:$C$1204,A12,'ثبت اطلاعات'!$CL$5:$CL$1204,"&lt;&gt;"),""))</f>
        <v>7</v>
      </c>
      <c r="F12" s="38">
        <f>IF(A12="","",IFERROR(AVERAGEIFS('ثبت اطلاعات'!$CD$5:$CD$1204,'ثبت اطلاعات'!$C$5:$C$1204,A12,'ثبت اطلاعات'!$CL$5:$CL$1204,"&lt;&gt;"),""))</f>
        <v>17.600000000000001</v>
      </c>
      <c r="G12" s="38">
        <f>IF(A12="","",IFERROR(AVERAGEIFS('ثبت اطلاعات'!$CE$5:$CE$1204,'ثبت اطلاعات'!$C$5:$C$1204,A12,'ثبت اطلاعات'!$CL$5:$CL$1204,"&lt;&gt;"),""))</f>
        <v>8</v>
      </c>
      <c r="H12" s="38">
        <f>IF(A12="","",IFERROR(AVERAGEIFS('ثبت اطلاعات'!$CF$5:$CF$1204,'ثبت اطلاعات'!$C$5:$C$1204,A12,'ثبت اطلاعات'!$CL$5:$CL$1204,"&lt;&gt;"),""))</f>
        <v>18.399999999999999</v>
      </c>
      <c r="I12" s="38">
        <f>IF(A12="","",IFERROR(AVERAGEIFS('ثبت اطلاعات'!$CG$5:$CG$1204,'ثبت اطلاعات'!$C$5:$C$1204,A12,'ثبت اطلاعات'!$CL$5:$CL$1204,"&lt;&gt;"),""))</f>
        <v>0</v>
      </c>
      <c r="J12" s="38">
        <f>IF(A12="","",IFERROR(AVERAGEIFS('ثبت اطلاعات'!$CH$5:$CH$1204,'ثبت اطلاعات'!$C$5:$C$1204,A12,'ثبت اطلاعات'!$CL$5:$CL$1204,"&lt;&gt;"),""))</f>
        <v>0</v>
      </c>
      <c r="K12" s="38">
        <f>IF(A12="","",IFERROR(AVERAGEIFS('ثبت اطلاعات'!$CI$5:$CI$1204,'ثبت اطلاعات'!$C$5:$C$1204,A12,'ثبت اطلاعات'!$CL$5:$CL$1204,"&lt;&gt;"),""))</f>
        <v>0</v>
      </c>
      <c r="L12" s="38">
        <f>IF(A12="","",IFERROR(AVERAGEIFS('ثبت اطلاعات'!$CJ$5:$CJ$1204,'ثبت اطلاعات'!$C$5:$C$1204,A12,'ثبت اطلاعات'!$CL$5:$CL$1204,"&lt;&gt;"),""))</f>
        <v>0</v>
      </c>
      <c r="M12" s="38">
        <f>IF(A12="","",IFERROR(AVERAGEIFS('ثبت اطلاعات'!$CK$5:$CK$1204,'ثبت اطلاعات'!$C$5:$C$1204,A12,'ثبت اطلاعات'!$CL$5:$CL$1204,"&lt;&gt;"),""))</f>
        <v>0</v>
      </c>
      <c r="N12" s="38" t="str">
        <f>IF(A12="","",IFERROR(AVERAGEIFS('ثبت اطلاعات'!$CL$5:$CL$1204,'ثبت اطلاعات'!$C$5:$C$1204,A12,'ثبت اطلاعات'!$CL$5:$CL$1204,"&lt;&gt;"),""))</f>
        <v/>
      </c>
      <c r="O12" s="38">
        <f>IF(A12="","",COUNTIFS('ثبت اطلاعات'!$C$5:$C$1204,A12,'ثبت اطلاعات'!$CL$5:$CL$1204,"&lt;&gt;"))</f>
        <v>12</v>
      </c>
      <c r="P12" s="38" t="e">
        <f ca="1">IF(O12=0,"",_xludf.MINIFS('ثبت اطلاعات'!$CN$5:$CN$1204,'ثبت اطلاعات'!$C$5:$C$1204,A12,'ثبت اطلاعات'!$CL$5:$CL$1204,"&lt;&gt;"))</f>
        <v>#NAME?</v>
      </c>
      <c r="Q12" s="38" t="e">
        <f ca="1">IF(O12=0,"",_xludf.MAXIFS('ثبت اطلاعات'!$CN$5:$CN$1204,'ثبت اطلاعات'!$C$5:$C$1204,A12,'ثبت اطلاعات'!$CL$5:$CL$1204,"&lt;&gt;"))</f>
        <v>#NAME?</v>
      </c>
      <c r="R12" s="38">
        <f ca="1">IF(O12&lt;2,"",SUMIFS('ثبت اطلاعات'!$CL$5:$CL$1204,'ثبت اطلاعات'!$C$5:$C$1204,A12,'ثبت اطلاعات'!$CN$5:$CN$1204,Q12)-SUMIFS('ثبت اطلاعات'!$CL$5:$CL$1204,'ثبت اطلاعات'!$C$5:$C$1204,A12,'ثبت اطلاعات'!$CN$5:$CN$1204,P12))</f>
        <v>0</v>
      </c>
      <c r="S12" s="38" t="str">
        <f t="shared" ca="1" si="0"/>
        <v>ثبات</v>
      </c>
      <c r="T12" s="38" t="str">
        <f t="shared" si="1"/>
        <v/>
      </c>
      <c r="U12" s="38" t="str">
        <f t="shared" si="2"/>
        <v/>
      </c>
      <c r="V12" s="38" t="str">
        <f t="shared" si="3"/>
        <v/>
      </c>
      <c r="W12" s="38" t="str">
        <f>IF(N12="","",_xludf.RANK.EQ(N12,$N$5:$N$104,0))</f>
        <v/>
      </c>
      <c r="X12" s="38" t="str">
        <f t="shared" si="4"/>
        <v/>
      </c>
      <c r="Y12" s="28" t="str">
        <f>IF(U12="","",IFERROR(INDEX('بانک راهکارها'!$C$5:$C$13,MATCH(U12,'بانک راهکارها'!$B$5:$B$13,0)),""))</f>
        <v/>
      </c>
    </row>
    <row r="13" spans="1:25" ht="17.25">
      <c r="A13" s="33">
        <f>IF(دانش‌آموزان!L13="","",دانش‌آموزان!B13)</f>
        <v>9</v>
      </c>
      <c r="B13" s="55" t="str">
        <f>IF(A13="","",دانش‌آموزان!C13)</f>
        <v>0960426116</v>
      </c>
      <c r="C13" s="55" t="str">
        <f>IF(A13="","",دانش‌آموزان!E13&amp;" "&amp;دانش‌آموزان!F13)</f>
        <v>محمدحسين حسن پورويراني</v>
      </c>
      <c r="D13" s="34">
        <f>IF(A13="","",دانش‌آموزان!I13)</f>
        <v>901</v>
      </c>
      <c r="E13" s="27">
        <f>IF(A13="","",IFERROR(AVERAGEIFS('ثبت اطلاعات'!$CC$5:$CC$1204,'ثبت اطلاعات'!$C$5:$C$1204,A13,'ثبت اطلاعات'!$CL$5:$CL$1204,"&lt;&gt;"),""))</f>
        <v>6</v>
      </c>
      <c r="F13" s="38">
        <f>IF(A13="","",IFERROR(AVERAGEIFS('ثبت اطلاعات'!$CD$5:$CD$1204,'ثبت اطلاعات'!$C$5:$C$1204,A13,'ثبت اطلاعات'!$CL$5:$CL$1204,"&lt;&gt;"),""))</f>
        <v>9.6</v>
      </c>
      <c r="G13" s="38">
        <f>IF(A13="","",IFERROR(AVERAGEIFS('ثبت اطلاعات'!$CE$5:$CE$1204,'ثبت اطلاعات'!$C$5:$C$1204,A13,'ثبت اطلاعات'!$CL$5:$CL$1204,"&lt;&gt;"),""))</f>
        <v>6</v>
      </c>
      <c r="H13" s="38">
        <f>IF(A13="","",IFERROR(AVERAGEIFS('ثبت اطلاعات'!$CF$5:$CF$1204,'ثبت اطلاعات'!$C$5:$C$1204,A13,'ثبت اطلاعات'!$CL$5:$CL$1204,"&lt;&gt;"),""))</f>
        <v>13.6</v>
      </c>
      <c r="I13" s="38">
        <f>IF(A13="","",IFERROR(AVERAGEIFS('ثبت اطلاعات'!$CG$5:$CG$1204,'ثبت اطلاعات'!$C$5:$C$1204,A13,'ثبت اطلاعات'!$CL$5:$CL$1204,"&lt;&gt;"),""))</f>
        <v>0</v>
      </c>
      <c r="J13" s="38">
        <f>IF(A13="","",IFERROR(AVERAGEIFS('ثبت اطلاعات'!$CH$5:$CH$1204,'ثبت اطلاعات'!$C$5:$C$1204,A13,'ثبت اطلاعات'!$CL$5:$CL$1204,"&lt;&gt;"),""))</f>
        <v>0</v>
      </c>
      <c r="K13" s="38">
        <f>IF(A13="","",IFERROR(AVERAGEIFS('ثبت اطلاعات'!$CI$5:$CI$1204,'ثبت اطلاعات'!$C$5:$C$1204,A13,'ثبت اطلاعات'!$CL$5:$CL$1204,"&lt;&gt;"),""))</f>
        <v>0</v>
      </c>
      <c r="L13" s="38">
        <f>IF(A13="","",IFERROR(AVERAGEIFS('ثبت اطلاعات'!$CJ$5:$CJ$1204,'ثبت اطلاعات'!$C$5:$C$1204,A13,'ثبت اطلاعات'!$CL$5:$CL$1204,"&lt;&gt;"),""))</f>
        <v>0</v>
      </c>
      <c r="M13" s="38">
        <f>IF(A13="","",IFERROR(AVERAGEIFS('ثبت اطلاعات'!$CK$5:$CK$1204,'ثبت اطلاعات'!$C$5:$C$1204,A13,'ثبت اطلاعات'!$CL$5:$CL$1204,"&lt;&gt;"),""))</f>
        <v>0</v>
      </c>
      <c r="N13" s="38" t="str">
        <f>IF(A13="","",IFERROR(AVERAGEIFS('ثبت اطلاعات'!$CL$5:$CL$1204,'ثبت اطلاعات'!$C$5:$C$1204,A13,'ثبت اطلاعات'!$CL$5:$CL$1204,"&lt;&gt;"),""))</f>
        <v/>
      </c>
      <c r="O13" s="38">
        <f>IF(A13="","",COUNTIFS('ثبت اطلاعات'!$C$5:$C$1204,A13,'ثبت اطلاعات'!$CL$5:$CL$1204,"&lt;&gt;"))</f>
        <v>12</v>
      </c>
      <c r="P13" s="38" t="e">
        <f ca="1">IF(O13=0,"",_xludf.MINIFS('ثبت اطلاعات'!$CN$5:$CN$1204,'ثبت اطلاعات'!$C$5:$C$1204,A13,'ثبت اطلاعات'!$CL$5:$CL$1204,"&lt;&gt;"))</f>
        <v>#NAME?</v>
      </c>
      <c r="Q13" s="38" t="e">
        <f ca="1">IF(O13=0,"",_xludf.MAXIFS('ثبت اطلاعات'!$CN$5:$CN$1204,'ثبت اطلاعات'!$C$5:$C$1204,A13,'ثبت اطلاعات'!$CL$5:$CL$1204,"&lt;&gt;"))</f>
        <v>#NAME?</v>
      </c>
      <c r="R13" s="38">
        <f ca="1">IF(O13&lt;2,"",SUMIFS('ثبت اطلاعات'!$CL$5:$CL$1204,'ثبت اطلاعات'!$C$5:$C$1204,A13,'ثبت اطلاعات'!$CN$5:$CN$1204,Q13)-SUMIFS('ثبت اطلاعات'!$CL$5:$CL$1204,'ثبت اطلاعات'!$C$5:$C$1204,A13,'ثبت اطلاعات'!$CN$5:$CN$1204,P13))</f>
        <v>0</v>
      </c>
      <c r="S13" s="38" t="str">
        <f t="shared" ca="1" si="0"/>
        <v>ثبات</v>
      </c>
      <c r="T13" s="38" t="str">
        <f t="shared" si="1"/>
        <v/>
      </c>
      <c r="U13" s="38" t="str">
        <f t="shared" si="2"/>
        <v/>
      </c>
      <c r="V13" s="38" t="str">
        <f t="shared" si="3"/>
        <v/>
      </c>
      <c r="W13" s="38" t="str">
        <f>IF(N13="","",_xludf.RANK.EQ(N13,$N$5:$N$104,0))</f>
        <v/>
      </c>
      <c r="X13" s="38" t="str">
        <f t="shared" si="4"/>
        <v/>
      </c>
      <c r="Y13" s="28" t="str">
        <f>IF(U13="","",IFERROR(INDEX('بانک راهکارها'!$C$5:$C$13,MATCH(U13,'بانک راهکارها'!$B$5:$B$13,0)),""))</f>
        <v/>
      </c>
    </row>
    <row r="14" spans="1:25" ht="17.25">
      <c r="A14" s="33">
        <f>IF(دانش‌آموزان!L14="","",دانش‌آموزان!B14)</f>
        <v>10</v>
      </c>
      <c r="B14" s="55" t="str">
        <f>IF(A14="","",دانش‌آموزان!C14)</f>
        <v>0970739664</v>
      </c>
      <c r="C14" s="55" t="str">
        <f>IF(A14="","",دانش‌آموزان!E14&amp;" "&amp;دانش‌آموزان!F14)</f>
        <v>ماهان حسن زاده</v>
      </c>
      <c r="D14" s="34">
        <f>IF(A14="","",دانش‌آموزان!I14)</f>
        <v>901</v>
      </c>
      <c r="E14" s="27">
        <f>IF(A14="","",IFERROR(AVERAGEIFS('ثبت اطلاعات'!$CC$5:$CC$1204,'ثبت اطلاعات'!$C$5:$C$1204,A14,'ثبت اطلاعات'!$CL$5:$CL$1204,"&lt;&gt;"),""))</f>
        <v>12.5</v>
      </c>
      <c r="F14" s="38">
        <f>IF(A14="","",IFERROR(AVERAGEIFS('ثبت اطلاعات'!$CD$5:$CD$1204,'ثبت اطلاعات'!$C$5:$C$1204,A14,'ثبت اطلاعات'!$CL$5:$CL$1204,"&lt;&gt;"),""))</f>
        <v>16.8</v>
      </c>
      <c r="G14" s="38">
        <f>IF(A14="","",IFERROR(AVERAGEIFS('ثبت اطلاعات'!$CE$5:$CE$1204,'ثبت اطلاعات'!$C$5:$C$1204,A14,'ثبت اطلاعات'!$CL$5:$CL$1204,"&lt;&gt;"),""))</f>
        <v>8</v>
      </c>
      <c r="H14" s="38">
        <f>IF(A14="","",IFERROR(AVERAGEIFS('ثبت اطلاعات'!$CF$5:$CF$1204,'ثبت اطلاعات'!$C$5:$C$1204,A14,'ثبت اطلاعات'!$CL$5:$CL$1204,"&lt;&gt;"),""))</f>
        <v>19.2</v>
      </c>
      <c r="I14" s="38">
        <f>IF(A14="","",IFERROR(AVERAGEIFS('ثبت اطلاعات'!$CG$5:$CG$1204,'ثبت اطلاعات'!$C$5:$C$1204,A14,'ثبت اطلاعات'!$CL$5:$CL$1204,"&lt;&gt;"),""))</f>
        <v>0</v>
      </c>
      <c r="J14" s="38">
        <f>IF(A14="","",IFERROR(AVERAGEIFS('ثبت اطلاعات'!$CH$5:$CH$1204,'ثبت اطلاعات'!$C$5:$C$1204,A14,'ثبت اطلاعات'!$CL$5:$CL$1204,"&lt;&gt;"),""))</f>
        <v>0</v>
      </c>
      <c r="K14" s="38">
        <f>IF(A14="","",IFERROR(AVERAGEIFS('ثبت اطلاعات'!$CI$5:$CI$1204,'ثبت اطلاعات'!$C$5:$C$1204,A14,'ثبت اطلاعات'!$CL$5:$CL$1204,"&lt;&gt;"),""))</f>
        <v>0</v>
      </c>
      <c r="L14" s="38">
        <f>IF(A14="","",IFERROR(AVERAGEIFS('ثبت اطلاعات'!$CJ$5:$CJ$1204,'ثبت اطلاعات'!$C$5:$C$1204,A14,'ثبت اطلاعات'!$CL$5:$CL$1204,"&lt;&gt;"),""))</f>
        <v>0</v>
      </c>
      <c r="M14" s="38">
        <f>IF(A14="","",IFERROR(AVERAGEIFS('ثبت اطلاعات'!$CK$5:$CK$1204,'ثبت اطلاعات'!$C$5:$C$1204,A14,'ثبت اطلاعات'!$CL$5:$CL$1204,"&lt;&gt;"),""))</f>
        <v>0</v>
      </c>
      <c r="N14" s="38" t="str">
        <f>IF(A14="","",IFERROR(AVERAGEIFS('ثبت اطلاعات'!$CL$5:$CL$1204,'ثبت اطلاعات'!$C$5:$C$1204,A14,'ثبت اطلاعات'!$CL$5:$CL$1204,"&lt;&gt;"),""))</f>
        <v/>
      </c>
      <c r="O14" s="38">
        <f>IF(A14="","",COUNTIFS('ثبت اطلاعات'!$C$5:$C$1204,A14,'ثبت اطلاعات'!$CL$5:$CL$1204,"&lt;&gt;"))</f>
        <v>12</v>
      </c>
      <c r="P14" s="38" t="e">
        <f ca="1">IF(O14=0,"",_xludf.MINIFS('ثبت اطلاعات'!$CN$5:$CN$1204,'ثبت اطلاعات'!$C$5:$C$1204,A14,'ثبت اطلاعات'!$CL$5:$CL$1204,"&lt;&gt;"))</f>
        <v>#NAME?</v>
      </c>
      <c r="Q14" s="38" t="e">
        <f ca="1">IF(O14=0,"",_xludf.MAXIFS('ثبت اطلاعات'!$CN$5:$CN$1204,'ثبت اطلاعات'!$C$5:$C$1204,A14,'ثبت اطلاعات'!$CL$5:$CL$1204,"&lt;&gt;"))</f>
        <v>#NAME?</v>
      </c>
      <c r="R14" s="38">
        <f ca="1">IF(O14&lt;2,"",SUMIFS('ثبت اطلاعات'!$CL$5:$CL$1204,'ثبت اطلاعات'!$C$5:$C$1204,A14,'ثبت اطلاعات'!$CN$5:$CN$1204,Q14)-SUMIFS('ثبت اطلاعات'!$CL$5:$CL$1204,'ثبت اطلاعات'!$C$5:$C$1204,A14,'ثبت اطلاعات'!$CN$5:$CN$1204,P14))</f>
        <v>0</v>
      </c>
      <c r="S14" s="38" t="str">
        <f t="shared" ca="1" si="0"/>
        <v>ثبات</v>
      </c>
      <c r="T14" s="38" t="str">
        <f t="shared" si="1"/>
        <v/>
      </c>
      <c r="U14" s="38" t="str">
        <f t="shared" si="2"/>
        <v/>
      </c>
      <c r="V14" s="38" t="str">
        <f t="shared" si="3"/>
        <v/>
      </c>
      <c r="W14" s="38" t="str">
        <f>IF(N14="","",_xludf.RANK.EQ(N14,$N$5:$N$104,0))</f>
        <v/>
      </c>
      <c r="X14" s="38" t="str">
        <f t="shared" si="4"/>
        <v/>
      </c>
      <c r="Y14" s="28" t="str">
        <f>IF(U14="","",IFERROR(INDEX('بانک راهکارها'!$C$5:$C$13,MATCH(U14,'بانک راهکارها'!$B$5:$B$13,0)),""))</f>
        <v/>
      </c>
    </row>
    <row r="15" spans="1:25" ht="17.25">
      <c r="A15" s="33">
        <f>IF(دانش‌آموزان!L15="","",دانش‌آموزان!B15)</f>
        <v>11</v>
      </c>
      <c r="B15" s="55" t="str">
        <f>IF(A15="","",دانش‌آموزان!C15)</f>
        <v>0980347335</v>
      </c>
      <c r="C15" s="55" t="str">
        <f>IF(A15="","",دانش‌آموزان!E15&amp;" "&amp;دانش‌آموزان!F15)</f>
        <v>علي حسين زاده</v>
      </c>
      <c r="D15" s="34">
        <f>IF(A15="","",دانش‌آموزان!I15)</f>
        <v>901</v>
      </c>
      <c r="E15" s="27">
        <f>IF(A15="","",IFERROR(AVERAGEIFS('ثبت اطلاعات'!$CC$5:$CC$1204,'ثبت اطلاعات'!$C$5:$C$1204,A15,'ثبت اطلاعات'!$CL$5:$CL$1204,"&lt;&gt;"),""))</f>
        <v>11</v>
      </c>
      <c r="F15" s="38">
        <f>IF(A15="","",IFERROR(AVERAGEIFS('ثبت اطلاعات'!$CD$5:$CD$1204,'ثبت اطلاعات'!$C$5:$C$1204,A15,'ثبت اطلاعات'!$CL$5:$CL$1204,"&lt;&gt;"),""))</f>
        <v>16</v>
      </c>
      <c r="G15" s="38">
        <f>IF(A15="","",IFERROR(AVERAGEIFS('ثبت اطلاعات'!$CE$5:$CE$1204,'ثبت اطلاعات'!$C$5:$C$1204,A15,'ثبت اطلاعات'!$CL$5:$CL$1204,"&lt;&gt;"),""))</f>
        <v>8</v>
      </c>
      <c r="H15" s="38">
        <f>IF(A15="","",IFERROR(AVERAGEIFS('ثبت اطلاعات'!$CF$5:$CF$1204,'ثبت اطلاعات'!$C$5:$C$1204,A15,'ثبت اطلاعات'!$CL$5:$CL$1204,"&lt;&gt;"),""))</f>
        <v>16.8</v>
      </c>
      <c r="I15" s="38">
        <f>IF(A15="","",IFERROR(AVERAGEIFS('ثبت اطلاعات'!$CG$5:$CG$1204,'ثبت اطلاعات'!$C$5:$C$1204,A15,'ثبت اطلاعات'!$CL$5:$CL$1204,"&lt;&gt;"),""))</f>
        <v>0</v>
      </c>
      <c r="J15" s="38">
        <f>IF(A15="","",IFERROR(AVERAGEIFS('ثبت اطلاعات'!$CH$5:$CH$1204,'ثبت اطلاعات'!$C$5:$C$1204,A15,'ثبت اطلاعات'!$CL$5:$CL$1204,"&lt;&gt;"),""))</f>
        <v>0</v>
      </c>
      <c r="K15" s="38">
        <f>IF(A15="","",IFERROR(AVERAGEIFS('ثبت اطلاعات'!$CI$5:$CI$1204,'ثبت اطلاعات'!$C$5:$C$1204,A15,'ثبت اطلاعات'!$CL$5:$CL$1204,"&lt;&gt;"),""))</f>
        <v>0</v>
      </c>
      <c r="L15" s="38">
        <f>IF(A15="","",IFERROR(AVERAGEIFS('ثبت اطلاعات'!$CJ$5:$CJ$1204,'ثبت اطلاعات'!$C$5:$C$1204,A15,'ثبت اطلاعات'!$CL$5:$CL$1204,"&lt;&gt;"),""))</f>
        <v>0</v>
      </c>
      <c r="M15" s="38">
        <f>IF(A15="","",IFERROR(AVERAGEIFS('ثبت اطلاعات'!$CK$5:$CK$1204,'ثبت اطلاعات'!$C$5:$C$1204,A15,'ثبت اطلاعات'!$CL$5:$CL$1204,"&lt;&gt;"),""))</f>
        <v>0</v>
      </c>
      <c r="N15" s="38" t="str">
        <f>IF(A15="","",IFERROR(AVERAGEIFS('ثبت اطلاعات'!$CL$5:$CL$1204,'ثبت اطلاعات'!$C$5:$C$1204,A15,'ثبت اطلاعات'!$CL$5:$CL$1204,"&lt;&gt;"),""))</f>
        <v/>
      </c>
      <c r="O15" s="38">
        <f>IF(A15="","",COUNTIFS('ثبت اطلاعات'!$C$5:$C$1204,A15,'ثبت اطلاعات'!$CL$5:$CL$1204,"&lt;&gt;"))</f>
        <v>12</v>
      </c>
      <c r="P15" s="38" t="e">
        <f ca="1">IF(O15=0,"",_xludf.MINIFS('ثبت اطلاعات'!$CN$5:$CN$1204,'ثبت اطلاعات'!$C$5:$C$1204,A15,'ثبت اطلاعات'!$CL$5:$CL$1204,"&lt;&gt;"))</f>
        <v>#NAME?</v>
      </c>
      <c r="Q15" s="38" t="e">
        <f ca="1">IF(O15=0,"",_xludf.MAXIFS('ثبت اطلاعات'!$CN$5:$CN$1204,'ثبت اطلاعات'!$C$5:$C$1204,A15,'ثبت اطلاعات'!$CL$5:$CL$1204,"&lt;&gt;"))</f>
        <v>#NAME?</v>
      </c>
      <c r="R15" s="38">
        <f ca="1">IF(O15&lt;2,"",SUMIFS('ثبت اطلاعات'!$CL$5:$CL$1204,'ثبت اطلاعات'!$C$5:$C$1204,A15,'ثبت اطلاعات'!$CN$5:$CN$1204,Q15)-SUMIFS('ثبت اطلاعات'!$CL$5:$CL$1204,'ثبت اطلاعات'!$C$5:$C$1204,A15,'ثبت اطلاعات'!$CN$5:$CN$1204,P15))</f>
        <v>0</v>
      </c>
      <c r="S15" s="38" t="str">
        <f t="shared" ca="1" si="0"/>
        <v>ثبات</v>
      </c>
      <c r="T15" s="38" t="str">
        <f t="shared" si="1"/>
        <v/>
      </c>
      <c r="U15" s="38" t="str">
        <f t="shared" si="2"/>
        <v/>
      </c>
      <c r="V15" s="38" t="str">
        <f t="shared" si="3"/>
        <v/>
      </c>
      <c r="W15" s="38" t="str">
        <f>IF(N15="","",_xludf.RANK.EQ(N15,$N$5:$N$104,0))</f>
        <v/>
      </c>
      <c r="X15" s="38" t="str">
        <f t="shared" si="4"/>
        <v/>
      </c>
      <c r="Y15" s="28" t="str">
        <f>IF(U15="","",IFERROR(INDEX('بانک راهکارها'!$C$5:$C$13,MATCH(U15,'بانک راهکارها'!$B$5:$B$13,0)),""))</f>
        <v/>
      </c>
    </row>
    <row r="16" spans="1:25" ht="17.25">
      <c r="A16" s="33">
        <f>IF(دانش‌آموزان!L16="","",دانش‌آموزان!B16)</f>
        <v>12</v>
      </c>
      <c r="B16" s="55" t="str">
        <f>IF(A16="","",دانش‌آموزان!C16)</f>
        <v>0960322051</v>
      </c>
      <c r="C16" s="55" t="str">
        <f>IF(A16="","",دانش‌آموزان!E16&amp;" "&amp;دانش‌آموزان!F16)</f>
        <v>اميرحسين خواجوي</v>
      </c>
      <c r="D16" s="34">
        <f>IF(A16="","",دانش‌آموزان!I16)</f>
        <v>901</v>
      </c>
      <c r="E16" s="27">
        <f>IF(A16="","",IFERROR(AVERAGEIFS('ثبت اطلاعات'!$CC$5:$CC$1204,'ثبت اطلاعات'!$C$5:$C$1204,A16,'ثبت اطلاعات'!$CL$5:$CL$1204,"&lt;&gt;"),""))</f>
        <v>11.215</v>
      </c>
      <c r="F16" s="38">
        <f>IF(A16="","",IFERROR(AVERAGEIFS('ثبت اطلاعات'!$CD$5:$CD$1204,'ثبت اطلاعات'!$C$5:$C$1204,A16,'ثبت اطلاعات'!$CL$5:$CL$1204,"&lt;&gt;"),""))</f>
        <v>16</v>
      </c>
      <c r="G16" s="38">
        <f>IF(A16="","",IFERROR(AVERAGEIFS('ثبت اطلاعات'!$CE$5:$CE$1204,'ثبت اطلاعات'!$C$5:$C$1204,A16,'ثبت اطلاعات'!$CL$5:$CL$1204,"&lt;&gt;"),""))</f>
        <v>0</v>
      </c>
      <c r="H16" s="38">
        <f>IF(A16="","",IFERROR(AVERAGEIFS('ثبت اطلاعات'!$CF$5:$CF$1204,'ثبت اطلاعات'!$C$5:$C$1204,A16,'ثبت اطلاعات'!$CL$5:$CL$1204,"&lt;&gt;"),""))</f>
        <v>16</v>
      </c>
      <c r="I16" s="38">
        <f>IF(A16="","",IFERROR(AVERAGEIFS('ثبت اطلاعات'!$CG$5:$CG$1204,'ثبت اطلاعات'!$C$5:$C$1204,A16,'ثبت اطلاعات'!$CL$5:$CL$1204,"&lt;&gt;"),""))</f>
        <v>0</v>
      </c>
      <c r="J16" s="38">
        <f>IF(A16="","",IFERROR(AVERAGEIFS('ثبت اطلاعات'!$CH$5:$CH$1204,'ثبت اطلاعات'!$C$5:$C$1204,A16,'ثبت اطلاعات'!$CL$5:$CL$1204,"&lt;&gt;"),""))</f>
        <v>0</v>
      </c>
      <c r="K16" s="38">
        <f>IF(A16="","",IFERROR(AVERAGEIFS('ثبت اطلاعات'!$CI$5:$CI$1204,'ثبت اطلاعات'!$C$5:$C$1204,A16,'ثبت اطلاعات'!$CL$5:$CL$1204,"&lt;&gt;"),""))</f>
        <v>0</v>
      </c>
      <c r="L16" s="38">
        <f>IF(A16="","",IFERROR(AVERAGEIFS('ثبت اطلاعات'!$CJ$5:$CJ$1204,'ثبت اطلاعات'!$C$5:$C$1204,A16,'ثبت اطلاعات'!$CL$5:$CL$1204,"&lt;&gt;"),""))</f>
        <v>0</v>
      </c>
      <c r="M16" s="38">
        <f>IF(A16="","",IFERROR(AVERAGEIFS('ثبت اطلاعات'!$CK$5:$CK$1204,'ثبت اطلاعات'!$C$5:$C$1204,A16,'ثبت اطلاعات'!$CL$5:$CL$1204,"&lt;&gt;"),""))</f>
        <v>0</v>
      </c>
      <c r="N16" s="38" t="str">
        <f>IF(A16="","",IFERROR(AVERAGEIFS('ثبت اطلاعات'!$CL$5:$CL$1204,'ثبت اطلاعات'!$C$5:$C$1204,A16,'ثبت اطلاعات'!$CL$5:$CL$1204,"&lt;&gt;"),""))</f>
        <v/>
      </c>
      <c r="O16" s="38">
        <f>IF(A16="","",COUNTIFS('ثبت اطلاعات'!$C$5:$C$1204,A16,'ثبت اطلاعات'!$CL$5:$CL$1204,"&lt;&gt;"))</f>
        <v>12</v>
      </c>
      <c r="P16" s="38" t="e">
        <f ca="1">IF(O16=0,"",_xludf.MINIFS('ثبت اطلاعات'!$CN$5:$CN$1204,'ثبت اطلاعات'!$C$5:$C$1204,A16,'ثبت اطلاعات'!$CL$5:$CL$1204,"&lt;&gt;"))</f>
        <v>#NAME?</v>
      </c>
      <c r="Q16" s="38" t="e">
        <f ca="1">IF(O16=0,"",_xludf.MAXIFS('ثبت اطلاعات'!$CN$5:$CN$1204,'ثبت اطلاعات'!$C$5:$C$1204,A16,'ثبت اطلاعات'!$CL$5:$CL$1204,"&lt;&gt;"))</f>
        <v>#NAME?</v>
      </c>
      <c r="R16" s="38">
        <f ca="1">IF(O16&lt;2,"",SUMIFS('ثبت اطلاعات'!$CL$5:$CL$1204,'ثبت اطلاعات'!$C$5:$C$1204,A16,'ثبت اطلاعات'!$CN$5:$CN$1204,Q16)-SUMIFS('ثبت اطلاعات'!$CL$5:$CL$1204,'ثبت اطلاعات'!$C$5:$C$1204,A16,'ثبت اطلاعات'!$CN$5:$CN$1204,P16))</f>
        <v>0</v>
      </c>
      <c r="S16" s="38" t="str">
        <f t="shared" ca="1" si="0"/>
        <v>ثبات</v>
      </c>
      <c r="T16" s="38" t="str">
        <f t="shared" si="1"/>
        <v/>
      </c>
      <c r="U16" s="38" t="str">
        <f t="shared" si="2"/>
        <v/>
      </c>
      <c r="V16" s="38" t="str">
        <f t="shared" si="3"/>
        <v/>
      </c>
      <c r="W16" s="38" t="str">
        <f>IF(N16="","",_xludf.RANK.EQ(N16,$N$5:$N$104,0))</f>
        <v/>
      </c>
      <c r="X16" s="38" t="str">
        <f t="shared" si="4"/>
        <v/>
      </c>
      <c r="Y16" s="28" t="str">
        <f>IF(U16="","",IFERROR(INDEX('بانک راهکارها'!$C$5:$C$13,MATCH(U16,'بانک راهکارها'!$B$5:$B$13,0)),""))</f>
        <v/>
      </c>
    </row>
    <row r="17" spans="1:25" ht="17.25">
      <c r="A17" s="33">
        <f>IF(دانش‌آموزان!L17="","",دانش‌آموزان!B17)</f>
        <v>13</v>
      </c>
      <c r="B17" s="55" t="str">
        <f>IF(A17="","",دانش‌آموزان!C17)</f>
        <v>0960402675</v>
      </c>
      <c r="C17" s="55" t="str">
        <f>IF(A17="","",دانش‌آموزان!E17&amp;" "&amp;دانش‌آموزان!F17)</f>
        <v>كسري خوشبين</v>
      </c>
      <c r="D17" s="34">
        <f>IF(A17="","",دانش‌آموزان!I17)</f>
        <v>901</v>
      </c>
      <c r="E17" s="27">
        <f>IF(A17="","",IFERROR(AVERAGEIFS('ثبت اطلاعات'!$CC$5:$CC$1204,'ثبت اطلاعات'!$C$5:$C$1204,A17,'ثبت اطلاعات'!$CL$5:$CL$1204,"&lt;&gt;"),""))</f>
        <v>11.5</v>
      </c>
      <c r="F17" s="38">
        <f>IF(A17="","",IFERROR(AVERAGEIFS('ثبت اطلاعات'!$CD$5:$CD$1204,'ثبت اطلاعات'!$C$5:$C$1204,A17,'ثبت اطلاعات'!$CL$5:$CL$1204,"&lt;&gt;"),""))</f>
        <v>17.600000000000001</v>
      </c>
      <c r="G17" s="38">
        <f>IF(A17="","",IFERROR(AVERAGEIFS('ثبت اطلاعات'!$CE$5:$CE$1204,'ثبت اطلاعات'!$C$5:$C$1204,A17,'ثبت اطلاعات'!$CL$5:$CL$1204,"&lt;&gt;"),""))</f>
        <v>8</v>
      </c>
      <c r="H17" s="38">
        <f>IF(A17="","",IFERROR(AVERAGEIFS('ثبت اطلاعات'!$CF$5:$CF$1204,'ثبت اطلاعات'!$C$5:$C$1204,A17,'ثبت اطلاعات'!$CL$5:$CL$1204,"&lt;&gt;"),""))</f>
        <v>16.8</v>
      </c>
      <c r="I17" s="38">
        <f>IF(A17="","",IFERROR(AVERAGEIFS('ثبت اطلاعات'!$CG$5:$CG$1204,'ثبت اطلاعات'!$C$5:$C$1204,A17,'ثبت اطلاعات'!$CL$5:$CL$1204,"&lt;&gt;"),""))</f>
        <v>0</v>
      </c>
      <c r="J17" s="38">
        <f>IF(A17="","",IFERROR(AVERAGEIFS('ثبت اطلاعات'!$CH$5:$CH$1204,'ثبت اطلاعات'!$C$5:$C$1204,A17,'ثبت اطلاعات'!$CL$5:$CL$1204,"&lt;&gt;"),""))</f>
        <v>0</v>
      </c>
      <c r="K17" s="38">
        <f>IF(A17="","",IFERROR(AVERAGEIFS('ثبت اطلاعات'!$CI$5:$CI$1204,'ثبت اطلاعات'!$C$5:$C$1204,A17,'ثبت اطلاعات'!$CL$5:$CL$1204,"&lt;&gt;"),""))</f>
        <v>0</v>
      </c>
      <c r="L17" s="38">
        <f>IF(A17="","",IFERROR(AVERAGEIFS('ثبت اطلاعات'!$CJ$5:$CJ$1204,'ثبت اطلاعات'!$C$5:$C$1204,A17,'ثبت اطلاعات'!$CL$5:$CL$1204,"&lt;&gt;"),""))</f>
        <v>0</v>
      </c>
      <c r="M17" s="38">
        <f>IF(A17="","",IFERROR(AVERAGEIFS('ثبت اطلاعات'!$CK$5:$CK$1204,'ثبت اطلاعات'!$C$5:$C$1204,A17,'ثبت اطلاعات'!$CL$5:$CL$1204,"&lt;&gt;"),""))</f>
        <v>0</v>
      </c>
      <c r="N17" s="38" t="str">
        <f>IF(A17="","",IFERROR(AVERAGEIFS('ثبت اطلاعات'!$CL$5:$CL$1204,'ثبت اطلاعات'!$C$5:$C$1204,A17,'ثبت اطلاعات'!$CL$5:$CL$1204,"&lt;&gt;"),""))</f>
        <v/>
      </c>
      <c r="O17" s="38">
        <f>IF(A17="","",COUNTIFS('ثبت اطلاعات'!$C$5:$C$1204,A17,'ثبت اطلاعات'!$CL$5:$CL$1204,"&lt;&gt;"))</f>
        <v>12</v>
      </c>
      <c r="P17" s="38" t="e">
        <f ca="1">IF(O17=0,"",_xludf.MINIFS('ثبت اطلاعات'!$CN$5:$CN$1204,'ثبت اطلاعات'!$C$5:$C$1204,A17,'ثبت اطلاعات'!$CL$5:$CL$1204,"&lt;&gt;"))</f>
        <v>#NAME?</v>
      </c>
      <c r="Q17" s="38" t="e">
        <f ca="1">IF(O17=0,"",_xludf.MAXIFS('ثبت اطلاعات'!$CN$5:$CN$1204,'ثبت اطلاعات'!$C$5:$C$1204,A17,'ثبت اطلاعات'!$CL$5:$CL$1204,"&lt;&gt;"))</f>
        <v>#NAME?</v>
      </c>
      <c r="R17" s="38">
        <f ca="1">IF(O17&lt;2,"",SUMIFS('ثبت اطلاعات'!$CL$5:$CL$1204,'ثبت اطلاعات'!$C$5:$C$1204,A17,'ثبت اطلاعات'!$CN$5:$CN$1204,Q17)-SUMIFS('ثبت اطلاعات'!$CL$5:$CL$1204,'ثبت اطلاعات'!$C$5:$C$1204,A17,'ثبت اطلاعات'!$CN$5:$CN$1204,P17))</f>
        <v>0</v>
      </c>
      <c r="S17" s="38" t="str">
        <f t="shared" ca="1" si="0"/>
        <v>ثبات</v>
      </c>
      <c r="T17" s="38" t="str">
        <f t="shared" si="1"/>
        <v/>
      </c>
      <c r="U17" s="38" t="str">
        <f t="shared" si="2"/>
        <v/>
      </c>
      <c r="V17" s="38" t="str">
        <f t="shared" si="3"/>
        <v/>
      </c>
      <c r="W17" s="38" t="str">
        <f>IF(N17="","",_xludf.RANK.EQ(N17,$N$5:$N$104,0))</f>
        <v/>
      </c>
      <c r="X17" s="38" t="str">
        <f t="shared" si="4"/>
        <v/>
      </c>
      <c r="Y17" s="28" t="str">
        <f>IF(U17="","",IFERROR(INDEX('بانک راهکارها'!$C$5:$C$13,MATCH(U17,'بانک راهکارها'!$B$5:$B$13,0)),""))</f>
        <v/>
      </c>
    </row>
    <row r="18" spans="1:25" ht="17.25">
      <c r="A18" s="33">
        <f>IF(دانش‌آموزان!L18="","",دانش‌آموزان!B18)</f>
        <v>14</v>
      </c>
      <c r="B18" s="55" t="str">
        <f>IF(A18="","",دانش‌آموزان!C18)</f>
        <v>0960325298</v>
      </c>
      <c r="C18" s="55" t="str">
        <f>IF(A18="","",دانش‌آموزان!E18&amp;" "&amp;دانش‌آموزان!F18)</f>
        <v>پارسا رشيد</v>
      </c>
      <c r="D18" s="34">
        <f>IF(A18="","",دانش‌آموزان!I18)</f>
        <v>901</v>
      </c>
      <c r="E18" s="27">
        <f>IF(A18="","",IFERROR(AVERAGEIFS('ثبت اطلاعات'!$CC$5:$CC$1204,'ثبت اطلاعات'!$C$5:$C$1204,A18,'ثبت اطلاعات'!$CL$5:$CL$1204,"&lt;&gt;"),""))</f>
        <v>8.5</v>
      </c>
      <c r="F18" s="38">
        <f>IF(A18="","",IFERROR(AVERAGEIFS('ثبت اطلاعات'!$CD$5:$CD$1204,'ثبت اطلاعات'!$C$5:$C$1204,A18,'ثبت اطلاعات'!$CL$5:$CL$1204,"&lt;&gt;"),""))</f>
        <v>16</v>
      </c>
      <c r="G18" s="38">
        <f>IF(A18="","",IFERROR(AVERAGEIFS('ثبت اطلاعات'!$CE$5:$CE$1204,'ثبت اطلاعات'!$C$5:$C$1204,A18,'ثبت اطلاعات'!$CL$5:$CL$1204,"&lt;&gt;"),""))</f>
        <v>6</v>
      </c>
      <c r="H18" s="38">
        <f>IF(A18="","",IFERROR(AVERAGEIFS('ثبت اطلاعات'!$CF$5:$CF$1204,'ثبت اطلاعات'!$C$5:$C$1204,A18,'ثبت اطلاعات'!$CL$5:$CL$1204,"&lt;&gt;"),""))</f>
        <v>12.8</v>
      </c>
      <c r="I18" s="38">
        <f>IF(A18="","",IFERROR(AVERAGEIFS('ثبت اطلاعات'!$CG$5:$CG$1204,'ثبت اطلاعات'!$C$5:$C$1204,A18,'ثبت اطلاعات'!$CL$5:$CL$1204,"&lt;&gt;"),""))</f>
        <v>0</v>
      </c>
      <c r="J18" s="38">
        <f>IF(A18="","",IFERROR(AVERAGEIFS('ثبت اطلاعات'!$CH$5:$CH$1204,'ثبت اطلاعات'!$C$5:$C$1204,A18,'ثبت اطلاعات'!$CL$5:$CL$1204,"&lt;&gt;"),""))</f>
        <v>0</v>
      </c>
      <c r="K18" s="38">
        <f>IF(A18="","",IFERROR(AVERAGEIFS('ثبت اطلاعات'!$CI$5:$CI$1204,'ثبت اطلاعات'!$C$5:$C$1204,A18,'ثبت اطلاعات'!$CL$5:$CL$1204,"&lt;&gt;"),""))</f>
        <v>0</v>
      </c>
      <c r="L18" s="38">
        <f>IF(A18="","",IFERROR(AVERAGEIFS('ثبت اطلاعات'!$CJ$5:$CJ$1204,'ثبت اطلاعات'!$C$5:$C$1204,A18,'ثبت اطلاعات'!$CL$5:$CL$1204,"&lt;&gt;"),""))</f>
        <v>0</v>
      </c>
      <c r="M18" s="38">
        <f>IF(A18="","",IFERROR(AVERAGEIFS('ثبت اطلاعات'!$CK$5:$CK$1204,'ثبت اطلاعات'!$C$5:$C$1204,A18,'ثبت اطلاعات'!$CL$5:$CL$1204,"&lt;&gt;"),""))</f>
        <v>0</v>
      </c>
      <c r="N18" s="38" t="str">
        <f>IF(A18="","",IFERROR(AVERAGEIFS('ثبت اطلاعات'!$CL$5:$CL$1204,'ثبت اطلاعات'!$C$5:$C$1204,A18,'ثبت اطلاعات'!$CL$5:$CL$1204,"&lt;&gt;"),""))</f>
        <v/>
      </c>
      <c r="O18" s="38">
        <f>IF(A18="","",COUNTIFS('ثبت اطلاعات'!$C$5:$C$1204,A18,'ثبت اطلاعات'!$CL$5:$CL$1204,"&lt;&gt;"))</f>
        <v>12</v>
      </c>
      <c r="P18" s="38" t="e">
        <f ca="1">IF(O18=0,"",_xludf.MINIFS('ثبت اطلاعات'!$CN$5:$CN$1204,'ثبت اطلاعات'!$C$5:$C$1204,A18,'ثبت اطلاعات'!$CL$5:$CL$1204,"&lt;&gt;"))</f>
        <v>#NAME?</v>
      </c>
      <c r="Q18" s="38" t="e">
        <f ca="1">IF(O18=0,"",_xludf.MAXIFS('ثبت اطلاعات'!$CN$5:$CN$1204,'ثبت اطلاعات'!$C$5:$C$1204,A18,'ثبت اطلاعات'!$CL$5:$CL$1204,"&lt;&gt;"))</f>
        <v>#NAME?</v>
      </c>
      <c r="R18" s="38">
        <f ca="1">IF(O18&lt;2,"",SUMIFS('ثبت اطلاعات'!$CL$5:$CL$1204,'ثبت اطلاعات'!$C$5:$C$1204,A18,'ثبت اطلاعات'!$CN$5:$CN$1204,Q18)-SUMIFS('ثبت اطلاعات'!$CL$5:$CL$1204,'ثبت اطلاعات'!$C$5:$C$1204,A18,'ثبت اطلاعات'!$CN$5:$CN$1204,P18))</f>
        <v>0</v>
      </c>
      <c r="S18" s="38" t="str">
        <f t="shared" ca="1" si="0"/>
        <v>ثبات</v>
      </c>
      <c r="T18" s="38" t="str">
        <f t="shared" si="1"/>
        <v/>
      </c>
      <c r="U18" s="38" t="str">
        <f t="shared" si="2"/>
        <v/>
      </c>
      <c r="V18" s="38" t="str">
        <f t="shared" si="3"/>
        <v/>
      </c>
      <c r="W18" s="38" t="str">
        <f>IF(N18="","",_xludf.RANK.EQ(N18,$N$5:$N$104,0))</f>
        <v/>
      </c>
      <c r="X18" s="38" t="str">
        <f t="shared" si="4"/>
        <v/>
      </c>
      <c r="Y18" s="28" t="str">
        <f>IF(U18="","",IFERROR(INDEX('بانک راهکارها'!$C$5:$C$13,MATCH(U18,'بانک راهکارها'!$B$5:$B$13,0)),""))</f>
        <v/>
      </c>
    </row>
    <row r="19" spans="1:25" ht="17.25">
      <c r="A19" s="33">
        <f>IF(دانش‌آموزان!L19="","",دانش‌آموزان!B19)</f>
        <v>15</v>
      </c>
      <c r="B19" s="55" t="str">
        <f>IF(A19="","",دانش‌آموزان!C19)</f>
        <v>0970493304</v>
      </c>
      <c r="C19" s="55" t="str">
        <f>IF(A19="","",دانش‌آموزان!E19&amp;" "&amp;دانش‌آموزان!F19)</f>
        <v>اميررضا زارعي</v>
      </c>
      <c r="D19" s="34">
        <f>IF(A19="","",دانش‌آموزان!I19)</f>
        <v>901</v>
      </c>
      <c r="E19" s="27">
        <f>IF(A19="","",IFERROR(AVERAGEIFS('ثبت اطلاعات'!$CC$5:$CC$1204,'ثبت اطلاعات'!$C$5:$C$1204,A19,'ثبت اطلاعات'!$CL$5:$CL$1204,"&lt;&gt;"),""))</f>
        <v>8.5</v>
      </c>
      <c r="F19" s="38">
        <f>IF(A19="","",IFERROR(AVERAGEIFS('ثبت اطلاعات'!$CD$5:$CD$1204,'ثبت اطلاعات'!$C$5:$C$1204,A19,'ثبت اطلاعات'!$CL$5:$CL$1204,"&lt;&gt;"),""))</f>
        <v>16</v>
      </c>
      <c r="G19" s="38">
        <f>IF(A19="","",IFERROR(AVERAGEIFS('ثبت اطلاعات'!$CE$5:$CE$1204,'ثبت اطلاعات'!$C$5:$C$1204,A19,'ثبت اطلاعات'!$CL$5:$CL$1204,"&lt;&gt;"),""))</f>
        <v>6</v>
      </c>
      <c r="H19" s="38">
        <f>IF(A19="","",IFERROR(AVERAGEIFS('ثبت اطلاعات'!$CF$5:$CF$1204,'ثبت اطلاعات'!$C$5:$C$1204,A19,'ثبت اطلاعات'!$CL$5:$CL$1204,"&lt;&gt;"),""))</f>
        <v>17.600000000000001</v>
      </c>
      <c r="I19" s="38">
        <f>IF(A19="","",IFERROR(AVERAGEIFS('ثبت اطلاعات'!$CG$5:$CG$1204,'ثبت اطلاعات'!$C$5:$C$1204,A19,'ثبت اطلاعات'!$CL$5:$CL$1204,"&lt;&gt;"),""))</f>
        <v>0</v>
      </c>
      <c r="J19" s="38">
        <f>IF(A19="","",IFERROR(AVERAGEIFS('ثبت اطلاعات'!$CH$5:$CH$1204,'ثبت اطلاعات'!$C$5:$C$1204,A19,'ثبت اطلاعات'!$CL$5:$CL$1204,"&lt;&gt;"),""))</f>
        <v>0</v>
      </c>
      <c r="K19" s="38">
        <f>IF(A19="","",IFERROR(AVERAGEIFS('ثبت اطلاعات'!$CI$5:$CI$1204,'ثبت اطلاعات'!$C$5:$C$1204,A19,'ثبت اطلاعات'!$CL$5:$CL$1204,"&lt;&gt;"),""))</f>
        <v>0</v>
      </c>
      <c r="L19" s="38">
        <f>IF(A19="","",IFERROR(AVERAGEIFS('ثبت اطلاعات'!$CJ$5:$CJ$1204,'ثبت اطلاعات'!$C$5:$C$1204,A19,'ثبت اطلاعات'!$CL$5:$CL$1204,"&lt;&gt;"),""))</f>
        <v>0</v>
      </c>
      <c r="M19" s="38">
        <f>IF(A19="","",IFERROR(AVERAGEIFS('ثبت اطلاعات'!$CK$5:$CK$1204,'ثبت اطلاعات'!$C$5:$C$1204,A19,'ثبت اطلاعات'!$CL$5:$CL$1204,"&lt;&gt;"),""))</f>
        <v>0</v>
      </c>
      <c r="N19" s="38" t="str">
        <f>IF(A19="","",IFERROR(AVERAGEIFS('ثبت اطلاعات'!$CL$5:$CL$1204,'ثبت اطلاعات'!$C$5:$C$1204,A19,'ثبت اطلاعات'!$CL$5:$CL$1204,"&lt;&gt;"),""))</f>
        <v/>
      </c>
      <c r="O19" s="38">
        <f>IF(A19="","",COUNTIFS('ثبت اطلاعات'!$C$5:$C$1204,A19,'ثبت اطلاعات'!$CL$5:$CL$1204,"&lt;&gt;"))</f>
        <v>12</v>
      </c>
      <c r="P19" s="38" t="e">
        <f ca="1">IF(O19=0,"",_xludf.MINIFS('ثبت اطلاعات'!$CN$5:$CN$1204,'ثبت اطلاعات'!$C$5:$C$1204,A19,'ثبت اطلاعات'!$CL$5:$CL$1204,"&lt;&gt;"))</f>
        <v>#NAME?</v>
      </c>
      <c r="Q19" s="38" t="e">
        <f ca="1">IF(O19=0,"",_xludf.MAXIFS('ثبت اطلاعات'!$CN$5:$CN$1204,'ثبت اطلاعات'!$C$5:$C$1204,A19,'ثبت اطلاعات'!$CL$5:$CL$1204,"&lt;&gt;"))</f>
        <v>#NAME?</v>
      </c>
      <c r="R19" s="38">
        <f ca="1">IF(O19&lt;2,"",SUMIFS('ثبت اطلاعات'!$CL$5:$CL$1204,'ثبت اطلاعات'!$C$5:$C$1204,A19,'ثبت اطلاعات'!$CN$5:$CN$1204,Q19)-SUMIFS('ثبت اطلاعات'!$CL$5:$CL$1204,'ثبت اطلاعات'!$C$5:$C$1204,A19,'ثبت اطلاعات'!$CN$5:$CN$1204,P19))</f>
        <v>0</v>
      </c>
      <c r="S19" s="38" t="str">
        <f t="shared" ca="1" si="0"/>
        <v>ثبات</v>
      </c>
      <c r="T19" s="38" t="str">
        <f t="shared" si="1"/>
        <v/>
      </c>
      <c r="U19" s="38" t="str">
        <f t="shared" si="2"/>
        <v/>
      </c>
      <c r="V19" s="38" t="str">
        <f t="shared" si="3"/>
        <v/>
      </c>
      <c r="W19" s="38" t="str">
        <f>IF(N19="","",_xludf.RANK.EQ(N19,$N$5:$N$104,0))</f>
        <v/>
      </c>
      <c r="X19" s="38" t="str">
        <f t="shared" si="4"/>
        <v/>
      </c>
      <c r="Y19" s="28" t="str">
        <f>IF(U19="","",IFERROR(INDEX('بانک راهکارها'!$C$5:$C$13,MATCH(U19,'بانک راهکارها'!$B$5:$B$13,0)),""))</f>
        <v/>
      </c>
    </row>
    <row r="20" spans="1:25" ht="17.25">
      <c r="A20" s="33">
        <f>IF(دانش‌آموزان!L20="","",دانش‌آموزان!B20)</f>
        <v>16</v>
      </c>
      <c r="B20" s="55" t="str">
        <f>IF(A20="","",دانش‌آموزان!C20)</f>
        <v>0980465801</v>
      </c>
      <c r="C20" s="55" t="str">
        <f>IF(A20="","",دانش‌آموزان!E20&amp;" "&amp;دانش‌آموزان!F20)</f>
        <v>محمدكسري زرگرقوچاني</v>
      </c>
      <c r="D20" s="34">
        <f>IF(A20="","",دانش‌آموزان!I20)</f>
        <v>901</v>
      </c>
      <c r="E20" s="27">
        <f>IF(A20="","",IFERROR(AVERAGEIFS('ثبت اطلاعات'!$CC$5:$CC$1204,'ثبت اطلاعات'!$C$5:$C$1204,A20,'ثبت اطلاعات'!$CL$5:$CL$1204,"&lt;&gt;"),""))</f>
        <v>11</v>
      </c>
      <c r="F20" s="38">
        <f>IF(A20="","",IFERROR(AVERAGEIFS('ثبت اطلاعات'!$CD$5:$CD$1204,'ثبت اطلاعات'!$C$5:$C$1204,A20,'ثبت اطلاعات'!$CL$5:$CL$1204,"&lt;&gt;"),""))</f>
        <v>15.2</v>
      </c>
      <c r="G20" s="38">
        <f>IF(A20="","",IFERROR(AVERAGEIFS('ثبت اطلاعات'!$CE$5:$CE$1204,'ثبت اطلاعات'!$C$5:$C$1204,A20,'ثبت اطلاعات'!$CL$5:$CL$1204,"&lt;&gt;"),""))</f>
        <v>8</v>
      </c>
      <c r="H20" s="38">
        <f>IF(A20="","",IFERROR(AVERAGEIFS('ثبت اطلاعات'!$CF$5:$CF$1204,'ثبت اطلاعات'!$C$5:$C$1204,A20,'ثبت اطلاعات'!$CL$5:$CL$1204,"&lt;&gt;"),""))</f>
        <v>10.4</v>
      </c>
      <c r="I20" s="38">
        <f>IF(A20="","",IFERROR(AVERAGEIFS('ثبت اطلاعات'!$CG$5:$CG$1204,'ثبت اطلاعات'!$C$5:$C$1204,A20,'ثبت اطلاعات'!$CL$5:$CL$1204,"&lt;&gt;"),""))</f>
        <v>0</v>
      </c>
      <c r="J20" s="38">
        <f>IF(A20="","",IFERROR(AVERAGEIFS('ثبت اطلاعات'!$CH$5:$CH$1204,'ثبت اطلاعات'!$C$5:$C$1204,A20,'ثبت اطلاعات'!$CL$5:$CL$1204,"&lt;&gt;"),""))</f>
        <v>0</v>
      </c>
      <c r="K20" s="38">
        <f>IF(A20="","",IFERROR(AVERAGEIFS('ثبت اطلاعات'!$CI$5:$CI$1204,'ثبت اطلاعات'!$C$5:$C$1204,A20,'ثبت اطلاعات'!$CL$5:$CL$1204,"&lt;&gt;"),""))</f>
        <v>0</v>
      </c>
      <c r="L20" s="38">
        <f>IF(A20="","",IFERROR(AVERAGEIFS('ثبت اطلاعات'!$CJ$5:$CJ$1204,'ثبت اطلاعات'!$C$5:$C$1204,A20,'ثبت اطلاعات'!$CL$5:$CL$1204,"&lt;&gt;"),""))</f>
        <v>0</v>
      </c>
      <c r="M20" s="38">
        <f>IF(A20="","",IFERROR(AVERAGEIFS('ثبت اطلاعات'!$CK$5:$CK$1204,'ثبت اطلاعات'!$C$5:$C$1204,A20,'ثبت اطلاعات'!$CL$5:$CL$1204,"&lt;&gt;"),""))</f>
        <v>0</v>
      </c>
      <c r="N20" s="38" t="str">
        <f>IF(A20="","",IFERROR(AVERAGEIFS('ثبت اطلاعات'!$CL$5:$CL$1204,'ثبت اطلاعات'!$C$5:$C$1204,A20,'ثبت اطلاعات'!$CL$5:$CL$1204,"&lt;&gt;"),""))</f>
        <v/>
      </c>
      <c r="O20" s="38">
        <f>IF(A20="","",COUNTIFS('ثبت اطلاعات'!$C$5:$C$1204,A20,'ثبت اطلاعات'!$CL$5:$CL$1204,"&lt;&gt;"))</f>
        <v>12</v>
      </c>
      <c r="P20" s="38" t="e">
        <f ca="1">IF(O20=0,"",_xludf.MINIFS('ثبت اطلاعات'!$CN$5:$CN$1204,'ثبت اطلاعات'!$C$5:$C$1204,A20,'ثبت اطلاعات'!$CL$5:$CL$1204,"&lt;&gt;"))</f>
        <v>#NAME?</v>
      </c>
      <c r="Q20" s="38" t="e">
        <f ca="1">IF(O20=0,"",_xludf.MAXIFS('ثبت اطلاعات'!$CN$5:$CN$1204,'ثبت اطلاعات'!$C$5:$C$1204,A20,'ثبت اطلاعات'!$CL$5:$CL$1204,"&lt;&gt;"))</f>
        <v>#NAME?</v>
      </c>
      <c r="R20" s="38">
        <f ca="1">IF(O20&lt;2,"",SUMIFS('ثبت اطلاعات'!$CL$5:$CL$1204,'ثبت اطلاعات'!$C$5:$C$1204,A20,'ثبت اطلاعات'!$CN$5:$CN$1204,Q20)-SUMIFS('ثبت اطلاعات'!$CL$5:$CL$1204,'ثبت اطلاعات'!$C$5:$C$1204,A20,'ثبت اطلاعات'!$CN$5:$CN$1204,P20))</f>
        <v>0</v>
      </c>
      <c r="S20" s="38" t="str">
        <f t="shared" ca="1" si="0"/>
        <v>ثبات</v>
      </c>
      <c r="T20" s="38" t="str">
        <f t="shared" si="1"/>
        <v/>
      </c>
      <c r="U20" s="38" t="str">
        <f t="shared" si="2"/>
        <v/>
      </c>
      <c r="V20" s="38" t="str">
        <f t="shared" si="3"/>
        <v/>
      </c>
      <c r="W20" s="38" t="str">
        <f>IF(N20="","",_xludf.RANK.EQ(N20,$N$5:$N$104,0))</f>
        <v/>
      </c>
      <c r="X20" s="38" t="str">
        <f t="shared" si="4"/>
        <v/>
      </c>
      <c r="Y20" s="28" t="str">
        <f>IF(U20="","",IFERROR(INDEX('بانک راهکارها'!$C$5:$C$13,MATCH(U20,'بانک راهکارها'!$B$5:$B$13,0)),""))</f>
        <v/>
      </c>
    </row>
    <row r="21" spans="1:25" ht="17.25">
      <c r="A21" s="33">
        <f>IF(دانش‌آموزان!L21="","",دانش‌آموزان!B21)</f>
        <v>17</v>
      </c>
      <c r="B21" s="55" t="str">
        <f>IF(A21="","",دانش‌آموزان!C21)</f>
        <v>0960402802</v>
      </c>
      <c r="C21" s="55" t="str">
        <f>IF(A21="","",دانش‌آموزان!E21&amp;" "&amp;دانش‌آموزان!F21)</f>
        <v>اميررضا سميعي</v>
      </c>
      <c r="D21" s="34">
        <f>IF(A21="","",دانش‌آموزان!I21)</f>
        <v>901</v>
      </c>
      <c r="E21" s="27">
        <f>IF(A21="","",IFERROR(AVERAGEIFS('ثبت اطلاعات'!$CC$5:$CC$1204,'ثبت اطلاعات'!$C$5:$C$1204,A21,'ثبت اطلاعات'!$CL$5:$CL$1204,"&lt;&gt;"),""))</f>
        <v>11.73</v>
      </c>
      <c r="F21" s="38">
        <f>IF(A21="","",IFERROR(AVERAGEIFS('ثبت اطلاعات'!$CD$5:$CD$1204,'ثبت اطلاعات'!$C$5:$C$1204,A21,'ثبت اطلاعات'!$CL$5:$CL$1204,"&lt;&gt;"),""))</f>
        <v>16</v>
      </c>
      <c r="G21" s="38">
        <f>IF(A21="","",IFERROR(AVERAGEIFS('ثبت اطلاعات'!$CE$5:$CE$1204,'ثبت اطلاعات'!$C$5:$C$1204,A21,'ثبت اطلاعات'!$CL$5:$CL$1204,"&lt;&gt;"),""))</f>
        <v>16</v>
      </c>
      <c r="H21" s="38">
        <f>IF(A21="","",IFERROR(AVERAGEIFS('ثبت اطلاعات'!$CF$5:$CF$1204,'ثبت اطلاعات'!$C$5:$C$1204,A21,'ثبت اطلاعات'!$CL$5:$CL$1204,"&lt;&gt;"),""))</f>
        <v>10.4</v>
      </c>
      <c r="I21" s="38">
        <f>IF(A21="","",IFERROR(AVERAGEIFS('ثبت اطلاعات'!$CG$5:$CG$1204,'ثبت اطلاعات'!$C$5:$C$1204,A21,'ثبت اطلاعات'!$CL$5:$CL$1204,"&lt;&gt;"),""))</f>
        <v>0</v>
      </c>
      <c r="J21" s="38">
        <f>IF(A21="","",IFERROR(AVERAGEIFS('ثبت اطلاعات'!$CH$5:$CH$1204,'ثبت اطلاعات'!$C$5:$C$1204,A21,'ثبت اطلاعات'!$CL$5:$CL$1204,"&lt;&gt;"),""))</f>
        <v>0</v>
      </c>
      <c r="K21" s="38">
        <f>IF(A21="","",IFERROR(AVERAGEIFS('ثبت اطلاعات'!$CI$5:$CI$1204,'ثبت اطلاعات'!$C$5:$C$1204,A21,'ثبت اطلاعات'!$CL$5:$CL$1204,"&lt;&gt;"),""))</f>
        <v>0</v>
      </c>
      <c r="L21" s="38">
        <f>IF(A21="","",IFERROR(AVERAGEIFS('ثبت اطلاعات'!$CJ$5:$CJ$1204,'ثبت اطلاعات'!$C$5:$C$1204,A21,'ثبت اطلاعات'!$CL$5:$CL$1204,"&lt;&gt;"),""))</f>
        <v>0</v>
      </c>
      <c r="M21" s="38">
        <f>IF(A21="","",IFERROR(AVERAGEIFS('ثبت اطلاعات'!$CK$5:$CK$1204,'ثبت اطلاعات'!$C$5:$C$1204,A21,'ثبت اطلاعات'!$CL$5:$CL$1204,"&lt;&gt;"),""))</f>
        <v>0</v>
      </c>
      <c r="N21" s="38" t="str">
        <f>IF(A21="","",IFERROR(AVERAGEIFS('ثبت اطلاعات'!$CL$5:$CL$1204,'ثبت اطلاعات'!$C$5:$C$1204,A21,'ثبت اطلاعات'!$CL$5:$CL$1204,"&lt;&gt;"),""))</f>
        <v/>
      </c>
      <c r="O21" s="38">
        <f>IF(A21="","",COUNTIFS('ثبت اطلاعات'!$C$5:$C$1204,A21,'ثبت اطلاعات'!$CL$5:$CL$1204,"&lt;&gt;"))</f>
        <v>12</v>
      </c>
      <c r="P21" s="38" t="e">
        <f ca="1">IF(O21=0,"",_xludf.MINIFS('ثبت اطلاعات'!$CN$5:$CN$1204,'ثبت اطلاعات'!$C$5:$C$1204,A21,'ثبت اطلاعات'!$CL$5:$CL$1204,"&lt;&gt;"))</f>
        <v>#NAME?</v>
      </c>
      <c r="Q21" s="38" t="e">
        <f ca="1">IF(O21=0,"",_xludf.MAXIFS('ثبت اطلاعات'!$CN$5:$CN$1204,'ثبت اطلاعات'!$C$5:$C$1204,A21,'ثبت اطلاعات'!$CL$5:$CL$1204,"&lt;&gt;"))</f>
        <v>#NAME?</v>
      </c>
      <c r="R21" s="38">
        <f ca="1">IF(O21&lt;2,"",SUMIFS('ثبت اطلاعات'!$CL$5:$CL$1204,'ثبت اطلاعات'!$C$5:$C$1204,A21,'ثبت اطلاعات'!$CN$5:$CN$1204,Q21)-SUMIFS('ثبت اطلاعات'!$CL$5:$CL$1204,'ثبت اطلاعات'!$C$5:$C$1204,A21,'ثبت اطلاعات'!$CN$5:$CN$1204,P21))</f>
        <v>0</v>
      </c>
      <c r="S21" s="38" t="str">
        <f t="shared" ca="1" si="0"/>
        <v>ثبات</v>
      </c>
      <c r="T21" s="38" t="str">
        <f t="shared" si="1"/>
        <v/>
      </c>
      <c r="U21" s="38" t="str">
        <f t="shared" si="2"/>
        <v/>
      </c>
      <c r="V21" s="38" t="str">
        <f t="shared" si="3"/>
        <v/>
      </c>
      <c r="W21" s="38" t="str">
        <f>IF(N21="","",_xludf.RANK.EQ(N21,$N$5:$N$104,0))</f>
        <v/>
      </c>
      <c r="X21" s="38" t="str">
        <f t="shared" si="4"/>
        <v/>
      </c>
      <c r="Y21" s="28" t="str">
        <f>IF(U21="","",IFERROR(INDEX('بانک راهکارها'!$C$5:$C$13,MATCH(U21,'بانک راهکارها'!$B$5:$B$13,0)),""))</f>
        <v/>
      </c>
    </row>
    <row r="22" spans="1:25" ht="17.25">
      <c r="A22" s="33">
        <f>IF(دانش‌آموزان!L22="","",دانش‌آموزان!B22)</f>
        <v>18</v>
      </c>
      <c r="B22" s="55" t="str">
        <f>IF(A22="","",دانش‌آموزان!C22)</f>
        <v>0960312935</v>
      </c>
      <c r="C22" s="55" t="str">
        <f>IF(A22="","",دانش‌آموزان!E22&amp;" "&amp;دانش‌آموزان!F22)</f>
        <v>عليرضا شريفي</v>
      </c>
      <c r="D22" s="34">
        <f>IF(A22="","",دانش‌آموزان!I22)</f>
        <v>901</v>
      </c>
      <c r="E22" s="27">
        <f>IF(A22="","",IFERROR(AVERAGEIFS('ثبت اطلاعات'!$CC$5:$CC$1204,'ثبت اطلاعات'!$C$5:$C$1204,A22,'ثبت اطلاعات'!$CL$5:$CL$1204,"&lt;&gt;"),""))</f>
        <v>9.7650000000000006</v>
      </c>
      <c r="F22" s="38">
        <f>IF(A22="","",IFERROR(AVERAGEIFS('ثبت اطلاعات'!$CD$5:$CD$1204,'ثبت اطلاعات'!$C$5:$C$1204,A22,'ثبت اطلاعات'!$CL$5:$CL$1204,"&lt;&gt;"),""))</f>
        <v>0</v>
      </c>
      <c r="G22" s="38">
        <f>IF(A22="","",IFERROR(AVERAGEIFS('ثبت اطلاعات'!$CE$5:$CE$1204,'ثبت اطلاعات'!$C$5:$C$1204,A22,'ثبت اطلاعات'!$CL$5:$CL$1204,"&lt;&gt;"),""))</f>
        <v>0</v>
      </c>
      <c r="H22" s="38">
        <f>IF(A22="","",IFERROR(AVERAGEIFS('ثبت اطلاعات'!$CF$5:$CF$1204,'ثبت اطلاعات'!$C$5:$C$1204,A22,'ثبت اطلاعات'!$CL$5:$CL$1204,"&lt;&gt;"),""))</f>
        <v>0</v>
      </c>
      <c r="I22" s="38">
        <f>IF(A22="","",IFERROR(AVERAGEIFS('ثبت اطلاعات'!$CG$5:$CG$1204,'ثبت اطلاعات'!$C$5:$C$1204,A22,'ثبت اطلاعات'!$CL$5:$CL$1204,"&lt;&gt;"),""))</f>
        <v>0</v>
      </c>
      <c r="J22" s="38">
        <f>IF(A22="","",IFERROR(AVERAGEIFS('ثبت اطلاعات'!$CH$5:$CH$1204,'ثبت اطلاعات'!$C$5:$C$1204,A22,'ثبت اطلاعات'!$CL$5:$CL$1204,"&lt;&gt;"),""))</f>
        <v>0</v>
      </c>
      <c r="K22" s="38">
        <f>IF(A22="","",IFERROR(AVERAGEIFS('ثبت اطلاعات'!$CI$5:$CI$1204,'ثبت اطلاعات'!$C$5:$C$1204,A22,'ثبت اطلاعات'!$CL$5:$CL$1204,"&lt;&gt;"),""))</f>
        <v>0</v>
      </c>
      <c r="L22" s="38">
        <f>IF(A22="","",IFERROR(AVERAGEIFS('ثبت اطلاعات'!$CJ$5:$CJ$1204,'ثبت اطلاعات'!$C$5:$C$1204,A22,'ثبت اطلاعات'!$CL$5:$CL$1204,"&lt;&gt;"),""))</f>
        <v>0</v>
      </c>
      <c r="M22" s="38">
        <f>IF(A22="","",IFERROR(AVERAGEIFS('ثبت اطلاعات'!$CK$5:$CK$1204,'ثبت اطلاعات'!$C$5:$C$1204,A22,'ثبت اطلاعات'!$CL$5:$CL$1204,"&lt;&gt;"),""))</f>
        <v>0</v>
      </c>
      <c r="N22" s="38" t="str">
        <f>IF(A22="","",IFERROR(AVERAGEIFS('ثبت اطلاعات'!$CL$5:$CL$1204,'ثبت اطلاعات'!$C$5:$C$1204,A22,'ثبت اطلاعات'!$CL$5:$CL$1204,"&lt;&gt;"),""))</f>
        <v/>
      </c>
      <c r="O22" s="38">
        <f>IF(A22="","",COUNTIFS('ثبت اطلاعات'!$C$5:$C$1204,A22,'ثبت اطلاعات'!$CL$5:$CL$1204,"&lt;&gt;"))</f>
        <v>12</v>
      </c>
      <c r="P22" s="38" t="e">
        <f ca="1">IF(O22=0,"",_xludf.MINIFS('ثبت اطلاعات'!$CN$5:$CN$1204,'ثبت اطلاعات'!$C$5:$C$1204,A22,'ثبت اطلاعات'!$CL$5:$CL$1204,"&lt;&gt;"))</f>
        <v>#NAME?</v>
      </c>
      <c r="Q22" s="38" t="e">
        <f ca="1">IF(O22=0,"",_xludf.MAXIFS('ثبت اطلاعات'!$CN$5:$CN$1204,'ثبت اطلاعات'!$C$5:$C$1204,A22,'ثبت اطلاعات'!$CL$5:$CL$1204,"&lt;&gt;"))</f>
        <v>#NAME?</v>
      </c>
      <c r="R22" s="38">
        <f ca="1">IF(O22&lt;2,"",SUMIFS('ثبت اطلاعات'!$CL$5:$CL$1204,'ثبت اطلاعات'!$C$5:$C$1204,A22,'ثبت اطلاعات'!$CN$5:$CN$1204,Q22)-SUMIFS('ثبت اطلاعات'!$CL$5:$CL$1204,'ثبت اطلاعات'!$C$5:$C$1204,A22,'ثبت اطلاعات'!$CN$5:$CN$1204,P22))</f>
        <v>0</v>
      </c>
      <c r="S22" s="38" t="str">
        <f t="shared" ca="1" si="0"/>
        <v>ثبات</v>
      </c>
      <c r="T22" s="38" t="str">
        <f t="shared" si="1"/>
        <v/>
      </c>
      <c r="U22" s="38" t="str">
        <f t="shared" si="2"/>
        <v/>
      </c>
      <c r="V22" s="38" t="str">
        <f t="shared" si="3"/>
        <v/>
      </c>
      <c r="W22" s="38" t="str">
        <f>IF(N22="","",_xludf.RANK.EQ(N22,$N$5:$N$104,0))</f>
        <v/>
      </c>
      <c r="X22" s="38" t="str">
        <f t="shared" si="4"/>
        <v/>
      </c>
      <c r="Y22" s="28" t="str">
        <f>IF(U22="","",IFERROR(INDEX('بانک راهکارها'!$C$5:$C$13,MATCH(U22,'بانک راهکارها'!$B$5:$B$13,0)),""))</f>
        <v/>
      </c>
    </row>
    <row r="23" spans="1:25" ht="17.25">
      <c r="A23" s="33">
        <f>IF(دانش‌آموزان!L23="","",دانش‌آموزان!B23)</f>
        <v>19</v>
      </c>
      <c r="B23" s="55" t="str">
        <f>IF(A23="","",دانش‌آموزان!C23)</f>
        <v>0970395663</v>
      </c>
      <c r="C23" s="55" t="str">
        <f>IF(A23="","",دانش‌آموزان!E23&amp;" "&amp;دانش‌آموزان!F23)</f>
        <v>مهديار شيرمحمدي</v>
      </c>
      <c r="D23" s="34">
        <f>IF(A23="","",دانش‌آموزان!I23)</f>
        <v>901</v>
      </c>
      <c r="E23" s="27">
        <f>IF(A23="","",IFERROR(AVERAGEIFS('ثبت اطلاعات'!$CC$5:$CC$1204,'ثبت اطلاعات'!$C$5:$C$1204,A23,'ثبت اطلاعات'!$CL$5:$CL$1204,"&lt;&gt;"),""))</f>
        <v>8.5</v>
      </c>
      <c r="F23" s="38">
        <f>IF(A23="","",IFERROR(AVERAGEIFS('ثبت اطلاعات'!$CD$5:$CD$1204,'ثبت اطلاعات'!$C$5:$C$1204,A23,'ثبت اطلاعات'!$CL$5:$CL$1204,"&lt;&gt;"),""))</f>
        <v>10.4</v>
      </c>
      <c r="G23" s="38">
        <f>IF(A23="","",IFERROR(AVERAGEIFS('ثبت اطلاعات'!$CE$5:$CE$1204,'ثبت اطلاعات'!$C$5:$C$1204,A23,'ثبت اطلاعات'!$CL$5:$CL$1204,"&lt;&gt;"),""))</f>
        <v>6</v>
      </c>
      <c r="H23" s="38">
        <f>IF(A23="","",IFERROR(AVERAGEIFS('ثبت اطلاعات'!$CF$5:$CF$1204,'ثبت اطلاعات'!$C$5:$C$1204,A23,'ثبت اطلاعات'!$CL$5:$CL$1204,"&lt;&gt;"),""))</f>
        <v>10.4</v>
      </c>
      <c r="I23" s="38">
        <f>IF(A23="","",IFERROR(AVERAGEIFS('ثبت اطلاعات'!$CG$5:$CG$1204,'ثبت اطلاعات'!$C$5:$C$1204,A23,'ثبت اطلاعات'!$CL$5:$CL$1204,"&lt;&gt;"),""))</f>
        <v>0</v>
      </c>
      <c r="J23" s="38">
        <f>IF(A23="","",IFERROR(AVERAGEIFS('ثبت اطلاعات'!$CH$5:$CH$1204,'ثبت اطلاعات'!$C$5:$C$1204,A23,'ثبت اطلاعات'!$CL$5:$CL$1204,"&lt;&gt;"),""))</f>
        <v>0</v>
      </c>
      <c r="K23" s="38">
        <f>IF(A23="","",IFERROR(AVERAGEIFS('ثبت اطلاعات'!$CI$5:$CI$1204,'ثبت اطلاعات'!$C$5:$C$1204,A23,'ثبت اطلاعات'!$CL$5:$CL$1204,"&lt;&gt;"),""))</f>
        <v>0</v>
      </c>
      <c r="L23" s="38">
        <f>IF(A23="","",IFERROR(AVERAGEIFS('ثبت اطلاعات'!$CJ$5:$CJ$1204,'ثبت اطلاعات'!$C$5:$C$1204,A23,'ثبت اطلاعات'!$CL$5:$CL$1204,"&lt;&gt;"),""))</f>
        <v>0</v>
      </c>
      <c r="M23" s="38">
        <f>IF(A23="","",IFERROR(AVERAGEIFS('ثبت اطلاعات'!$CK$5:$CK$1204,'ثبت اطلاعات'!$C$5:$C$1204,A23,'ثبت اطلاعات'!$CL$5:$CL$1204,"&lt;&gt;"),""))</f>
        <v>0</v>
      </c>
      <c r="N23" s="38" t="str">
        <f>IF(A23="","",IFERROR(AVERAGEIFS('ثبت اطلاعات'!$CL$5:$CL$1204,'ثبت اطلاعات'!$C$5:$C$1204,A23,'ثبت اطلاعات'!$CL$5:$CL$1204,"&lt;&gt;"),""))</f>
        <v/>
      </c>
      <c r="O23" s="38">
        <f>IF(A23="","",COUNTIFS('ثبت اطلاعات'!$C$5:$C$1204,A23,'ثبت اطلاعات'!$CL$5:$CL$1204,"&lt;&gt;"))</f>
        <v>12</v>
      </c>
      <c r="P23" s="38" t="e">
        <f ca="1">IF(O23=0,"",_xludf.MINIFS('ثبت اطلاعات'!$CN$5:$CN$1204,'ثبت اطلاعات'!$C$5:$C$1204,A23,'ثبت اطلاعات'!$CL$5:$CL$1204,"&lt;&gt;"))</f>
        <v>#NAME?</v>
      </c>
      <c r="Q23" s="38" t="e">
        <f ca="1">IF(O23=0,"",_xludf.MAXIFS('ثبت اطلاعات'!$CN$5:$CN$1204,'ثبت اطلاعات'!$C$5:$C$1204,A23,'ثبت اطلاعات'!$CL$5:$CL$1204,"&lt;&gt;"))</f>
        <v>#NAME?</v>
      </c>
      <c r="R23" s="38">
        <f ca="1">IF(O23&lt;2,"",SUMIFS('ثبت اطلاعات'!$CL$5:$CL$1204,'ثبت اطلاعات'!$C$5:$C$1204,A23,'ثبت اطلاعات'!$CN$5:$CN$1204,Q23)-SUMIFS('ثبت اطلاعات'!$CL$5:$CL$1204,'ثبت اطلاعات'!$C$5:$C$1204,A23,'ثبت اطلاعات'!$CN$5:$CN$1204,P23))</f>
        <v>0</v>
      </c>
      <c r="S23" s="38" t="str">
        <f t="shared" ca="1" si="0"/>
        <v>ثبات</v>
      </c>
      <c r="T23" s="38" t="str">
        <f t="shared" si="1"/>
        <v/>
      </c>
      <c r="U23" s="38" t="str">
        <f t="shared" si="2"/>
        <v/>
      </c>
      <c r="V23" s="38" t="str">
        <f t="shared" si="3"/>
        <v/>
      </c>
      <c r="W23" s="38" t="str">
        <f>IF(N23="","",_xludf.RANK.EQ(N23,$N$5:$N$104,0))</f>
        <v/>
      </c>
      <c r="X23" s="38" t="str">
        <f t="shared" si="4"/>
        <v/>
      </c>
      <c r="Y23" s="28" t="str">
        <f>IF(U23="","",IFERROR(INDEX('بانک راهکارها'!$C$5:$C$13,MATCH(U23,'بانک راهکارها'!$B$5:$B$13,0)),""))</f>
        <v/>
      </c>
    </row>
    <row r="24" spans="1:25" ht="17.25">
      <c r="A24" s="33">
        <f>IF(دانش‌آموزان!L24="","",دانش‌آموزان!B24)</f>
        <v>20</v>
      </c>
      <c r="B24" s="55" t="str">
        <f>IF(A24="","",دانش‌آموزان!C24)</f>
        <v>0960272917</v>
      </c>
      <c r="C24" s="55" t="str">
        <f>IF(A24="","",دانش‌آموزان!E24&amp;" "&amp;دانش‌آموزان!F24)</f>
        <v>اميرحسين شيعة الايمه</v>
      </c>
      <c r="D24" s="34">
        <f>IF(A24="","",دانش‌آموزان!I24)</f>
        <v>901</v>
      </c>
      <c r="E24" s="27">
        <f>IF(A24="","",IFERROR(AVERAGEIFS('ثبت اطلاعات'!$CC$5:$CC$1204,'ثبت اطلاعات'!$C$5:$C$1204,A24,'ثبت اطلاعات'!$CL$5:$CL$1204,"&lt;&gt;"),""))</f>
        <v>11.98</v>
      </c>
      <c r="F24" s="38">
        <f>IF(A24="","",IFERROR(AVERAGEIFS('ثبت اطلاعات'!$CD$5:$CD$1204,'ثبت اطلاعات'!$C$5:$C$1204,A24,'ثبت اطلاعات'!$CL$5:$CL$1204,"&lt;&gt;"),""))</f>
        <v>16</v>
      </c>
      <c r="G24" s="38">
        <f>IF(A24="","",IFERROR(AVERAGEIFS('ثبت اطلاعات'!$CE$5:$CE$1204,'ثبت اطلاعات'!$C$5:$C$1204,A24,'ثبت اطلاعات'!$CL$5:$CL$1204,"&lt;&gt;"),""))</f>
        <v>8</v>
      </c>
      <c r="H24" s="38">
        <f>IF(A24="","",IFERROR(AVERAGEIFS('ثبت اطلاعات'!$CF$5:$CF$1204,'ثبت اطلاعات'!$C$5:$C$1204,A24,'ثبت اطلاعات'!$CL$5:$CL$1204,"&lt;&gt;"),""))</f>
        <v>12</v>
      </c>
      <c r="I24" s="38">
        <f>IF(A24="","",IFERROR(AVERAGEIFS('ثبت اطلاعات'!$CG$5:$CG$1204,'ثبت اطلاعات'!$C$5:$C$1204,A24,'ثبت اطلاعات'!$CL$5:$CL$1204,"&lt;&gt;"),""))</f>
        <v>0</v>
      </c>
      <c r="J24" s="38">
        <f>IF(A24="","",IFERROR(AVERAGEIFS('ثبت اطلاعات'!$CH$5:$CH$1204,'ثبت اطلاعات'!$C$5:$C$1204,A24,'ثبت اطلاعات'!$CL$5:$CL$1204,"&lt;&gt;"),""))</f>
        <v>0</v>
      </c>
      <c r="K24" s="38">
        <f>IF(A24="","",IFERROR(AVERAGEIFS('ثبت اطلاعات'!$CI$5:$CI$1204,'ثبت اطلاعات'!$C$5:$C$1204,A24,'ثبت اطلاعات'!$CL$5:$CL$1204,"&lt;&gt;"),""))</f>
        <v>0</v>
      </c>
      <c r="L24" s="38">
        <f>IF(A24="","",IFERROR(AVERAGEIFS('ثبت اطلاعات'!$CJ$5:$CJ$1204,'ثبت اطلاعات'!$C$5:$C$1204,A24,'ثبت اطلاعات'!$CL$5:$CL$1204,"&lt;&gt;"),""))</f>
        <v>0</v>
      </c>
      <c r="M24" s="38">
        <f>IF(A24="","",IFERROR(AVERAGEIFS('ثبت اطلاعات'!$CK$5:$CK$1204,'ثبت اطلاعات'!$C$5:$C$1204,A24,'ثبت اطلاعات'!$CL$5:$CL$1204,"&lt;&gt;"),""))</f>
        <v>0</v>
      </c>
      <c r="N24" s="38" t="str">
        <f>IF(A24="","",IFERROR(AVERAGEIFS('ثبت اطلاعات'!$CL$5:$CL$1204,'ثبت اطلاعات'!$C$5:$C$1204,A24,'ثبت اطلاعات'!$CL$5:$CL$1204,"&lt;&gt;"),""))</f>
        <v/>
      </c>
      <c r="O24" s="38">
        <f>IF(A24="","",COUNTIFS('ثبت اطلاعات'!$C$5:$C$1204,A24,'ثبت اطلاعات'!$CL$5:$CL$1204,"&lt;&gt;"))</f>
        <v>12</v>
      </c>
      <c r="P24" s="38" t="e">
        <f ca="1">IF(O24=0,"",_xludf.MINIFS('ثبت اطلاعات'!$CN$5:$CN$1204,'ثبت اطلاعات'!$C$5:$C$1204,A24,'ثبت اطلاعات'!$CL$5:$CL$1204,"&lt;&gt;"))</f>
        <v>#NAME?</v>
      </c>
      <c r="Q24" s="38" t="e">
        <f ca="1">IF(O24=0,"",_xludf.MAXIFS('ثبت اطلاعات'!$CN$5:$CN$1204,'ثبت اطلاعات'!$C$5:$C$1204,A24,'ثبت اطلاعات'!$CL$5:$CL$1204,"&lt;&gt;"))</f>
        <v>#NAME?</v>
      </c>
      <c r="R24" s="38">
        <f ca="1">IF(O24&lt;2,"",SUMIFS('ثبت اطلاعات'!$CL$5:$CL$1204,'ثبت اطلاعات'!$C$5:$C$1204,A24,'ثبت اطلاعات'!$CN$5:$CN$1204,Q24)-SUMIFS('ثبت اطلاعات'!$CL$5:$CL$1204,'ثبت اطلاعات'!$C$5:$C$1204,A24,'ثبت اطلاعات'!$CN$5:$CN$1204,P24))</f>
        <v>0</v>
      </c>
      <c r="S24" s="38" t="str">
        <f t="shared" ca="1" si="0"/>
        <v>ثبات</v>
      </c>
      <c r="T24" s="38" t="str">
        <f t="shared" si="1"/>
        <v/>
      </c>
      <c r="U24" s="38" t="str">
        <f t="shared" si="2"/>
        <v/>
      </c>
      <c r="V24" s="38" t="str">
        <f t="shared" si="3"/>
        <v/>
      </c>
      <c r="W24" s="38" t="str">
        <f>IF(N24="","",_xludf.RANK.EQ(N24,$N$5:$N$104,0))</f>
        <v/>
      </c>
      <c r="X24" s="38" t="str">
        <f t="shared" si="4"/>
        <v/>
      </c>
      <c r="Y24" s="28" t="str">
        <f>IF(U24="","",IFERROR(INDEX('بانک راهکارها'!$C$5:$C$13,MATCH(U24,'بانک راهکارها'!$B$5:$B$13,0)),""))</f>
        <v/>
      </c>
    </row>
    <row r="25" spans="1:25" ht="17.25">
      <c r="A25" s="33">
        <f>IF(دانش‌آموزان!L25="","",دانش‌آموزان!B25)</f>
        <v>21</v>
      </c>
      <c r="B25" s="55" t="str">
        <f>IF(A25="","",دانش‌آموزان!C25)</f>
        <v>0980386764</v>
      </c>
      <c r="C25" s="55" t="str">
        <f>IF(A25="","",دانش‌آموزان!E25&amp;" "&amp;دانش‌آموزان!F25)</f>
        <v>سهيل صمدي نوقابي</v>
      </c>
      <c r="D25" s="34">
        <f>IF(A25="","",دانش‌آموزان!I25)</f>
        <v>901</v>
      </c>
      <c r="E25" s="27">
        <f>IF(A25="","",IFERROR(AVERAGEIFS('ثبت اطلاعات'!$CC$5:$CC$1204,'ثبت اطلاعات'!$C$5:$C$1204,A25,'ثبت اطلاعات'!$CL$5:$CL$1204,"&lt;&gt;"),""))</f>
        <v>9</v>
      </c>
      <c r="F25" s="38">
        <f>IF(A25="","",IFERROR(AVERAGEIFS('ثبت اطلاعات'!$CD$5:$CD$1204,'ثبت اطلاعات'!$C$5:$C$1204,A25,'ثبت اطلاعات'!$CL$5:$CL$1204,"&lt;&gt;"),""))</f>
        <v>16.8</v>
      </c>
      <c r="G25" s="38">
        <f>IF(A25="","",IFERROR(AVERAGEIFS('ثبت اطلاعات'!$CE$5:$CE$1204,'ثبت اطلاعات'!$C$5:$C$1204,A25,'ثبت اطلاعات'!$CL$5:$CL$1204,"&lt;&gt;"),""))</f>
        <v>16</v>
      </c>
      <c r="H25" s="38">
        <f>IF(A25="","",IFERROR(AVERAGEIFS('ثبت اطلاعات'!$CF$5:$CF$1204,'ثبت اطلاعات'!$C$5:$C$1204,A25,'ثبت اطلاعات'!$CL$5:$CL$1204,"&lt;&gt;"),""))</f>
        <v>18.399999999999999</v>
      </c>
      <c r="I25" s="38">
        <f>IF(A25="","",IFERROR(AVERAGEIFS('ثبت اطلاعات'!$CG$5:$CG$1204,'ثبت اطلاعات'!$C$5:$C$1204,A25,'ثبت اطلاعات'!$CL$5:$CL$1204,"&lt;&gt;"),""))</f>
        <v>0</v>
      </c>
      <c r="J25" s="38">
        <f>IF(A25="","",IFERROR(AVERAGEIFS('ثبت اطلاعات'!$CH$5:$CH$1204,'ثبت اطلاعات'!$C$5:$C$1204,A25,'ثبت اطلاعات'!$CL$5:$CL$1204,"&lt;&gt;"),""))</f>
        <v>0</v>
      </c>
      <c r="K25" s="38">
        <f>IF(A25="","",IFERROR(AVERAGEIFS('ثبت اطلاعات'!$CI$5:$CI$1204,'ثبت اطلاعات'!$C$5:$C$1204,A25,'ثبت اطلاعات'!$CL$5:$CL$1204,"&lt;&gt;"),""))</f>
        <v>0</v>
      </c>
      <c r="L25" s="38">
        <f>IF(A25="","",IFERROR(AVERAGEIFS('ثبت اطلاعات'!$CJ$5:$CJ$1204,'ثبت اطلاعات'!$C$5:$C$1204,A25,'ثبت اطلاعات'!$CL$5:$CL$1204,"&lt;&gt;"),""))</f>
        <v>0</v>
      </c>
      <c r="M25" s="38">
        <f>IF(A25="","",IFERROR(AVERAGEIFS('ثبت اطلاعات'!$CK$5:$CK$1204,'ثبت اطلاعات'!$C$5:$C$1204,A25,'ثبت اطلاعات'!$CL$5:$CL$1204,"&lt;&gt;"),""))</f>
        <v>0</v>
      </c>
      <c r="N25" s="38" t="str">
        <f>IF(A25="","",IFERROR(AVERAGEIFS('ثبت اطلاعات'!$CL$5:$CL$1204,'ثبت اطلاعات'!$C$5:$C$1204,A25,'ثبت اطلاعات'!$CL$5:$CL$1204,"&lt;&gt;"),""))</f>
        <v/>
      </c>
      <c r="O25" s="38">
        <f>IF(A25="","",COUNTIFS('ثبت اطلاعات'!$C$5:$C$1204,A25,'ثبت اطلاعات'!$CL$5:$CL$1204,"&lt;&gt;"))</f>
        <v>12</v>
      </c>
      <c r="P25" s="38" t="e">
        <f ca="1">IF(O25=0,"",_xludf.MINIFS('ثبت اطلاعات'!$CN$5:$CN$1204,'ثبت اطلاعات'!$C$5:$C$1204,A25,'ثبت اطلاعات'!$CL$5:$CL$1204,"&lt;&gt;"))</f>
        <v>#NAME?</v>
      </c>
      <c r="Q25" s="38" t="e">
        <f ca="1">IF(O25=0,"",_xludf.MAXIFS('ثبت اطلاعات'!$CN$5:$CN$1204,'ثبت اطلاعات'!$C$5:$C$1204,A25,'ثبت اطلاعات'!$CL$5:$CL$1204,"&lt;&gt;"))</f>
        <v>#NAME?</v>
      </c>
      <c r="R25" s="38">
        <f ca="1">IF(O25&lt;2,"",SUMIFS('ثبت اطلاعات'!$CL$5:$CL$1204,'ثبت اطلاعات'!$C$5:$C$1204,A25,'ثبت اطلاعات'!$CN$5:$CN$1204,Q25)-SUMIFS('ثبت اطلاعات'!$CL$5:$CL$1204,'ثبت اطلاعات'!$C$5:$C$1204,A25,'ثبت اطلاعات'!$CN$5:$CN$1204,P25))</f>
        <v>0</v>
      </c>
      <c r="S25" s="38" t="str">
        <f t="shared" ca="1" si="0"/>
        <v>ثبات</v>
      </c>
      <c r="T25" s="38" t="str">
        <f t="shared" si="1"/>
        <v/>
      </c>
      <c r="U25" s="38" t="str">
        <f t="shared" si="2"/>
        <v/>
      </c>
      <c r="V25" s="38" t="str">
        <f t="shared" si="3"/>
        <v/>
      </c>
      <c r="W25" s="38" t="str">
        <f>IF(N25="","",_xludf.RANK.EQ(N25,$N$5:$N$104,0))</f>
        <v/>
      </c>
      <c r="X25" s="38" t="str">
        <f t="shared" si="4"/>
        <v/>
      </c>
      <c r="Y25" s="28" t="str">
        <f>IF(U25="","",IFERROR(INDEX('بانک راهکارها'!$C$5:$C$13,MATCH(U25,'بانک راهکارها'!$B$5:$B$13,0)),""))</f>
        <v/>
      </c>
    </row>
    <row r="26" spans="1:25" ht="17.25">
      <c r="A26" s="33">
        <f>IF(دانش‌آموزان!L26="","",دانش‌آموزان!B26)</f>
        <v>22</v>
      </c>
      <c r="B26" s="55" t="str">
        <f>IF(A26="","",دانش‌آموزان!C26)</f>
        <v>0960368736</v>
      </c>
      <c r="C26" s="55" t="str">
        <f>IF(A26="","",دانش‌آموزان!E26&amp;" "&amp;دانش‌آموزان!F26)</f>
        <v>اميررضا صهبا</v>
      </c>
      <c r="D26" s="34">
        <f>IF(A26="","",دانش‌آموزان!I26)</f>
        <v>901</v>
      </c>
      <c r="E26" s="27">
        <f>IF(A26="","",IFERROR(AVERAGEIFS('ثبت اطلاعات'!$CC$5:$CC$1204,'ثبت اطلاعات'!$C$5:$C$1204,A26,'ثبت اطلاعات'!$CL$5:$CL$1204,"&lt;&gt;"),""))</f>
        <v>8</v>
      </c>
      <c r="F26" s="38">
        <f>IF(A26="","",IFERROR(AVERAGEIFS('ثبت اطلاعات'!$CD$5:$CD$1204,'ثبت اطلاعات'!$C$5:$C$1204,A26,'ثبت اطلاعات'!$CL$5:$CL$1204,"&lt;&gt;"),""))</f>
        <v>14.4</v>
      </c>
      <c r="G26" s="38">
        <f>IF(A26="","",IFERROR(AVERAGEIFS('ثبت اطلاعات'!$CE$5:$CE$1204,'ثبت اطلاعات'!$C$5:$C$1204,A26,'ثبت اطلاعات'!$CL$5:$CL$1204,"&lt;&gt;"),""))</f>
        <v>8</v>
      </c>
      <c r="H26" s="38">
        <f>IF(A26="","",IFERROR(AVERAGEIFS('ثبت اطلاعات'!$CF$5:$CF$1204,'ثبت اطلاعات'!$C$5:$C$1204,A26,'ثبت اطلاعات'!$CL$5:$CL$1204,"&lt;&gt;"),""))</f>
        <v>16</v>
      </c>
      <c r="I26" s="38">
        <f>IF(A26="","",IFERROR(AVERAGEIFS('ثبت اطلاعات'!$CG$5:$CG$1204,'ثبت اطلاعات'!$C$5:$C$1204,A26,'ثبت اطلاعات'!$CL$5:$CL$1204,"&lt;&gt;"),""))</f>
        <v>0</v>
      </c>
      <c r="J26" s="38">
        <f>IF(A26="","",IFERROR(AVERAGEIFS('ثبت اطلاعات'!$CH$5:$CH$1204,'ثبت اطلاعات'!$C$5:$C$1204,A26,'ثبت اطلاعات'!$CL$5:$CL$1204,"&lt;&gt;"),""))</f>
        <v>0</v>
      </c>
      <c r="K26" s="38">
        <f>IF(A26="","",IFERROR(AVERAGEIFS('ثبت اطلاعات'!$CI$5:$CI$1204,'ثبت اطلاعات'!$C$5:$C$1204,A26,'ثبت اطلاعات'!$CL$5:$CL$1204,"&lt;&gt;"),""))</f>
        <v>0</v>
      </c>
      <c r="L26" s="38">
        <f>IF(A26="","",IFERROR(AVERAGEIFS('ثبت اطلاعات'!$CJ$5:$CJ$1204,'ثبت اطلاعات'!$C$5:$C$1204,A26,'ثبت اطلاعات'!$CL$5:$CL$1204,"&lt;&gt;"),""))</f>
        <v>0</v>
      </c>
      <c r="M26" s="38">
        <f>IF(A26="","",IFERROR(AVERAGEIFS('ثبت اطلاعات'!$CK$5:$CK$1204,'ثبت اطلاعات'!$C$5:$C$1204,A26,'ثبت اطلاعات'!$CL$5:$CL$1204,"&lt;&gt;"),""))</f>
        <v>0</v>
      </c>
      <c r="N26" s="38" t="str">
        <f>IF(A26="","",IFERROR(AVERAGEIFS('ثبت اطلاعات'!$CL$5:$CL$1204,'ثبت اطلاعات'!$C$5:$C$1204,A26,'ثبت اطلاعات'!$CL$5:$CL$1204,"&lt;&gt;"),""))</f>
        <v/>
      </c>
      <c r="O26" s="38">
        <f>IF(A26="","",COUNTIFS('ثبت اطلاعات'!$C$5:$C$1204,A26,'ثبت اطلاعات'!$CL$5:$CL$1204,"&lt;&gt;"))</f>
        <v>12</v>
      </c>
      <c r="P26" s="38" t="e">
        <f ca="1">IF(O26=0,"",_xludf.MINIFS('ثبت اطلاعات'!$CN$5:$CN$1204,'ثبت اطلاعات'!$C$5:$C$1204,A26,'ثبت اطلاعات'!$CL$5:$CL$1204,"&lt;&gt;"))</f>
        <v>#NAME?</v>
      </c>
      <c r="Q26" s="38" t="e">
        <f ca="1">IF(O26=0,"",_xludf.MAXIFS('ثبت اطلاعات'!$CN$5:$CN$1204,'ثبت اطلاعات'!$C$5:$C$1204,A26,'ثبت اطلاعات'!$CL$5:$CL$1204,"&lt;&gt;"))</f>
        <v>#NAME?</v>
      </c>
      <c r="R26" s="38">
        <f ca="1">IF(O26&lt;2,"",SUMIFS('ثبت اطلاعات'!$CL$5:$CL$1204,'ثبت اطلاعات'!$C$5:$C$1204,A26,'ثبت اطلاعات'!$CN$5:$CN$1204,Q26)-SUMIFS('ثبت اطلاعات'!$CL$5:$CL$1204,'ثبت اطلاعات'!$C$5:$C$1204,A26,'ثبت اطلاعات'!$CN$5:$CN$1204,P26))</f>
        <v>0</v>
      </c>
      <c r="S26" s="38" t="str">
        <f t="shared" ca="1" si="0"/>
        <v>ثبات</v>
      </c>
      <c r="T26" s="38" t="str">
        <f t="shared" si="1"/>
        <v/>
      </c>
      <c r="U26" s="38" t="str">
        <f t="shared" si="2"/>
        <v/>
      </c>
      <c r="V26" s="38" t="str">
        <f t="shared" si="3"/>
        <v/>
      </c>
      <c r="W26" s="38" t="str">
        <f>IF(N26="","",_xludf.RANK.EQ(N26,$N$5:$N$104,0))</f>
        <v/>
      </c>
      <c r="X26" s="38" t="str">
        <f t="shared" si="4"/>
        <v/>
      </c>
      <c r="Y26" s="28" t="str">
        <f>IF(U26="","",IFERROR(INDEX('بانک راهکارها'!$C$5:$C$13,MATCH(U26,'بانک راهکارها'!$B$5:$B$13,0)),""))</f>
        <v/>
      </c>
    </row>
    <row r="27" spans="1:25" ht="17.25">
      <c r="A27" s="33">
        <f>IF(دانش‌آموزان!L27="","",دانش‌آموزان!B27)</f>
        <v>23</v>
      </c>
      <c r="B27" s="55" t="str">
        <f>IF(A27="","",دانش‌آموزان!C27)</f>
        <v>0960316027</v>
      </c>
      <c r="C27" s="55" t="str">
        <f>IF(A27="","",دانش‌آموزان!E27&amp;" "&amp;دانش‌آموزان!F27)</f>
        <v>شايان عرفانيان ستارزاده</v>
      </c>
      <c r="D27" s="34">
        <f>IF(A27="","",دانش‌آموزان!I27)</f>
        <v>901</v>
      </c>
      <c r="E27" s="27">
        <f>IF(A27="","",IFERROR(AVERAGEIFS('ثبت اطلاعات'!$CC$5:$CC$1204,'ثبت اطلاعات'!$C$5:$C$1204,A27,'ثبت اطلاعات'!$CL$5:$CL$1204,"&lt;&gt;"),""))</f>
        <v>8.5</v>
      </c>
      <c r="F27" s="38">
        <f>IF(A27="","",IFERROR(AVERAGEIFS('ثبت اطلاعات'!$CD$5:$CD$1204,'ثبت اطلاعات'!$C$5:$C$1204,A27,'ثبت اطلاعات'!$CL$5:$CL$1204,"&lt;&gt;"),""))</f>
        <v>16</v>
      </c>
      <c r="G27" s="38">
        <f>IF(A27="","",IFERROR(AVERAGEIFS('ثبت اطلاعات'!$CE$5:$CE$1204,'ثبت اطلاعات'!$C$5:$C$1204,A27,'ثبت اطلاعات'!$CL$5:$CL$1204,"&lt;&gt;"),""))</f>
        <v>8</v>
      </c>
      <c r="H27" s="38">
        <f>IF(A27="","",IFERROR(AVERAGEIFS('ثبت اطلاعات'!$CF$5:$CF$1204,'ثبت اطلاعات'!$C$5:$C$1204,A27,'ثبت اطلاعات'!$CL$5:$CL$1204,"&lt;&gt;"),""))</f>
        <v>17.600000000000001</v>
      </c>
      <c r="I27" s="38">
        <f>IF(A27="","",IFERROR(AVERAGEIFS('ثبت اطلاعات'!$CG$5:$CG$1204,'ثبت اطلاعات'!$C$5:$C$1204,A27,'ثبت اطلاعات'!$CL$5:$CL$1204,"&lt;&gt;"),""))</f>
        <v>0</v>
      </c>
      <c r="J27" s="38">
        <f>IF(A27="","",IFERROR(AVERAGEIFS('ثبت اطلاعات'!$CH$5:$CH$1204,'ثبت اطلاعات'!$C$5:$C$1204,A27,'ثبت اطلاعات'!$CL$5:$CL$1204,"&lt;&gt;"),""))</f>
        <v>0</v>
      </c>
      <c r="K27" s="38">
        <f>IF(A27="","",IFERROR(AVERAGEIFS('ثبت اطلاعات'!$CI$5:$CI$1204,'ثبت اطلاعات'!$C$5:$C$1204,A27,'ثبت اطلاعات'!$CL$5:$CL$1204,"&lt;&gt;"),""))</f>
        <v>0</v>
      </c>
      <c r="L27" s="38">
        <f>IF(A27="","",IFERROR(AVERAGEIFS('ثبت اطلاعات'!$CJ$5:$CJ$1204,'ثبت اطلاعات'!$C$5:$C$1204,A27,'ثبت اطلاعات'!$CL$5:$CL$1204,"&lt;&gt;"),""))</f>
        <v>0</v>
      </c>
      <c r="M27" s="38">
        <f>IF(A27="","",IFERROR(AVERAGEIFS('ثبت اطلاعات'!$CK$5:$CK$1204,'ثبت اطلاعات'!$C$5:$C$1204,A27,'ثبت اطلاعات'!$CL$5:$CL$1204,"&lt;&gt;"),""))</f>
        <v>0</v>
      </c>
      <c r="N27" s="38" t="str">
        <f>IF(A27="","",IFERROR(AVERAGEIFS('ثبت اطلاعات'!$CL$5:$CL$1204,'ثبت اطلاعات'!$C$5:$C$1204,A27,'ثبت اطلاعات'!$CL$5:$CL$1204,"&lt;&gt;"),""))</f>
        <v/>
      </c>
      <c r="O27" s="38">
        <f>IF(A27="","",COUNTIFS('ثبت اطلاعات'!$C$5:$C$1204,A27,'ثبت اطلاعات'!$CL$5:$CL$1204,"&lt;&gt;"))</f>
        <v>12</v>
      </c>
      <c r="P27" s="38" t="e">
        <f ca="1">IF(O27=0,"",_xludf.MINIFS('ثبت اطلاعات'!$CN$5:$CN$1204,'ثبت اطلاعات'!$C$5:$C$1204,A27,'ثبت اطلاعات'!$CL$5:$CL$1204,"&lt;&gt;"))</f>
        <v>#NAME?</v>
      </c>
      <c r="Q27" s="38" t="e">
        <f ca="1">IF(O27=0,"",_xludf.MAXIFS('ثبت اطلاعات'!$CN$5:$CN$1204,'ثبت اطلاعات'!$C$5:$C$1204,A27,'ثبت اطلاعات'!$CL$5:$CL$1204,"&lt;&gt;"))</f>
        <v>#NAME?</v>
      </c>
      <c r="R27" s="38">
        <f ca="1">IF(O27&lt;2,"",SUMIFS('ثبت اطلاعات'!$CL$5:$CL$1204,'ثبت اطلاعات'!$C$5:$C$1204,A27,'ثبت اطلاعات'!$CN$5:$CN$1204,Q27)-SUMIFS('ثبت اطلاعات'!$CL$5:$CL$1204,'ثبت اطلاعات'!$C$5:$C$1204,A27,'ثبت اطلاعات'!$CN$5:$CN$1204,P27))</f>
        <v>0</v>
      </c>
      <c r="S27" s="38" t="str">
        <f t="shared" ca="1" si="0"/>
        <v>ثبات</v>
      </c>
      <c r="T27" s="38" t="str">
        <f t="shared" si="1"/>
        <v/>
      </c>
      <c r="U27" s="38" t="str">
        <f t="shared" si="2"/>
        <v/>
      </c>
      <c r="V27" s="38" t="str">
        <f t="shared" si="3"/>
        <v/>
      </c>
      <c r="W27" s="38" t="str">
        <f>IF(N27="","",_xludf.RANK.EQ(N27,$N$5:$N$104,0))</f>
        <v/>
      </c>
      <c r="X27" s="38" t="str">
        <f t="shared" si="4"/>
        <v/>
      </c>
      <c r="Y27" s="28" t="str">
        <f>IF(U27="","",IFERROR(INDEX('بانک راهکارها'!$C$5:$C$13,MATCH(U27,'بانک راهکارها'!$B$5:$B$13,0)),""))</f>
        <v/>
      </c>
    </row>
    <row r="28" spans="1:25" ht="17.25">
      <c r="A28" s="33">
        <f>IF(دانش‌آموزان!L28="","",دانش‌آموزان!B28)</f>
        <v>24</v>
      </c>
      <c r="B28" s="55" t="str">
        <f>IF(A28="","",دانش‌آموزان!C28)</f>
        <v>0960438629</v>
      </c>
      <c r="C28" s="55" t="str">
        <f>IF(A28="","",دانش‌آموزان!E28&amp;" "&amp;دانش‌آموزان!F28)</f>
        <v>كسري عصمتي</v>
      </c>
      <c r="D28" s="34">
        <f>IF(A28="","",دانش‌آموزان!I28)</f>
        <v>901</v>
      </c>
      <c r="E28" s="27">
        <f>IF(A28="","",IFERROR(AVERAGEIFS('ثبت اطلاعات'!$CC$5:$CC$1204,'ثبت اطلاعات'!$C$5:$C$1204,A28,'ثبت اطلاعات'!$CL$5:$CL$1204,"&lt;&gt;"),""))</f>
        <v>11</v>
      </c>
      <c r="F28" s="38">
        <f>IF(A28="","",IFERROR(AVERAGEIFS('ثبت اطلاعات'!$CD$5:$CD$1204,'ثبت اطلاعات'!$C$5:$C$1204,A28,'ثبت اطلاعات'!$CL$5:$CL$1204,"&lt;&gt;"),""))</f>
        <v>18.399999999999999</v>
      </c>
      <c r="G28" s="38">
        <f>IF(A28="","",IFERROR(AVERAGEIFS('ثبت اطلاعات'!$CE$5:$CE$1204,'ثبت اطلاعات'!$C$5:$C$1204,A28,'ثبت اطلاعات'!$CL$5:$CL$1204,"&lt;&gt;"),""))</f>
        <v>8</v>
      </c>
      <c r="H28" s="38">
        <f>IF(A28="","",IFERROR(AVERAGEIFS('ثبت اطلاعات'!$CF$5:$CF$1204,'ثبت اطلاعات'!$C$5:$C$1204,A28,'ثبت اطلاعات'!$CL$5:$CL$1204,"&lt;&gt;"),""))</f>
        <v>16.8</v>
      </c>
      <c r="I28" s="38">
        <f>IF(A28="","",IFERROR(AVERAGEIFS('ثبت اطلاعات'!$CG$5:$CG$1204,'ثبت اطلاعات'!$C$5:$C$1204,A28,'ثبت اطلاعات'!$CL$5:$CL$1204,"&lt;&gt;"),""))</f>
        <v>0</v>
      </c>
      <c r="J28" s="38">
        <f>IF(A28="","",IFERROR(AVERAGEIFS('ثبت اطلاعات'!$CH$5:$CH$1204,'ثبت اطلاعات'!$C$5:$C$1204,A28,'ثبت اطلاعات'!$CL$5:$CL$1204,"&lt;&gt;"),""))</f>
        <v>0</v>
      </c>
      <c r="K28" s="38">
        <f>IF(A28="","",IFERROR(AVERAGEIFS('ثبت اطلاعات'!$CI$5:$CI$1204,'ثبت اطلاعات'!$C$5:$C$1204,A28,'ثبت اطلاعات'!$CL$5:$CL$1204,"&lt;&gt;"),""))</f>
        <v>0</v>
      </c>
      <c r="L28" s="38">
        <f>IF(A28="","",IFERROR(AVERAGEIFS('ثبت اطلاعات'!$CJ$5:$CJ$1204,'ثبت اطلاعات'!$C$5:$C$1204,A28,'ثبت اطلاعات'!$CL$5:$CL$1204,"&lt;&gt;"),""))</f>
        <v>0</v>
      </c>
      <c r="M28" s="38">
        <f>IF(A28="","",IFERROR(AVERAGEIFS('ثبت اطلاعات'!$CK$5:$CK$1204,'ثبت اطلاعات'!$C$5:$C$1204,A28,'ثبت اطلاعات'!$CL$5:$CL$1204,"&lt;&gt;"),""))</f>
        <v>0</v>
      </c>
      <c r="N28" s="38" t="str">
        <f>IF(A28="","",IFERROR(AVERAGEIFS('ثبت اطلاعات'!$CL$5:$CL$1204,'ثبت اطلاعات'!$C$5:$C$1204,A28,'ثبت اطلاعات'!$CL$5:$CL$1204,"&lt;&gt;"),""))</f>
        <v/>
      </c>
      <c r="O28" s="38">
        <f>IF(A28="","",COUNTIFS('ثبت اطلاعات'!$C$5:$C$1204,A28,'ثبت اطلاعات'!$CL$5:$CL$1204,"&lt;&gt;"))</f>
        <v>12</v>
      </c>
      <c r="P28" s="38" t="e">
        <f ca="1">IF(O28=0,"",_xludf.MINIFS('ثبت اطلاعات'!$CN$5:$CN$1204,'ثبت اطلاعات'!$C$5:$C$1204,A28,'ثبت اطلاعات'!$CL$5:$CL$1204,"&lt;&gt;"))</f>
        <v>#NAME?</v>
      </c>
      <c r="Q28" s="38" t="e">
        <f ca="1">IF(O28=0,"",_xludf.MAXIFS('ثبت اطلاعات'!$CN$5:$CN$1204,'ثبت اطلاعات'!$C$5:$C$1204,A28,'ثبت اطلاعات'!$CL$5:$CL$1204,"&lt;&gt;"))</f>
        <v>#NAME?</v>
      </c>
      <c r="R28" s="38">
        <f ca="1">IF(O28&lt;2,"",SUMIFS('ثبت اطلاعات'!$CL$5:$CL$1204,'ثبت اطلاعات'!$C$5:$C$1204,A28,'ثبت اطلاعات'!$CN$5:$CN$1204,Q28)-SUMIFS('ثبت اطلاعات'!$CL$5:$CL$1204,'ثبت اطلاعات'!$C$5:$C$1204,A28,'ثبت اطلاعات'!$CN$5:$CN$1204,P28))</f>
        <v>0</v>
      </c>
      <c r="S28" s="38" t="str">
        <f t="shared" ca="1" si="0"/>
        <v>ثبات</v>
      </c>
      <c r="T28" s="38" t="str">
        <f t="shared" si="1"/>
        <v/>
      </c>
      <c r="U28" s="38" t="str">
        <f t="shared" si="2"/>
        <v/>
      </c>
      <c r="V28" s="38" t="str">
        <f t="shared" si="3"/>
        <v/>
      </c>
      <c r="W28" s="38" t="str">
        <f>IF(N28="","",_xludf.RANK.EQ(N28,$N$5:$N$104,0))</f>
        <v/>
      </c>
      <c r="X28" s="38" t="str">
        <f t="shared" si="4"/>
        <v/>
      </c>
      <c r="Y28" s="28" t="str">
        <f>IF(U28="","",IFERROR(INDEX('بانک راهکارها'!$C$5:$C$13,MATCH(U28,'بانک راهکارها'!$B$5:$B$13,0)),""))</f>
        <v/>
      </c>
    </row>
    <row r="29" spans="1:25" ht="17.25">
      <c r="A29" s="33">
        <f>IF(دانش‌آموزان!L29="","",دانش‌آموزان!B29)</f>
        <v>25</v>
      </c>
      <c r="B29" s="55" t="str">
        <f>IF(A29="","",دانش‌آموزان!C29)</f>
        <v>0970511914</v>
      </c>
      <c r="C29" s="55" t="str">
        <f>IF(A29="","",دانش‌آموزان!E29&amp;" "&amp;دانش‌آموزان!F29)</f>
        <v>محمدصدرا عطاردي شوراب</v>
      </c>
      <c r="D29" s="34">
        <f>IF(A29="","",دانش‌آموزان!I29)</f>
        <v>901</v>
      </c>
      <c r="E29" s="27">
        <f>IF(A29="","",IFERROR(AVERAGEIFS('ثبت اطلاعات'!$CC$5:$CC$1204,'ثبت اطلاعات'!$C$5:$C$1204,A29,'ثبت اطلاعات'!$CL$5:$CL$1204,"&lt;&gt;"),""))</f>
        <v>11.215</v>
      </c>
      <c r="F29" s="38">
        <f>IF(A29="","",IFERROR(AVERAGEIFS('ثبت اطلاعات'!$CD$5:$CD$1204,'ثبت اطلاعات'!$C$5:$C$1204,A29,'ثبت اطلاعات'!$CL$5:$CL$1204,"&lt;&gt;"),""))</f>
        <v>16</v>
      </c>
      <c r="G29" s="38">
        <f>IF(A29="","",IFERROR(AVERAGEIFS('ثبت اطلاعات'!$CE$5:$CE$1204,'ثبت اطلاعات'!$C$5:$C$1204,A29,'ثبت اطلاعات'!$CL$5:$CL$1204,"&lt;&gt;"),""))</f>
        <v>16</v>
      </c>
      <c r="H29" s="38">
        <f>IF(A29="","",IFERROR(AVERAGEIFS('ثبت اطلاعات'!$CF$5:$CF$1204,'ثبت اطلاعات'!$C$5:$C$1204,A29,'ثبت اطلاعات'!$CL$5:$CL$1204,"&lt;&gt;"),""))</f>
        <v>14.4</v>
      </c>
      <c r="I29" s="38">
        <f>IF(A29="","",IFERROR(AVERAGEIFS('ثبت اطلاعات'!$CG$5:$CG$1204,'ثبت اطلاعات'!$C$5:$C$1204,A29,'ثبت اطلاعات'!$CL$5:$CL$1204,"&lt;&gt;"),""))</f>
        <v>0</v>
      </c>
      <c r="J29" s="38">
        <f>IF(A29="","",IFERROR(AVERAGEIFS('ثبت اطلاعات'!$CH$5:$CH$1204,'ثبت اطلاعات'!$C$5:$C$1204,A29,'ثبت اطلاعات'!$CL$5:$CL$1204,"&lt;&gt;"),""))</f>
        <v>0</v>
      </c>
      <c r="K29" s="38">
        <f>IF(A29="","",IFERROR(AVERAGEIFS('ثبت اطلاعات'!$CI$5:$CI$1204,'ثبت اطلاعات'!$C$5:$C$1204,A29,'ثبت اطلاعات'!$CL$5:$CL$1204,"&lt;&gt;"),""))</f>
        <v>0</v>
      </c>
      <c r="L29" s="38">
        <f>IF(A29="","",IFERROR(AVERAGEIFS('ثبت اطلاعات'!$CJ$5:$CJ$1204,'ثبت اطلاعات'!$C$5:$C$1204,A29,'ثبت اطلاعات'!$CL$5:$CL$1204,"&lt;&gt;"),""))</f>
        <v>0</v>
      </c>
      <c r="M29" s="38">
        <f>IF(A29="","",IFERROR(AVERAGEIFS('ثبت اطلاعات'!$CK$5:$CK$1204,'ثبت اطلاعات'!$C$5:$C$1204,A29,'ثبت اطلاعات'!$CL$5:$CL$1204,"&lt;&gt;"),""))</f>
        <v>0</v>
      </c>
      <c r="N29" s="38" t="str">
        <f>IF(A29="","",IFERROR(AVERAGEIFS('ثبت اطلاعات'!$CL$5:$CL$1204,'ثبت اطلاعات'!$C$5:$C$1204,A29,'ثبت اطلاعات'!$CL$5:$CL$1204,"&lt;&gt;"),""))</f>
        <v/>
      </c>
      <c r="O29" s="38">
        <f>IF(A29="","",COUNTIFS('ثبت اطلاعات'!$C$5:$C$1204,A29,'ثبت اطلاعات'!$CL$5:$CL$1204,"&lt;&gt;"))</f>
        <v>12</v>
      </c>
      <c r="P29" s="38" t="e">
        <f ca="1">IF(O29=0,"",_xludf.MINIFS('ثبت اطلاعات'!$CN$5:$CN$1204,'ثبت اطلاعات'!$C$5:$C$1204,A29,'ثبت اطلاعات'!$CL$5:$CL$1204,"&lt;&gt;"))</f>
        <v>#NAME?</v>
      </c>
      <c r="Q29" s="38" t="e">
        <f ca="1">IF(O29=0,"",_xludf.MAXIFS('ثبت اطلاعات'!$CN$5:$CN$1204,'ثبت اطلاعات'!$C$5:$C$1204,A29,'ثبت اطلاعات'!$CL$5:$CL$1204,"&lt;&gt;"))</f>
        <v>#NAME?</v>
      </c>
      <c r="R29" s="38">
        <f ca="1">IF(O29&lt;2,"",SUMIFS('ثبت اطلاعات'!$CL$5:$CL$1204,'ثبت اطلاعات'!$C$5:$C$1204,A29,'ثبت اطلاعات'!$CN$5:$CN$1204,Q29)-SUMIFS('ثبت اطلاعات'!$CL$5:$CL$1204,'ثبت اطلاعات'!$C$5:$C$1204,A29,'ثبت اطلاعات'!$CN$5:$CN$1204,P29))</f>
        <v>0</v>
      </c>
      <c r="S29" s="38" t="str">
        <f t="shared" ca="1" si="0"/>
        <v>ثبات</v>
      </c>
      <c r="T29" s="38" t="str">
        <f t="shared" si="1"/>
        <v/>
      </c>
      <c r="U29" s="38" t="str">
        <f t="shared" si="2"/>
        <v/>
      </c>
      <c r="V29" s="38" t="str">
        <f t="shared" si="3"/>
        <v/>
      </c>
      <c r="W29" s="38" t="str">
        <f>IF(N29="","",_xludf.RANK.EQ(N29,$N$5:$N$104,0))</f>
        <v/>
      </c>
      <c r="X29" s="38" t="str">
        <f t="shared" si="4"/>
        <v/>
      </c>
      <c r="Y29" s="28" t="str">
        <f>IF(U29="","",IFERROR(INDEX('بانک راهکارها'!$C$5:$C$13,MATCH(U29,'بانک راهکارها'!$B$5:$B$13,0)),""))</f>
        <v/>
      </c>
    </row>
    <row r="30" spans="1:25" ht="17.25">
      <c r="A30" s="33">
        <f>IF(دانش‌آموزان!L30="","",دانش‌آموزان!B30)</f>
        <v>26</v>
      </c>
      <c r="B30" s="55" t="str">
        <f>IF(A30="","",دانش‌آموزان!C30)</f>
        <v>0970482078</v>
      </c>
      <c r="C30" s="55" t="str">
        <f>IF(A30="","",دانش‌آموزان!E30&amp;" "&amp;دانش‌آموزان!F30)</f>
        <v>كوروش غريب حسني</v>
      </c>
      <c r="D30" s="34">
        <f>IF(A30="","",دانش‌آموزان!I30)</f>
        <v>901</v>
      </c>
      <c r="E30" s="27">
        <f>IF(A30="","",IFERROR(AVERAGEIFS('ثبت اطلاعات'!$CC$5:$CC$1204,'ثبت اطلاعات'!$C$5:$C$1204,A30,'ثبت اطلاعات'!$CL$5:$CL$1204,"&lt;&gt;"),""))</f>
        <v>9</v>
      </c>
      <c r="F30" s="38">
        <f>IF(A30="","",IFERROR(AVERAGEIFS('ثبت اطلاعات'!$CD$5:$CD$1204,'ثبت اطلاعات'!$C$5:$C$1204,A30,'ثبت اطلاعات'!$CL$5:$CL$1204,"&lt;&gt;"),""))</f>
        <v>16</v>
      </c>
      <c r="G30" s="38">
        <f>IF(A30="","",IFERROR(AVERAGEIFS('ثبت اطلاعات'!$CE$5:$CE$1204,'ثبت اطلاعات'!$C$5:$C$1204,A30,'ثبت اطلاعات'!$CL$5:$CL$1204,"&lt;&gt;"),""))</f>
        <v>8</v>
      </c>
      <c r="H30" s="38">
        <f>IF(A30="","",IFERROR(AVERAGEIFS('ثبت اطلاعات'!$CF$5:$CF$1204,'ثبت اطلاعات'!$C$5:$C$1204,A30,'ثبت اطلاعات'!$CL$5:$CL$1204,"&lt;&gt;"),""))</f>
        <v>16</v>
      </c>
      <c r="I30" s="38">
        <f>IF(A30="","",IFERROR(AVERAGEIFS('ثبت اطلاعات'!$CG$5:$CG$1204,'ثبت اطلاعات'!$C$5:$C$1204,A30,'ثبت اطلاعات'!$CL$5:$CL$1204,"&lt;&gt;"),""))</f>
        <v>0</v>
      </c>
      <c r="J30" s="38">
        <f>IF(A30="","",IFERROR(AVERAGEIFS('ثبت اطلاعات'!$CH$5:$CH$1204,'ثبت اطلاعات'!$C$5:$C$1204,A30,'ثبت اطلاعات'!$CL$5:$CL$1204,"&lt;&gt;"),""))</f>
        <v>0</v>
      </c>
      <c r="K30" s="38">
        <f>IF(A30="","",IFERROR(AVERAGEIFS('ثبت اطلاعات'!$CI$5:$CI$1204,'ثبت اطلاعات'!$C$5:$C$1204,A30,'ثبت اطلاعات'!$CL$5:$CL$1204,"&lt;&gt;"),""))</f>
        <v>0</v>
      </c>
      <c r="L30" s="38">
        <f>IF(A30="","",IFERROR(AVERAGEIFS('ثبت اطلاعات'!$CJ$5:$CJ$1204,'ثبت اطلاعات'!$C$5:$C$1204,A30,'ثبت اطلاعات'!$CL$5:$CL$1204,"&lt;&gt;"),""))</f>
        <v>0</v>
      </c>
      <c r="M30" s="38">
        <f>IF(A30="","",IFERROR(AVERAGEIFS('ثبت اطلاعات'!$CK$5:$CK$1204,'ثبت اطلاعات'!$C$5:$C$1204,A30,'ثبت اطلاعات'!$CL$5:$CL$1204,"&lt;&gt;"),""))</f>
        <v>0</v>
      </c>
      <c r="N30" s="38" t="str">
        <f>IF(A30="","",IFERROR(AVERAGEIFS('ثبت اطلاعات'!$CL$5:$CL$1204,'ثبت اطلاعات'!$C$5:$C$1204,A30,'ثبت اطلاعات'!$CL$5:$CL$1204,"&lt;&gt;"),""))</f>
        <v/>
      </c>
      <c r="O30" s="38">
        <f>IF(A30="","",COUNTIFS('ثبت اطلاعات'!$C$5:$C$1204,A30,'ثبت اطلاعات'!$CL$5:$CL$1204,"&lt;&gt;"))</f>
        <v>12</v>
      </c>
      <c r="P30" s="38" t="e">
        <f ca="1">IF(O30=0,"",_xludf.MINIFS('ثبت اطلاعات'!$CN$5:$CN$1204,'ثبت اطلاعات'!$C$5:$C$1204,A30,'ثبت اطلاعات'!$CL$5:$CL$1204,"&lt;&gt;"))</f>
        <v>#NAME?</v>
      </c>
      <c r="Q30" s="38" t="e">
        <f ca="1">IF(O30=0,"",_xludf.MAXIFS('ثبت اطلاعات'!$CN$5:$CN$1204,'ثبت اطلاعات'!$C$5:$C$1204,A30,'ثبت اطلاعات'!$CL$5:$CL$1204,"&lt;&gt;"))</f>
        <v>#NAME?</v>
      </c>
      <c r="R30" s="38">
        <f ca="1">IF(O30&lt;2,"",SUMIFS('ثبت اطلاعات'!$CL$5:$CL$1204,'ثبت اطلاعات'!$C$5:$C$1204,A30,'ثبت اطلاعات'!$CN$5:$CN$1204,Q30)-SUMIFS('ثبت اطلاعات'!$CL$5:$CL$1204,'ثبت اطلاعات'!$C$5:$C$1204,A30,'ثبت اطلاعات'!$CN$5:$CN$1204,P30))</f>
        <v>0</v>
      </c>
      <c r="S30" s="38" t="str">
        <f t="shared" ca="1" si="0"/>
        <v>ثبات</v>
      </c>
      <c r="T30" s="38" t="str">
        <f t="shared" si="1"/>
        <v/>
      </c>
      <c r="U30" s="38" t="str">
        <f t="shared" si="2"/>
        <v/>
      </c>
      <c r="V30" s="38" t="str">
        <f t="shared" si="3"/>
        <v/>
      </c>
      <c r="W30" s="38" t="str">
        <f>IF(N30="","",_xludf.RANK.EQ(N30,$N$5:$N$104,0))</f>
        <v/>
      </c>
      <c r="X30" s="38" t="str">
        <f t="shared" si="4"/>
        <v/>
      </c>
      <c r="Y30" s="28" t="str">
        <f>IF(U30="","",IFERROR(INDEX('بانک راهکارها'!$C$5:$C$13,MATCH(U30,'بانک راهکارها'!$B$5:$B$13,0)),""))</f>
        <v/>
      </c>
    </row>
    <row r="31" spans="1:25" ht="17.25">
      <c r="A31" s="33">
        <f>IF(دانش‌آموزان!L31="","",دانش‌آموزان!B31)</f>
        <v>27</v>
      </c>
      <c r="B31" s="55" t="str">
        <f>IF(A31="","",دانش‌آموزان!C31)</f>
        <v>0960294058</v>
      </c>
      <c r="C31" s="55" t="str">
        <f>IF(A31="","",دانش‌آموزان!E31&amp;" "&amp;دانش‌آموزان!F31)</f>
        <v>سيدرئوف فصيحي</v>
      </c>
      <c r="D31" s="34">
        <f>IF(A31="","",دانش‌آموزان!I31)</f>
        <v>901</v>
      </c>
      <c r="E31" s="27">
        <f>IF(A31="","",IFERROR(AVERAGEIFS('ثبت اطلاعات'!$CC$5:$CC$1204,'ثبت اطلاعات'!$C$5:$C$1204,A31,'ثبت اطلاعات'!$CL$5:$CL$1204,"&lt;&gt;"),""))</f>
        <v>10</v>
      </c>
      <c r="F31" s="38">
        <f>IF(A31="","",IFERROR(AVERAGEIFS('ثبت اطلاعات'!$CD$5:$CD$1204,'ثبت اطلاعات'!$C$5:$C$1204,A31,'ثبت اطلاعات'!$CL$5:$CL$1204,"&lt;&gt;"),""))</f>
        <v>12</v>
      </c>
      <c r="G31" s="38">
        <f>IF(A31="","",IFERROR(AVERAGEIFS('ثبت اطلاعات'!$CE$5:$CE$1204,'ثبت اطلاعات'!$C$5:$C$1204,A31,'ثبت اطلاعات'!$CL$5:$CL$1204,"&lt;&gt;"),""))</f>
        <v>8</v>
      </c>
      <c r="H31" s="38">
        <f>IF(A31="","",IFERROR(AVERAGEIFS('ثبت اطلاعات'!$CF$5:$CF$1204,'ثبت اطلاعات'!$C$5:$C$1204,A31,'ثبت اطلاعات'!$CL$5:$CL$1204,"&lt;&gt;"),""))</f>
        <v>11.2</v>
      </c>
      <c r="I31" s="38">
        <f>IF(A31="","",IFERROR(AVERAGEIFS('ثبت اطلاعات'!$CG$5:$CG$1204,'ثبت اطلاعات'!$C$5:$C$1204,A31,'ثبت اطلاعات'!$CL$5:$CL$1204,"&lt;&gt;"),""))</f>
        <v>0</v>
      </c>
      <c r="J31" s="38">
        <f>IF(A31="","",IFERROR(AVERAGEIFS('ثبت اطلاعات'!$CH$5:$CH$1204,'ثبت اطلاعات'!$C$5:$C$1204,A31,'ثبت اطلاعات'!$CL$5:$CL$1204,"&lt;&gt;"),""))</f>
        <v>0</v>
      </c>
      <c r="K31" s="38">
        <f>IF(A31="","",IFERROR(AVERAGEIFS('ثبت اطلاعات'!$CI$5:$CI$1204,'ثبت اطلاعات'!$C$5:$C$1204,A31,'ثبت اطلاعات'!$CL$5:$CL$1204,"&lt;&gt;"),""))</f>
        <v>0</v>
      </c>
      <c r="L31" s="38">
        <f>IF(A31="","",IFERROR(AVERAGEIFS('ثبت اطلاعات'!$CJ$5:$CJ$1204,'ثبت اطلاعات'!$C$5:$C$1204,A31,'ثبت اطلاعات'!$CL$5:$CL$1204,"&lt;&gt;"),""))</f>
        <v>0</v>
      </c>
      <c r="M31" s="38">
        <f>IF(A31="","",IFERROR(AVERAGEIFS('ثبت اطلاعات'!$CK$5:$CK$1204,'ثبت اطلاعات'!$C$5:$C$1204,A31,'ثبت اطلاعات'!$CL$5:$CL$1204,"&lt;&gt;"),""))</f>
        <v>0</v>
      </c>
      <c r="N31" s="38" t="str">
        <f>IF(A31="","",IFERROR(AVERAGEIFS('ثبت اطلاعات'!$CL$5:$CL$1204,'ثبت اطلاعات'!$C$5:$C$1204,A31,'ثبت اطلاعات'!$CL$5:$CL$1204,"&lt;&gt;"),""))</f>
        <v/>
      </c>
      <c r="O31" s="38">
        <f>IF(A31="","",COUNTIFS('ثبت اطلاعات'!$C$5:$C$1204,A31,'ثبت اطلاعات'!$CL$5:$CL$1204,"&lt;&gt;"))</f>
        <v>12</v>
      </c>
      <c r="P31" s="38" t="e">
        <f ca="1">IF(O31=0,"",_xludf.MINIFS('ثبت اطلاعات'!$CN$5:$CN$1204,'ثبت اطلاعات'!$C$5:$C$1204,A31,'ثبت اطلاعات'!$CL$5:$CL$1204,"&lt;&gt;"))</f>
        <v>#NAME?</v>
      </c>
      <c r="Q31" s="38" t="e">
        <f ca="1">IF(O31=0,"",_xludf.MAXIFS('ثبت اطلاعات'!$CN$5:$CN$1204,'ثبت اطلاعات'!$C$5:$C$1204,A31,'ثبت اطلاعات'!$CL$5:$CL$1204,"&lt;&gt;"))</f>
        <v>#NAME?</v>
      </c>
      <c r="R31" s="38">
        <f ca="1">IF(O31&lt;2,"",SUMIFS('ثبت اطلاعات'!$CL$5:$CL$1204,'ثبت اطلاعات'!$C$5:$C$1204,A31,'ثبت اطلاعات'!$CN$5:$CN$1204,Q31)-SUMIFS('ثبت اطلاعات'!$CL$5:$CL$1204,'ثبت اطلاعات'!$C$5:$C$1204,A31,'ثبت اطلاعات'!$CN$5:$CN$1204,P31))</f>
        <v>0</v>
      </c>
      <c r="S31" s="38" t="str">
        <f t="shared" ca="1" si="0"/>
        <v>ثبات</v>
      </c>
      <c r="T31" s="38" t="str">
        <f t="shared" si="1"/>
        <v/>
      </c>
      <c r="U31" s="38" t="str">
        <f t="shared" si="2"/>
        <v/>
      </c>
      <c r="V31" s="38" t="str">
        <f t="shared" si="3"/>
        <v/>
      </c>
      <c r="W31" s="38" t="str">
        <f>IF(N31="","",_xludf.RANK.EQ(N31,$N$5:$N$104,0))</f>
        <v/>
      </c>
      <c r="X31" s="38" t="str">
        <f t="shared" si="4"/>
        <v/>
      </c>
      <c r="Y31" s="28" t="str">
        <f>IF(U31="","",IFERROR(INDEX('بانک راهکارها'!$C$5:$C$13,MATCH(U31,'بانک راهکارها'!$B$5:$B$13,0)),""))</f>
        <v/>
      </c>
    </row>
    <row r="32" spans="1:25" ht="17.25">
      <c r="A32" s="33">
        <f>IF(دانش‌آموزان!L32="","",دانش‌آموزان!B32)</f>
        <v>28</v>
      </c>
      <c r="B32" s="55" t="str">
        <f>IF(A32="","",دانش‌آموزان!C32)</f>
        <v>0980356512</v>
      </c>
      <c r="C32" s="55" t="str">
        <f>IF(A32="","",دانش‌آموزان!E32&amp;" "&amp;دانش‌آموزان!F32)</f>
        <v>سجاد كرماني</v>
      </c>
      <c r="D32" s="34">
        <f>IF(A32="","",دانش‌آموزان!I32)</f>
        <v>901</v>
      </c>
      <c r="E32" s="27">
        <f>IF(A32="","",IFERROR(AVERAGEIFS('ثبت اطلاعات'!$CC$5:$CC$1204,'ثبت اطلاعات'!$C$5:$C$1204,A32,'ثبت اطلاعات'!$CL$5:$CL$1204,"&lt;&gt;"),""))</f>
        <v>8.5</v>
      </c>
      <c r="F32" s="38">
        <f>IF(A32="","",IFERROR(AVERAGEIFS('ثبت اطلاعات'!$CD$5:$CD$1204,'ثبت اطلاعات'!$C$5:$C$1204,A32,'ثبت اطلاعات'!$CL$5:$CL$1204,"&lt;&gt;"),""))</f>
        <v>16</v>
      </c>
      <c r="G32" s="38">
        <f>IF(A32="","",IFERROR(AVERAGEIFS('ثبت اطلاعات'!$CE$5:$CE$1204,'ثبت اطلاعات'!$C$5:$C$1204,A32,'ثبت اطلاعات'!$CL$5:$CL$1204,"&lt;&gt;"),""))</f>
        <v>8</v>
      </c>
      <c r="H32" s="38">
        <f>IF(A32="","",IFERROR(AVERAGEIFS('ثبت اطلاعات'!$CF$5:$CF$1204,'ثبت اطلاعات'!$C$5:$C$1204,A32,'ثبت اطلاعات'!$CL$5:$CL$1204,"&lt;&gt;"),""))</f>
        <v>14.4</v>
      </c>
      <c r="I32" s="38">
        <f>IF(A32="","",IFERROR(AVERAGEIFS('ثبت اطلاعات'!$CG$5:$CG$1204,'ثبت اطلاعات'!$C$5:$C$1204,A32,'ثبت اطلاعات'!$CL$5:$CL$1204,"&lt;&gt;"),""))</f>
        <v>0</v>
      </c>
      <c r="J32" s="38">
        <f>IF(A32="","",IFERROR(AVERAGEIFS('ثبت اطلاعات'!$CH$5:$CH$1204,'ثبت اطلاعات'!$C$5:$C$1204,A32,'ثبت اطلاعات'!$CL$5:$CL$1204,"&lt;&gt;"),""))</f>
        <v>0</v>
      </c>
      <c r="K32" s="38">
        <f>IF(A32="","",IFERROR(AVERAGEIFS('ثبت اطلاعات'!$CI$5:$CI$1204,'ثبت اطلاعات'!$C$5:$C$1204,A32,'ثبت اطلاعات'!$CL$5:$CL$1204,"&lt;&gt;"),""))</f>
        <v>0</v>
      </c>
      <c r="L32" s="38">
        <f>IF(A32="","",IFERROR(AVERAGEIFS('ثبت اطلاعات'!$CJ$5:$CJ$1204,'ثبت اطلاعات'!$C$5:$C$1204,A32,'ثبت اطلاعات'!$CL$5:$CL$1204,"&lt;&gt;"),""))</f>
        <v>0</v>
      </c>
      <c r="M32" s="38">
        <f>IF(A32="","",IFERROR(AVERAGEIFS('ثبت اطلاعات'!$CK$5:$CK$1204,'ثبت اطلاعات'!$C$5:$C$1204,A32,'ثبت اطلاعات'!$CL$5:$CL$1204,"&lt;&gt;"),""))</f>
        <v>0</v>
      </c>
      <c r="N32" s="38" t="str">
        <f>IF(A32="","",IFERROR(AVERAGEIFS('ثبت اطلاعات'!$CL$5:$CL$1204,'ثبت اطلاعات'!$C$5:$C$1204,A32,'ثبت اطلاعات'!$CL$5:$CL$1204,"&lt;&gt;"),""))</f>
        <v/>
      </c>
      <c r="O32" s="38">
        <f>IF(A32="","",COUNTIFS('ثبت اطلاعات'!$C$5:$C$1204,A32,'ثبت اطلاعات'!$CL$5:$CL$1204,"&lt;&gt;"))</f>
        <v>12</v>
      </c>
      <c r="P32" s="38" t="e">
        <f ca="1">IF(O32=0,"",_xludf.MINIFS('ثبت اطلاعات'!$CN$5:$CN$1204,'ثبت اطلاعات'!$C$5:$C$1204,A32,'ثبت اطلاعات'!$CL$5:$CL$1204,"&lt;&gt;"))</f>
        <v>#NAME?</v>
      </c>
      <c r="Q32" s="38" t="e">
        <f ca="1">IF(O32=0,"",_xludf.MAXIFS('ثبت اطلاعات'!$CN$5:$CN$1204,'ثبت اطلاعات'!$C$5:$C$1204,A32,'ثبت اطلاعات'!$CL$5:$CL$1204,"&lt;&gt;"))</f>
        <v>#NAME?</v>
      </c>
      <c r="R32" s="38">
        <f ca="1">IF(O32&lt;2,"",SUMIFS('ثبت اطلاعات'!$CL$5:$CL$1204,'ثبت اطلاعات'!$C$5:$C$1204,A32,'ثبت اطلاعات'!$CN$5:$CN$1204,Q32)-SUMIFS('ثبت اطلاعات'!$CL$5:$CL$1204,'ثبت اطلاعات'!$C$5:$C$1204,A32,'ثبت اطلاعات'!$CN$5:$CN$1204,P32))</f>
        <v>0</v>
      </c>
      <c r="S32" s="38" t="str">
        <f t="shared" ca="1" si="0"/>
        <v>ثبات</v>
      </c>
      <c r="T32" s="38" t="str">
        <f t="shared" si="1"/>
        <v/>
      </c>
      <c r="U32" s="38" t="str">
        <f t="shared" si="2"/>
        <v/>
      </c>
      <c r="V32" s="38" t="str">
        <f t="shared" si="3"/>
        <v/>
      </c>
      <c r="W32" s="38" t="str">
        <f>IF(N32="","",_xludf.RANK.EQ(N32,$N$5:$N$104,0))</f>
        <v/>
      </c>
      <c r="X32" s="38" t="str">
        <f t="shared" si="4"/>
        <v/>
      </c>
      <c r="Y32" s="28" t="str">
        <f>IF(U32="","",IFERROR(INDEX('بانک راهکارها'!$C$5:$C$13,MATCH(U32,'بانک راهکارها'!$B$5:$B$13,0)),""))</f>
        <v/>
      </c>
    </row>
    <row r="33" spans="1:25" ht="17.25">
      <c r="A33" s="33">
        <f>IF(دانش‌آموزان!L33="","",دانش‌آموزان!B33)</f>
        <v>29</v>
      </c>
      <c r="B33" s="55" t="str">
        <f>IF(A33="","",دانش‌آموزان!C33)</f>
        <v>0980326842</v>
      </c>
      <c r="C33" s="55" t="str">
        <f>IF(A33="","",دانش‌آموزان!E33&amp;" "&amp;دانش‌آموزان!F33)</f>
        <v>حسين كريمي</v>
      </c>
      <c r="D33" s="34">
        <f>IF(A33="","",دانش‌آموزان!I33)</f>
        <v>901</v>
      </c>
      <c r="E33" s="27">
        <f>IF(A33="","",IFERROR(AVERAGEIFS('ثبت اطلاعات'!$CC$5:$CC$1204,'ثبت اطلاعات'!$C$5:$C$1204,A33,'ثبت اطلاعات'!$CL$5:$CL$1204,"&lt;&gt;"),""))</f>
        <v>8</v>
      </c>
      <c r="F33" s="38">
        <f>IF(A33="","",IFERROR(AVERAGEIFS('ثبت اطلاعات'!$CD$5:$CD$1204,'ثبت اطلاعات'!$C$5:$C$1204,A33,'ثبت اطلاعات'!$CL$5:$CL$1204,"&lt;&gt;"),""))</f>
        <v>15.2</v>
      </c>
      <c r="G33" s="38">
        <f>IF(A33="","",IFERROR(AVERAGEIFS('ثبت اطلاعات'!$CE$5:$CE$1204,'ثبت اطلاعات'!$C$5:$C$1204,A33,'ثبت اطلاعات'!$CL$5:$CL$1204,"&lt;&gt;"),""))</f>
        <v>8</v>
      </c>
      <c r="H33" s="38">
        <f>IF(A33="","",IFERROR(AVERAGEIFS('ثبت اطلاعات'!$CF$5:$CF$1204,'ثبت اطلاعات'!$C$5:$C$1204,A33,'ثبت اطلاعات'!$CL$5:$CL$1204,"&lt;&gt;"),""))</f>
        <v>15.2</v>
      </c>
      <c r="I33" s="38">
        <f>IF(A33="","",IFERROR(AVERAGEIFS('ثبت اطلاعات'!$CG$5:$CG$1204,'ثبت اطلاعات'!$C$5:$C$1204,A33,'ثبت اطلاعات'!$CL$5:$CL$1204,"&lt;&gt;"),""))</f>
        <v>0</v>
      </c>
      <c r="J33" s="38">
        <f>IF(A33="","",IFERROR(AVERAGEIFS('ثبت اطلاعات'!$CH$5:$CH$1204,'ثبت اطلاعات'!$C$5:$C$1204,A33,'ثبت اطلاعات'!$CL$5:$CL$1204,"&lt;&gt;"),""))</f>
        <v>0</v>
      </c>
      <c r="K33" s="38">
        <f>IF(A33="","",IFERROR(AVERAGEIFS('ثبت اطلاعات'!$CI$5:$CI$1204,'ثبت اطلاعات'!$C$5:$C$1204,A33,'ثبت اطلاعات'!$CL$5:$CL$1204,"&lt;&gt;"),""))</f>
        <v>0</v>
      </c>
      <c r="L33" s="38">
        <f>IF(A33="","",IFERROR(AVERAGEIFS('ثبت اطلاعات'!$CJ$5:$CJ$1204,'ثبت اطلاعات'!$C$5:$C$1204,A33,'ثبت اطلاعات'!$CL$5:$CL$1204,"&lt;&gt;"),""))</f>
        <v>0</v>
      </c>
      <c r="M33" s="38">
        <f>IF(A33="","",IFERROR(AVERAGEIFS('ثبت اطلاعات'!$CK$5:$CK$1204,'ثبت اطلاعات'!$C$5:$C$1204,A33,'ثبت اطلاعات'!$CL$5:$CL$1204,"&lt;&gt;"),""))</f>
        <v>0</v>
      </c>
      <c r="N33" s="38" t="str">
        <f>IF(A33="","",IFERROR(AVERAGEIFS('ثبت اطلاعات'!$CL$5:$CL$1204,'ثبت اطلاعات'!$C$5:$C$1204,A33,'ثبت اطلاعات'!$CL$5:$CL$1204,"&lt;&gt;"),""))</f>
        <v/>
      </c>
      <c r="O33" s="38">
        <f>IF(A33="","",COUNTIFS('ثبت اطلاعات'!$C$5:$C$1204,A33,'ثبت اطلاعات'!$CL$5:$CL$1204,"&lt;&gt;"))</f>
        <v>12</v>
      </c>
      <c r="P33" s="38" t="e">
        <f ca="1">IF(O33=0,"",_xludf.MINIFS('ثبت اطلاعات'!$CN$5:$CN$1204,'ثبت اطلاعات'!$C$5:$C$1204,A33,'ثبت اطلاعات'!$CL$5:$CL$1204,"&lt;&gt;"))</f>
        <v>#NAME?</v>
      </c>
      <c r="Q33" s="38" t="e">
        <f ca="1">IF(O33=0,"",_xludf.MAXIFS('ثبت اطلاعات'!$CN$5:$CN$1204,'ثبت اطلاعات'!$C$5:$C$1204,A33,'ثبت اطلاعات'!$CL$5:$CL$1204,"&lt;&gt;"))</f>
        <v>#NAME?</v>
      </c>
      <c r="R33" s="38">
        <f ca="1">IF(O33&lt;2,"",SUMIFS('ثبت اطلاعات'!$CL$5:$CL$1204,'ثبت اطلاعات'!$C$5:$C$1204,A33,'ثبت اطلاعات'!$CN$5:$CN$1204,Q33)-SUMIFS('ثبت اطلاعات'!$CL$5:$CL$1204,'ثبت اطلاعات'!$C$5:$C$1204,A33,'ثبت اطلاعات'!$CN$5:$CN$1204,P33))</f>
        <v>0</v>
      </c>
      <c r="S33" s="38" t="str">
        <f t="shared" ca="1" si="0"/>
        <v>ثبات</v>
      </c>
      <c r="T33" s="38" t="str">
        <f t="shared" si="1"/>
        <v/>
      </c>
      <c r="U33" s="38" t="str">
        <f t="shared" si="2"/>
        <v/>
      </c>
      <c r="V33" s="38" t="str">
        <f t="shared" si="3"/>
        <v/>
      </c>
      <c r="W33" s="38" t="str">
        <f>IF(N33="","",_xludf.RANK.EQ(N33,$N$5:$N$104,0))</f>
        <v/>
      </c>
      <c r="X33" s="38" t="str">
        <f t="shared" si="4"/>
        <v/>
      </c>
      <c r="Y33" s="28" t="str">
        <f>IF(U33="","",IFERROR(INDEX('بانک راهکارها'!$C$5:$C$13,MATCH(U33,'بانک راهکارها'!$B$5:$B$13,0)),""))</f>
        <v/>
      </c>
    </row>
    <row r="34" spans="1:25" ht="17.25">
      <c r="A34" s="33">
        <f>IF(دانش‌آموزان!L34="","",دانش‌آموزان!B34)</f>
        <v>30</v>
      </c>
      <c r="B34" s="55" t="str">
        <f>IF(A34="","",دانش‌آموزان!C34)</f>
        <v>0970583893</v>
      </c>
      <c r="C34" s="55" t="str">
        <f>IF(A34="","",دانش‌آموزان!E34&amp;" "&amp;دانش‌آموزان!F34)</f>
        <v>محمديوسف مظهري</v>
      </c>
      <c r="D34" s="34">
        <f>IF(A34="","",دانش‌آموزان!I34)</f>
        <v>901</v>
      </c>
      <c r="E34" s="27">
        <f>IF(A34="","",IFERROR(AVERAGEIFS('ثبت اطلاعات'!$CC$5:$CC$1204,'ثبت اطلاعات'!$C$5:$C$1204,A34,'ثبت اطلاعات'!$CL$5:$CL$1204,"&lt;&gt;"),""))</f>
        <v>9</v>
      </c>
      <c r="F34" s="38">
        <f>IF(A34="","",IFERROR(AVERAGEIFS('ثبت اطلاعات'!$CD$5:$CD$1204,'ثبت اطلاعات'!$C$5:$C$1204,A34,'ثبت اطلاعات'!$CL$5:$CL$1204,"&lt;&gt;"),""))</f>
        <v>17.600000000000001</v>
      </c>
      <c r="G34" s="38">
        <f>IF(A34="","",IFERROR(AVERAGEIFS('ثبت اطلاعات'!$CE$5:$CE$1204,'ثبت اطلاعات'!$C$5:$C$1204,A34,'ثبت اطلاعات'!$CL$5:$CL$1204,"&lt;&gt;"),""))</f>
        <v>8</v>
      </c>
      <c r="H34" s="38">
        <f>IF(A34="","",IFERROR(AVERAGEIFS('ثبت اطلاعات'!$CF$5:$CF$1204,'ثبت اطلاعات'!$C$5:$C$1204,A34,'ثبت اطلاعات'!$CL$5:$CL$1204,"&lt;&gt;"),""))</f>
        <v>18.399999999999999</v>
      </c>
      <c r="I34" s="38">
        <f>IF(A34="","",IFERROR(AVERAGEIFS('ثبت اطلاعات'!$CG$5:$CG$1204,'ثبت اطلاعات'!$C$5:$C$1204,A34,'ثبت اطلاعات'!$CL$5:$CL$1204,"&lt;&gt;"),""))</f>
        <v>0</v>
      </c>
      <c r="J34" s="38">
        <f>IF(A34="","",IFERROR(AVERAGEIFS('ثبت اطلاعات'!$CH$5:$CH$1204,'ثبت اطلاعات'!$C$5:$C$1204,A34,'ثبت اطلاعات'!$CL$5:$CL$1204,"&lt;&gt;"),""))</f>
        <v>0</v>
      </c>
      <c r="K34" s="38">
        <f>IF(A34="","",IFERROR(AVERAGEIFS('ثبت اطلاعات'!$CI$5:$CI$1204,'ثبت اطلاعات'!$C$5:$C$1204,A34,'ثبت اطلاعات'!$CL$5:$CL$1204,"&lt;&gt;"),""))</f>
        <v>0</v>
      </c>
      <c r="L34" s="38">
        <f>IF(A34="","",IFERROR(AVERAGEIFS('ثبت اطلاعات'!$CJ$5:$CJ$1204,'ثبت اطلاعات'!$C$5:$C$1204,A34,'ثبت اطلاعات'!$CL$5:$CL$1204,"&lt;&gt;"),""))</f>
        <v>0</v>
      </c>
      <c r="M34" s="38">
        <f>IF(A34="","",IFERROR(AVERAGEIFS('ثبت اطلاعات'!$CK$5:$CK$1204,'ثبت اطلاعات'!$C$5:$C$1204,A34,'ثبت اطلاعات'!$CL$5:$CL$1204,"&lt;&gt;"),""))</f>
        <v>0</v>
      </c>
      <c r="N34" s="38" t="str">
        <f>IF(A34="","",IFERROR(AVERAGEIFS('ثبت اطلاعات'!$CL$5:$CL$1204,'ثبت اطلاعات'!$C$5:$C$1204,A34,'ثبت اطلاعات'!$CL$5:$CL$1204,"&lt;&gt;"),""))</f>
        <v/>
      </c>
      <c r="O34" s="38">
        <f>IF(A34="","",COUNTIFS('ثبت اطلاعات'!$C$5:$C$1204,A34,'ثبت اطلاعات'!$CL$5:$CL$1204,"&lt;&gt;"))</f>
        <v>12</v>
      </c>
      <c r="P34" s="38" t="e">
        <f ca="1">IF(O34=0,"",_xludf.MINIFS('ثبت اطلاعات'!$CN$5:$CN$1204,'ثبت اطلاعات'!$C$5:$C$1204,A34,'ثبت اطلاعات'!$CL$5:$CL$1204,"&lt;&gt;"))</f>
        <v>#NAME?</v>
      </c>
      <c r="Q34" s="38" t="e">
        <f ca="1">IF(O34=0,"",_xludf.MAXIFS('ثبت اطلاعات'!$CN$5:$CN$1204,'ثبت اطلاعات'!$C$5:$C$1204,A34,'ثبت اطلاعات'!$CL$5:$CL$1204,"&lt;&gt;"))</f>
        <v>#NAME?</v>
      </c>
      <c r="R34" s="38">
        <f ca="1">IF(O34&lt;2,"",SUMIFS('ثبت اطلاعات'!$CL$5:$CL$1204,'ثبت اطلاعات'!$C$5:$C$1204,A34,'ثبت اطلاعات'!$CN$5:$CN$1204,Q34)-SUMIFS('ثبت اطلاعات'!$CL$5:$CL$1204,'ثبت اطلاعات'!$C$5:$C$1204,A34,'ثبت اطلاعات'!$CN$5:$CN$1204,P34))</f>
        <v>0</v>
      </c>
      <c r="S34" s="38" t="str">
        <f t="shared" ca="1" si="0"/>
        <v>ثبات</v>
      </c>
      <c r="T34" s="38" t="str">
        <f t="shared" si="1"/>
        <v/>
      </c>
      <c r="U34" s="38" t="str">
        <f t="shared" si="2"/>
        <v/>
      </c>
      <c r="V34" s="38" t="str">
        <f t="shared" si="3"/>
        <v/>
      </c>
      <c r="W34" s="38" t="str">
        <f>IF(N34="","",_xludf.RANK.EQ(N34,$N$5:$N$104,0))</f>
        <v/>
      </c>
      <c r="X34" s="38" t="str">
        <f t="shared" si="4"/>
        <v/>
      </c>
      <c r="Y34" s="28" t="str">
        <f>IF(U34="","",IFERROR(INDEX('بانک راهکارها'!$C$5:$C$13,MATCH(U34,'بانک راهکارها'!$B$5:$B$13,0)),""))</f>
        <v/>
      </c>
    </row>
    <row r="35" spans="1:25" ht="17.25">
      <c r="A35" s="33">
        <f>IF(دانش‌آموزان!L35="","",دانش‌آموزان!B35)</f>
        <v>31</v>
      </c>
      <c r="B35" s="55">
        <f>IF(A35="","",دانش‌آموزان!C35)</f>
        <v>2285780362</v>
      </c>
      <c r="C35" s="55" t="str">
        <f>IF(A35="","",دانش‌آموزان!E35&amp;" "&amp;دانش‌آموزان!F35)</f>
        <v>پارسامهر وزيري</v>
      </c>
      <c r="D35" s="34">
        <f>IF(A35="","",دانش‌آموزان!I35)</f>
        <v>901</v>
      </c>
      <c r="E35" s="27">
        <f>IF(A35="","",IFERROR(AVERAGEIFS('ثبت اطلاعات'!$CC$5:$CC$1204,'ثبت اطلاعات'!$C$5:$C$1204,A35,'ثبت اطلاعات'!$CL$5:$CL$1204,"&lt;&gt;"),""))</f>
        <v>8.4749999999999996</v>
      </c>
      <c r="F35" s="38">
        <f>IF(A35="","",IFERROR(AVERAGEIFS('ثبت اطلاعات'!$CD$5:$CD$1204,'ثبت اطلاعات'!$C$5:$C$1204,A35,'ثبت اطلاعات'!$CL$5:$CL$1204,"&lt;&gt;"),""))</f>
        <v>12.8</v>
      </c>
      <c r="G35" s="38">
        <f>IF(A35="","",IFERROR(AVERAGEIFS('ثبت اطلاعات'!$CE$5:$CE$1204,'ثبت اطلاعات'!$C$5:$C$1204,A35,'ثبت اطلاعات'!$CL$5:$CL$1204,"&lt;&gt;"),""))</f>
        <v>8</v>
      </c>
      <c r="H35" s="38">
        <f>IF(A35="","",IFERROR(AVERAGEIFS('ثبت اطلاعات'!$CF$5:$CF$1204,'ثبت اطلاعات'!$C$5:$C$1204,A35,'ثبت اطلاعات'!$CL$5:$CL$1204,"&lt;&gt;"),""))</f>
        <v>16.8</v>
      </c>
      <c r="I35" s="38">
        <f>IF(A35="","",IFERROR(AVERAGEIFS('ثبت اطلاعات'!$CG$5:$CG$1204,'ثبت اطلاعات'!$C$5:$C$1204,A35,'ثبت اطلاعات'!$CL$5:$CL$1204,"&lt;&gt;"),""))</f>
        <v>0</v>
      </c>
      <c r="J35" s="38">
        <f>IF(A35="","",IFERROR(AVERAGEIFS('ثبت اطلاعات'!$CH$5:$CH$1204,'ثبت اطلاعات'!$C$5:$C$1204,A35,'ثبت اطلاعات'!$CL$5:$CL$1204,"&lt;&gt;"),""))</f>
        <v>0</v>
      </c>
      <c r="K35" s="38">
        <f>IF(A35="","",IFERROR(AVERAGEIFS('ثبت اطلاعات'!$CI$5:$CI$1204,'ثبت اطلاعات'!$C$5:$C$1204,A35,'ثبت اطلاعات'!$CL$5:$CL$1204,"&lt;&gt;"),""))</f>
        <v>0</v>
      </c>
      <c r="L35" s="38">
        <f>IF(A35="","",IFERROR(AVERAGEIFS('ثبت اطلاعات'!$CJ$5:$CJ$1204,'ثبت اطلاعات'!$C$5:$C$1204,A35,'ثبت اطلاعات'!$CL$5:$CL$1204,"&lt;&gt;"),""))</f>
        <v>0</v>
      </c>
      <c r="M35" s="38">
        <f>IF(A35="","",IFERROR(AVERAGEIFS('ثبت اطلاعات'!$CK$5:$CK$1204,'ثبت اطلاعات'!$C$5:$C$1204,A35,'ثبت اطلاعات'!$CL$5:$CL$1204,"&lt;&gt;"),""))</f>
        <v>0</v>
      </c>
      <c r="N35" s="38" t="str">
        <f>IF(A35="","",IFERROR(AVERAGEIFS('ثبت اطلاعات'!$CL$5:$CL$1204,'ثبت اطلاعات'!$C$5:$C$1204,A35,'ثبت اطلاعات'!$CL$5:$CL$1204,"&lt;&gt;"),""))</f>
        <v/>
      </c>
      <c r="O35" s="38">
        <f>IF(A35="","",COUNTIFS('ثبت اطلاعات'!$C$5:$C$1204,A35,'ثبت اطلاعات'!$CL$5:$CL$1204,"&lt;&gt;"))</f>
        <v>12</v>
      </c>
      <c r="P35" s="38" t="e">
        <f ca="1">IF(O35=0,"",_xludf.MINIFS('ثبت اطلاعات'!$CN$5:$CN$1204,'ثبت اطلاعات'!$C$5:$C$1204,A35,'ثبت اطلاعات'!$CL$5:$CL$1204,"&lt;&gt;"))</f>
        <v>#NAME?</v>
      </c>
      <c r="Q35" s="38" t="e">
        <f ca="1">IF(O35=0,"",_xludf.MAXIFS('ثبت اطلاعات'!$CN$5:$CN$1204,'ثبت اطلاعات'!$C$5:$C$1204,A35,'ثبت اطلاعات'!$CL$5:$CL$1204,"&lt;&gt;"))</f>
        <v>#NAME?</v>
      </c>
      <c r="R35" s="38">
        <f ca="1">IF(O35&lt;2,"",SUMIFS('ثبت اطلاعات'!$CL$5:$CL$1204,'ثبت اطلاعات'!$C$5:$C$1204,A35,'ثبت اطلاعات'!$CN$5:$CN$1204,Q35)-SUMIFS('ثبت اطلاعات'!$CL$5:$CL$1204,'ثبت اطلاعات'!$C$5:$C$1204,A35,'ثبت اطلاعات'!$CN$5:$CN$1204,P35))</f>
        <v>0</v>
      </c>
      <c r="S35" s="38" t="str">
        <f t="shared" ca="1" si="0"/>
        <v>ثبات</v>
      </c>
      <c r="T35" s="38" t="str">
        <f t="shared" si="1"/>
        <v/>
      </c>
      <c r="U35" s="38" t="str">
        <f t="shared" si="2"/>
        <v/>
      </c>
      <c r="V35" s="38" t="str">
        <f t="shared" si="3"/>
        <v/>
      </c>
      <c r="W35" s="38" t="str">
        <f>IF(N35="","",_xludf.RANK.EQ(N35,$N$5:$N$104,0))</f>
        <v/>
      </c>
      <c r="X35" s="38" t="str">
        <f t="shared" si="4"/>
        <v/>
      </c>
      <c r="Y35" s="28" t="str">
        <f>IF(U35="","",IFERROR(INDEX('بانک راهکارها'!$C$5:$C$13,MATCH(U35,'بانک راهکارها'!$B$5:$B$13,0)),""))</f>
        <v/>
      </c>
    </row>
    <row r="36" spans="1:25" ht="17.25">
      <c r="A36" s="33">
        <f>IF(دانش‌آموزان!L36="","",دانش‌آموزان!B36)</f>
        <v>32</v>
      </c>
      <c r="B36" s="55" t="str">
        <f>IF(A36="","",دانش‌آموزان!C36)</f>
        <v>0970624794</v>
      </c>
      <c r="C36" s="55" t="str">
        <f>IF(A36="","",دانش‌آموزان!E36&amp;" "&amp;دانش‌آموزان!F36)</f>
        <v>سجاد يعقوبي</v>
      </c>
      <c r="D36" s="34">
        <f>IF(A36="","",دانش‌آموزان!I36)</f>
        <v>901</v>
      </c>
      <c r="E36" s="27">
        <f>IF(A36="","",IFERROR(AVERAGEIFS('ثبت اطلاعات'!$CC$5:$CC$1204,'ثبت اطلاعات'!$C$5:$C$1204,A36,'ثبت اطلاعات'!$CL$5:$CL$1204,"&lt;&gt;"),""))</f>
        <v>9</v>
      </c>
      <c r="F36" s="38">
        <f>IF(A36="","",IFERROR(AVERAGEIFS('ثبت اطلاعات'!$CD$5:$CD$1204,'ثبت اطلاعات'!$C$5:$C$1204,A36,'ثبت اطلاعات'!$CL$5:$CL$1204,"&lt;&gt;"),""))</f>
        <v>12.8</v>
      </c>
      <c r="G36" s="38">
        <f>IF(A36="","",IFERROR(AVERAGEIFS('ثبت اطلاعات'!$CE$5:$CE$1204,'ثبت اطلاعات'!$C$5:$C$1204,A36,'ثبت اطلاعات'!$CL$5:$CL$1204,"&lt;&gt;"),""))</f>
        <v>8</v>
      </c>
      <c r="H36" s="38">
        <f>IF(A36="","",IFERROR(AVERAGEIFS('ثبت اطلاعات'!$CF$5:$CF$1204,'ثبت اطلاعات'!$C$5:$C$1204,A36,'ثبت اطلاعات'!$CL$5:$CL$1204,"&lt;&gt;"),""))</f>
        <v>9.6</v>
      </c>
      <c r="I36" s="38">
        <f>IF(A36="","",IFERROR(AVERAGEIFS('ثبت اطلاعات'!$CG$5:$CG$1204,'ثبت اطلاعات'!$C$5:$C$1204,A36,'ثبت اطلاعات'!$CL$5:$CL$1204,"&lt;&gt;"),""))</f>
        <v>0</v>
      </c>
      <c r="J36" s="38">
        <f>IF(A36="","",IFERROR(AVERAGEIFS('ثبت اطلاعات'!$CH$5:$CH$1204,'ثبت اطلاعات'!$C$5:$C$1204,A36,'ثبت اطلاعات'!$CL$5:$CL$1204,"&lt;&gt;"),""))</f>
        <v>0</v>
      </c>
      <c r="K36" s="38">
        <f>IF(A36="","",IFERROR(AVERAGEIFS('ثبت اطلاعات'!$CI$5:$CI$1204,'ثبت اطلاعات'!$C$5:$C$1204,A36,'ثبت اطلاعات'!$CL$5:$CL$1204,"&lt;&gt;"),""))</f>
        <v>0</v>
      </c>
      <c r="L36" s="38">
        <f>IF(A36="","",IFERROR(AVERAGEIFS('ثبت اطلاعات'!$CJ$5:$CJ$1204,'ثبت اطلاعات'!$C$5:$C$1204,A36,'ثبت اطلاعات'!$CL$5:$CL$1204,"&lt;&gt;"),""))</f>
        <v>0</v>
      </c>
      <c r="M36" s="38">
        <f>IF(A36="","",IFERROR(AVERAGEIFS('ثبت اطلاعات'!$CK$5:$CK$1204,'ثبت اطلاعات'!$C$5:$C$1204,A36,'ثبت اطلاعات'!$CL$5:$CL$1204,"&lt;&gt;"),""))</f>
        <v>0</v>
      </c>
      <c r="N36" s="38" t="str">
        <f>IF(A36="","",IFERROR(AVERAGEIFS('ثبت اطلاعات'!$CL$5:$CL$1204,'ثبت اطلاعات'!$C$5:$C$1204,A36,'ثبت اطلاعات'!$CL$5:$CL$1204,"&lt;&gt;"),""))</f>
        <v/>
      </c>
      <c r="O36" s="38">
        <f>IF(A36="","",COUNTIFS('ثبت اطلاعات'!$C$5:$C$1204,A36,'ثبت اطلاعات'!$CL$5:$CL$1204,"&lt;&gt;"))</f>
        <v>12</v>
      </c>
      <c r="P36" s="38" t="e">
        <f ca="1">IF(O36=0,"",_xludf.MINIFS('ثبت اطلاعات'!$CN$5:$CN$1204,'ثبت اطلاعات'!$C$5:$C$1204,A36,'ثبت اطلاعات'!$CL$5:$CL$1204,"&lt;&gt;"))</f>
        <v>#NAME?</v>
      </c>
      <c r="Q36" s="38" t="e">
        <f ca="1">IF(O36=0,"",_xludf.MAXIFS('ثبت اطلاعات'!$CN$5:$CN$1204,'ثبت اطلاعات'!$C$5:$C$1204,A36,'ثبت اطلاعات'!$CL$5:$CL$1204,"&lt;&gt;"))</f>
        <v>#NAME?</v>
      </c>
      <c r="R36" s="38">
        <f ca="1">IF(O36&lt;2,"",SUMIFS('ثبت اطلاعات'!$CL$5:$CL$1204,'ثبت اطلاعات'!$C$5:$C$1204,A36,'ثبت اطلاعات'!$CN$5:$CN$1204,Q36)-SUMIFS('ثبت اطلاعات'!$CL$5:$CL$1204,'ثبت اطلاعات'!$C$5:$C$1204,A36,'ثبت اطلاعات'!$CN$5:$CN$1204,P36))</f>
        <v>0</v>
      </c>
      <c r="S36" s="38" t="str">
        <f t="shared" ca="1" si="0"/>
        <v>ثبات</v>
      </c>
      <c r="T36" s="38" t="str">
        <f t="shared" si="1"/>
        <v/>
      </c>
      <c r="U36" s="38" t="str">
        <f t="shared" si="2"/>
        <v/>
      </c>
      <c r="V36" s="38" t="str">
        <f t="shared" si="3"/>
        <v/>
      </c>
      <c r="W36" s="38" t="str">
        <f>IF(N36="","",_xludf.RANK.EQ(N36,$N$5:$N$104,0))</f>
        <v/>
      </c>
      <c r="X36" s="38" t="str">
        <f t="shared" si="4"/>
        <v/>
      </c>
      <c r="Y36" s="28" t="str">
        <f>IF(U36="","",IFERROR(INDEX('بانک راهکارها'!$C$5:$C$13,MATCH(U36,'بانک راهکارها'!$B$5:$B$13,0)),""))</f>
        <v/>
      </c>
    </row>
    <row r="37" spans="1:25" ht="17.25">
      <c r="A37" s="33" t="str">
        <f>IF(دانش‌آموزان!L37="","",دانش‌آموزان!B37)</f>
        <v/>
      </c>
      <c r="B37" s="55" t="str">
        <f>IF(A37="","",دانش‌آموزان!C37)</f>
        <v/>
      </c>
      <c r="C37" s="55" t="str">
        <f>IF(A37="","",دانش‌آموزان!E37&amp;" "&amp;دانش‌آموزان!F37)</f>
        <v/>
      </c>
      <c r="D37" s="34" t="str">
        <f>IF(A37="","",دانش‌آموزان!I37)</f>
        <v/>
      </c>
      <c r="E37" s="27" t="str">
        <f>IF(A37="","",IFERROR(AVERAGEIFS('ثبت اطلاعات'!$CC$5:$CC$1204,'ثبت اطلاعات'!$C$5:$C$1204,A37,'ثبت اطلاعات'!$CL$5:$CL$1204,"&lt;&gt;"),""))</f>
        <v/>
      </c>
      <c r="F37" s="38" t="str">
        <f>IF(A37="","",IFERROR(AVERAGEIFS('ثبت اطلاعات'!$CD$5:$CD$1204,'ثبت اطلاعات'!$C$5:$C$1204,A37,'ثبت اطلاعات'!$CL$5:$CL$1204,"&lt;&gt;"),""))</f>
        <v/>
      </c>
      <c r="G37" s="38" t="str">
        <f>IF(A37="","",IFERROR(AVERAGEIFS('ثبت اطلاعات'!$CE$5:$CE$1204,'ثبت اطلاعات'!$C$5:$C$1204,A37,'ثبت اطلاعات'!$CL$5:$CL$1204,"&lt;&gt;"),""))</f>
        <v/>
      </c>
      <c r="H37" s="38" t="str">
        <f>IF(A37="","",IFERROR(AVERAGEIFS('ثبت اطلاعات'!$CF$5:$CF$1204,'ثبت اطلاعات'!$C$5:$C$1204,A37,'ثبت اطلاعات'!$CL$5:$CL$1204,"&lt;&gt;"),""))</f>
        <v/>
      </c>
      <c r="I37" s="38" t="str">
        <f>IF(A37="","",IFERROR(AVERAGEIFS('ثبت اطلاعات'!$CG$5:$CG$1204,'ثبت اطلاعات'!$C$5:$C$1204,A37,'ثبت اطلاعات'!$CL$5:$CL$1204,"&lt;&gt;"),""))</f>
        <v/>
      </c>
      <c r="J37" s="38" t="str">
        <f>IF(A37="","",IFERROR(AVERAGEIFS('ثبت اطلاعات'!$CH$5:$CH$1204,'ثبت اطلاعات'!$C$5:$C$1204,A37,'ثبت اطلاعات'!$CL$5:$CL$1204,"&lt;&gt;"),""))</f>
        <v/>
      </c>
      <c r="K37" s="38" t="str">
        <f>IF(A37="","",IFERROR(AVERAGEIFS('ثبت اطلاعات'!$CI$5:$CI$1204,'ثبت اطلاعات'!$C$5:$C$1204,A37,'ثبت اطلاعات'!$CL$5:$CL$1204,"&lt;&gt;"),""))</f>
        <v/>
      </c>
      <c r="L37" s="38" t="str">
        <f>IF(A37="","",IFERROR(AVERAGEIFS('ثبت اطلاعات'!$CJ$5:$CJ$1204,'ثبت اطلاعات'!$C$5:$C$1204,A37,'ثبت اطلاعات'!$CL$5:$CL$1204,"&lt;&gt;"),""))</f>
        <v/>
      </c>
      <c r="M37" s="38" t="str">
        <f>IF(A37="","",IFERROR(AVERAGEIFS('ثبت اطلاعات'!$CK$5:$CK$1204,'ثبت اطلاعات'!$C$5:$C$1204,A37,'ثبت اطلاعات'!$CL$5:$CL$1204,"&lt;&gt;"),""))</f>
        <v/>
      </c>
      <c r="N37" s="38" t="str">
        <f>IF(A37="","",IFERROR(AVERAGEIFS('ثبت اطلاعات'!$CL$5:$CL$1204,'ثبت اطلاعات'!$C$5:$C$1204,A37,'ثبت اطلاعات'!$CL$5:$CL$1204,"&lt;&gt;"),""))</f>
        <v/>
      </c>
      <c r="O37" s="38" t="str">
        <f>IF(A37="","",COUNTIFS('ثبت اطلاعات'!$C$5:$C$1204,A37,'ثبت اطلاعات'!$CL$5:$CL$1204,"&lt;&gt;"))</f>
        <v/>
      </c>
      <c r="P37" s="38" t="e">
        <f ca="1">IF(O37=0,"",_xludf.MINIFS('ثبت اطلاعات'!$CN$5:$CN$1204,'ثبت اطلاعات'!$C$5:$C$1204,A37,'ثبت اطلاعات'!$CL$5:$CL$1204,"&lt;&gt;"))</f>
        <v>#NAME?</v>
      </c>
      <c r="Q37" s="38" t="e">
        <f ca="1">IF(O37=0,"",_xludf.MAXIFS('ثبت اطلاعات'!$CN$5:$CN$1204,'ثبت اطلاعات'!$C$5:$C$1204,A37,'ثبت اطلاعات'!$CL$5:$CL$1204,"&lt;&gt;"))</f>
        <v>#NAME?</v>
      </c>
      <c r="R37" s="38">
        <f ca="1">IF(O37&lt;2,"",SUMIFS('ثبت اطلاعات'!$CL$5:$CL$1204,'ثبت اطلاعات'!$C$5:$C$1204,A37,'ثبت اطلاعات'!$CN$5:$CN$1204,Q37)-SUMIFS('ثبت اطلاعات'!$CL$5:$CL$1204,'ثبت اطلاعات'!$C$5:$C$1204,A37,'ثبت اطلاعات'!$CN$5:$CN$1204,P37))</f>
        <v>0</v>
      </c>
      <c r="S37" s="38" t="str">
        <f t="shared" ref="S37:S68" si="5">IF(A37="","",IF(O37=0,"فاقد ارزیابی نهایی",IF(O37=1,"داده ناکافی",IF(R37&gt;0.5,"پیشرفت",IF(R37&lt;-0.5,"افت","ثبات")))))</f>
        <v/>
      </c>
      <c r="T37" s="38" t="str">
        <f t="shared" ref="T37:T68" si="6">IF(N37="","",INDEX($E$4:$M$4,1,MATCH(MAX(E37:M37),E37:M37,0)))</f>
        <v/>
      </c>
      <c r="U37" s="38" t="str">
        <f t="shared" ref="U37:U68" si="7">IF(N37="","",INDEX($E$4:$M$4,1,MATCH(MIN(E37:M37),E37:M37,0)))</f>
        <v/>
      </c>
      <c r="V37" s="38" t="str">
        <f t="shared" ref="V37:V68" si="8">IF(N37="","",IF(N37&gt;=17,"عالی",IF(N37&gt;=14,"خوب",IF(N37&gt;=10,"متوسط","ضعیف"))))</f>
        <v/>
      </c>
      <c r="W37" s="38" t="str">
        <f>IF(N37="","",_xludf.RANK.EQ(N37,$N$5:$N$104,0))</f>
        <v/>
      </c>
      <c r="X37" s="38" t="str">
        <f t="shared" ref="X37:X68" si="9">IF(N37="","",COUNT($N$5:$N$104))</f>
        <v/>
      </c>
      <c r="Y37" s="28" t="str">
        <f>IF(U37="","",IFERROR(INDEX('بانک راهکارها'!$C$5:$C$13,MATCH(U37,'بانک راهکارها'!$B$5:$B$13,0)),""))</f>
        <v/>
      </c>
    </row>
    <row r="38" spans="1:25" ht="17.25">
      <c r="A38" s="33" t="str">
        <f>IF(دانش‌آموزان!L38="","",دانش‌آموزان!B38)</f>
        <v/>
      </c>
      <c r="B38" s="55" t="str">
        <f>IF(A38="","",دانش‌آموزان!C38)</f>
        <v/>
      </c>
      <c r="C38" s="55" t="str">
        <f>IF(A38="","",دانش‌آموزان!E38&amp;" "&amp;دانش‌آموزان!F38)</f>
        <v/>
      </c>
      <c r="D38" s="34" t="str">
        <f>IF(A38="","",دانش‌آموزان!I38)</f>
        <v/>
      </c>
      <c r="E38" s="27" t="str">
        <f>IF(A38="","",IFERROR(AVERAGEIFS('ثبت اطلاعات'!$CC$5:$CC$1204,'ثبت اطلاعات'!$C$5:$C$1204,A38,'ثبت اطلاعات'!$CL$5:$CL$1204,"&lt;&gt;"),""))</f>
        <v/>
      </c>
      <c r="F38" s="38" t="str">
        <f>IF(A38="","",IFERROR(AVERAGEIFS('ثبت اطلاعات'!$CD$5:$CD$1204,'ثبت اطلاعات'!$C$5:$C$1204,A38,'ثبت اطلاعات'!$CL$5:$CL$1204,"&lt;&gt;"),""))</f>
        <v/>
      </c>
      <c r="G38" s="38" t="str">
        <f>IF(A38="","",IFERROR(AVERAGEIFS('ثبت اطلاعات'!$CE$5:$CE$1204,'ثبت اطلاعات'!$C$5:$C$1204,A38,'ثبت اطلاعات'!$CL$5:$CL$1204,"&lt;&gt;"),""))</f>
        <v/>
      </c>
      <c r="H38" s="38" t="str">
        <f>IF(A38="","",IFERROR(AVERAGEIFS('ثبت اطلاعات'!$CF$5:$CF$1204,'ثبت اطلاعات'!$C$5:$C$1204,A38,'ثبت اطلاعات'!$CL$5:$CL$1204,"&lt;&gt;"),""))</f>
        <v/>
      </c>
      <c r="I38" s="38" t="str">
        <f>IF(A38="","",IFERROR(AVERAGEIFS('ثبت اطلاعات'!$CG$5:$CG$1204,'ثبت اطلاعات'!$C$5:$C$1204,A38,'ثبت اطلاعات'!$CL$5:$CL$1204,"&lt;&gt;"),""))</f>
        <v/>
      </c>
      <c r="J38" s="38" t="str">
        <f>IF(A38="","",IFERROR(AVERAGEIFS('ثبت اطلاعات'!$CH$5:$CH$1204,'ثبت اطلاعات'!$C$5:$C$1204,A38,'ثبت اطلاعات'!$CL$5:$CL$1204,"&lt;&gt;"),""))</f>
        <v/>
      </c>
      <c r="K38" s="38" t="str">
        <f>IF(A38="","",IFERROR(AVERAGEIFS('ثبت اطلاعات'!$CI$5:$CI$1204,'ثبت اطلاعات'!$C$5:$C$1204,A38,'ثبت اطلاعات'!$CL$5:$CL$1204,"&lt;&gt;"),""))</f>
        <v/>
      </c>
      <c r="L38" s="38" t="str">
        <f>IF(A38="","",IFERROR(AVERAGEIFS('ثبت اطلاعات'!$CJ$5:$CJ$1204,'ثبت اطلاعات'!$C$5:$C$1204,A38,'ثبت اطلاعات'!$CL$5:$CL$1204,"&lt;&gt;"),""))</f>
        <v/>
      </c>
      <c r="M38" s="38" t="str">
        <f>IF(A38="","",IFERROR(AVERAGEIFS('ثبت اطلاعات'!$CK$5:$CK$1204,'ثبت اطلاعات'!$C$5:$C$1204,A38,'ثبت اطلاعات'!$CL$5:$CL$1204,"&lt;&gt;"),""))</f>
        <v/>
      </c>
      <c r="N38" s="38" t="str">
        <f>IF(A38="","",IFERROR(AVERAGEIFS('ثبت اطلاعات'!$CL$5:$CL$1204,'ثبت اطلاعات'!$C$5:$C$1204,A38,'ثبت اطلاعات'!$CL$5:$CL$1204,"&lt;&gt;"),""))</f>
        <v/>
      </c>
      <c r="O38" s="38" t="str">
        <f>IF(A38="","",COUNTIFS('ثبت اطلاعات'!$C$5:$C$1204,A38,'ثبت اطلاعات'!$CL$5:$CL$1204,"&lt;&gt;"))</f>
        <v/>
      </c>
      <c r="P38" s="38" t="e">
        <f ca="1">IF(O38=0,"",_xludf.MINIFS('ثبت اطلاعات'!$CN$5:$CN$1204,'ثبت اطلاعات'!$C$5:$C$1204,A38,'ثبت اطلاعات'!$CL$5:$CL$1204,"&lt;&gt;"))</f>
        <v>#NAME?</v>
      </c>
      <c r="Q38" s="38" t="e">
        <f ca="1">IF(O38=0,"",_xludf.MAXIFS('ثبت اطلاعات'!$CN$5:$CN$1204,'ثبت اطلاعات'!$C$5:$C$1204,A38,'ثبت اطلاعات'!$CL$5:$CL$1204,"&lt;&gt;"))</f>
        <v>#NAME?</v>
      </c>
      <c r="R38" s="38">
        <f ca="1">IF(O38&lt;2,"",SUMIFS('ثبت اطلاعات'!$CL$5:$CL$1204,'ثبت اطلاعات'!$C$5:$C$1204,A38,'ثبت اطلاعات'!$CN$5:$CN$1204,Q38)-SUMIFS('ثبت اطلاعات'!$CL$5:$CL$1204,'ثبت اطلاعات'!$C$5:$C$1204,A38,'ثبت اطلاعات'!$CN$5:$CN$1204,P38))</f>
        <v>0</v>
      </c>
      <c r="S38" s="38" t="str">
        <f t="shared" si="5"/>
        <v/>
      </c>
      <c r="T38" s="38" t="str">
        <f t="shared" si="6"/>
        <v/>
      </c>
      <c r="U38" s="38" t="str">
        <f t="shared" si="7"/>
        <v/>
      </c>
      <c r="V38" s="38" t="str">
        <f t="shared" si="8"/>
        <v/>
      </c>
      <c r="W38" s="38" t="str">
        <f>IF(N38="","",_xludf.RANK.EQ(N38,$N$5:$N$104,0))</f>
        <v/>
      </c>
      <c r="X38" s="38" t="str">
        <f t="shared" si="9"/>
        <v/>
      </c>
      <c r="Y38" s="28" t="str">
        <f>IF(U38="","",IFERROR(INDEX('بانک راهکارها'!$C$5:$C$13,MATCH(U38,'بانک راهکارها'!$B$5:$B$13,0)),""))</f>
        <v/>
      </c>
    </row>
    <row r="39" spans="1:25" ht="17.25">
      <c r="A39" s="33" t="str">
        <f>IF(دانش‌آموزان!L39="","",دانش‌آموزان!B39)</f>
        <v/>
      </c>
      <c r="B39" s="55" t="str">
        <f>IF(A39="","",دانش‌آموزان!C39)</f>
        <v/>
      </c>
      <c r="C39" s="55" t="str">
        <f>IF(A39="","",دانش‌آموزان!E39&amp;" "&amp;دانش‌آموزان!F39)</f>
        <v/>
      </c>
      <c r="D39" s="34" t="str">
        <f>IF(A39="","",دانش‌آموزان!I39)</f>
        <v/>
      </c>
      <c r="E39" s="27" t="str">
        <f>IF(A39="","",IFERROR(AVERAGEIFS('ثبت اطلاعات'!$CC$5:$CC$1204,'ثبت اطلاعات'!$C$5:$C$1204,A39,'ثبت اطلاعات'!$CL$5:$CL$1204,"&lt;&gt;"),""))</f>
        <v/>
      </c>
      <c r="F39" s="38" t="str">
        <f>IF(A39="","",IFERROR(AVERAGEIFS('ثبت اطلاعات'!$CD$5:$CD$1204,'ثبت اطلاعات'!$C$5:$C$1204,A39,'ثبت اطلاعات'!$CL$5:$CL$1204,"&lt;&gt;"),""))</f>
        <v/>
      </c>
      <c r="G39" s="38" t="str">
        <f>IF(A39="","",IFERROR(AVERAGEIFS('ثبت اطلاعات'!$CE$5:$CE$1204,'ثبت اطلاعات'!$C$5:$C$1204,A39,'ثبت اطلاعات'!$CL$5:$CL$1204,"&lt;&gt;"),""))</f>
        <v/>
      </c>
      <c r="H39" s="38" t="str">
        <f>IF(A39="","",IFERROR(AVERAGEIFS('ثبت اطلاعات'!$CF$5:$CF$1204,'ثبت اطلاعات'!$C$5:$C$1204,A39,'ثبت اطلاعات'!$CL$5:$CL$1204,"&lt;&gt;"),""))</f>
        <v/>
      </c>
      <c r="I39" s="38" t="str">
        <f>IF(A39="","",IFERROR(AVERAGEIFS('ثبت اطلاعات'!$CG$5:$CG$1204,'ثبت اطلاعات'!$C$5:$C$1204,A39,'ثبت اطلاعات'!$CL$5:$CL$1204,"&lt;&gt;"),""))</f>
        <v/>
      </c>
      <c r="J39" s="38" t="str">
        <f>IF(A39="","",IFERROR(AVERAGEIFS('ثبت اطلاعات'!$CH$5:$CH$1204,'ثبت اطلاعات'!$C$5:$C$1204,A39,'ثبت اطلاعات'!$CL$5:$CL$1204,"&lt;&gt;"),""))</f>
        <v/>
      </c>
      <c r="K39" s="38" t="str">
        <f>IF(A39="","",IFERROR(AVERAGEIFS('ثبت اطلاعات'!$CI$5:$CI$1204,'ثبت اطلاعات'!$C$5:$C$1204,A39,'ثبت اطلاعات'!$CL$5:$CL$1204,"&lt;&gt;"),""))</f>
        <v/>
      </c>
      <c r="L39" s="38" t="str">
        <f>IF(A39="","",IFERROR(AVERAGEIFS('ثبت اطلاعات'!$CJ$5:$CJ$1204,'ثبت اطلاعات'!$C$5:$C$1204,A39,'ثبت اطلاعات'!$CL$5:$CL$1204,"&lt;&gt;"),""))</f>
        <v/>
      </c>
      <c r="M39" s="38" t="str">
        <f>IF(A39="","",IFERROR(AVERAGEIFS('ثبت اطلاعات'!$CK$5:$CK$1204,'ثبت اطلاعات'!$C$5:$C$1204,A39,'ثبت اطلاعات'!$CL$5:$CL$1204,"&lt;&gt;"),""))</f>
        <v/>
      </c>
      <c r="N39" s="38" t="str">
        <f>IF(A39="","",IFERROR(AVERAGEIFS('ثبت اطلاعات'!$CL$5:$CL$1204,'ثبت اطلاعات'!$C$5:$C$1204,A39,'ثبت اطلاعات'!$CL$5:$CL$1204,"&lt;&gt;"),""))</f>
        <v/>
      </c>
      <c r="O39" s="38" t="str">
        <f>IF(A39="","",COUNTIFS('ثبت اطلاعات'!$C$5:$C$1204,A39,'ثبت اطلاعات'!$CL$5:$CL$1204,"&lt;&gt;"))</f>
        <v/>
      </c>
      <c r="P39" s="38" t="e">
        <f ca="1">IF(O39=0,"",_xludf.MINIFS('ثبت اطلاعات'!$CN$5:$CN$1204,'ثبت اطلاعات'!$C$5:$C$1204,A39,'ثبت اطلاعات'!$CL$5:$CL$1204,"&lt;&gt;"))</f>
        <v>#NAME?</v>
      </c>
      <c r="Q39" s="38" t="e">
        <f ca="1">IF(O39=0,"",_xludf.MAXIFS('ثبت اطلاعات'!$CN$5:$CN$1204,'ثبت اطلاعات'!$C$5:$C$1204,A39,'ثبت اطلاعات'!$CL$5:$CL$1204,"&lt;&gt;"))</f>
        <v>#NAME?</v>
      </c>
      <c r="R39" s="38">
        <f ca="1">IF(O39&lt;2,"",SUMIFS('ثبت اطلاعات'!$CL$5:$CL$1204,'ثبت اطلاعات'!$C$5:$C$1204,A39,'ثبت اطلاعات'!$CN$5:$CN$1204,Q39)-SUMIFS('ثبت اطلاعات'!$CL$5:$CL$1204,'ثبت اطلاعات'!$C$5:$C$1204,A39,'ثبت اطلاعات'!$CN$5:$CN$1204,P39))</f>
        <v>0</v>
      </c>
      <c r="S39" s="38" t="str">
        <f t="shared" si="5"/>
        <v/>
      </c>
      <c r="T39" s="38" t="str">
        <f t="shared" si="6"/>
        <v/>
      </c>
      <c r="U39" s="38" t="str">
        <f t="shared" si="7"/>
        <v/>
      </c>
      <c r="V39" s="38" t="str">
        <f t="shared" si="8"/>
        <v/>
      </c>
      <c r="W39" s="38" t="str">
        <f>IF(N39="","",_xludf.RANK.EQ(N39,$N$5:$N$104,0))</f>
        <v/>
      </c>
      <c r="X39" s="38" t="str">
        <f t="shared" si="9"/>
        <v/>
      </c>
      <c r="Y39" s="28" t="str">
        <f>IF(U39="","",IFERROR(INDEX('بانک راهکارها'!$C$5:$C$13,MATCH(U39,'بانک راهکارها'!$B$5:$B$13,0)),""))</f>
        <v/>
      </c>
    </row>
    <row r="40" spans="1:25" ht="17.25">
      <c r="A40" s="33" t="str">
        <f>IF(دانش‌آموزان!L40="","",دانش‌آموزان!B40)</f>
        <v/>
      </c>
      <c r="B40" s="55" t="str">
        <f>IF(A40="","",دانش‌آموزان!C40)</f>
        <v/>
      </c>
      <c r="C40" s="55" t="str">
        <f>IF(A40="","",دانش‌آموزان!E40&amp;" "&amp;دانش‌آموزان!F40)</f>
        <v/>
      </c>
      <c r="D40" s="34" t="str">
        <f>IF(A40="","",دانش‌آموزان!I40)</f>
        <v/>
      </c>
      <c r="E40" s="27" t="str">
        <f>IF(A40="","",IFERROR(AVERAGEIFS('ثبت اطلاعات'!$CC$5:$CC$1204,'ثبت اطلاعات'!$C$5:$C$1204,A40,'ثبت اطلاعات'!$CL$5:$CL$1204,"&lt;&gt;"),""))</f>
        <v/>
      </c>
      <c r="F40" s="38" t="str">
        <f>IF(A40="","",IFERROR(AVERAGEIFS('ثبت اطلاعات'!$CD$5:$CD$1204,'ثبت اطلاعات'!$C$5:$C$1204,A40,'ثبت اطلاعات'!$CL$5:$CL$1204,"&lt;&gt;"),""))</f>
        <v/>
      </c>
      <c r="G40" s="38" t="str">
        <f>IF(A40="","",IFERROR(AVERAGEIFS('ثبت اطلاعات'!$CE$5:$CE$1204,'ثبت اطلاعات'!$C$5:$C$1204,A40,'ثبت اطلاعات'!$CL$5:$CL$1204,"&lt;&gt;"),""))</f>
        <v/>
      </c>
      <c r="H40" s="38" t="str">
        <f>IF(A40="","",IFERROR(AVERAGEIFS('ثبت اطلاعات'!$CF$5:$CF$1204,'ثبت اطلاعات'!$C$5:$C$1204,A40,'ثبت اطلاعات'!$CL$5:$CL$1204,"&lt;&gt;"),""))</f>
        <v/>
      </c>
      <c r="I40" s="38" t="str">
        <f>IF(A40="","",IFERROR(AVERAGEIFS('ثبت اطلاعات'!$CG$5:$CG$1204,'ثبت اطلاعات'!$C$5:$C$1204,A40,'ثبت اطلاعات'!$CL$5:$CL$1204,"&lt;&gt;"),""))</f>
        <v/>
      </c>
      <c r="J40" s="38" t="str">
        <f>IF(A40="","",IFERROR(AVERAGEIFS('ثبت اطلاعات'!$CH$5:$CH$1204,'ثبت اطلاعات'!$C$5:$C$1204,A40,'ثبت اطلاعات'!$CL$5:$CL$1204,"&lt;&gt;"),""))</f>
        <v/>
      </c>
      <c r="K40" s="38" t="str">
        <f>IF(A40="","",IFERROR(AVERAGEIFS('ثبت اطلاعات'!$CI$5:$CI$1204,'ثبت اطلاعات'!$C$5:$C$1204,A40,'ثبت اطلاعات'!$CL$5:$CL$1204,"&lt;&gt;"),""))</f>
        <v/>
      </c>
      <c r="L40" s="38" t="str">
        <f>IF(A40="","",IFERROR(AVERAGEIFS('ثبت اطلاعات'!$CJ$5:$CJ$1204,'ثبت اطلاعات'!$C$5:$C$1204,A40,'ثبت اطلاعات'!$CL$5:$CL$1204,"&lt;&gt;"),""))</f>
        <v/>
      </c>
      <c r="M40" s="38" t="str">
        <f>IF(A40="","",IFERROR(AVERAGEIFS('ثبت اطلاعات'!$CK$5:$CK$1204,'ثبت اطلاعات'!$C$5:$C$1204,A40,'ثبت اطلاعات'!$CL$5:$CL$1204,"&lt;&gt;"),""))</f>
        <v/>
      </c>
      <c r="N40" s="38" t="str">
        <f>IF(A40="","",IFERROR(AVERAGEIFS('ثبت اطلاعات'!$CL$5:$CL$1204,'ثبت اطلاعات'!$C$5:$C$1204,A40,'ثبت اطلاعات'!$CL$5:$CL$1204,"&lt;&gt;"),""))</f>
        <v/>
      </c>
      <c r="O40" s="38" t="str">
        <f>IF(A40="","",COUNTIFS('ثبت اطلاعات'!$C$5:$C$1204,A40,'ثبت اطلاعات'!$CL$5:$CL$1204,"&lt;&gt;"))</f>
        <v/>
      </c>
      <c r="P40" s="38" t="e">
        <f ca="1">IF(O40=0,"",_xludf.MINIFS('ثبت اطلاعات'!$CN$5:$CN$1204,'ثبت اطلاعات'!$C$5:$C$1204,A40,'ثبت اطلاعات'!$CL$5:$CL$1204,"&lt;&gt;"))</f>
        <v>#NAME?</v>
      </c>
      <c r="Q40" s="38" t="e">
        <f ca="1">IF(O40=0,"",_xludf.MAXIFS('ثبت اطلاعات'!$CN$5:$CN$1204,'ثبت اطلاعات'!$C$5:$C$1204,A40,'ثبت اطلاعات'!$CL$5:$CL$1204,"&lt;&gt;"))</f>
        <v>#NAME?</v>
      </c>
      <c r="R40" s="38">
        <f ca="1">IF(O40&lt;2,"",SUMIFS('ثبت اطلاعات'!$CL$5:$CL$1204,'ثبت اطلاعات'!$C$5:$C$1204,A40,'ثبت اطلاعات'!$CN$5:$CN$1204,Q40)-SUMIFS('ثبت اطلاعات'!$CL$5:$CL$1204,'ثبت اطلاعات'!$C$5:$C$1204,A40,'ثبت اطلاعات'!$CN$5:$CN$1204,P40))</f>
        <v>0</v>
      </c>
      <c r="S40" s="38" t="str">
        <f t="shared" si="5"/>
        <v/>
      </c>
      <c r="T40" s="38" t="str">
        <f t="shared" si="6"/>
        <v/>
      </c>
      <c r="U40" s="38" t="str">
        <f t="shared" si="7"/>
        <v/>
      </c>
      <c r="V40" s="38" t="str">
        <f t="shared" si="8"/>
        <v/>
      </c>
      <c r="W40" s="38" t="str">
        <f>IF(N40="","",_xludf.RANK.EQ(N40,$N$5:$N$104,0))</f>
        <v/>
      </c>
      <c r="X40" s="38" t="str">
        <f t="shared" si="9"/>
        <v/>
      </c>
      <c r="Y40" s="28" t="str">
        <f>IF(U40="","",IFERROR(INDEX('بانک راهکارها'!$C$5:$C$13,MATCH(U40,'بانک راهکارها'!$B$5:$B$13,0)),""))</f>
        <v/>
      </c>
    </row>
    <row r="41" spans="1:25" ht="17.25">
      <c r="A41" s="33" t="str">
        <f>IF(دانش‌آموزان!L41="","",دانش‌آموزان!B41)</f>
        <v/>
      </c>
      <c r="B41" s="55" t="str">
        <f>IF(A41="","",دانش‌آموزان!C41)</f>
        <v/>
      </c>
      <c r="C41" s="55" t="str">
        <f>IF(A41="","",دانش‌آموزان!E41&amp;" "&amp;دانش‌آموزان!F41)</f>
        <v/>
      </c>
      <c r="D41" s="34" t="str">
        <f>IF(A41="","",دانش‌آموزان!I41)</f>
        <v/>
      </c>
      <c r="E41" s="27" t="str">
        <f>IF(A41="","",IFERROR(AVERAGEIFS('ثبت اطلاعات'!$CC$5:$CC$1204,'ثبت اطلاعات'!$C$5:$C$1204,A41,'ثبت اطلاعات'!$CL$5:$CL$1204,"&lt;&gt;"),""))</f>
        <v/>
      </c>
      <c r="F41" s="38" t="str">
        <f>IF(A41="","",IFERROR(AVERAGEIFS('ثبت اطلاعات'!$CD$5:$CD$1204,'ثبت اطلاعات'!$C$5:$C$1204,A41,'ثبت اطلاعات'!$CL$5:$CL$1204,"&lt;&gt;"),""))</f>
        <v/>
      </c>
      <c r="G41" s="38" t="str">
        <f>IF(A41="","",IFERROR(AVERAGEIFS('ثبت اطلاعات'!$CE$5:$CE$1204,'ثبت اطلاعات'!$C$5:$C$1204,A41,'ثبت اطلاعات'!$CL$5:$CL$1204,"&lt;&gt;"),""))</f>
        <v/>
      </c>
      <c r="H41" s="38" t="str">
        <f>IF(A41="","",IFERROR(AVERAGEIFS('ثبت اطلاعات'!$CF$5:$CF$1204,'ثبت اطلاعات'!$C$5:$C$1204,A41,'ثبت اطلاعات'!$CL$5:$CL$1204,"&lt;&gt;"),""))</f>
        <v/>
      </c>
      <c r="I41" s="38" t="str">
        <f>IF(A41="","",IFERROR(AVERAGEIFS('ثبت اطلاعات'!$CG$5:$CG$1204,'ثبت اطلاعات'!$C$5:$C$1204,A41,'ثبت اطلاعات'!$CL$5:$CL$1204,"&lt;&gt;"),""))</f>
        <v/>
      </c>
      <c r="J41" s="38" t="str">
        <f>IF(A41="","",IFERROR(AVERAGEIFS('ثبت اطلاعات'!$CH$5:$CH$1204,'ثبت اطلاعات'!$C$5:$C$1204,A41,'ثبت اطلاعات'!$CL$5:$CL$1204,"&lt;&gt;"),""))</f>
        <v/>
      </c>
      <c r="K41" s="38" t="str">
        <f>IF(A41="","",IFERROR(AVERAGEIFS('ثبت اطلاعات'!$CI$5:$CI$1204,'ثبت اطلاعات'!$C$5:$C$1204,A41,'ثبت اطلاعات'!$CL$5:$CL$1204,"&lt;&gt;"),""))</f>
        <v/>
      </c>
      <c r="L41" s="38" t="str">
        <f>IF(A41="","",IFERROR(AVERAGEIFS('ثبت اطلاعات'!$CJ$5:$CJ$1204,'ثبت اطلاعات'!$C$5:$C$1204,A41,'ثبت اطلاعات'!$CL$5:$CL$1204,"&lt;&gt;"),""))</f>
        <v/>
      </c>
      <c r="M41" s="38" t="str">
        <f>IF(A41="","",IFERROR(AVERAGEIFS('ثبت اطلاعات'!$CK$5:$CK$1204,'ثبت اطلاعات'!$C$5:$C$1204,A41,'ثبت اطلاعات'!$CL$5:$CL$1204,"&lt;&gt;"),""))</f>
        <v/>
      </c>
      <c r="N41" s="38" t="str">
        <f>IF(A41="","",IFERROR(AVERAGEIFS('ثبت اطلاعات'!$CL$5:$CL$1204,'ثبت اطلاعات'!$C$5:$C$1204,A41,'ثبت اطلاعات'!$CL$5:$CL$1204,"&lt;&gt;"),""))</f>
        <v/>
      </c>
      <c r="O41" s="38" t="str">
        <f>IF(A41="","",COUNTIFS('ثبت اطلاعات'!$C$5:$C$1204,A41,'ثبت اطلاعات'!$CL$5:$CL$1204,"&lt;&gt;"))</f>
        <v/>
      </c>
      <c r="P41" s="38" t="e">
        <f ca="1">IF(O41=0,"",_xludf.MINIFS('ثبت اطلاعات'!$CN$5:$CN$1204,'ثبت اطلاعات'!$C$5:$C$1204,A41,'ثبت اطلاعات'!$CL$5:$CL$1204,"&lt;&gt;"))</f>
        <v>#NAME?</v>
      </c>
      <c r="Q41" s="38" t="e">
        <f ca="1">IF(O41=0,"",_xludf.MAXIFS('ثبت اطلاعات'!$CN$5:$CN$1204,'ثبت اطلاعات'!$C$5:$C$1204,A41,'ثبت اطلاعات'!$CL$5:$CL$1204,"&lt;&gt;"))</f>
        <v>#NAME?</v>
      </c>
      <c r="R41" s="38">
        <f ca="1">IF(O41&lt;2,"",SUMIFS('ثبت اطلاعات'!$CL$5:$CL$1204,'ثبت اطلاعات'!$C$5:$C$1204,A41,'ثبت اطلاعات'!$CN$5:$CN$1204,Q41)-SUMIFS('ثبت اطلاعات'!$CL$5:$CL$1204,'ثبت اطلاعات'!$C$5:$C$1204,A41,'ثبت اطلاعات'!$CN$5:$CN$1204,P41))</f>
        <v>0</v>
      </c>
      <c r="S41" s="38" t="str">
        <f t="shared" si="5"/>
        <v/>
      </c>
      <c r="T41" s="38" t="str">
        <f t="shared" si="6"/>
        <v/>
      </c>
      <c r="U41" s="38" t="str">
        <f t="shared" si="7"/>
        <v/>
      </c>
      <c r="V41" s="38" t="str">
        <f t="shared" si="8"/>
        <v/>
      </c>
      <c r="W41" s="38" t="str">
        <f>IF(N41="","",_xludf.RANK.EQ(N41,$N$5:$N$104,0))</f>
        <v/>
      </c>
      <c r="X41" s="38" t="str">
        <f t="shared" si="9"/>
        <v/>
      </c>
      <c r="Y41" s="28" t="str">
        <f>IF(U41="","",IFERROR(INDEX('بانک راهکارها'!$C$5:$C$13,MATCH(U41,'بانک راهکارها'!$B$5:$B$13,0)),""))</f>
        <v/>
      </c>
    </row>
    <row r="42" spans="1:25" ht="17.25">
      <c r="A42" s="33" t="str">
        <f>IF(دانش‌آموزان!L42="","",دانش‌آموزان!B42)</f>
        <v/>
      </c>
      <c r="B42" s="55" t="str">
        <f>IF(A42="","",دانش‌آموزان!C42)</f>
        <v/>
      </c>
      <c r="C42" s="55" t="str">
        <f>IF(A42="","",دانش‌آموزان!E42&amp;" "&amp;دانش‌آموزان!F42)</f>
        <v/>
      </c>
      <c r="D42" s="34" t="str">
        <f>IF(A42="","",دانش‌آموزان!I42)</f>
        <v/>
      </c>
      <c r="E42" s="27" t="str">
        <f>IF(A42="","",IFERROR(AVERAGEIFS('ثبت اطلاعات'!$CC$5:$CC$1204,'ثبت اطلاعات'!$C$5:$C$1204,A42,'ثبت اطلاعات'!$CL$5:$CL$1204,"&lt;&gt;"),""))</f>
        <v/>
      </c>
      <c r="F42" s="38" t="str">
        <f>IF(A42="","",IFERROR(AVERAGEIFS('ثبت اطلاعات'!$CD$5:$CD$1204,'ثبت اطلاعات'!$C$5:$C$1204,A42,'ثبت اطلاعات'!$CL$5:$CL$1204,"&lt;&gt;"),""))</f>
        <v/>
      </c>
      <c r="G42" s="38" t="str">
        <f>IF(A42="","",IFERROR(AVERAGEIFS('ثبت اطلاعات'!$CE$5:$CE$1204,'ثبت اطلاعات'!$C$5:$C$1204,A42,'ثبت اطلاعات'!$CL$5:$CL$1204,"&lt;&gt;"),""))</f>
        <v/>
      </c>
      <c r="H42" s="38" t="str">
        <f>IF(A42="","",IFERROR(AVERAGEIFS('ثبت اطلاعات'!$CF$5:$CF$1204,'ثبت اطلاعات'!$C$5:$C$1204,A42,'ثبت اطلاعات'!$CL$5:$CL$1204,"&lt;&gt;"),""))</f>
        <v/>
      </c>
      <c r="I42" s="38" t="str">
        <f>IF(A42="","",IFERROR(AVERAGEIFS('ثبت اطلاعات'!$CG$5:$CG$1204,'ثبت اطلاعات'!$C$5:$C$1204,A42,'ثبت اطلاعات'!$CL$5:$CL$1204,"&lt;&gt;"),""))</f>
        <v/>
      </c>
      <c r="J42" s="38" t="str">
        <f>IF(A42="","",IFERROR(AVERAGEIFS('ثبت اطلاعات'!$CH$5:$CH$1204,'ثبت اطلاعات'!$C$5:$C$1204,A42,'ثبت اطلاعات'!$CL$5:$CL$1204,"&lt;&gt;"),""))</f>
        <v/>
      </c>
      <c r="K42" s="38" t="str">
        <f>IF(A42="","",IFERROR(AVERAGEIFS('ثبت اطلاعات'!$CI$5:$CI$1204,'ثبت اطلاعات'!$C$5:$C$1204,A42,'ثبت اطلاعات'!$CL$5:$CL$1204,"&lt;&gt;"),""))</f>
        <v/>
      </c>
      <c r="L42" s="38" t="str">
        <f>IF(A42="","",IFERROR(AVERAGEIFS('ثبت اطلاعات'!$CJ$5:$CJ$1204,'ثبت اطلاعات'!$C$5:$C$1204,A42,'ثبت اطلاعات'!$CL$5:$CL$1204,"&lt;&gt;"),""))</f>
        <v/>
      </c>
      <c r="M42" s="38" t="str">
        <f>IF(A42="","",IFERROR(AVERAGEIFS('ثبت اطلاعات'!$CK$5:$CK$1204,'ثبت اطلاعات'!$C$5:$C$1204,A42,'ثبت اطلاعات'!$CL$5:$CL$1204,"&lt;&gt;"),""))</f>
        <v/>
      </c>
      <c r="N42" s="38" t="str">
        <f>IF(A42="","",IFERROR(AVERAGEIFS('ثبت اطلاعات'!$CL$5:$CL$1204,'ثبت اطلاعات'!$C$5:$C$1204,A42,'ثبت اطلاعات'!$CL$5:$CL$1204,"&lt;&gt;"),""))</f>
        <v/>
      </c>
      <c r="O42" s="38" t="str">
        <f>IF(A42="","",COUNTIFS('ثبت اطلاعات'!$C$5:$C$1204,A42,'ثبت اطلاعات'!$CL$5:$CL$1204,"&lt;&gt;"))</f>
        <v/>
      </c>
      <c r="P42" s="38" t="e">
        <f ca="1">IF(O42=0,"",_xludf.MINIFS('ثبت اطلاعات'!$CN$5:$CN$1204,'ثبت اطلاعات'!$C$5:$C$1204,A42,'ثبت اطلاعات'!$CL$5:$CL$1204,"&lt;&gt;"))</f>
        <v>#NAME?</v>
      </c>
      <c r="Q42" s="38" t="e">
        <f ca="1">IF(O42=0,"",_xludf.MAXIFS('ثبت اطلاعات'!$CN$5:$CN$1204,'ثبت اطلاعات'!$C$5:$C$1204,A42,'ثبت اطلاعات'!$CL$5:$CL$1204,"&lt;&gt;"))</f>
        <v>#NAME?</v>
      </c>
      <c r="R42" s="38">
        <f ca="1">IF(O42&lt;2,"",SUMIFS('ثبت اطلاعات'!$CL$5:$CL$1204,'ثبت اطلاعات'!$C$5:$C$1204,A42,'ثبت اطلاعات'!$CN$5:$CN$1204,Q42)-SUMIFS('ثبت اطلاعات'!$CL$5:$CL$1204,'ثبت اطلاعات'!$C$5:$C$1204,A42,'ثبت اطلاعات'!$CN$5:$CN$1204,P42))</f>
        <v>0</v>
      </c>
      <c r="S42" s="38" t="str">
        <f t="shared" si="5"/>
        <v/>
      </c>
      <c r="T42" s="38" t="str">
        <f t="shared" si="6"/>
        <v/>
      </c>
      <c r="U42" s="38" t="str">
        <f t="shared" si="7"/>
        <v/>
      </c>
      <c r="V42" s="38" t="str">
        <f t="shared" si="8"/>
        <v/>
      </c>
      <c r="W42" s="38" t="str">
        <f>IF(N42="","",_xludf.RANK.EQ(N42,$N$5:$N$104,0))</f>
        <v/>
      </c>
      <c r="X42" s="38" t="str">
        <f t="shared" si="9"/>
        <v/>
      </c>
      <c r="Y42" s="28" t="str">
        <f>IF(U42="","",IFERROR(INDEX('بانک راهکارها'!$C$5:$C$13,MATCH(U42,'بانک راهکارها'!$B$5:$B$13,0)),""))</f>
        <v/>
      </c>
    </row>
    <row r="43" spans="1:25" ht="17.25">
      <c r="A43" s="33" t="str">
        <f>IF(دانش‌آموزان!L43="","",دانش‌آموزان!B43)</f>
        <v/>
      </c>
      <c r="B43" s="55" t="str">
        <f>IF(A43="","",دانش‌آموزان!C43)</f>
        <v/>
      </c>
      <c r="C43" s="55" t="str">
        <f>IF(A43="","",دانش‌آموزان!E43&amp;" "&amp;دانش‌آموزان!F43)</f>
        <v/>
      </c>
      <c r="D43" s="34" t="str">
        <f>IF(A43="","",دانش‌آموزان!I43)</f>
        <v/>
      </c>
      <c r="E43" s="27" t="str">
        <f>IF(A43="","",IFERROR(AVERAGEIFS('ثبت اطلاعات'!$CC$5:$CC$1204,'ثبت اطلاعات'!$C$5:$C$1204,A43,'ثبت اطلاعات'!$CL$5:$CL$1204,"&lt;&gt;"),""))</f>
        <v/>
      </c>
      <c r="F43" s="38" t="str">
        <f>IF(A43="","",IFERROR(AVERAGEIFS('ثبت اطلاعات'!$CD$5:$CD$1204,'ثبت اطلاعات'!$C$5:$C$1204,A43,'ثبت اطلاعات'!$CL$5:$CL$1204,"&lt;&gt;"),""))</f>
        <v/>
      </c>
      <c r="G43" s="38" t="str">
        <f>IF(A43="","",IFERROR(AVERAGEIFS('ثبت اطلاعات'!$CE$5:$CE$1204,'ثبت اطلاعات'!$C$5:$C$1204,A43,'ثبت اطلاعات'!$CL$5:$CL$1204,"&lt;&gt;"),""))</f>
        <v/>
      </c>
      <c r="H43" s="38" t="str">
        <f>IF(A43="","",IFERROR(AVERAGEIFS('ثبت اطلاعات'!$CF$5:$CF$1204,'ثبت اطلاعات'!$C$5:$C$1204,A43,'ثبت اطلاعات'!$CL$5:$CL$1204,"&lt;&gt;"),""))</f>
        <v/>
      </c>
      <c r="I43" s="38" t="str">
        <f>IF(A43="","",IFERROR(AVERAGEIFS('ثبت اطلاعات'!$CG$5:$CG$1204,'ثبت اطلاعات'!$C$5:$C$1204,A43,'ثبت اطلاعات'!$CL$5:$CL$1204,"&lt;&gt;"),""))</f>
        <v/>
      </c>
      <c r="J43" s="38" t="str">
        <f>IF(A43="","",IFERROR(AVERAGEIFS('ثبت اطلاعات'!$CH$5:$CH$1204,'ثبت اطلاعات'!$C$5:$C$1204,A43,'ثبت اطلاعات'!$CL$5:$CL$1204,"&lt;&gt;"),""))</f>
        <v/>
      </c>
      <c r="K43" s="38" t="str">
        <f>IF(A43="","",IFERROR(AVERAGEIFS('ثبت اطلاعات'!$CI$5:$CI$1204,'ثبت اطلاعات'!$C$5:$C$1204,A43,'ثبت اطلاعات'!$CL$5:$CL$1204,"&lt;&gt;"),""))</f>
        <v/>
      </c>
      <c r="L43" s="38" t="str">
        <f>IF(A43="","",IFERROR(AVERAGEIFS('ثبت اطلاعات'!$CJ$5:$CJ$1204,'ثبت اطلاعات'!$C$5:$C$1204,A43,'ثبت اطلاعات'!$CL$5:$CL$1204,"&lt;&gt;"),""))</f>
        <v/>
      </c>
      <c r="M43" s="38" t="str">
        <f>IF(A43="","",IFERROR(AVERAGEIFS('ثبت اطلاعات'!$CK$5:$CK$1204,'ثبت اطلاعات'!$C$5:$C$1204,A43,'ثبت اطلاعات'!$CL$5:$CL$1204,"&lt;&gt;"),""))</f>
        <v/>
      </c>
      <c r="N43" s="38" t="str">
        <f>IF(A43="","",IFERROR(AVERAGEIFS('ثبت اطلاعات'!$CL$5:$CL$1204,'ثبت اطلاعات'!$C$5:$C$1204,A43,'ثبت اطلاعات'!$CL$5:$CL$1204,"&lt;&gt;"),""))</f>
        <v/>
      </c>
      <c r="O43" s="38" t="str">
        <f>IF(A43="","",COUNTIFS('ثبت اطلاعات'!$C$5:$C$1204,A43,'ثبت اطلاعات'!$CL$5:$CL$1204,"&lt;&gt;"))</f>
        <v/>
      </c>
      <c r="P43" s="38" t="e">
        <f ca="1">IF(O43=0,"",_xludf.MINIFS('ثبت اطلاعات'!$CN$5:$CN$1204,'ثبت اطلاعات'!$C$5:$C$1204,A43,'ثبت اطلاعات'!$CL$5:$CL$1204,"&lt;&gt;"))</f>
        <v>#NAME?</v>
      </c>
      <c r="Q43" s="38" t="e">
        <f ca="1">IF(O43=0,"",_xludf.MAXIFS('ثبت اطلاعات'!$CN$5:$CN$1204,'ثبت اطلاعات'!$C$5:$C$1204,A43,'ثبت اطلاعات'!$CL$5:$CL$1204,"&lt;&gt;"))</f>
        <v>#NAME?</v>
      </c>
      <c r="R43" s="38">
        <f ca="1">IF(O43&lt;2,"",SUMIFS('ثبت اطلاعات'!$CL$5:$CL$1204,'ثبت اطلاعات'!$C$5:$C$1204,A43,'ثبت اطلاعات'!$CN$5:$CN$1204,Q43)-SUMIFS('ثبت اطلاعات'!$CL$5:$CL$1204,'ثبت اطلاعات'!$C$5:$C$1204,A43,'ثبت اطلاعات'!$CN$5:$CN$1204,P43))</f>
        <v>0</v>
      </c>
      <c r="S43" s="38" t="str">
        <f t="shared" si="5"/>
        <v/>
      </c>
      <c r="T43" s="38" t="str">
        <f t="shared" si="6"/>
        <v/>
      </c>
      <c r="U43" s="38" t="str">
        <f t="shared" si="7"/>
        <v/>
      </c>
      <c r="V43" s="38" t="str">
        <f t="shared" si="8"/>
        <v/>
      </c>
      <c r="W43" s="38" t="str">
        <f>IF(N43="","",_xludf.RANK.EQ(N43,$N$5:$N$104,0))</f>
        <v/>
      </c>
      <c r="X43" s="38" t="str">
        <f t="shared" si="9"/>
        <v/>
      </c>
      <c r="Y43" s="28" t="str">
        <f>IF(U43="","",IFERROR(INDEX('بانک راهکارها'!$C$5:$C$13,MATCH(U43,'بانک راهکارها'!$B$5:$B$13,0)),""))</f>
        <v/>
      </c>
    </row>
    <row r="44" spans="1:25" ht="17.25">
      <c r="A44" s="33" t="str">
        <f>IF(دانش‌آموزان!L44="","",دانش‌آموزان!B44)</f>
        <v/>
      </c>
      <c r="B44" s="55" t="str">
        <f>IF(A44="","",دانش‌آموزان!C44)</f>
        <v/>
      </c>
      <c r="C44" s="55" t="str">
        <f>IF(A44="","",دانش‌آموزان!E44&amp;" "&amp;دانش‌آموزان!F44)</f>
        <v/>
      </c>
      <c r="D44" s="34" t="str">
        <f>IF(A44="","",دانش‌آموزان!I44)</f>
        <v/>
      </c>
      <c r="E44" s="27" t="str">
        <f>IF(A44="","",IFERROR(AVERAGEIFS('ثبت اطلاعات'!$CC$5:$CC$1204,'ثبت اطلاعات'!$C$5:$C$1204,A44,'ثبت اطلاعات'!$CL$5:$CL$1204,"&lt;&gt;"),""))</f>
        <v/>
      </c>
      <c r="F44" s="38" t="str">
        <f>IF(A44="","",IFERROR(AVERAGEIFS('ثبت اطلاعات'!$CD$5:$CD$1204,'ثبت اطلاعات'!$C$5:$C$1204,A44,'ثبت اطلاعات'!$CL$5:$CL$1204,"&lt;&gt;"),""))</f>
        <v/>
      </c>
      <c r="G44" s="38" t="str">
        <f>IF(A44="","",IFERROR(AVERAGEIFS('ثبت اطلاعات'!$CE$5:$CE$1204,'ثبت اطلاعات'!$C$5:$C$1204,A44,'ثبت اطلاعات'!$CL$5:$CL$1204,"&lt;&gt;"),""))</f>
        <v/>
      </c>
      <c r="H44" s="38" t="str">
        <f>IF(A44="","",IFERROR(AVERAGEIFS('ثبت اطلاعات'!$CF$5:$CF$1204,'ثبت اطلاعات'!$C$5:$C$1204,A44,'ثبت اطلاعات'!$CL$5:$CL$1204,"&lt;&gt;"),""))</f>
        <v/>
      </c>
      <c r="I44" s="38" t="str">
        <f>IF(A44="","",IFERROR(AVERAGEIFS('ثبت اطلاعات'!$CG$5:$CG$1204,'ثبت اطلاعات'!$C$5:$C$1204,A44,'ثبت اطلاعات'!$CL$5:$CL$1204,"&lt;&gt;"),""))</f>
        <v/>
      </c>
      <c r="J44" s="38" t="str">
        <f>IF(A44="","",IFERROR(AVERAGEIFS('ثبت اطلاعات'!$CH$5:$CH$1204,'ثبت اطلاعات'!$C$5:$C$1204,A44,'ثبت اطلاعات'!$CL$5:$CL$1204,"&lt;&gt;"),""))</f>
        <v/>
      </c>
      <c r="K44" s="38" t="str">
        <f>IF(A44="","",IFERROR(AVERAGEIFS('ثبت اطلاعات'!$CI$5:$CI$1204,'ثبت اطلاعات'!$C$5:$C$1204,A44,'ثبت اطلاعات'!$CL$5:$CL$1204,"&lt;&gt;"),""))</f>
        <v/>
      </c>
      <c r="L44" s="38" t="str">
        <f>IF(A44="","",IFERROR(AVERAGEIFS('ثبت اطلاعات'!$CJ$5:$CJ$1204,'ثبت اطلاعات'!$C$5:$C$1204,A44,'ثبت اطلاعات'!$CL$5:$CL$1204,"&lt;&gt;"),""))</f>
        <v/>
      </c>
      <c r="M44" s="38" t="str">
        <f>IF(A44="","",IFERROR(AVERAGEIFS('ثبت اطلاعات'!$CK$5:$CK$1204,'ثبت اطلاعات'!$C$5:$C$1204,A44,'ثبت اطلاعات'!$CL$5:$CL$1204,"&lt;&gt;"),""))</f>
        <v/>
      </c>
      <c r="N44" s="38" t="str">
        <f>IF(A44="","",IFERROR(AVERAGEIFS('ثبت اطلاعات'!$CL$5:$CL$1204,'ثبت اطلاعات'!$C$5:$C$1204,A44,'ثبت اطلاعات'!$CL$5:$CL$1204,"&lt;&gt;"),""))</f>
        <v/>
      </c>
      <c r="O44" s="38" t="str">
        <f>IF(A44="","",COUNTIFS('ثبت اطلاعات'!$C$5:$C$1204,A44,'ثبت اطلاعات'!$CL$5:$CL$1204,"&lt;&gt;"))</f>
        <v/>
      </c>
      <c r="P44" s="38" t="e">
        <f ca="1">IF(O44=0,"",_xludf.MINIFS('ثبت اطلاعات'!$CN$5:$CN$1204,'ثبت اطلاعات'!$C$5:$C$1204,A44,'ثبت اطلاعات'!$CL$5:$CL$1204,"&lt;&gt;"))</f>
        <v>#NAME?</v>
      </c>
      <c r="Q44" s="38" t="e">
        <f ca="1">IF(O44=0,"",_xludf.MAXIFS('ثبت اطلاعات'!$CN$5:$CN$1204,'ثبت اطلاعات'!$C$5:$C$1204,A44,'ثبت اطلاعات'!$CL$5:$CL$1204,"&lt;&gt;"))</f>
        <v>#NAME?</v>
      </c>
      <c r="R44" s="38">
        <f ca="1">IF(O44&lt;2,"",SUMIFS('ثبت اطلاعات'!$CL$5:$CL$1204,'ثبت اطلاعات'!$C$5:$C$1204,A44,'ثبت اطلاعات'!$CN$5:$CN$1204,Q44)-SUMIFS('ثبت اطلاعات'!$CL$5:$CL$1204,'ثبت اطلاعات'!$C$5:$C$1204,A44,'ثبت اطلاعات'!$CN$5:$CN$1204,P44))</f>
        <v>0</v>
      </c>
      <c r="S44" s="38" t="str">
        <f t="shared" si="5"/>
        <v/>
      </c>
      <c r="T44" s="38" t="str">
        <f t="shared" si="6"/>
        <v/>
      </c>
      <c r="U44" s="38" t="str">
        <f t="shared" si="7"/>
        <v/>
      </c>
      <c r="V44" s="38" t="str">
        <f t="shared" si="8"/>
        <v/>
      </c>
      <c r="W44" s="38" t="str">
        <f>IF(N44="","",_xludf.RANK.EQ(N44,$N$5:$N$104,0))</f>
        <v/>
      </c>
      <c r="X44" s="38" t="str">
        <f t="shared" si="9"/>
        <v/>
      </c>
      <c r="Y44" s="28" t="str">
        <f>IF(U44="","",IFERROR(INDEX('بانک راهکارها'!$C$5:$C$13,MATCH(U44,'بانک راهکارها'!$B$5:$B$13,0)),""))</f>
        <v/>
      </c>
    </row>
    <row r="45" spans="1:25" ht="17.25">
      <c r="A45" s="33" t="str">
        <f>IF(دانش‌آموزان!L45="","",دانش‌آموزان!B45)</f>
        <v/>
      </c>
      <c r="B45" s="55" t="str">
        <f>IF(A45="","",دانش‌آموزان!C45)</f>
        <v/>
      </c>
      <c r="C45" s="55" t="str">
        <f>IF(A45="","",دانش‌آموزان!E45&amp;" "&amp;دانش‌آموزان!F45)</f>
        <v/>
      </c>
      <c r="D45" s="34" t="str">
        <f>IF(A45="","",دانش‌آموزان!I45)</f>
        <v/>
      </c>
      <c r="E45" s="27" t="str">
        <f>IF(A45="","",IFERROR(AVERAGEIFS('ثبت اطلاعات'!$CC$5:$CC$1204,'ثبت اطلاعات'!$C$5:$C$1204,A45,'ثبت اطلاعات'!$CL$5:$CL$1204,"&lt;&gt;"),""))</f>
        <v/>
      </c>
      <c r="F45" s="38" t="str">
        <f>IF(A45="","",IFERROR(AVERAGEIFS('ثبت اطلاعات'!$CD$5:$CD$1204,'ثبت اطلاعات'!$C$5:$C$1204,A45,'ثبت اطلاعات'!$CL$5:$CL$1204,"&lt;&gt;"),""))</f>
        <v/>
      </c>
      <c r="G45" s="38" t="str">
        <f>IF(A45="","",IFERROR(AVERAGEIFS('ثبت اطلاعات'!$CE$5:$CE$1204,'ثبت اطلاعات'!$C$5:$C$1204,A45,'ثبت اطلاعات'!$CL$5:$CL$1204,"&lt;&gt;"),""))</f>
        <v/>
      </c>
      <c r="H45" s="38" t="str">
        <f>IF(A45="","",IFERROR(AVERAGEIFS('ثبت اطلاعات'!$CF$5:$CF$1204,'ثبت اطلاعات'!$C$5:$C$1204,A45,'ثبت اطلاعات'!$CL$5:$CL$1204,"&lt;&gt;"),""))</f>
        <v/>
      </c>
      <c r="I45" s="38" t="str">
        <f>IF(A45="","",IFERROR(AVERAGEIFS('ثبت اطلاعات'!$CG$5:$CG$1204,'ثبت اطلاعات'!$C$5:$C$1204,A45,'ثبت اطلاعات'!$CL$5:$CL$1204,"&lt;&gt;"),""))</f>
        <v/>
      </c>
      <c r="J45" s="38" t="str">
        <f>IF(A45="","",IFERROR(AVERAGEIFS('ثبت اطلاعات'!$CH$5:$CH$1204,'ثبت اطلاعات'!$C$5:$C$1204,A45,'ثبت اطلاعات'!$CL$5:$CL$1204,"&lt;&gt;"),""))</f>
        <v/>
      </c>
      <c r="K45" s="38" t="str">
        <f>IF(A45="","",IFERROR(AVERAGEIFS('ثبت اطلاعات'!$CI$5:$CI$1204,'ثبت اطلاعات'!$C$5:$C$1204,A45,'ثبت اطلاعات'!$CL$5:$CL$1204,"&lt;&gt;"),""))</f>
        <v/>
      </c>
      <c r="L45" s="38" t="str">
        <f>IF(A45="","",IFERROR(AVERAGEIFS('ثبت اطلاعات'!$CJ$5:$CJ$1204,'ثبت اطلاعات'!$C$5:$C$1204,A45,'ثبت اطلاعات'!$CL$5:$CL$1204,"&lt;&gt;"),""))</f>
        <v/>
      </c>
      <c r="M45" s="38" t="str">
        <f>IF(A45="","",IFERROR(AVERAGEIFS('ثبت اطلاعات'!$CK$5:$CK$1204,'ثبت اطلاعات'!$C$5:$C$1204,A45,'ثبت اطلاعات'!$CL$5:$CL$1204,"&lt;&gt;"),""))</f>
        <v/>
      </c>
      <c r="N45" s="38" t="str">
        <f>IF(A45="","",IFERROR(AVERAGEIFS('ثبت اطلاعات'!$CL$5:$CL$1204,'ثبت اطلاعات'!$C$5:$C$1204,A45,'ثبت اطلاعات'!$CL$5:$CL$1204,"&lt;&gt;"),""))</f>
        <v/>
      </c>
      <c r="O45" s="38" t="str">
        <f>IF(A45="","",COUNTIFS('ثبت اطلاعات'!$C$5:$C$1204,A45,'ثبت اطلاعات'!$CL$5:$CL$1204,"&lt;&gt;"))</f>
        <v/>
      </c>
      <c r="P45" s="38" t="e">
        <f ca="1">IF(O45=0,"",_xludf.MINIFS('ثبت اطلاعات'!$CN$5:$CN$1204,'ثبت اطلاعات'!$C$5:$C$1204,A45,'ثبت اطلاعات'!$CL$5:$CL$1204,"&lt;&gt;"))</f>
        <v>#NAME?</v>
      </c>
      <c r="Q45" s="38" t="e">
        <f ca="1">IF(O45=0,"",_xludf.MAXIFS('ثبت اطلاعات'!$CN$5:$CN$1204,'ثبت اطلاعات'!$C$5:$C$1204,A45,'ثبت اطلاعات'!$CL$5:$CL$1204,"&lt;&gt;"))</f>
        <v>#NAME?</v>
      </c>
      <c r="R45" s="38">
        <f ca="1">IF(O45&lt;2,"",SUMIFS('ثبت اطلاعات'!$CL$5:$CL$1204,'ثبت اطلاعات'!$C$5:$C$1204,A45,'ثبت اطلاعات'!$CN$5:$CN$1204,Q45)-SUMIFS('ثبت اطلاعات'!$CL$5:$CL$1204,'ثبت اطلاعات'!$C$5:$C$1204,A45,'ثبت اطلاعات'!$CN$5:$CN$1204,P45))</f>
        <v>0</v>
      </c>
      <c r="S45" s="38" t="str">
        <f t="shared" si="5"/>
        <v/>
      </c>
      <c r="T45" s="38" t="str">
        <f t="shared" si="6"/>
        <v/>
      </c>
      <c r="U45" s="38" t="str">
        <f t="shared" si="7"/>
        <v/>
      </c>
      <c r="V45" s="38" t="str">
        <f t="shared" si="8"/>
        <v/>
      </c>
      <c r="W45" s="38" t="str">
        <f>IF(N45="","",_xludf.RANK.EQ(N45,$N$5:$N$104,0))</f>
        <v/>
      </c>
      <c r="X45" s="38" t="str">
        <f t="shared" si="9"/>
        <v/>
      </c>
      <c r="Y45" s="28" t="str">
        <f>IF(U45="","",IFERROR(INDEX('بانک راهکارها'!$C$5:$C$13,MATCH(U45,'بانک راهکارها'!$B$5:$B$13,0)),""))</f>
        <v/>
      </c>
    </row>
    <row r="46" spans="1:25" ht="17.25">
      <c r="A46" s="33" t="str">
        <f>IF(دانش‌آموزان!L46="","",دانش‌آموزان!B46)</f>
        <v/>
      </c>
      <c r="B46" s="55" t="str">
        <f>IF(A46="","",دانش‌آموزان!C46)</f>
        <v/>
      </c>
      <c r="C46" s="55" t="str">
        <f>IF(A46="","",دانش‌آموزان!E46&amp;" "&amp;دانش‌آموزان!F46)</f>
        <v/>
      </c>
      <c r="D46" s="34" t="str">
        <f>IF(A46="","",دانش‌آموزان!I46)</f>
        <v/>
      </c>
      <c r="E46" s="27" t="str">
        <f>IF(A46="","",IFERROR(AVERAGEIFS('ثبت اطلاعات'!$CC$5:$CC$1204,'ثبت اطلاعات'!$C$5:$C$1204,A46,'ثبت اطلاعات'!$CL$5:$CL$1204,"&lt;&gt;"),""))</f>
        <v/>
      </c>
      <c r="F46" s="38" t="str">
        <f>IF(A46="","",IFERROR(AVERAGEIFS('ثبت اطلاعات'!$CD$5:$CD$1204,'ثبت اطلاعات'!$C$5:$C$1204,A46,'ثبت اطلاعات'!$CL$5:$CL$1204,"&lt;&gt;"),""))</f>
        <v/>
      </c>
      <c r="G46" s="38" t="str">
        <f>IF(A46="","",IFERROR(AVERAGEIFS('ثبت اطلاعات'!$CE$5:$CE$1204,'ثبت اطلاعات'!$C$5:$C$1204,A46,'ثبت اطلاعات'!$CL$5:$CL$1204,"&lt;&gt;"),""))</f>
        <v/>
      </c>
      <c r="H46" s="38" t="str">
        <f>IF(A46="","",IFERROR(AVERAGEIFS('ثبت اطلاعات'!$CF$5:$CF$1204,'ثبت اطلاعات'!$C$5:$C$1204,A46,'ثبت اطلاعات'!$CL$5:$CL$1204,"&lt;&gt;"),""))</f>
        <v/>
      </c>
      <c r="I46" s="38" t="str">
        <f>IF(A46="","",IFERROR(AVERAGEIFS('ثبت اطلاعات'!$CG$5:$CG$1204,'ثبت اطلاعات'!$C$5:$C$1204,A46,'ثبت اطلاعات'!$CL$5:$CL$1204,"&lt;&gt;"),""))</f>
        <v/>
      </c>
      <c r="J46" s="38" t="str">
        <f>IF(A46="","",IFERROR(AVERAGEIFS('ثبت اطلاعات'!$CH$5:$CH$1204,'ثبت اطلاعات'!$C$5:$C$1204,A46,'ثبت اطلاعات'!$CL$5:$CL$1204,"&lt;&gt;"),""))</f>
        <v/>
      </c>
      <c r="K46" s="38" t="str">
        <f>IF(A46="","",IFERROR(AVERAGEIFS('ثبت اطلاعات'!$CI$5:$CI$1204,'ثبت اطلاعات'!$C$5:$C$1204,A46,'ثبت اطلاعات'!$CL$5:$CL$1204,"&lt;&gt;"),""))</f>
        <v/>
      </c>
      <c r="L46" s="38" t="str">
        <f>IF(A46="","",IFERROR(AVERAGEIFS('ثبت اطلاعات'!$CJ$5:$CJ$1204,'ثبت اطلاعات'!$C$5:$C$1204,A46,'ثبت اطلاعات'!$CL$5:$CL$1204,"&lt;&gt;"),""))</f>
        <v/>
      </c>
      <c r="M46" s="38" t="str">
        <f>IF(A46="","",IFERROR(AVERAGEIFS('ثبت اطلاعات'!$CK$5:$CK$1204,'ثبت اطلاعات'!$C$5:$C$1204,A46,'ثبت اطلاعات'!$CL$5:$CL$1204,"&lt;&gt;"),""))</f>
        <v/>
      </c>
      <c r="N46" s="38" t="str">
        <f>IF(A46="","",IFERROR(AVERAGEIFS('ثبت اطلاعات'!$CL$5:$CL$1204,'ثبت اطلاعات'!$C$5:$C$1204,A46,'ثبت اطلاعات'!$CL$5:$CL$1204,"&lt;&gt;"),""))</f>
        <v/>
      </c>
      <c r="O46" s="38" t="str">
        <f>IF(A46="","",COUNTIFS('ثبت اطلاعات'!$C$5:$C$1204,A46,'ثبت اطلاعات'!$CL$5:$CL$1204,"&lt;&gt;"))</f>
        <v/>
      </c>
      <c r="P46" s="38" t="e">
        <f ca="1">IF(O46=0,"",_xludf.MINIFS('ثبت اطلاعات'!$CN$5:$CN$1204,'ثبت اطلاعات'!$C$5:$C$1204,A46,'ثبت اطلاعات'!$CL$5:$CL$1204,"&lt;&gt;"))</f>
        <v>#NAME?</v>
      </c>
      <c r="Q46" s="38" t="e">
        <f ca="1">IF(O46=0,"",_xludf.MAXIFS('ثبت اطلاعات'!$CN$5:$CN$1204,'ثبت اطلاعات'!$C$5:$C$1204,A46,'ثبت اطلاعات'!$CL$5:$CL$1204,"&lt;&gt;"))</f>
        <v>#NAME?</v>
      </c>
      <c r="R46" s="38">
        <f ca="1">IF(O46&lt;2,"",SUMIFS('ثبت اطلاعات'!$CL$5:$CL$1204,'ثبت اطلاعات'!$C$5:$C$1204,A46,'ثبت اطلاعات'!$CN$5:$CN$1204,Q46)-SUMIFS('ثبت اطلاعات'!$CL$5:$CL$1204,'ثبت اطلاعات'!$C$5:$C$1204,A46,'ثبت اطلاعات'!$CN$5:$CN$1204,P46))</f>
        <v>0</v>
      </c>
      <c r="S46" s="38" t="str">
        <f t="shared" si="5"/>
        <v/>
      </c>
      <c r="T46" s="38" t="str">
        <f t="shared" si="6"/>
        <v/>
      </c>
      <c r="U46" s="38" t="str">
        <f t="shared" si="7"/>
        <v/>
      </c>
      <c r="V46" s="38" t="str">
        <f t="shared" si="8"/>
        <v/>
      </c>
      <c r="W46" s="38" t="str">
        <f>IF(N46="","",_xludf.RANK.EQ(N46,$N$5:$N$104,0))</f>
        <v/>
      </c>
      <c r="X46" s="38" t="str">
        <f t="shared" si="9"/>
        <v/>
      </c>
      <c r="Y46" s="28" t="str">
        <f>IF(U46="","",IFERROR(INDEX('بانک راهکارها'!$C$5:$C$13,MATCH(U46,'بانک راهکارها'!$B$5:$B$13,0)),""))</f>
        <v/>
      </c>
    </row>
    <row r="47" spans="1:25" ht="17.25">
      <c r="A47" s="33" t="str">
        <f>IF(دانش‌آموزان!L47="","",دانش‌آموزان!B47)</f>
        <v/>
      </c>
      <c r="B47" s="55" t="str">
        <f>IF(A47="","",دانش‌آموزان!C47)</f>
        <v/>
      </c>
      <c r="C47" s="55" t="str">
        <f>IF(A47="","",دانش‌آموزان!E47&amp;" "&amp;دانش‌آموزان!F47)</f>
        <v/>
      </c>
      <c r="D47" s="34" t="str">
        <f>IF(A47="","",دانش‌آموزان!I47)</f>
        <v/>
      </c>
      <c r="E47" s="27" t="str">
        <f>IF(A47="","",IFERROR(AVERAGEIFS('ثبت اطلاعات'!$CC$5:$CC$1204,'ثبت اطلاعات'!$C$5:$C$1204,A47,'ثبت اطلاعات'!$CL$5:$CL$1204,"&lt;&gt;"),""))</f>
        <v/>
      </c>
      <c r="F47" s="38" t="str">
        <f>IF(A47="","",IFERROR(AVERAGEIFS('ثبت اطلاعات'!$CD$5:$CD$1204,'ثبت اطلاعات'!$C$5:$C$1204,A47,'ثبت اطلاعات'!$CL$5:$CL$1204,"&lt;&gt;"),""))</f>
        <v/>
      </c>
      <c r="G47" s="38" t="str">
        <f>IF(A47="","",IFERROR(AVERAGEIFS('ثبت اطلاعات'!$CE$5:$CE$1204,'ثبت اطلاعات'!$C$5:$C$1204,A47,'ثبت اطلاعات'!$CL$5:$CL$1204,"&lt;&gt;"),""))</f>
        <v/>
      </c>
      <c r="H47" s="38" t="str">
        <f>IF(A47="","",IFERROR(AVERAGEIFS('ثبت اطلاعات'!$CF$5:$CF$1204,'ثبت اطلاعات'!$C$5:$C$1204,A47,'ثبت اطلاعات'!$CL$5:$CL$1204,"&lt;&gt;"),""))</f>
        <v/>
      </c>
      <c r="I47" s="38" t="str">
        <f>IF(A47="","",IFERROR(AVERAGEIFS('ثبت اطلاعات'!$CG$5:$CG$1204,'ثبت اطلاعات'!$C$5:$C$1204,A47,'ثبت اطلاعات'!$CL$5:$CL$1204,"&lt;&gt;"),""))</f>
        <v/>
      </c>
      <c r="J47" s="38" t="str">
        <f>IF(A47="","",IFERROR(AVERAGEIFS('ثبت اطلاعات'!$CH$5:$CH$1204,'ثبت اطلاعات'!$C$5:$C$1204,A47,'ثبت اطلاعات'!$CL$5:$CL$1204,"&lt;&gt;"),""))</f>
        <v/>
      </c>
      <c r="K47" s="38" t="str">
        <f>IF(A47="","",IFERROR(AVERAGEIFS('ثبت اطلاعات'!$CI$5:$CI$1204,'ثبت اطلاعات'!$C$5:$C$1204,A47,'ثبت اطلاعات'!$CL$5:$CL$1204,"&lt;&gt;"),""))</f>
        <v/>
      </c>
      <c r="L47" s="38" t="str">
        <f>IF(A47="","",IFERROR(AVERAGEIFS('ثبت اطلاعات'!$CJ$5:$CJ$1204,'ثبت اطلاعات'!$C$5:$C$1204,A47,'ثبت اطلاعات'!$CL$5:$CL$1204,"&lt;&gt;"),""))</f>
        <v/>
      </c>
      <c r="M47" s="38" t="str">
        <f>IF(A47="","",IFERROR(AVERAGEIFS('ثبت اطلاعات'!$CK$5:$CK$1204,'ثبت اطلاعات'!$C$5:$C$1204,A47,'ثبت اطلاعات'!$CL$5:$CL$1204,"&lt;&gt;"),""))</f>
        <v/>
      </c>
      <c r="N47" s="38" t="str">
        <f>IF(A47="","",IFERROR(AVERAGEIFS('ثبت اطلاعات'!$CL$5:$CL$1204,'ثبت اطلاعات'!$C$5:$C$1204,A47,'ثبت اطلاعات'!$CL$5:$CL$1204,"&lt;&gt;"),""))</f>
        <v/>
      </c>
      <c r="O47" s="38" t="str">
        <f>IF(A47="","",COUNTIFS('ثبت اطلاعات'!$C$5:$C$1204,A47,'ثبت اطلاعات'!$CL$5:$CL$1204,"&lt;&gt;"))</f>
        <v/>
      </c>
      <c r="P47" s="38" t="e">
        <f ca="1">IF(O47=0,"",_xludf.MINIFS('ثبت اطلاعات'!$CN$5:$CN$1204,'ثبت اطلاعات'!$C$5:$C$1204,A47,'ثبت اطلاعات'!$CL$5:$CL$1204,"&lt;&gt;"))</f>
        <v>#NAME?</v>
      </c>
      <c r="Q47" s="38" t="e">
        <f ca="1">IF(O47=0,"",_xludf.MAXIFS('ثبت اطلاعات'!$CN$5:$CN$1204,'ثبت اطلاعات'!$C$5:$C$1204,A47,'ثبت اطلاعات'!$CL$5:$CL$1204,"&lt;&gt;"))</f>
        <v>#NAME?</v>
      </c>
      <c r="R47" s="38">
        <f ca="1">IF(O47&lt;2,"",SUMIFS('ثبت اطلاعات'!$CL$5:$CL$1204,'ثبت اطلاعات'!$C$5:$C$1204,A47,'ثبت اطلاعات'!$CN$5:$CN$1204,Q47)-SUMIFS('ثبت اطلاعات'!$CL$5:$CL$1204,'ثبت اطلاعات'!$C$5:$C$1204,A47,'ثبت اطلاعات'!$CN$5:$CN$1204,P47))</f>
        <v>0</v>
      </c>
      <c r="S47" s="38" t="str">
        <f t="shared" si="5"/>
        <v/>
      </c>
      <c r="T47" s="38" t="str">
        <f t="shared" si="6"/>
        <v/>
      </c>
      <c r="U47" s="38" t="str">
        <f t="shared" si="7"/>
        <v/>
      </c>
      <c r="V47" s="38" t="str">
        <f t="shared" si="8"/>
        <v/>
      </c>
      <c r="W47" s="38" t="str">
        <f>IF(N47="","",_xludf.RANK.EQ(N47,$N$5:$N$104,0))</f>
        <v/>
      </c>
      <c r="X47" s="38" t="str">
        <f t="shared" si="9"/>
        <v/>
      </c>
      <c r="Y47" s="28" t="str">
        <f>IF(U47="","",IFERROR(INDEX('بانک راهکارها'!$C$5:$C$13,MATCH(U47,'بانک راهکارها'!$B$5:$B$13,0)),""))</f>
        <v/>
      </c>
    </row>
    <row r="48" spans="1:25" ht="17.25">
      <c r="A48" s="33" t="str">
        <f>IF(دانش‌آموزان!L48="","",دانش‌آموزان!B48)</f>
        <v/>
      </c>
      <c r="B48" s="55" t="str">
        <f>IF(A48="","",دانش‌آموزان!C48)</f>
        <v/>
      </c>
      <c r="C48" s="55" t="str">
        <f>IF(A48="","",دانش‌آموزان!E48&amp;" "&amp;دانش‌آموزان!F48)</f>
        <v/>
      </c>
      <c r="D48" s="34" t="str">
        <f>IF(A48="","",دانش‌آموزان!I48)</f>
        <v/>
      </c>
      <c r="E48" s="27" t="str">
        <f>IF(A48="","",IFERROR(AVERAGEIFS('ثبت اطلاعات'!$CC$5:$CC$1204,'ثبت اطلاعات'!$C$5:$C$1204,A48,'ثبت اطلاعات'!$CL$5:$CL$1204,"&lt;&gt;"),""))</f>
        <v/>
      </c>
      <c r="F48" s="38" t="str">
        <f>IF(A48="","",IFERROR(AVERAGEIFS('ثبت اطلاعات'!$CD$5:$CD$1204,'ثبت اطلاعات'!$C$5:$C$1204,A48,'ثبت اطلاعات'!$CL$5:$CL$1204,"&lt;&gt;"),""))</f>
        <v/>
      </c>
      <c r="G48" s="38" t="str">
        <f>IF(A48="","",IFERROR(AVERAGEIFS('ثبت اطلاعات'!$CE$5:$CE$1204,'ثبت اطلاعات'!$C$5:$C$1204,A48,'ثبت اطلاعات'!$CL$5:$CL$1204,"&lt;&gt;"),""))</f>
        <v/>
      </c>
      <c r="H48" s="38" t="str">
        <f>IF(A48="","",IFERROR(AVERAGEIFS('ثبت اطلاعات'!$CF$5:$CF$1204,'ثبت اطلاعات'!$C$5:$C$1204,A48,'ثبت اطلاعات'!$CL$5:$CL$1204,"&lt;&gt;"),""))</f>
        <v/>
      </c>
      <c r="I48" s="38" t="str">
        <f>IF(A48="","",IFERROR(AVERAGEIFS('ثبت اطلاعات'!$CG$5:$CG$1204,'ثبت اطلاعات'!$C$5:$C$1204,A48,'ثبت اطلاعات'!$CL$5:$CL$1204,"&lt;&gt;"),""))</f>
        <v/>
      </c>
      <c r="J48" s="38" t="str">
        <f>IF(A48="","",IFERROR(AVERAGEIFS('ثبت اطلاعات'!$CH$5:$CH$1204,'ثبت اطلاعات'!$C$5:$C$1204,A48,'ثبت اطلاعات'!$CL$5:$CL$1204,"&lt;&gt;"),""))</f>
        <v/>
      </c>
      <c r="K48" s="38" t="str">
        <f>IF(A48="","",IFERROR(AVERAGEIFS('ثبت اطلاعات'!$CI$5:$CI$1204,'ثبت اطلاعات'!$C$5:$C$1204,A48,'ثبت اطلاعات'!$CL$5:$CL$1204,"&lt;&gt;"),""))</f>
        <v/>
      </c>
      <c r="L48" s="38" t="str">
        <f>IF(A48="","",IFERROR(AVERAGEIFS('ثبت اطلاعات'!$CJ$5:$CJ$1204,'ثبت اطلاعات'!$C$5:$C$1204,A48,'ثبت اطلاعات'!$CL$5:$CL$1204,"&lt;&gt;"),""))</f>
        <v/>
      </c>
      <c r="M48" s="38" t="str">
        <f>IF(A48="","",IFERROR(AVERAGEIFS('ثبت اطلاعات'!$CK$5:$CK$1204,'ثبت اطلاعات'!$C$5:$C$1204,A48,'ثبت اطلاعات'!$CL$5:$CL$1204,"&lt;&gt;"),""))</f>
        <v/>
      </c>
      <c r="N48" s="38" t="str">
        <f>IF(A48="","",IFERROR(AVERAGEIFS('ثبت اطلاعات'!$CL$5:$CL$1204,'ثبت اطلاعات'!$C$5:$C$1204,A48,'ثبت اطلاعات'!$CL$5:$CL$1204,"&lt;&gt;"),""))</f>
        <v/>
      </c>
      <c r="O48" s="38" t="str">
        <f>IF(A48="","",COUNTIFS('ثبت اطلاعات'!$C$5:$C$1204,A48,'ثبت اطلاعات'!$CL$5:$CL$1204,"&lt;&gt;"))</f>
        <v/>
      </c>
      <c r="P48" s="38" t="e">
        <f ca="1">IF(O48=0,"",_xludf.MINIFS('ثبت اطلاعات'!$CN$5:$CN$1204,'ثبت اطلاعات'!$C$5:$C$1204,A48,'ثبت اطلاعات'!$CL$5:$CL$1204,"&lt;&gt;"))</f>
        <v>#NAME?</v>
      </c>
      <c r="Q48" s="38" t="e">
        <f ca="1">IF(O48=0,"",_xludf.MAXIFS('ثبت اطلاعات'!$CN$5:$CN$1204,'ثبت اطلاعات'!$C$5:$C$1204,A48,'ثبت اطلاعات'!$CL$5:$CL$1204,"&lt;&gt;"))</f>
        <v>#NAME?</v>
      </c>
      <c r="R48" s="38">
        <f ca="1">IF(O48&lt;2,"",SUMIFS('ثبت اطلاعات'!$CL$5:$CL$1204,'ثبت اطلاعات'!$C$5:$C$1204,A48,'ثبت اطلاعات'!$CN$5:$CN$1204,Q48)-SUMIFS('ثبت اطلاعات'!$CL$5:$CL$1204,'ثبت اطلاعات'!$C$5:$C$1204,A48,'ثبت اطلاعات'!$CN$5:$CN$1204,P48))</f>
        <v>0</v>
      </c>
      <c r="S48" s="38" t="str">
        <f t="shared" si="5"/>
        <v/>
      </c>
      <c r="T48" s="38" t="str">
        <f t="shared" si="6"/>
        <v/>
      </c>
      <c r="U48" s="38" t="str">
        <f t="shared" si="7"/>
        <v/>
      </c>
      <c r="V48" s="38" t="str">
        <f t="shared" si="8"/>
        <v/>
      </c>
      <c r="W48" s="38" t="str">
        <f>IF(N48="","",_xludf.RANK.EQ(N48,$N$5:$N$104,0))</f>
        <v/>
      </c>
      <c r="X48" s="38" t="str">
        <f t="shared" si="9"/>
        <v/>
      </c>
      <c r="Y48" s="28" t="str">
        <f>IF(U48="","",IFERROR(INDEX('بانک راهکارها'!$C$5:$C$13,MATCH(U48,'بانک راهکارها'!$B$5:$B$13,0)),""))</f>
        <v/>
      </c>
    </row>
    <row r="49" spans="1:25" ht="17.25">
      <c r="A49" s="33" t="str">
        <f>IF(دانش‌آموزان!L49="","",دانش‌آموزان!B49)</f>
        <v/>
      </c>
      <c r="B49" s="55" t="str">
        <f>IF(A49="","",دانش‌آموزان!C49)</f>
        <v/>
      </c>
      <c r="C49" s="55" t="str">
        <f>IF(A49="","",دانش‌آموزان!E49&amp;" "&amp;دانش‌آموزان!F49)</f>
        <v/>
      </c>
      <c r="D49" s="34" t="str">
        <f>IF(A49="","",دانش‌آموزان!I49)</f>
        <v/>
      </c>
      <c r="E49" s="27" t="str">
        <f>IF(A49="","",IFERROR(AVERAGEIFS('ثبت اطلاعات'!$CC$5:$CC$1204,'ثبت اطلاعات'!$C$5:$C$1204,A49,'ثبت اطلاعات'!$CL$5:$CL$1204,"&lt;&gt;"),""))</f>
        <v/>
      </c>
      <c r="F49" s="38" t="str">
        <f>IF(A49="","",IFERROR(AVERAGEIFS('ثبت اطلاعات'!$CD$5:$CD$1204,'ثبت اطلاعات'!$C$5:$C$1204,A49,'ثبت اطلاعات'!$CL$5:$CL$1204,"&lt;&gt;"),""))</f>
        <v/>
      </c>
      <c r="G49" s="38" t="str">
        <f>IF(A49="","",IFERROR(AVERAGEIFS('ثبت اطلاعات'!$CE$5:$CE$1204,'ثبت اطلاعات'!$C$5:$C$1204,A49,'ثبت اطلاعات'!$CL$5:$CL$1204,"&lt;&gt;"),""))</f>
        <v/>
      </c>
      <c r="H49" s="38" t="str">
        <f>IF(A49="","",IFERROR(AVERAGEIFS('ثبت اطلاعات'!$CF$5:$CF$1204,'ثبت اطلاعات'!$C$5:$C$1204,A49,'ثبت اطلاعات'!$CL$5:$CL$1204,"&lt;&gt;"),""))</f>
        <v/>
      </c>
      <c r="I49" s="38" t="str">
        <f>IF(A49="","",IFERROR(AVERAGEIFS('ثبت اطلاعات'!$CG$5:$CG$1204,'ثبت اطلاعات'!$C$5:$C$1204,A49,'ثبت اطلاعات'!$CL$5:$CL$1204,"&lt;&gt;"),""))</f>
        <v/>
      </c>
      <c r="J49" s="38" t="str">
        <f>IF(A49="","",IFERROR(AVERAGEIFS('ثبت اطلاعات'!$CH$5:$CH$1204,'ثبت اطلاعات'!$C$5:$C$1204,A49,'ثبت اطلاعات'!$CL$5:$CL$1204,"&lt;&gt;"),""))</f>
        <v/>
      </c>
      <c r="K49" s="38" t="str">
        <f>IF(A49="","",IFERROR(AVERAGEIFS('ثبت اطلاعات'!$CI$5:$CI$1204,'ثبت اطلاعات'!$C$5:$C$1204,A49,'ثبت اطلاعات'!$CL$5:$CL$1204,"&lt;&gt;"),""))</f>
        <v/>
      </c>
      <c r="L49" s="38" t="str">
        <f>IF(A49="","",IFERROR(AVERAGEIFS('ثبت اطلاعات'!$CJ$5:$CJ$1204,'ثبت اطلاعات'!$C$5:$C$1204,A49,'ثبت اطلاعات'!$CL$5:$CL$1204,"&lt;&gt;"),""))</f>
        <v/>
      </c>
      <c r="M49" s="38" t="str">
        <f>IF(A49="","",IFERROR(AVERAGEIFS('ثبت اطلاعات'!$CK$5:$CK$1204,'ثبت اطلاعات'!$C$5:$C$1204,A49,'ثبت اطلاعات'!$CL$5:$CL$1204,"&lt;&gt;"),""))</f>
        <v/>
      </c>
      <c r="N49" s="38" t="str">
        <f>IF(A49="","",IFERROR(AVERAGEIFS('ثبت اطلاعات'!$CL$5:$CL$1204,'ثبت اطلاعات'!$C$5:$C$1204,A49,'ثبت اطلاعات'!$CL$5:$CL$1204,"&lt;&gt;"),""))</f>
        <v/>
      </c>
      <c r="O49" s="38" t="str">
        <f>IF(A49="","",COUNTIFS('ثبت اطلاعات'!$C$5:$C$1204,A49,'ثبت اطلاعات'!$CL$5:$CL$1204,"&lt;&gt;"))</f>
        <v/>
      </c>
      <c r="P49" s="38" t="e">
        <f ca="1">IF(O49=0,"",_xludf.MINIFS('ثبت اطلاعات'!$CN$5:$CN$1204,'ثبت اطلاعات'!$C$5:$C$1204,A49,'ثبت اطلاعات'!$CL$5:$CL$1204,"&lt;&gt;"))</f>
        <v>#NAME?</v>
      </c>
      <c r="Q49" s="38" t="e">
        <f ca="1">IF(O49=0,"",_xludf.MAXIFS('ثبت اطلاعات'!$CN$5:$CN$1204,'ثبت اطلاعات'!$C$5:$C$1204,A49,'ثبت اطلاعات'!$CL$5:$CL$1204,"&lt;&gt;"))</f>
        <v>#NAME?</v>
      </c>
      <c r="R49" s="38">
        <f ca="1">IF(O49&lt;2,"",SUMIFS('ثبت اطلاعات'!$CL$5:$CL$1204,'ثبت اطلاعات'!$C$5:$C$1204,A49,'ثبت اطلاعات'!$CN$5:$CN$1204,Q49)-SUMIFS('ثبت اطلاعات'!$CL$5:$CL$1204,'ثبت اطلاعات'!$C$5:$C$1204,A49,'ثبت اطلاعات'!$CN$5:$CN$1204,P49))</f>
        <v>0</v>
      </c>
      <c r="S49" s="38" t="str">
        <f t="shared" si="5"/>
        <v/>
      </c>
      <c r="T49" s="38" t="str">
        <f t="shared" si="6"/>
        <v/>
      </c>
      <c r="U49" s="38" t="str">
        <f t="shared" si="7"/>
        <v/>
      </c>
      <c r="V49" s="38" t="str">
        <f t="shared" si="8"/>
        <v/>
      </c>
      <c r="W49" s="38" t="str">
        <f>IF(N49="","",_xludf.RANK.EQ(N49,$N$5:$N$104,0))</f>
        <v/>
      </c>
      <c r="X49" s="38" t="str">
        <f t="shared" si="9"/>
        <v/>
      </c>
      <c r="Y49" s="28" t="str">
        <f>IF(U49="","",IFERROR(INDEX('بانک راهکارها'!$C$5:$C$13,MATCH(U49,'بانک راهکارها'!$B$5:$B$13,0)),""))</f>
        <v/>
      </c>
    </row>
    <row r="50" spans="1:25" ht="17.25">
      <c r="A50" s="33" t="str">
        <f>IF(دانش‌آموزان!L50="","",دانش‌آموزان!B50)</f>
        <v/>
      </c>
      <c r="B50" s="55" t="str">
        <f>IF(A50="","",دانش‌آموزان!C50)</f>
        <v/>
      </c>
      <c r="C50" s="55" t="str">
        <f>IF(A50="","",دانش‌آموزان!E50&amp;" "&amp;دانش‌آموزان!F50)</f>
        <v/>
      </c>
      <c r="D50" s="34" t="str">
        <f>IF(A50="","",دانش‌آموزان!I50)</f>
        <v/>
      </c>
      <c r="E50" s="27" t="str">
        <f>IF(A50="","",IFERROR(AVERAGEIFS('ثبت اطلاعات'!$CC$5:$CC$1204,'ثبت اطلاعات'!$C$5:$C$1204,A50,'ثبت اطلاعات'!$CL$5:$CL$1204,"&lt;&gt;"),""))</f>
        <v/>
      </c>
      <c r="F50" s="38" t="str">
        <f>IF(A50="","",IFERROR(AVERAGEIFS('ثبت اطلاعات'!$CD$5:$CD$1204,'ثبت اطلاعات'!$C$5:$C$1204,A50,'ثبت اطلاعات'!$CL$5:$CL$1204,"&lt;&gt;"),""))</f>
        <v/>
      </c>
      <c r="G50" s="38" t="str">
        <f>IF(A50="","",IFERROR(AVERAGEIFS('ثبت اطلاعات'!$CE$5:$CE$1204,'ثبت اطلاعات'!$C$5:$C$1204,A50,'ثبت اطلاعات'!$CL$5:$CL$1204,"&lt;&gt;"),""))</f>
        <v/>
      </c>
      <c r="H50" s="38" t="str">
        <f>IF(A50="","",IFERROR(AVERAGEIFS('ثبت اطلاعات'!$CF$5:$CF$1204,'ثبت اطلاعات'!$C$5:$C$1204,A50,'ثبت اطلاعات'!$CL$5:$CL$1204,"&lt;&gt;"),""))</f>
        <v/>
      </c>
      <c r="I50" s="38" t="str">
        <f>IF(A50="","",IFERROR(AVERAGEIFS('ثبت اطلاعات'!$CG$5:$CG$1204,'ثبت اطلاعات'!$C$5:$C$1204,A50,'ثبت اطلاعات'!$CL$5:$CL$1204,"&lt;&gt;"),""))</f>
        <v/>
      </c>
      <c r="J50" s="38" t="str">
        <f>IF(A50="","",IFERROR(AVERAGEIFS('ثبت اطلاعات'!$CH$5:$CH$1204,'ثبت اطلاعات'!$C$5:$C$1204,A50,'ثبت اطلاعات'!$CL$5:$CL$1204,"&lt;&gt;"),""))</f>
        <v/>
      </c>
      <c r="K50" s="38" t="str">
        <f>IF(A50="","",IFERROR(AVERAGEIFS('ثبت اطلاعات'!$CI$5:$CI$1204,'ثبت اطلاعات'!$C$5:$C$1204,A50,'ثبت اطلاعات'!$CL$5:$CL$1204,"&lt;&gt;"),""))</f>
        <v/>
      </c>
      <c r="L50" s="38" t="str">
        <f>IF(A50="","",IFERROR(AVERAGEIFS('ثبت اطلاعات'!$CJ$5:$CJ$1204,'ثبت اطلاعات'!$C$5:$C$1204,A50,'ثبت اطلاعات'!$CL$5:$CL$1204,"&lt;&gt;"),""))</f>
        <v/>
      </c>
      <c r="M50" s="38" t="str">
        <f>IF(A50="","",IFERROR(AVERAGEIFS('ثبت اطلاعات'!$CK$5:$CK$1204,'ثبت اطلاعات'!$C$5:$C$1204,A50,'ثبت اطلاعات'!$CL$5:$CL$1204,"&lt;&gt;"),""))</f>
        <v/>
      </c>
      <c r="N50" s="38" t="str">
        <f>IF(A50="","",IFERROR(AVERAGEIFS('ثبت اطلاعات'!$CL$5:$CL$1204,'ثبت اطلاعات'!$C$5:$C$1204,A50,'ثبت اطلاعات'!$CL$5:$CL$1204,"&lt;&gt;"),""))</f>
        <v/>
      </c>
      <c r="O50" s="38" t="str">
        <f>IF(A50="","",COUNTIFS('ثبت اطلاعات'!$C$5:$C$1204,A50,'ثبت اطلاعات'!$CL$5:$CL$1204,"&lt;&gt;"))</f>
        <v/>
      </c>
      <c r="P50" s="38" t="e">
        <f ca="1">IF(O50=0,"",_xludf.MINIFS('ثبت اطلاعات'!$CN$5:$CN$1204,'ثبت اطلاعات'!$C$5:$C$1204,A50,'ثبت اطلاعات'!$CL$5:$CL$1204,"&lt;&gt;"))</f>
        <v>#NAME?</v>
      </c>
      <c r="Q50" s="38" t="e">
        <f ca="1">IF(O50=0,"",_xludf.MAXIFS('ثبت اطلاعات'!$CN$5:$CN$1204,'ثبت اطلاعات'!$C$5:$C$1204,A50,'ثبت اطلاعات'!$CL$5:$CL$1204,"&lt;&gt;"))</f>
        <v>#NAME?</v>
      </c>
      <c r="R50" s="38">
        <f ca="1">IF(O50&lt;2,"",SUMIFS('ثبت اطلاعات'!$CL$5:$CL$1204,'ثبت اطلاعات'!$C$5:$C$1204,A50,'ثبت اطلاعات'!$CN$5:$CN$1204,Q50)-SUMIFS('ثبت اطلاعات'!$CL$5:$CL$1204,'ثبت اطلاعات'!$C$5:$C$1204,A50,'ثبت اطلاعات'!$CN$5:$CN$1204,P50))</f>
        <v>0</v>
      </c>
      <c r="S50" s="38" t="str">
        <f t="shared" si="5"/>
        <v/>
      </c>
      <c r="T50" s="38" t="str">
        <f t="shared" si="6"/>
        <v/>
      </c>
      <c r="U50" s="38" t="str">
        <f t="shared" si="7"/>
        <v/>
      </c>
      <c r="V50" s="38" t="str">
        <f t="shared" si="8"/>
        <v/>
      </c>
      <c r="W50" s="38" t="str">
        <f>IF(N50="","",_xludf.RANK.EQ(N50,$N$5:$N$104,0))</f>
        <v/>
      </c>
      <c r="X50" s="38" t="str">
        <f t="shared" si="9"/>
        <v/>
      </c>
      <c r="Y50" s="28" t="str">
        <f>IF(U50="","",IFERROR(INDEX('بانک راهکارها'!$C$5:$C$13,MATCH(U50,'بانک راهکارها'!$B$5:$B$13,0)),""))</f>
        <v/>
      </c>
    </row>
    <row r="51" spans="1:25" ht="17.25">
      <c r="A51" s="33" t="str">
        <f>IF(دانش‌آموزان!L51="","",دانش‌آموزان!B51)</f>
        <v/>
      </c>
      <c r="B51" s="55" t="str">
        <f>IF(A51="","",دانش‌آموزان!C51)</f>
        <v/>
      </c>
      <c r="C51" s="55" t="str">
        <f>IF(A51="","",دانش‌آموزان!E51&amp;" "&amp;دانش‌آموزان!F51)</f>
        <v/>
      </c>
      <c r="D51" s="34" t="str">
        <f>IF(A51="","",دانش‌آموزان!I51)</f>
        <v/>
      </c>
      <c r="E51" s="27" t="str">
        <f>IF(A51="","",IFERROR(AVERAGEIFS('ثبت اطلاعات'!$CC$5:$CC$1204,'ثبت اطلاعات'!$C$5:$C$1204,A51,'ثبت اطلاعات'!$CL$5:$CL$1204,"&lt;&gt;"),""))</f>
        <v/>
      </c>
      <c r="F51" s="38" t="str">
        <f>IF(A51="","",IFERROR(AVERAGEIFS('ثبت اطلاعات'!$CD$5:$CD$1204,'ثبت اطلاعات'!$C$5:$C$1204,A51,'ثبت اطلاعات'!$CL$5:$CL$1204,"&lt;&gt;"),""))</f>
        <v/>
      </c>
      <c r="G51" s="38" t="str">
        <f>IF(A51="","",IFERROR(AVERAGEIFS('ثبت اطلاعات'!$CE$5:$CE$1204,'ثبت اطلاعات'!$C$5:$C$1204,A51,'ثبت اطلاعات'!$CL$5:$CL$1204,"&lt;&gt;"),""))</f>
        <v/>
      </c>
      <c r="H51" s="38" t="str">
        <f>IF(A51="","",IFERROR(AVERAGEIFS('ثبت اطلاعات'!$CF$5:$CF$1204,'ثبت اطلاعات'!$C$5:$C$1204,A51,'ثبت اطلاعات'!$CL$5:$CL$1204,"&lt;&gt;"),""))</f>
        <v/>
      </c>
      <c r="I51" s="38" t="str">
        <f>IF(A51="","",IFERROR(AVERAGEIFS('ثبت اطلاعات'!$CG$5:$CG$1204,'ثبت اطلاعات'!$C$5:$C$1204,A51,'ثبت اطلاعات'!$CL$5:$CL$1204,"&lt;&gt;"),""))</f>
        <v/>
      </c>
      <c r="J51" s="38" t="str">
        <f>IF(A51="","",IFERROR(AVERAGEIFS('ثبت اطلاعات'!$CH$5:$CH$1204,'ثبت اطلاعات'!$C$5:$C$1204,A51,'ثبت اطلاعات'!$CL$5:$CL$1204,"&lt;&gt;"),""))</f>
        <v/>
      </c>
      <c r="K51" s="38" t="str">
        <f>IF(A51="","",IFERROR(AVERAGEIFS('ثبت اطلاعات'!$CI$5:$CI$1204,'ثبت اطلاعات'!$C$5:$C$1204,A51,'ثبت اطلاعات'!$CL$5:$CL$1204,"&lt;&gt;"),""))</f>
        <v/>
      </c>
      <c r="L51" s="38" t="str">
        <f>IF(A51="","",IFERROR(AVERAGEIFS('ثبت اطلاعات'!$CJ$5:$CJ$1204,'ثبت اطلاعات'!$C$5:$C$1204,A51,'ثبت اطلاعات'!$CL$5:$CL$1204,"&lt;&gt;"),""))</f>
        <v/>
      </c>
      <c r="M51" s="38" t="str">
        <f>IF(A51="","",IFERROR(AVERAGEIFS('ثبت اطلاعات'!$CK$5:$CK$1204,'ثبت اطلاعات'!$C$5:$C$1204,A51,'ثبت اطلاعات'!$CL$5:$CL$1204,"&lt;&gt;"),""))</f>
        <v/>
      </c>
      <c r="N51" s="38" t="str">
        <f>IF(A51="","",IFERROR(AVERAGEIFS('ثبت اطلاعات'!$CL$5:$CL$1204,'ثبت اطلاعات'!$C$5:$C$1204,A51,'ثبت اطلاعات'!$CL$5:$CL$1204,"&lt;&gt;"),""))</f>
        <v/>
      </c>
      <c r="O51" s="38" t="str">
        <f>IF(A51="","",COUNTIFS('ثبت اطلاعات'!$C$5:$C$1204,A51,'ثبت اطلاعات'!$CL$5:$CL$1204,"&lt;&gt;"))</f>
        <v/>
      </c>
      <c r="P51" s="38" t="e">
        <f ca="1">IF(O51=0,"",_xludf.MINIFS('ثبت اطلاعات'!$CN$5:$CN$1204,'ثبت اطلاعات'!$C$5:$C$1204,A51,'ثبت اطلاعات'!$CL$5:$CL$1204,"&lt;&gt;"))</f>
        <v>#NAME?</v>
      </c>
      <c r="Q51" s="38" t="e">
        <f ca="1">IF(O51=0,"",_xludf.MAXIFS('ثبت اطلاعات'!$CN$5:$CN$1204,'ثبت اطلاعات'!$C$5:$C$1204,A51,'ثبت اطلاعات'!$CL$5:$CL$1204,"&lt;&gt;"))</f>
        <v>#NAME?</v>
      </c>
      <c r="R51" s="38">
        <f ca="1">IF(O51&lt;2,"",SUMIFS('ثبت اطلاعات'!$CL$5:$CL$1204,'ثبت اطلاعات'!$C$5:$C$1204,A51,'ثبت اطلاعات'!$CN$5:$CN$1204,Q51)-SUMIFS('ثبت اطلاعات'!$CL$5:$CL$1204,'ثبت اطلاعات'!$C$5:$C$1204,A51,'ثبت اطلاعات'!$CN$5:$CN$1204,P51))</f>
        <v>0</v>
      </c>
      <c r="S51" s="38" t="str">
        <f t="shared" si="5"/>
        <v/>
      </c>
      <c r="T51" s="38" t="str">
        <f t="shared" si="6"/>
        <v/>
      </c>
      <c r="U51" s="38" t="str">
        <f t="shared" si="7"/>
        <v/>
      </c>
      <c r="V51" s="38" t="str">
        <f t="shared" si="8"/>
        <v/>
      </c>
      <c r="W51" s="38" t="str">
        <f>IF(N51="","",_xludf.RANK.EQ(N51,$N$5:$N$104,0))</f>
        <v/>
      </c>
      <c r="X51" s="38" t="str">
        <f t="shared" si="9"/>
        <v/>
      </c>
      <c r="Y51" s="28" t="str">
        <f>IF(U51="","",IFERROR(INDEX('بانک راهکارها'!$C$5:$C$13,MATCH(U51,'بانک راهکارها'!$B$5:$B$13,0)),""))</f>
        <v/>
      </c>
    </row>
    <row r="52" spans="1:25" ht="17.25">
      <c r="A52" s="33" t="str">
        <f>IF(دانش‌آموزان!L52="","",دانش‌آموزان!B52)</f>
        <v/>
      </c>
      <c r="B52" s="55" t="str">
        <f>IF(A52="","",دانش‌آموزان!C52)</f>
        <v/>
      </c>
      <c r="C52" s="55" t="str">
        <f>IF(A52="","",دانش‌آموزان!E52&amp;" "&amp;دانش‌آموزان!F52)</f>
        <v/>
      </c>
      <c r="D52" s="34" t="str">
        <f>IF(A52="","",دانش‌آموزان!I52)</f>
        <v/>
      </c>
      <c r="E52" s="27" t="str">
        <f>IF(A52="","",IFERROR(AVERAGEIFS('ثبت اطلاعات'!$CC$5:$CC$1204,'ثبت اطلاعات'!$C$5:$C$1204,A52,'ثبت اطلاعات'!$CL$5:$CL$1204,"&lt;&gt;"),""))</f>
        <v/>
      </c>
      <c r="F52" s="38" t="str">
        <f>IF(A52="","",IFERROR(AVERAGEIFS('ثبت اطلاعات'!$CD$5:$CD$1204,'ثبت اطلاعات'!$C$5:$C$1204,A52,'ثبت اطلاعات'!$CL$5:$CL$1204,"&lt;&gt;"),""))</f>
        <v/>
      </c>
      <c r="G52" s="38" t="str">
        <f>IF(A52="","",IFERROR(AVERAGEIFS('ثبت اطلاعات'!$CE$5:$CE$1204,'ثبت اطلاعات'!$C$5:$C$1204,A52,'ثبت اطلاعات'!$CL$5:$CL$1204,"&lt;&gt;"),""))</f>
        <v/>
      </c>
      <c r="H52" s="38" t="str">
        <f>IF(A52="","",IFERROR(AVERAGEIFS('ثبت اطلاعات'!$CF$5:$CF$1204,'ثبت اطلاعات'!$C$5:$C$1204,A52,'ثبت اطلاعات'!$CL$5:$CL$1204,"&lt;&gt;"),""))</f>
        <v/>
      </c>
      <c r="I52" s="38" t="str">
        <f>IF(A52="","",IFERROR(AVERAGEIFS('ثبت اطلاعات'!$CG$5:$CG$1204,'ثبت اطلاعات'!$C$5:$C$1204,A52,'ثبت اطلاعات'!$CL$5:$CL$1204,"&lt;&gt;"),""))</f>
        <v/>
      </c>
      <c r="J52" s="38" t="str">
        <f>IF(A52="","",IFERROR(AVERAGEIFS('ثبت اطلاعات'!$CH$5:$CH$1204,'ثبت اطلاعات'!$C$5:$C$1204,A52,'ثبت اطلاعات'!$CL$5:$CL$1204,"&lt;&gt;"),""))</f>
        <v/>
      </c>
      <c r="K52" s="38" t="str">
        <f>IF(A52="","",IFERROR(AVERAGEIFS('ثبت اطلاعات'!$CI$5:$CI$1204,'ثبت اطلاعات'!$C$5:$C$1204,A52,'ثبت اطلاعات'!$CL$5:$CL$1204,"&lt;&gt;"),""))</f>
        <v/>
      </c>
      <c r="L52" s="38" t="str">
        <f>IF(A52="","",IFERROR(AVERAGEIFS('ثبت اطلاعات'!$CJ$5:$CJ$1204,'ثبت اطلاعات'!$C$5:$C$1204,A52,'ثبت اطلاعات'!$CL$5:$CL$1204,"&lt;&gt;"),""))</f>
        <v/>
      </c>
      <c r="M52" s="38" t="str">
        <f>IF(A52="","",IFERROR(AVERAGEIFS('ثبت اطلاعات'!$CK$5:$CK$1204,'ثبت اطلاعات'!$C$5:$C$1204,A52,'ثبت اطلاعات'!$CL$5:$CL$1204,"&lt;&gt;"),""))</f>
        <v/>
      </c>
      <c r="N52" s="38" t="str">
        <f>IF(A52="","",IFERROR(AVERAGEIFS('ثبت اطلاعات'!$CL$5:$CL$1204,'ثبت اطلاعات'!$C$5:$C$1204,A52,'ثبت اطلاعات'!$CL$5:$CL$1204,"&lt;&gt;"),""))</f>
        <v/>
      </c>
      <c r="O52" s="38" t="str">
        <f>IF(A52="","",COUNTIFS('ثبت اطلاعات'!$C$5:$C$1204,A52,'ثبت اطلاعات'!$CL$5:$CL$1204,"&lt;&gt;"))</f>
        <v/>
      </c>
      <c r="P52" s="38" t="e">
        <f ca="1">IF(O52=0,"",_xludf.MINIFS('ثبت اطلاعات'!$CN$5:$CN$1204,'ثبت اطلاعات'!$C$5:$C$1204,A52,'ثبت اطلاعات'!$CL$5:$CL$1204,"&lt;&gt;"))</f>
        <v>#NAME?</v>
      </c>
      <c r="Q52" s="38" t="e">
        <f ca="1">IF(O52=0,"",_xludf.MAXIFS('ثبت اطلاعات'!$CN$5:$CN$1204,'ثبت اطلاعات'!$C$5:$C$1204,A52,'ثبت اطلاعات'!$CL$5:$CL$1204,"&lt;&gt;"))</f>
        <v>#NAME?</v>
      </c>
      <c r="R52" s="38">
        <f ca="1">IF(O52&lt;2,"",SUMIFS('ثبت اطلاعات'!$CL$5:$CL$1204,'ثبت اطلاعات'!$C$5:$C$1204,A52,'ثبت اطلاعات'!$CN$5:$CN$1204,Q52)-SUMIFS('ثبت اطلاعات'!$CL$5:$CL$1204,'ثبت اطلاعات'!$C$5:$C$1204,A52,'ثبت اطلاعات'!$CN$5:$CN$1204,P52))</f>
        <v>0</v>
      </c>
      <c r="S52" s="38" t="str">
        <f t="shared" si="5"/>
        <v/>
      </c>
      <c r="T52" s="38" t="str">
        <f t="shared" si="6"/>
        <v/>
      </c>
      <c r="U52" s="38" t="str">
        <f t="shared" si="7"/>
        <v/>
      </c>
      <c r="V52" s="38" t="str">
        <f t="shared" si="8"/>
        <v/>
      </c>
      <c r="W52" s="38" t="str">
        <f>IF(N52="","",_xludf.RANK.EQ(N52,$N$5:$N$104,0))</f>
        <v/>
      </c>
      <c r="X52" s="38" t="str">
        <f t="shared" si="9"/>
        <v/>
      </c>
      <c r="Y52" s="28" t="str">
        <f>IF(U52="","",IFERROR(INDEX('بانک راهکارها'!$C$5:$C$13,MATCH(U52,'بانک راهکارها'!$B$5:$B$13,0)),""))</f>
        <v/>
      </c>
    </row>
    <row r="53" spans="1:25" ht="17.25">
      <c r="A53" s="33" t="str">
        <f>IF(دانش‌آموزان!L53="","",دانش‌آموزان!B53)</f>
        <v/>
      </c>
      <c r="B53" s="55" t="str">
        <f>IF(A53="","",دانش‌آموزان!C53)</f>
        <v/>
      </c>
      <c r="C53" s="55" t="str">
        <f>IF(A53="","",دانش‌آموزان!E53&amp;" "&amp;دانش‌آموزان!F53)</f>
        <v/>
      </c>
      <c r="D53" s="34" t="str">
        <f>IF(A53="","",دانش‌آموزان!I53)</f>
        <v/>
      </c>
      <c r="E53" s="27" t="str">
        <f>IF(A53="","",IFERROR(AVERAGEIFS('ثبت اطلاعات'!$CC$5:$CC$1204,'ثبت اطلاعات'!$C$5:$C$1204,A53,'ثبت اطلاعات'!$CL$5:$CL$1204,"&lt;&gt;"),""))</f>
        <v/>
      </c>
      <c r="F53" s="38" t="str">
        <f>IF(A53="","",IFERROR(AVERAGEIFS('ثبت اطلاعات'!$CD$5:$CD$1204,'ثبت اطلاعات'!$C$5:$C$1204,A53,'ثبت اطلاعات'!$CL$5:$CL$1204,"&lt;&gt;"),""))</f>
        <v/>
      </c>
      <c r="G53" s="38" t="str">
        <f>IF(A53="","",IFERROR(AVERAGEIFS('ثبت اطلاعات'!$CE$5:$CE$1204,'ثبت اطلاعات'!$C$5:$C$1204,A53,'ثبت اطلاعات'!$CL$5:$CL$1204,"&lt;&gt;"),""))</f>
        <v/>
      </c>
      <c r="H53" s="38" t="str">
        <f>IF(A53="","",IFERROR(AVERAGEIFS('ثبت اطلاعات'!$CF$5:$CF$1204,'ثبت اطلاعات'!$C$5:$C$1204,A53,'ثبت اطلاعات'!$CL$5:$CL$1204,"&lt;&gt;"),""))</f>
        <v/>
      </c>
      <c r="I53" s="38" t="str">
        <f>IF(A53="","",IFERROR(AVERAGEIFS('ثبت اطلاعات'!$CG$5:$CG$1204,'ثبت اطلاعات'!$C$5:$C$1204,A53,'ثبت اطلاعات'!$CL$5:$CL$1204,"&lt;&gt;"),""))</f>
        <v/>
      </c>
      <c r="J53" s="38" t="str">
        <f>IF(A53="","",IFERROR(AVERAGEIFS('ثبت اطلاعات'!$CH$5:$CH$1204,'ثبت اطلاعات'!$C$5:$C$1204,A53,'ثبت اطلاعات'!$CL$5:$CL$1204,"&lt;&gt;"),""))</f>
        <v/>
      </c>
      <c r="K53" s="38" t="str">
        <f>IF(A53="","",IFERROR(AVERAGEIFS('ثبت اطلاعات'!$CI$5:$CI$1204,'ثبت اطلاعات'!$C$5:$C$1204,A53,'ثبت اطلاعات'!$CL$5:$CL$1204,"&lt;&gt;"),""))</f>
        <v/>
      </c>
      <c r="L53" s="38" t="str">
        <f>IF(A53="","",IFERROR(AVERAGEIFS('ثبت اطلاعات'!$CJ$5:$CJ$1204,'ثبت اطلاعات'!$C$5:$C$1204,A53,'ثبت اطلاعات'!$CL$5:$CL$1204,"&lt;&gt;"),""))</f>
        <v/>
      </c>
      <c r="M53" s="38" t="str">
        <f>IF(A53="","",IFERROR(AVERAGEIFS('ثبت اطلاعات'!$CK$5:$CK$1204,'ثبت اطلاعات'!$C$5:$C$1204,A53,'ثبت اطلاعات'!$CL$5:$CL$1204,"&lt;&gt;"),""))</f>
        <v/>
      </c>
      <c r="N53" s="38" t="str">
        <f>IF(A53="","",IFERROR(AVERAGEIFS('ثبت اطلاعات'!$CL$5:$CL$1204,'ثبت اطلاعات'!$C$5:$C$1204,A53,'ثبت اطلاعات'!$CL$5:$CL$1204,"&lt;&gt;"),""))</f>
        <v/>
      </c>
      <c r="O53" s="38" t="str">
        <f>IF(A53="","",COUNTIFS('ثبت اطلاعات'!$C$5:$C$1204,A53,'ثبت اطلاعات'!$CL$5:$CL$1204,"&lt;&gt;"))</f>
        <v/>
      </c>
      <c r="P53" s="38" t="e">
        <f ca="1">IF(O53=0,"",_xludf.MINIFS('ثبت اطلاعات'!$CN$5:$CN$1204,'ثبت اطلاعات'!$C$5:$C$1204,A53,'ثبت اطلاعات'!$CL$5:$CL$1204,"&lt;&gt;"))</f>
        <v>#NAME?</v>
      </c>
      <c r="Q53" s="38" t="e">
        <f ca="1">IF(O53=0,"",_xludf.MAXIFS('ثبت اطلاعات'!$CN$5:$CN$1204,'ثبت اطلاعات'!$C$5:$C$1204,A53,'ثبت اطلاعات'!$CL$5:$CL$1204,"&lt;&gt;"))</f>
        <v>#NAME?</v>
      </c>
      <c r="R53" s="38">
        <f ca="1">IF(O53&lt;2,"",SUMIFS('ثبت اطلاعات'!$CL$5:$CL$1204,'ثبت اطلاعات'!$C$5:$C$1204,A53,'ثبت اطلاعات'!$CN$5:$CN$1204,Q53)-SUMIFS('ثبت اطلاعات'!$CL$5:$CL$1204,'ثبت اطلاعات'!$C$5:$C$1204,A53,'ثبت اطلاعات'!$CN$5:$CN$1204,P53))</f>
        <v>0</v>
      </c>
      <c r="S53" s="38" t="str">
        <f t="shared" si="5"/>
        <v/>
      </c>
      <c r="T53" s="38" t="str">
        <f t="shared" si="6"/>
        <v/>
      </c>
      <c r="U53" s="38" t="str">
        <f t="shared" si="7"/>
        <v/>
      </c>
      <c r="V53" s="38" t="str">
        <f t="shared" si="8"/>
        <v/>
      </c>
      <c r="W53" s="38" t="str">
        <f>IF(N53="","",_xludf.RANK.EQ(N53,$N$5:$N$104,0))</f>
        <v/>
      </c>
      <c r="X53" s="38" t="str">
        <f t="shared" si="9"/>
        <v/>
      </c>
      <c r="Y53" s="28" t="str">
        <f>IF(U53="","",IFERROR(INDEX('بانک راهکارها'!$C$5:$C$13,MATCH(U53,'بانک راهکارها'!$B$5:$B$13,0)),""))</f>
        <v/>
      </c>
    </row>
    <row r="54" spans="1:25" ht="17.25">
      <c r="A54" s="33" t="str">
        <f>IF(دانش‌آموزان!L54="","",دانش‌آموزان!B54)</f>
        <v/>
      </c>
      <c r="B54" s="55" t="str">
        <f>IF(A54="","",دانش‌آموزان!C54)</f>
        <v/>
      </c>
      <c r="C54" s="55" t="str">
        <f>IF(A54="","",دانش‌آموزان!E54&amp;" "&amp;دانش‌آموزان!F54)</f>
        <v/>
      </c>
      <c r="D54" s="34" t="str">
        <f>IF(A54="","",دانش‌آموزان!I54)</f>
        <v/>
      </c>
      <c r="E54" s="27" t="str">
        <f>IF(A54="","",IFERROR(AVERAGEIFS('ثبت اطلاعات'!$CC$5:$CC$1204,'ثبت اطلاعات'!$C$5:$C$1204,A54,'ثبت اطلاعات'!$CL$5:$CL$1204,"&lt;&gt;"),""))</f>
        <v/>
      </c>
      <c r="F54" s="38" t="str">
        <f>IF(A54="","",IFERROR(AVERAGEIFS('ثبت اطلاعات'!$CD$5:$CD$1204,'ثبت اطلاعات'!$C$5:$C$1204,A54,'ثبت اطلاعات'!$CL$5:$CL$1204,"&lt;&gt;"),""))</f>
        <v/>
      </c>
      <c r="G54" s="38" t="str">
        <f>IF(A54="","",IFERROR(AVERAGEIFS('ثبت اطلاعات'!$CE$5:$CE$1204,'ثبت اطلاعات'!$C$5:$C$1204,A54,'ثبت اطلاعات'!$CL$5:$CL$1204,"&lt;&gt;"),""))</f>
        <v/>
      </c>
      <c r="H54" s="38" t="str">
        <f>IF(A54="","",IFERROR(AVERAGEIFS('ثبت اطلاعات'!$CF$5:$CF$1204,'ثبت اطلاعات'!$C$5:$C$1204,A54,'ثبت اطلاعات'!$CL$5:$CL$1204,"&lt;&gt;"),""))</f>
        <v/>
      </c>
      <c r="I54" s="38" t="str">
        <f>IF(A54="","",IFERROR(AVERAGEIFS('ثبت اطلاعات'!$CG$5:$CG$1204,'ثبت اطلاعات'!$C$5:$C$1204,A54,'ثبت اطلاعات'!$CL$5:$CL$1204,"&lt;&gt;"),""))</f>
        <v/>
      </c>
      <c r="J54" s="38" t="str">
        <f>IF(A54="","",IFERROR(AVERAGEIFS('ثبت اطلاعات'!$CH$5:$CH$1204,'ثبت اطلاعات'!$C$5:$C$1204,A54,'ثبت اطلاعات'!$CL$5:$CL$1204,"&lt;&gt;"),""))</f>
        <v/>
      </c>
      <c r="K54" s="38" t="str">
        <f>IF(A54="","",IFERROR(AVERAGEIFS('ثبت اطلاعات'!$CI$5:$CI$1204,'ثبت اطلاعات'!$C$5:$C$1204,A54,'ثبت اطلاعات'!$CL$5:$CL$1204,"&lt;&gt;"),""))</f>
        <v/>
      </c>
      <c r="L54" s="38" t="str">
        <f>IF(A54="","",IFERROR(AVERAGEIFS('ثبت اطلاعات'!$CJ$5:$CJ$1204,'ثبت اطلاعات'!$C$5:$C$1204,A54,'ثبت اطلاعات'!$CL$5:$CL$1204,"&lt;&gt;"),""))</f>
        <v/>
      </c>
      <c r="M54" s="38" t="str">
        <f>IF(A54="","",IFERROR(AVERAGEIFS('ثبت اطلاعات'!$CK$5:$CK$1204,'ثبت اطلاعات'!$C$5:$C$1204,A54,'ثبت اطلاعات'!$CL$5:$CL$1204,"&lt;&gt;"),""))</f>
        <v/>
      </c>
      <c r="N54" s="38" t="str">
        <f>IF(A54="","",IFERROR(AVERAGEIFS('ثبت اطلاعات'!$CL$5:$CL$1204,'ثبت اطلاعات'!$C$5:$C$1204,A54,'ثبت اطلاعات'!$CL$5:$CL$1204,"&lt;&gt;"),""))</f>
        <v/>
      </c>
      <c r="O54" s="38" t="str">
        <f>IF(A54="","",COUNTIFS('ثبت اطلاعات'!$C$5:$C$1204,A54,'ثبت اطلاعات'!$CL$5:$CL$1204,"&lt;&gt;"))</f>
        <v/>
      </c>
      <c r="P54" s="38" t="e">
        <f ca="1">IF(O54=0,"",_xludf.MINIFS('ثبت اطلاعات'!$CN$5:$CN$1204,'ثبت اطلاعات'!$C$5:$C$1204,A54,'ثبت اطلاعات'!$CL$5:$CL$1204,"&lt;&gt;"))</f>
        <v>#NAME?</v>
      </c>
      <c r="Q54" s="38" t="e">
        <f ca="1">IF(O54=0,"",_xludf.MAXIFS('ثبت اطلاعات'!$CN$5:$CN$1204,'ثبت اطلاعات'!$C$5:$C$1204,A54,'ثبت اطلاعات'!$CL$5:$CL$1204,"&lt;&gt;"))</f>
        <v>#NAME?</v>
      </c>
      <c r="R54" s="38">
        <f ca="1">IF(O54&lt;2,"",SUMIFS('ثبت اطلاعات'!$CL$5:$CL$1204,'ثبت اطلاعات'!$C$5:$C$1204,A54,'ثبت اطلاعات'!$CN$5:$CN$1204,Q54)-SUMIFS('ثبت اطلاعات'!$CL$5:$CL$1204,'ثبت اطلاعات'!$C$5:$C$1204,A54,'ثبت اطلاعات'!$CN$5:$CN$1204,P54))</f>
        <v>0</v>
      </c>
      <c r="S54" s="38" t="str">
        <f t="shared" si="5"/>
        <v/>
      </c>
      <c r="T54" s="38" t="str">
        <f t="shared" si="6"/>
        <v/>
      </c>
      <c r="U54" s="38" t="str">
        <f t="shared" si="7"/>
        <v/>
      </c>
      <c r="V54" s="38" t="str">
        <f t="shared" si="8"/>
        <v/>
      </c>
      <c r="W54" s="38" t="str">
        <f>IF(N54="","",_xludf.RANK.EQ(N54,$N$5:$N$104,0))</f>
        <v/>
      </c>
      <c r="X54" s="38" t="str">
        <f t="shared" si="9"/>
        <v/>
      </c>
      <c r="Y54" s="28" t="str">
        <f>IF(U54="","",IFERROR(INDEX('بانک راهکارها'!$C$5:$C$13,MATCH(U54,'بانک راهکارها'!$B$5:$B$13,0)),""))</f>
        <v/>
      </c>
    </row>
    <row r="55" spans="1:25" ht="17.25">
      <c r="A55" s="33" t="str">
        <f>IF(دانش‌آموزان!L55="","",دانش‌آموزان!B55)</f>
        <v/>
      </c>
      <c r="B55" s="55" t="str">
        <f>IF(A55="","",دانش‌آموزان!C55)</f>
        <v/>
      </c>
      <c r="C55" s="55" t="str">
        <f>IF(A55="","",دانش‌آموزان!E55&amp;" "&amp;دانش‌آموزان!F55)</f>
        <v/>
      </c>
      <c r="D55" s="34" t="str">
        <f>IF(A55="","",دانش‌آموزان!I55)</f>
        <v/>
      </c>
      <c r="E55" s="27" t="str">
        <f>IF(A55="","",IFERROR(AVERAGEIFS('ثبت اطلاعات'!$CC$5:$CC$1204,'ثبت اطلاعات'!$C$5:$C$1204,A55,'ثبت اطلاعات'!$CL$5:$CL$1204,"&lt;&gt;"),""))</f>
        <v/>
      </c>
      <c r="F55" s="38" t="str">
        <f>IF(A55="","",IFERROR(AVERAGEIFS('ثبت اطلاعات'!$CD$5:$CD$1204,'ثبت اطلاعات'!$C$5:$C$1204,A55,'ثبت اطلاعات'!$CL$5:$CL$1204,"&lt;&gt;"),""))</f>
        <v/>
      </c>
      <c r="G55" s="38" t="str">
        <f>IF(A55="","",IFERROR(AVERAGEIFS('ثبت اطلاعات'!$CE$5:$CE$1204,'ثبت اطلاعات'!$C$5:$C$1204,A55,'ثبت اطلاعات'!$CL$5:$CL$1204,"&lt;&gt;"),""))</f>
        <v/>
      </c>
      <c r="H55" s="38" t="str">
        <f>IF(A55="","",IFERROR(AVERAGEIFS('ثبت اطلاعات'!$CF$5:$CF$1204,'ثبت اطلاعات'!$C$5:$C$1204,A55,'ثبت اطلاعات'!$CL$5:$CL$1204,"&lt;&gt;"),""))</f>
        <v/>
      </c>
      <c r="I55" s="38" t="str">
        <f>IF(A55="","",IFERROR(AVERAGEIFS('ثبت اطلاعات'!$CG$5:$CG$1204,'ثبت اطلاعات'!$C$5:$C$1204,A55,'ثبت اطلاعات'!$CL$5:$CL$1204,"&lt;&gt;"),""))</f>
        <v/>
      </c>
      <c r="J55" s="38" t="str">
        <f>IF(A55="","",IFERROR(AVERAGEIFS('ثبت اطلاعات'!$CH$5:$CH$1204,'ثبت اطلاعات'!$C$5:$C$1204,A55,'ثبت اطلاعات'!$CL$5:$CL$1204,"&lt;&gt;"),""))</f>
        <v/>
      </c>
      <c r="K55" s="38" t="str">
        <f>IF(A55="","",IFERROR(AVERAGEIFS('ثبت اطلاعات'!$CI$5:$CI$1204,'ثبت اطلاعات'!$C$5:$C$1204,A55,'ثبت اطلاعات'!$CL$5:$CL$1204,"&lt;&gt;"),""))</f>
        <v/>
      </c>
      <c r="L55" s="38" t="str">
        <f>IF(A55="","",IFERROR(AVERAGEIFS('ثبت اطلاعات'!$CJ$5:$CJ$1204,'ثبت اطلاعات'!$C$5:$C$1204,A55,'ثبت اطلاعات'!$CL$5:$CL$1204,"&lt;&gt;"),""))</f>
        <v/>
      </c>
      <c r="M55" s="38" t="str">
        <f>IF(A55="","",IFERROR(AVERAGEIFS('ثبت اطلاعات'!$CK$5:$CK$1204,'ثبت اطلاعات'!$C$5:$C$1204,A55,'ثبت اطلاعات'!$CL$5:$CL$1204,"&lt;&gt;"),""))</f>
        <v/>
      </c>
      <c r="N55" s="38" t="str">
        <f>IF(A55="","",IFERROR(AVERAGEIFS('ثبت اطلاعات'!$CL$5:$CL$1204,'ثبت اطلاعات'!$C$5:$C$1204,A55,'ثبت اطلاعات'!$CL$5:$CL$1204,"&lt;&gt;"),""))</f>
        <v/>
      </c>
      <c r="O55" s="38" t="str">
        <f>IF(A55="","",COUNTIFS('ثبت اطلاعات'!$C$5:$C$1204,A55,'ثبت اطلاعات'!$CL$5:$CL$1204,"&lt;&gt;"))</f>
        <v/>
      </c>
      <c r="P55" s="38" t="e">
        <f ca="1">IF(O55=0,"",_xludf.MINIFS('ثبت اطلاعات'!$CN$5:$CN$1204,'ثبت اطلاعات'!$C$5:$C$1204,A55,'ثبت اطلاعات'!$CL$5:$CL$1204,"&lt;&gt;"))</f>
        <v>#NAME?</v>
      </c>
      <c r="Q55" s="38" t="e">
        <f ca="1">IF(O55=0,"",_xludf.MAXIFS('ثبت اطلاعات'!$CN$5:$CN$1204,'ثبت اطلاعات'!$C$5:$C$1204,A55,'ثبت اطلاعات'!$CL$5:$CL$1204,"&lt;&gt;"))</f>
        <v>#NAME?</v>
      </c>
      <c r="R55" s="38">
        <f ca="1">IF(O55&lt;2,"",SUMIFS('ثبت اطلاعات'!$CL$5:$CL$1204,'ثبت اطلاعات'!$C$5:$C$1204,A55,'ثبت اطلاعات'!$CN$5:$CN$1204,Q55)-SUMIFS('ثبت اطلاعات'!$CL$5:$CL$1204,'ثبت اطلاعات'!$C$5:$C$1204,A55,'ثبت اطلاعات'!$CN$5:$CN$1204,P55))</f>
        <v>0</v>
      </c>
      <c r="S55" s="38" t="str">
        <f t="shared" si="5"/>
        <v/>
      </c>
      <c r="T55" s="38" t="str">
        <f t="shared" si="6"/>
        <v/>
      </c>
      <c r="U55" s="38" t="str">
        <f t="shared" si="7"/>
        <v/>
      </c>
      <c r="V55" s="38" t="str">
        <f t="shared" si="8"/>
        <v/>
      </c>
      <c r="W55" s="38" t="str">
        <f>IF(N55="","",_xludf.RANK.EQ(N55,$N$5:$N$104,0))</f>
        <v/>
      </c>
      <c r="X55" s="38" t="str">
        <f t="shared" si="9"/>
        <v/>
      </c>
      <c r="Y55" s="28" t="str">
        <f>IF(U55="","",IFERROR(INDEX('بانک راهکارها'!$C$5:$C$13,MATCH(U55,'بانک راهکارها'!$B$5:$B$13,0)),""))</f>
        <v/>
      </c>
    </row>
    <row r="56" spans="1:25" ht="17.25">
      <c r="A56" s="33" t="str">
        <f>IF(دانش‌آموزان!L56="","",دانش‌آموزان!B56)</f>
        <v/>
      </c>
      <c r="B56" s="55" t="str">
        <f>IF(A56="","",دانش‌آموزان!C56)</f>
        <v/>
      </c>
      <c r="C56" s="55" t="str">
        <f>IF(A56="","",دانش‌آموزان!E56&amp;" "&amp;دانش‌آموزان!F56)</f>
        <v/>
      </c>
      <c r="D56" s="34" t="str">
        <f>IF(A56="","",دانش‌آموزان!I56)</f>
        <v/>
      </c>
      <c r="E56" s="27" t="str">
        <f>IF(A56="","",IFERROR(AVERAGEIFS('ثبت اطلاعات'!$CC$5:$CC$1204,'ثبت اطلاعات'!$C$5:$C$1204,A56,'ثبت اطلاعات'!$CL$5:$CL$1204,"&lt;&gt;"),""))</f>
        <v/>
      </c>
      <c r="F56" s="38" t="str">
        <f>IF(A56="","",IFERROR(AVERAGEIFS('ثبت اطلاعات'!$CD$5:$CD$1204,'ثبت اطلاعات'!$C$5:$C$1204,A56,'ثبت اطلاعات'!$CL$5:$CL$1204,"&lt;&gt;"),""))</f>
        <v/>
      </c>
      <c r="G56" s="38" t="str">
        <f>IF(A56="","",IFERROR(AVERAGEIFS('ثبت اطلاعات'!$CE$5:$CE$1204,'ثبت اطلاعات'!$C$5:$C$1204,A56,'ثبت اطلاعات'!$CL$5:$CL$1204,"&lt;&gt;"),""))</f>
        <v/>
      </c>
      <c r="H56" s="38" t="str">
        <f>IF(A56="","",IFERROR(AVERAGEIFS('ثبت اطلاعات'!$CF$5:$CF$1204,'ثبت اطلاعات'!$C$5:$C$1204,A56,'ثبت اطلاعات'!$CL$5:$CL$1204,"&lt;&gt;"),""))</f>
        <v/>
      </c>
      <c r="I56" s="38" t="str">
        <f>IF(A56="","",IFERROR(AVERAGEIFS('ثبت اطلاعات'!$CG$5:$CG$1204,'ثبت اطلاعات'!$C$5:$C$1204,A56,'ثبت اطلاعات'!$CL$5:$CL$1204,"&lt;&gt;"),""))</f>
        <v/>
      </c>
      <c r="J56" s="38" t="str">
        <f>IF(A56="","",IFERROR(AVERAGEIFS('ثبت اطلاعات'!$CH$5:$CH$1204,'ثبت اطلاعات'!$C$5:$C$1204,A56,'ثبت اطلاعات'!$CL$5:$CL$1204,"&lt;&gt;"),""))</f>
        <v/>
      </c>
      <c r="K56" s="38" t="str">
        <f>IF(A56="","",IFERROR(AVERAGEIFS('ثبت اطلاعات'!$CI$5:$CI$1204,'ثبت اطلاعات'!$C$5:$C$1204,A56,'ثبت اطلاعات'!$CL$5:$CL$1204,"&lt;&gt;"),""))</f>
        <v/>
      </c>
      <c r="L56" s="38" t="str">
        <f>IF(A56="","",IFERROR(AVERAGEIFS('ثبت اطلاعات'!$CJ$5:$CJ$1204,'ثبت اطلاعات'!$C$5:$C$1204,A56,'ثبت اطلاعات'!$CL$5:$CL$1204,"&lt;&gt;"),""))</f>
        <v/>
      </c>
      <c r="M56" s="38" t="str">
        <f>IF(A56="","",IFERROR(AVERAGEIFS('ثبت اطلاعات'!$CK$5:$CK$1204,'ثبت اطلاعات'!$C$5:$C$1204,A56,'ثبت اطلاعات'!$CL$5:$CL$1204,"&lt;&gt;"),""))</f>
        <v/>
      </c>
      <c r="N56" s="38" t="str">
        <f>IF(A56="","",IFERROR(AVERAGEIFS('ثبت اطلاعات'!$CL$5:$CL$1204,'ثبت اطلاعات'!$C$5:$C$1204,A56,'ثبت اطلاعات'!$CL$5:$CL$1204,"&lt;&gt;"),""))</f>
        <v/>
      </c>
      <c r="O56" s="38" t="str">
        <f>IF(A56="","",COUNTIFS('ثبت اطلاعات'!$C$5:$C$1204,A56,'ثبت اطلاعات'!$CL$5:$CL$1204,"&lt;&gt;"))</f>
        <v/>
      </c>
      <c r="P56" s="38" t="e">
        <f ca="1">IF(O56=0,"",_xludf.MINIFS('ثبت اطلاعات'!$CN$5:$CN$1204,'ثبت اطلاعات'!$C$5:$C$1204,A56,'ثبت اطلاعات'!$CL$5:$CL$1204,"&lt;&gt;"))</f>
        <v>#NAME?</v>
      </c>
      <c r="Q56" s="38" t="e">
        <f ca="1">IF(O56=0,"",_xludf.MAXIFS('ثبت اطلاعات'!$CN$5:$CN$1204,'ثبت اطلاعات'!$C$5:$C$1204,A56,'ثبت اطلاعات'!$CL$5:$CL$1204,"&lt;&gt;"))</f>
        <v>#NAME?</v>
      </c>
      <c r="R56" s="38">
        <f ca="1">IF(O56&lt;2,"",SUMIFS('ثبت اطلاعات'!$CL$5:$CL$1204,'ثبت اطلاعات'!$C$5:$C$1204,A56,'ثبت اطلاعات'!$CN$5:$CN$1204,Q56)-SUMIFS('ثبت اطلاعات'!$CL$5:$CL$1204,'ثبت اطلاعات'!$C$5:$C$1204,A56,'ثبت اطلاعات'!$CN$5:$CN$1204,P56))</f>
        <v>0</v>
      </c>
      <c r="S56" s="38" t="str">
        <f t="shared" si="5"/>
        <v/>
      </c>
      <c r="T56" s="38" t="str">
        <f t="shared" si="6"/>
        <v/>
      </c>
      <c r="U56" s="38" t="str">
        <f t="shared" si="7"/>
        <v/>
      </c>
      <c r="V56" s="38" t="str">
        <f t="shared" si="8"/>
        <v/>
      </c>
      <c r="W56" s="38" t="str">
        <f>IF(N56="","",_xludf.RANK.EQ(N56,$N$5:$N$104,0))</f>
        <v/>
      </c>
      <c r="X56" s="38" t="str">
        <f t="shared" si="9"/>
        <v/>
      </c>
      <c r="Y56" s="28" t="str">
        <f>IF(U56="","",IFERROR(INDEX('بانک راهکارها'!$C$5:$C$13,MATCH(U56,'بانک راهکارها'!$B$5:$B$13,0)),""))</f>
        <v/>
      </c>
    </row>
    <row r="57" spans="1:25" ht="17.25">
      <c r="A57" s="33" t="str">
        <f>IF(دانش‌آموزان!L57="","",دانش‌آموزان!B57)</f>
        <v/>
      </c>
      <c r="B57" s="55" t="str">
        <f>IF(A57="","",دانش‌آموزان!C57)</f>
        <v/>
      </c>
      <c r="C57" s="55" t="str">
        <f>IF(A57="","",دانش‌آموزان!E57&amp;" "&amp;دانش‌آموزان!F57)</f>
        <v/>
      </c>
      <c r="D57" s="34" t="str">
        <f>IF(A57="","",دانش‌آموزان!I57)</f>
        <v/>
      </c>
      <c r="E57" s="27" t="str">
        <f>IF(A57="","",IFERROR(AVERAGEIFS('ثبت اطلاعات'!$CC$5:$CC$1204,'ثبت اطلاعات'!$C$5:$C$1204,A57,'ثبت اطلاعات'!$CL$5:$CL$1204,"&lt;&gt;"),""))</f>
        <v/>
      </c>
      <c r="F57" s="38" t="str">
        <f>IF(A57="","",IFERROR(AVERAGEIFS('ثبت اطلاعات'!$CD$5:$CD$1204,'ثبت اطلاعات'!$C$5:$C$1204,A57,'ثبت اطلاعات'!$CL$5:$CL$1204,"&lt;&gt;"),""))</f>
        <v/>
      </c>
      <c r="G57" s="38" t="str">
        <f>IF(A57="","",IFERROR(AVERAGEIFS('ثبت اطلاعات'!$CE$5:$CE$1204,'ثبت اطلاعات'!$C$5:$C$1204,A57,'ثبت اطلاعات'!$CL$5:$CL$1204,"&lt;&gt;"),""))</f>
        <v/>
      </c>
      <c r="H57" s="38" t="str">
        <f>IF(A57="","",IFERROR(AVERAGEIFS('ثبت اطلاعات'!$CF$5:$CF$1204,'ثبت اطلاعات'!$C$5:$C$1204,A57,'ثبت اطلاعات'!$CL$5:$CL$1204,"&lt;&gt;"),""))</f>
        <v/>
      </c>
      <c r="I57" s="38" t="str">
        <f>IF(A57="","",IFERROR(AVERAGEIFS('ثبت اطلاعات'!$CG$5:$CG$1204,'ثبت اطلاعات'!$C$5:$C$1204,A57,'ثبت اطلاعات'!$CL$5:$CL$1204,"&lt;&gt;"),""))</f>
        <v/>
      </c>
      <c r="J57" s="38" t="str">
        <f>IF(A57="","",IFERROR(AVERAGEIFS('ثبت اطلاعات'!$CH$5:$CH$1204,'ثبت اطلاعات'!$C$5:$C$1204,A57,'ثبت اطلاعات'!$CL$5:$CL$1204,"&lt;&gt;"),""))</f>
        <v/>
      </c>
      <c r="K57" s="38" t="str">
        <f>IF(A57="","",IFERROR(AVERAGEIFS('ثبت اطلاعات'!$CI$5:$CI$1204,'ثبت اطلاعات'!$C$5:$C$1204,A57,'ثبت اطلاعات'!$CL$5:$CL$1204,"&lt;&gt;"),""))</f>
        <v/>
      </c>
      <c r="L57" s="38" t="str">
        <f>IF(A57="","",IFERROR(AVERAGEIFS('ثبت اطلاعات'!$CJ$5:$CJ$1204,'ثبت اطلاعات'!$C$5:$C$1204,A57,'ثبت اطلاعات'!$CL$5:$CL$1204,"&lt;&gt;"),""))</f>
        <v/>
      </c>
      <c r="M57" s="38" t="str">
        <f>IF(A57="","",IFERROR(AVERAGEIFS('ثبت اطلاعات'!$CK$5:$CK$1204,'ثبت اطلاعات'!$C$5:$C$1204,A57,'ثبت اطلاعات'!$CL$5:$CL$1204,"&lt;&gt;"),""))</f>
        <v/>
      </c>
      <c r="N57" s="38" t="str">
        <f>IF(A57="","",IFERROR(AVERAGEIFS('ثبت اطلاعات'!$CL$5:$CL$1204,'ثبت اطلاعات'!$C$5:$C$1204,A57,'ثبت اطلاعات'!$CL$5:$CL$1204,"&lt;&gt;"),""))</f>
        <v/>
      </c>
      <c r="O57" s="38" t="str">
        <f>IF(A57="","",COUNTIFS('ثبت اطلاعات'!$C$5:$C$1204,A57,'ثبت اطلاعات'!$CL$5:$CL$1204,"&lt;&gt;"))</f>
        <v/>
      </c>
      <c r="P57" s="38" t="e">
        <f ca="1">IF(O57=0,"",_xludf.MINIFS('ثبت اطلاعات'!$CN$5:$CN$1204,'ثبت اطلاعات'!$C$5:$C$1204,A57,'ثبت اطلاعات'!$CL$5:$CL$1204,"&lt;&gt;"))</f>
        <v>#NAME?</v>
      </c>
      <c r="Q57" s="38" t="e">
        <f ca="1">IF(O57=0,"",_xludf.MAXIFS('ثبت اطلاعات'!$CN$5:$CN$1204,'ثبت اطلاعات'!$C$5:$C$1204,A57,'ثبت اطلاعات'!$CL$5:$CL$1204,"&lt;&gt;"))</f>
        <v>#NAME?</v>
      </c>
      <c r="R57" s="38">
        <f ca="1">IF(O57&lt;2,"",SUMIFS('ثبت اطلاعات'!$CL$5:$CL$1204,'ثبت اطلاعات'!$C$5:$C$1204,A57,'ثبت اطلاعات'!$CN$5:$CN$1204,Q57)-SUMIFS('ثبت اطلاعات'!$CL$5:$CL$1204,'ثبت اطلاعات'!$C$5:$C$1204,A57,'ثبت اطلاعات'!$CN$5:$CN$1204,P57))</f>
        <v>0</v>
      </c>
      <c r="S57" s="38" t="str">
        <f t="shared" si="5"/>
        <v/>
      </c>
      <c r="T57" s="38" t="str">
        <f t="shared" si="6"/>
        <v/>
      </c>
      <c r="U57" s="38" t="str">
        <f t="shared" si="7"/>
        <v/>
      </c>
      <c r="V57" s="38" t="str">
        <f t="shared" si="8"/>
        <v/>
      </c>
      <c r="W57" s="38" t="str">
        <f>IF(N57="","",_xludf.RANK.EQ(N57,$N$5:$N$104,0))</f>
        <v/>
      </c>
      <c r="X57" s="38" t="str">
        <f t="shared" si="9"/>
        <v/>
      </c>
      <c r="Y57" s="28" t="str">
        <f>IF(U57="","",IFERROR(INDEX('بانک راهکارها'!$C$5:$C$13,MATCH(U57,'بانک راهکارها'!$B$5:$B$13,0)),""))</f>
        <v/>
      </c>
    </row>
    <row r="58" spans="1:25" ht="17.25">
      <c r="A58" s="33" t="str">
        <f>IF(دانش‌آموزان!L58="","",دانش‌آموزان!B58)</f>
        <v/>
      </c>
      <c r="B58" s="55" t="str">
        <f>IF(A58="","",دانش‌آموزان!C58)</f>
        <v/>
      </c>
      <c r="C58" s="55" t="str">
        <f>IF(A58="","",دانش‌آموزان!E58&amp;" "&amp;دانش‌آموزان!F58)</f>
        <v/>
      </c>
      <c r="D58" s="34" t="str">
        <f>IF(A58="","",دانش‌آموزان!I58)</f>
        <v/>
      </c>
      <c r="E58" s="27" t="str">
        <f>IF(A58="","",IFERROR(AVERAGEIFS('ثبت اطلاعات'!$CC$5:$CC$1204,'ثبت اطلاعات'!$C$5:$C$1204,A58,'ثبت اطلاعات'!$CL$5:$CL$1204,"&lt;&gt;"),""))</f>
        <v/>
      </c>
      <c r="F58" s="38" t="str">
        <f>IF(A58="","",IFERROR(AVERAGEIFS('ثبت اطلاعات'!$CD$5:$CD$1204,'ثبت اطلاعات'!$C$5:$C$1204,A58,'ثبت اطلاعات'!$CL$5:$CL$1204,"&lt;&gt;"),""))</f>
        <v/>
      </c>
      <c r="G58" s="38" t="str">
        <f>IF(A58="","",IFERROR(AVERAGEIFS('ثبت اطلاعات'!$CE$5:$CE$1204,'ثبت اطلاعات'!$C$5:$C$1204,A58,'ثبت اطلاعات'!$CL$5:$CL$1204,"&lt;&gt;"),""))</f>
        <v/>
      </c>
      <c r="H58" s="38" t="str">
        <f>IF(A58="","",IFERROR(AVERAGEIFS('ثبت اطلاعات'!$CF$5:$CF$1204,'ثبت اطلاعات'!$C$5:$C$1204,A58,'ثبت اطلاعات'!$CL$5:$CL$1204,"&lt;&gt;"),""))</f>
        <v/>
      </c>
      <c r="I58" s="38" t="str">
        <f>IF(A58="","",IFERROR(AVERAGEIFS('ثبت اطلاعات'!$CG$5:$CG$1204,'ثبت اطلاعات'!$C$5:$C$1204,A58,'ثبت اطلاعات'!$CL$5:$CL$1204,"&lt;&gt;"),""))</f>
        <v/>
      </c>
      <c r="J58" s="38" t="str">
        <f>IF(A58="","",IFERROR(AVERAGEIFS('ثبت اطلاعات'!$CH$5:$CH$1204,'ثبت اطلاعات'!$C$5:$C$1204,A58,'ثبت اطلاعات'!$CL$5:$CL$1204,"&lt;&gt;"),""))</f>
        <v/>
      </c>
      <c r="K58" s="38" t="str">
        <f>IF(A58="","",IFERROR(AVERAGEIFS('ثبت اطلاعات'!$CI$5:$CI$1204,'ثبت اطلاعات'!$C$5:$C$1204,A58,'ثبت اطلاعات'!$CL$5:$CL$1204,"&lt;&gt;"),""))</f>
        <v/>
      </c>
      <c r="L58" s="38" t="str">
        <f>IF(A58="","",IFERROR(AVERAGEIFS('ثبت اطلاعات'!$CJ$5:$CJ$1204,'ثبت اطلاعات'!$C$5:$C$1204,A58,'ثبت اطلاعات'!$CL$5:$CL$1204,"&lt;&gt;"),""))</f>
        <v/>
      </c>
      <c r="M58" s="38" t="str">
        <f>IF(A58="","",IFERROR(AVERAGEIFS('ثبت اطلاعات'!$CK$5:$CK$1204,'ثبت اطلاعات'!$C$5:$C$1204,A58,'ثبت اطلاعات'!$CL$5:$CL$1204,"&lt;&gt;"),""))</f>
        <v/>
      </c>
      <c r="N58" s="38" t="str">
        <f>IF(A58="","",IFERROR(AVERAGEIFS('ثبت اطلاعات'!$CL$5:$CL$1204,'ثبت اطلاعات'!$C$5:$C$1204,A58,'ثبت اطلاعات'!$CL$5:$CL$1204,"&lt;&gt;"),""))</f>
        <v/>
      </c>
      <c r="O58" s="38" t="str">
        <f>IF(A58="","",COUNTIFS('ثبت اطلاعات'!$C$5:$C$1204,A58,'ثبت اطلاعات'!$CL$5:$CL$1204,"&lt;&gt;"))</f>
        <v/>
      </c>
      <c r="P58" s="38" t="e">
        <f ca="1">IF(O58=0,"",_xludf.MINIFS('ثبت اطلاعات'!$CN$5:$CN$1204,'ثبت اطلاعات'!$C$5:$C$1204,A58,'ثبت اطلاعات'!$CL$5:$CL$1204,"&lt;&gt;"))</f>
        <v>#NAME?</v>
      </c>
      <c r="Q58" s="38" t="e">
        <f ca="1">IF(O58=0,"",_xludf.MAXIFS('ثبت اطلاعات'!$CN$5:$CN$1204,'ثبت اطلاعات'!$C$5:$C$1204,A58,'ثبت اطلاعات'!$CL$5:$CL$1204,"&lt;&gt;"))</f>
        <v>#NAME?</v>
      </c>
      <c r="R58" s="38">
        <f ca="1">IF(O58&lt;2,"",SUMIFS('ثبت اطلاعات'!$CL$5:$CL$1204,'ثبت اطلاعات'!$C$5:$C$1204,A58,'ثبت اطلاعات'!$CN$5:$CN$1204,Q58)-SUMIFS('ثبت اطلاعات'!$CL$5:$CL$1204,'ثبت اطلاعات'!$C$5:$C$1204,A58,'ثبت اطلاعات'!$CN$5:$CN$1204,P58))</f>
        <v>0</v>
      </c>
      <c r="S58" s="38" t="str">
        <f t="shared" si="5"/>
        <v/>
      </c>
      <c r="T58" s="38" t="str">
        <f t="shared" si="6"/>
        <v/>
      </c>
      <c r="U58" s="38" t="str">
        <f t="shared" si="7"/>
        <v/>
      </c>
      <c r="V58" s="38" t="str">
        <f t="shared" si="8"/>
        <v/>
      </c>
      <c r="W58" s="38" t="str">
        <f>IF(N58="","",_xludf.RANK.EQ(N58,$N$5:$N$104,0))</f>
        <v/>
      </c>
      <c r="X58" s="38" t="str">
        <f t="shared" si="9"/>
        <v/>
      </c>
      <c r="Y58" s="28" t="str">
        <f>IF(U58="","",IFERROR(INDEX('بانک راهکارها'!$C$5:$C$13,MATCH(U58,'بانک راهکارها'!$B$5:$B$13,0)),""))</f>
        <v/>
      </c>
    </row>
    <row r="59" spans="1:25" ht="17.25">
      <c r="A59" s="33" t="str">
        <f>IF(دانش‌آموزان!L59="","",دانش‌آموزان!B59)</f>
        <v/>
      </c>
      <c r="B59" s="55" t="str">
        <f>IF(A59="","",دانش‌آموزان!C59)</f>
        <v/>
      </c>
      <c r="C59" s="55" t="str">
        <f>IF(A59="","",دانش‌آموزان!E59&amp;" "&amp;دانش‌آموزان!F59)</f>
        <v/>
      </c>
      <c r="D59" s="34" t="str">
        <f>IF(A59="","",دانش‌آموزان!I59)</f>
        <v/>
      </c>
      <c r="E59" s="27" t="str">
        <f>IF(A59="","",IFERROR(AVERAGEIFS('ثبت اطلاعات'!$CC$5:$CC$1204,'ثبت اطلاعات'!$C$5:$C$1204,A59,'ثبت اطلاعات'!$CL$5:$CL$1204,"&lt;&gt;"),""))</f>
        <v/>
      </c>
      <c r="F59" s="38" t="str">
        <f>IF(A59="","",IFERROR(AVERAGEIFS('ثبت اطلاعات'!$CD$5:$CD$1204,'ثبت اطلاعات'!$C$5:$C$1204,A59,'ثبت اطلاعات'!$CL$5:$CL$1204,"&lt;&gt;"),""))</f>
        <v/>
      </c>
      <c r="G59" s="38" t="str">
        <f>IF(A59="","",IFERROR(AVERAGEIFS('ثبت اطلاعات'!$CE$5:$CE$1204,'ثبت اطلاعات'!$C$5:$C$1204,A59,'ثبت اطلاعات'!$CL$5:$CL$1204,"&lt;&gt;"),""))</f>
        <v/>
      </c>
      <c r="H59" s="38" t="str">
        <f>IF(A59="","",IFERROR(AVERAGEIFS('ثبت اطلاعات'!$CF$5:$CF$1204,'ثبت اطلاعات'!$C$5:$C$1204,A59,'ثبت اطلاعات'!$CL$5:$CL$1204,"&lt;&gt;"),""))</f>
        <v/>
      </c>
      <c r="I59" s="38" t="str">
        <f>IF(A59="","",IFERROR(AVERAGEIFS('ثبت اطلاعات'!$CG$5:$CG$1204,'ثبت اطلاعات'!$C$5:$C$1204,A59,'ثبت اطلاعات'!$CL$5:$CL$1204,"&lt;&gt;"),""))</f>
        <v/>
      </c>
      <c r="J59" s="38" t="str">
        <f>IF(A59="","",IFERROR(AVERAGEIFS('ثبت اطلاعات'!$CH$5:$CH$1204,'ثبت اطلاعات'!$C$5:$C$1204,A59,'ثبت اطلاعات'!$CL$5:$CL$1204,"&lt;&gt;"),""))</f>
        <v/>
      </c>
      <c r="K59" s="38" t="str">
        <f>IF(A59="","",IFERROR(AVERAGEIFS('ثبت اطلاعات'!$CI$5:$CI$1204,'ثبت اطلاعات'!$C$5:$C$1204,A59,'ثبت اطلاعات'!$CL$5:$CL$1204,"&lt;&gt;"),""))</f>
        <v/>
      </c>
      <c r="L59" s="38" t="str">
        <f>IF(A59="","",IFERROR(AVERAGEIFS('ثبت اطلاعات'!$CJ$5:$CJ$1204,'ثبت اطلاعات'!$C$5:$C$1204,A59,'ثبت اطلاعات'!$CL$5:$CL$1204,"&lt;&gt;"),""))</f>
        <v/>
      </c>
      <c r="M59" s="38" t="str">
        <f>IF(A59="","",IFERROR(AVERAGEIFS('ثبت اطلاعات'!$CK$5:$CK$1204,'ثبت اطلاعات'!$C$5:$C$1204,A59,'ثبت اطلاعات'!$CL$5:$CL$1204,"&lt;&gt;"),""))</f>
        <v/>
      </c>
      <c r="N59" s="38" t="str">
        <f>IF(A59="","",IFERROR(AVERAGEIFS('ثبت اطلاعات'!$CL$5:$CL$1204,'ثبت اطلاعات'!$C$5:$C$1204,A59,'ثبت اطلاعات'!$CL$5:$CL$1204,"&lt;&gt;"),""))</f>
        <v/>
      </c>
      <c r="O59" s="38" t="str">
        <f>IF(A59="","",COUNTIFS('ثبت اطلاعات'!$C$5:$C$1204,A59,'ثبت اطلاعات'!$CL$5:$CL$1204,"&lt;&gt;"))</f>
        <v/>
      </c>
      <c r="P59" s="38" t="e">
        <f ca="1">IF(O59=0,"",_xludf.MINIFS('ثبت اطلاعات'!$CN$5:$CN$1204,'ثبت اطلاعات'!$C$5:$C$1204,A59,'ثبت اطلاعات'!$CL$5:$CL$1204,"&lt;&gt;"))</f>
        <v>#NAME?</v>
      </c>
      <c r="Q59" s="38" t="e">
        <f ca="1">IF(O59=0,"",_xludf.MAXIFS('ثبت اطلاعات'!$CN$5:$CN$1204,'ثبت اطلاعات'!$C$5:$C$1204,A59,'ثبت اطلاعات'!$CL$5:$CL$1204,"&lt;&gt;"))</f>
        <v>#NAME?</v>
      </c>
      <c r="R59" s="38">
        <f ca="1">IF(O59&lt;2,"",SUMIFS('ثبت اطلاعات'!$CL$5:$CL$1204,'ثبت اطلاعات'!$C$5:$C$1204,A59,'ثبت اطلاعات'!$CN$5:$CN$1204,Q59)-SUMIFS('ثبت اطلاعات'!$CL$5:$CL$1204,'ثبت اطلاعات'!$C$5:$C$1204,A59,'ثبت اطلاعات'!$CN$5:$CN$1204,P59))</f>
        <v>0</v>
      </c>
      <c r="S59" s="38" t="str">
        <f t="shared" si="5"/>
        <v/>
      </c>
      <c r="T59" s="38" t="str">
        <f t="shared" si="6"/>
        <v/>
      </c>
      <c r="U59" s="38" t="str">
        <f t="shared" si="7"/>
        <v/>
      </c>
      <c r="V59" s="38" t="str">
        <f t="shared" si="8"/>
        <v/>
      </c>
      <c r="W59" s="38" t="str">
        <f>IF(N59="","",_xludf.RANK.EQ(N59,$N$5:$N$104,0))</f>
        <v/>
      </c>
      <c r="X59" s="38" t="str">
        <f t="shared" si="9"/>
        <v/>
      </c>
      <c r="Y59" s="28" t="str">
        <f>IF(U59="","",IFERROR(INDEX('بانک راهکارها'!$C$5:$C$13,MATCH(U59,'بانک راهکارها'!$B$5:$B$13,0)),""))</f>
        <v/>
      </c>
    </row>
    <row r="60" spans="1:25" ht="17.25">
      <c r="A60" s="33" t="str">
        <f>IF(دانش‌آموزان!L60="","",دانش‌آموزان!B60)</f>
        <v/>
      </c>
      <c r="B60" s="55" t="str">
        <f>IF(A60="","",دانش‌آموزان!C60)</f>
        <v/>
      </c>
      <c r="C60" s="55" t="str">
        <f>IF(A60="","",دانش‌آموزان!E60&amp;" "&amp;دانش‌آموزان!F60)</f>
        <v/>
      </c>
      <c r="D60" s="34" t="str">
        <f>IF(A60="","",دانش‌آموزان!I60)</f>
        <v/>
      </c>
      <c r="E60" s="27" t="str">
        <f>IF(A60="","",IFERROR(AVERAGEIFS('ثبت اطلاعات'!$CC$5:$CC$1204,'ثبت اطلاعات'!$C$5:$C$1204,A60,'ثبت اطلاعات'!$CL$5:$CL$1204,"&lt;&gt;"),""))</f>
        <v/>
      </c>
      <c r="F60" s="38" t="str">
        <f>IF(A60="","",IFERROR(AVERAGEIFS('ثبت اطلاعات'!$CD$5:$CD$1204,'ثبت اطلاعات'!$C$5:$C$1204,A60,'ثبت اطلاعات'!$CL$5:$CL$1204,"&lt;&gt;"),""))</f>
        <v/>
      </c>
      <c r="G60" s="38" t="str">
        <f>IF(A60="","",IFERROR(AVERAGEIFS('ثبت اطلاعات'!$CE$5:$CE$1204,'ثبت اطلاعات'!$C$5:$C$1204,A60,'ثبت اطلاعات'!$CL$5:$CL$1204,"&lt;&gt;"),""))</f>
        <v/>
      </c>
      <c r="H60" s="38" t="str">
        <f>IF(A60="","",IFERROR(AVERAGEIFS('ثبت اطلاعات'!$CF$5:$CF$1204,'ثبت اطلاعات'!$C$5:$C$1204,A60,'ثبت اطلاعات'!$CL$5:$CL$1204,"&lt;&gt;"),""))</f>
        <v/>
      </c>
      <c r="I60" s="38" t="str">
        <f>IF(A60="","",IFERROR(AVERAGEIFS('ثبت اطلاعات'!$CG$5:$CG$1204,'ثبت اطلاعات'!$C$5:$C$1204,A60,'ثبت اطلاعات'!$CL$5:$CL$1204,"&lt;&gt;"),""))</f>
        <v/>
      </c>
      <c r="J60" s="38" t="str">
        <f>IF(A60="","",IFERROR(AVERAGEIFS('ثبت اطلاعات'!$CH$5:$CH$1204,'ثبت اطلاعات'!$C$5:$C$1204,A60,'ثبت اطلاعات'!$CL$5:$CL$1204,"&lt;&gt;"),""))</f>
        <v/>
      </c>
      <c r="K60" s="38" t="str">
        <f>IF(A60="","",IFERROR(AVERAGEIFS('ثبت اطلاعات'!$CI$5:$CI$1204,'ثبت اطلاعات'!$C$5:$C$1204,A60,'ثبت اطلاعات'!$CL$5:$CL$1204,"&lt;&gt;"),""))</f>
        <v/>
      </c>
      <c r="L60" s="38" t="str">
        <f>IF(A60="","",IFERROR(AVERAGEIFS('ثبت اطلاعات'!$CJ$5:$CJ$1204,'ثبت اطلاعات'!$C$5:$C$1204,A60,'ثبت اطلاعات'!$CL$5:$CL$1204,"&lt;&gt;"),""))</f>
        <v/>
      </c>
      <c r="M60" s="38" t="str">
        <f>IF(A60="","",IFERROR(AVERAGEIFS('ثبت اطلاعات'!$CK$5:$CK$1204,'ثبت اطلاعات'!$C$5:$C$1204,A60,'ثبت اطلاعات'!$CL$5:$CL$1204,"&lt;&gt;"),""))</f>
        <v/>
      </c>
      <c r="N60" s="38" t="str">
        <f>IF(A60="","",IFERROR(AVERAGEIFS('ثبت اطلاعات'!$CL$5:$CL$1204,'ثبت اطلاعات'!$C$5:$C$1204,A60,'ثبت اطلاعات'!$CL$5:$CL$1204,"&lt;&gt;"),""))</f>
        <v/>
      </c>
      <c r="O60" s="38" t="str">
        <f>IF(A60="","",COUNTIFS('ثبت اطلاعات'!$C$5:$C$1204,A60,'ثبت اطلاعات'!$CL$5:$CL$1204,"&lt;&gt;"))</f>
        <v/>
      </c>
      <c r="P60" s="38" t="e">
        <f ca="1">IF(O60=0,"",_xludf.MINIFS('ثبت اطلاعات'!$CN$5:$CN$1204,'ثبت اطلاعات'!$C$5:$C$1204,A60,'ثبت اطلاعات'!$CL$5:$CL$1204,"&lt;&gt;"))</f>
        <v>#NAME?</v>
      </c>
      <c r="Q60" s="38" t="e">
        <f ca="1">IF(O60=0,"",_xludf.MAXIFS('ثبت اطلاعات'!$CN$5:$CN$1204,'ثبت اطلاعات'!$C$5:$C$1204,A60,'ثبت اطلاعات'!$CL$5:$CL$1204,"&lt;&gt;"))</f>
        <v>#NAME?</v>
      </c>
      <c r="R60" s="38">
        <f ca="1">IF(O60&lt;2,"",SUMIFS('ثبت اطلاعات'!$CL$5:$CL$1204,'ثبت اطلاعات'!$C$5:$C$1204,A60,'ثبت اطلاعات'!$CN$5:$CN$1204,Q60)-SUMIFS('ثبت اطلاعات'!$CL$5:$CL$1204,'ثبت اطلاعات'!$C$5:$C$1204,A60,'ثبت اطلاعات'!$CN$5:$CN$1204,P60))</f>
        <v>0</v>
      </c>
      <c r="S60" s="38" t="str">
        <f t="shared" si="5"/>
        <v/>
      </c>
      <c r="T60" s="38" t="str">
        <f t="shared" si="6"/>
        <v/>
      </c>
      <c r="U60" s="38" t="str">
        <f t="shared" si="7"/>
        <v/>
      </c>
      <c r="V60" s="38" t="str">
        <f t="shared" si="8"/>
        <v/>
      </c>
      <c r="W60" s="38" t="str">
        <f>IF(N60="","",_xludf.RANK.EQ(N60,$N$5:$N$104,0))</f>
        <v/>
      </c>
      <c r="X60" s="38" t="str">
        <f t="shared" si="9"/>
        <v/>
      </c>
      <c r="Y60" s="28" t="str">
        <f>IF(U60="","",IFERROR(INDEX('بانک راهکارها'!$C$5:$C$13,MATCH(U60,'بانک راهکارها'!$B$5:$B$13,0)),""))</f>
        <v/>
      </c>
    </row>
    <row r="61" spans="1:25" ht="17.25">
      <c r="A61" s="33" t="str">
        <f>IF(دانش‌آموزان!L61="","",دانش‌آموزان!B61)</f>
        <v/>
      </c>
      <c r="B61" s="55" t="str">
        <f>IF(A61="","",دانش‌آموزان!C61)</f>
        <v/>
      </c>
      <c r="C61" s="55" t="str">
        <f>IF(A61="","",دانش‌آموزان!E61&amp;" "&amp;دانش‌آموزان!F61)</f>
        <v/>
      </c>
      <c r="D61" s="34" t="str">
        <f>IF(A61="","",دانش‌آموزان!I61)</f>
        <v/>
      </c>
      <c r="E61" s="27" t="str">
        <f>IF(A61="","",IFERROR(AVERAGEIFS('ثبت اطلاعات'!$CC$5:$CC$1204,'ثبت اطلاعات'!$C$5:$C$1204,A61,'ثبت اطلاعات'!$CL$5:$CL$1204,"&lt;&gt;"),""))</f>
        <v/>
      </c>
      <c r="F61" s="38" t="str">
        <f>IF(A61="","",IFERROR(AVERAGEIFS('ثبت اطلاعات'!$CD$5:$CD$1204,'ثبت اطلاعات'!$C$5:$C$1204,A61,'ثبت اطلاعات'!$CL$5:$CL$1204,"&lt;&gt;"),""))</f>
        <v/>
      </c>
      <c r="G61" s="38" t="str">
        <f>IF(A61="","",IFERROR(AVERAGEIFS('ثبت اطلاعات'!$CE$5:$CE$1204,'ثبت اطلاعات'!$C$5:$C$1204,A61,'ثبت اطلاعات'!$CL$5:$CL$1204,"&lt;&gt;"),""))</f>
        <v/>
      </c>
      <c r="H61" s="38" t="str">
        <f>IF(A61="","",IFERROR(AVERAGEIFS('ثبت اطلاعات'!$CF$5:$CF$1204,'ثبت اطلاعات'!$C$5:$C$1204,A61,'ثبت اطلاعات'!$CL$5:$CL$1204,"&lt;&gt;"),""))</f>
        <v/>
      </c>
      <c r="I61" s="38" t="str">
        <f>IF(A61="","",IFERROR(AVERAGEIFS('ثبت اطلاعات'!$CG$5:$CG$1204,'ثبت اطلاعات'!$C$5:$C$1204,A61,'ثبت اطلاعات'!$CL$5:$CL$1204,"&lt;&gt;"),""))</f>
        <v/>
      </c>
      <c r="J61" s="38" t="str">
        <f>IF(A61="","",IFERROR(AVERAGEIFS('ثبت اطلاعات'!$CH$5:$CH$1204,'ثبت اطلاعات'!$C$5:$C$1204,A61,'ثبت اطلاعات'!$CL$5:$CL$1204,"&lt;&gt;"),""))</f>
        <v/>
      </c>
      <c r="K61" s="38" t="str">
        <f>IF(A61="","",IFERROR(AVERAGEIFS('ثبت اطلاعات'!$CI$5:$CI$1204,'ثبت اطلاعات'!$C$5:$C$1204,A61,'ثبت اطلاعات'!$CL$5:$CL$1204,"&lt;&gt;"),""))</f>
        <v/>
      </c>
      <c r="L61" s="38" t="str">
        <f>IF(A61="","",IFERROR(AVERAGEIFS('ثبت اطلاعات'!$CJ$5:$CJ$1204,'ثبت اطلاعات'!$C$5:$C$1204,A61,'ثبت اطلاعات'!$CL$5:$CL$1204,"&lt;&gt;"),""))</f>
        <v/>
      </c>
      <c r="M61" s="38" t="str">
        <f>IF(A61="","",IFERROR(AVERAGEIFS('ثبت اطلاعات'!$CK$5:$CK$1204,'ثبت اطلاعات'!$C$5:$C$1204,A61,'ثبت اطلاعات'!$CL$5:$CL$1204,"&lt;&gt;"),""))</f>
        <v/>
      </c>
      <c r="N61" s="38" t="str">
        <f>IF(A61="","",IFERROR(AVERAGEIFS('ثبت اطلاعات'!$CL$5:$CL$1204,'ثبت اطلاعات'!$C$5:$C$1204,A61,'ثبت اطلاعات'!$CL$5:$CL$1204,"&lt;&gt;"),""))</f>
        <v/>
      </c>
      <c r="O61" s="38" t="str">
        <f>IF(A61="","",COUNTIFS('ثبت اطلاعات'!$C$5:$C$1204,A61,'ثبت اطلاعات'!$CL$5:$CL$1204,"&lt;&gt;"))</f>
        <v/>
      </c>
      <c r="P61" s="38" t="e">
        <f ca="1">IF(O61=0,"",_xludf.MINIFS('ثبت اطلاعات'!$CN$5:$CN$1204,'ثبت اطلاعات'!$C$5:$C$1204,A61,'ثبت اطلاعات'!$CL$5:$CL$1204,"&lt;&gt;"))</f>
        <v>#NAME?</v>
      </c>
      <c r="Q61" s="38" t="e">
        <f ca="1">IF(O61=0,"",_xludf.MAXIFS('ثبت اطلاعات'!$CN$5:$CN$1204,'ثبت اطلاعات'!$C$5:$C$1204,A61,'ثبت اطلاعات'!$CL$5:$CL$1204,"&lt;&gt;"))</f>
        <v>#NAME?</v>
      </c>
      <c r="R61" s="38">
        <f ca="1">IF(O61&lt;2,"",SUMIFS('ثبت اطلاعات'!$CL$5:$CL$1204,'ثبت اطلاعات'!$C$5:$C$1204,A61,'ثبت اطلاعات'!$CN$5:$CN$1204,Q61)-SUMIFS('ثبت اطلاعات'!$CL$5:$CL$1204,'ثبت اطلاعات'!$C$5:$C$1204,A61,'ثبت اطلاعات'!$CN$5:$CN$1204,P61))</f>
        <v>0</v>
      </c>
      <c r="S61" s="38" t="str">
        <f t="shared" si="5"/>
        <v/>
      </c>
      <c r="T61" s="38" t="str">
        <f t="shared" si="6"/>
        <v/>
      </c>
      <c r="U61" s="38" t="str">
        <f t="shared" si="7"/>
        <v/>
      </c>
      <c r="V61" s="38" t="str">
        <f t="shared" si="8"/>
        <v/>
      </c>
      <c r="W61" s="38" t="str">
        <f>IF(N61="","",_xludf.RANK.EQ(N61,$N$5:$N$104,0))</f>
        <v/>
      </c>
      <c r="X61" s="38" t="str">
        <f t="shared" si="9"/>
        <v/>
      </c>
      <c r="Y61" s="28" t="str">
        <f>IF(U61="","",IFERROR(INDEX('بانک راهکارها'!$C$5:$C$13,MATCH(U61,'بانک راهکارها'!$B$5:$B$13,0)),""))</f>
        <v/>
      </c>
    </row>
    <row r="62" spans="1:25" ht="17.25">
      <c r="A62" s="33" t="str">
        <f>IF(دانش‌آموزان!L62="","",دانش‌آموزان!B62)</f>
        <v/>
      </c>
      <c r="B62" s="55" t="str">
        <f>IF(A62="","",دانش‌آموزان!C62)</f>
        <v/>
      </c>
      <c r="C62" s="55" t="str">
        <f>IF(A62="","",دانش‌آموزان!E62&amp;" "&amp;دانش‌آموزان!F62)</f>
        <v/>
      </c>
      <c r="D62" s="34" t="str">
        <f>IF(A62="","",دانش‌آموزان!I62)</f>
        <v/>
      </c>
      <c r="E62" s="27" t="str">
        <f>IF(A62="","",IFERROR(AVERAGEIFS('ثبت اطلاعات'!$CC$5:$CC$1204,'ثبت اطلاعات'!$C$5:$C$1204,A62,'ثبت اطلاعات'!$CL$5:$CL$1204,"&lt;&gt;"),""))</f>
        <v/>
      </c>
      <c r="F62" s="38" t="str">
        <f>IF(A62="","",IFERROR(AVERAGEIFS('ثبت اطلاعات'!$CD$5:$CD$1204,'ثبت اطلاعات'!$C$5:$C$1204,A62,'ثبت اطلاعات'!$CL$5:$CL$1204,"&lt;&gt;"),""))</f>
        <v/>
      </c>
      <c r="G62" s="38" t="str">
        <f>IF(A62="","",IFERROR(AVERAGEIFS('ثبت اطلاعات'!$CE$5:$CE$1204,'ثبت اطلاعات'!$C$5:$C$1204,A62,'ثبت اطلاعات'!$CL$5:$CL$1204,"&lt;&gt;"),""))</f>
        <v/>
      </c>
      <c r="H62" s="38" t="str">
        <f>IF(A62="","",IFERROR(AVERAGEIFS('ثبت اطلاعات'!$CF$5:$CF$1204,'ثبت اطلاعات'!$C$5:$C$1204,A62,'ثبت اطلاعات'!$CL$5:$CL$1204,"&lt;&gt;"),""))</f>
        <v/>
      </c>
      <c r="I62" s="38" t="str">
        <f>IF(A62="","",IFERROR(AVERAGEIFS('ثبت اطلاعات'!$CG$5:$CG$1204,'ثبت اطلاعات'!$C$5:$C$1204,A62,'ثبت اطلاعات'!$CL$5:$CL$1204,"&lt;&gt;"),""))</f>
        <v/>
      </c>
      <c r="J62" s="38" t="str">
        <f>IF(A62="","",IFERROR(AVERAGEIFS('ثبت اطلاعات'!$CH$5:$CH$1204,'ثبت اطلاعات'!$C$5:$C$1204,A62,'ثبت اطلاعات'!$CL$5:$CL$1204,"&lt;&gt;"),""))</f>
        <v/>
      </c>
      <c r="K62" s="38" t="str">
        <f>IF(A62="","",IFERROR(AVERAGEIFS('ثبت اطلاعات'!$CI$5:$CI$1204,'ثبت اطلاعات'!$C$5:$C$1204,A62,'ثبت اطلاعات'!$CL$5:$CL$1204,"&lt;&gt;"),""))</f>
        <v/>
      </c>
      <c r="L62" s="38" t="str">
        <f>IF(A62="","",IFERROR(AVERAGEIFS('ثبت اطلاعات'!$CJ$5:$CJ$1204,'ثبت اطلاعات'!$C$5:$C$1204,A62,'ثبت اطلاعات'!$CL$5:$CL$1204,"&lt;&gt;"),""))</f>
        <v/>
      </c>
      <c r="M62" s="38" t="str">
        <f>IF(A62="","",IFERROR(AVERAGEIFS('ثبت اطلاعات'!$CK$5:$CK$1204,'ثبت اطلاعات'!$C$5:$C$1204,A62,'ثبت اطلاعات'!$CL$5:$CL$1204,"&lt;&gt;"),""))</f>
        <v/>
      </c>
      <c r="N62" s="38" t="str">
        <f>IF(A62="","",IFERROR(AVERAGEIFS('ثبت اطلاعات'!$CL$5:$CL$1204,'ثبت اطلاعات'!$C$5:$C$1204,A62,'ثبت اطلاعات'!$CL$5:$CL$1204,"&lt;&gt;"),""))</f>
        <v/>
      </c>
      <c r="O62" s="38" t="str">
        <f>IF(A62="","",COUNTIFS('ثبت اطلاعات'!$C$5:$C$1204,A62,'ثبت اطلاعات'!$CL$5:$CL$1204,"&lt;&gt;"))</f>
        <v/>
      </c>
      <c r="P62" s="38" t="e">
        <f ca="1">IF(O62=0,"",_xludf.MINIFS('ثبت اطلاعات'!$CN$5:$CN$1204,'ثبت اطلاعات'!$C$5:$C$1204,A62,'ثبت اطلاعات'!$CL$5:$CL$1204,"&lt;&gt;"))</f>
        <v>#NAME?</v>
      </c>
      <c r="Q62" s="38" t="e">
        <f ca="1">IF(O62=0,"",_xludf.MAXIFS('ثبت اطلاعات'!$CN$5:$CN$1204,'ثبت اطلاعات'!$C$5:$C$1204,A62,'ثبت اطلاعات'!$CL$5:$CL$1204,"&lt;&gt;"))</f>
        <v>#NAME?</v>
      </c>
      <c r="R62" s="38">
        <f ca="1">IF(O62&lt;2,"",SUMIFS('ثبت اطلاعات'!$CL$5:$CL$1204,'ثبت اطلاعات'!$C$5:$C$1204,A62,'ثبت اطلاعات'!$CN$5:$CN$1204,Q62)-SUMIFS('ثبت اطلاعات'!$CL$5:$CL$1204,'ثبت اطلاعات'!$C$5:$C$1204,A62,'ثبت اطلاعات'!$CN$5:$CN$1204,P62))</f>
        <v>0</v>
      </c>
      <c r="S62" s="38" t="str">
        <f t="shared" si="5"/>
        <v/>
      </c>
      <c r="T62" s="38" t="str">
        <f t="shared" si="6"/>
        <v/>
      </c>
      <c r="U62" s="38" t="str">
        <f t="shared" si="7"/>
        <v/>
      </c>
      <c r="V62" s="38" t="str">
        <f t="shared" si="8"/>
        <v/>
      </c>
      <c r="W62" s="38" t="str">
        <f>IF(N62="","",_xludf.RANK.EQ(N62,$N$5:$N$104,0))</f>
        <v/>
      </c>
      <c r="X62" s="38" t="str">
        <f t="shared" si="9"/>
        <v/>
      </c>
      <c r="Y62" s="28" t="str">
        <f>IF(U62="","",IFERROR(INDEX('بانک راهکارها'!$C$5:$C$13,MATCH(U62,'بانک راهکارها'!$B$5:$B$13,0)),""))</f>
        <v/>
      </c>
    </row>
    <row r="63" spans="1:25" ht="17.25">
      <c r="A63" s="33" t="str">
        <f>IF(دانش‌آموزان!L63="","",دانش‌آموزان!B63)</f>
        <v/>
      </c>
      <c r="B63" s="55" t="str">
        <f>IF(A63="","",دانش‌آموزان!C63)</f>
        <v/>
      </c>
      <c r="C63" s="55" t="str">
        <f>IF(A63="","",دانش‌آموزان!E63&amp;" "&amp;دانش‌آموزان!F63)</f>
        <v/>
      </c>
      <c r="D63" s="34" t="str">
        <f>IF(A63="","",دانش‌آموزان!I63)</f>
        <v/>
      </c>
      <c r="E63" s="27" t="str">
        <f>IF(A63="","",IFERROR(AVERAGEIFS('ثبت اطلاعات'!$CC$5:$CC$1204,'ثبت اطلاعات'!$C$5:$C$1204,A63,'ثبت اطلاعات'!$CL$5:$CL$1204,"&lt;&gt;"),""))</f>
        <v/>
      </c>
      <c r="F63" s="38" t="str">
        <f>IF(A63="","",IFERROR(AVERAGEIFS('ثبت اطلاعات'!$CD$5:$CD$1204,'ثبت اطلاعات'!$C$5:$C$1204,A63,'ثبت اطلاعات'!$CL$5:$CL$1204,"&lt;&gt;"),""))</f>
        <v/>
      </c>
      <c r="G63" s="38" t="str">
        <f>IF(A63="","",IFERROR(AVERAGEIFS('ثبت اطلاعات'!$CE$5:$CE$1204,'ثبت اطلاعات'!$C$5:$C$1204,A63,'ثبت اطلاعات'!$CL$5:$CL$1204,"&lt;&gt;"),""))</f>
        <v/>
      </c>
      <c r="H63" s="38" t="str">
        <f>IF(A63="","",IFERROR(AVERAGEIFS('ثبت اطلاعات'!$CF$5:$CF$1204,'ثبت اطلاعات'!$C$5:$C$1204,A63,'ثبت اطلاعات'!$CL$5:$CL$1204,"&lt;&gt;"),""))</f>
        <v/>
      </c>
      <c r="I63" s="38" t="str">
        <f>IF(A63="","",IFERROR(AVERAGEIFS('ثبت اطلاعات'!$CG$5:$CG$1204,'ثبت اطلاعات'!$C$5:$C$1204,A63,'ثبت اطلاعات'!$CL$5:$CL$1204,"&lt;&gt;"),""))</f>
        <v/>
      </c>
      <c r="J63" s="38" t="str">
        <f>IF(A63="","",IFERROR(AVERAGEIFS('ثبت اطلاعات'!$CH$5:$CH$1204,'ثبت اطلاعات'!$C$5:$C$1204,A63,'ثبت اطلاعات'!$CL$5:$CL$1204,"&lt;&gt;"),""))</f>
        <v/>
      </c>
      <c r="K63" s="38" t="str">
        <f>IF(A63="","",IFERROR(AVERAGEIFS('ثبت اطلاعات'!$CI$5:$CI$1204,'ثبت اطلاعات'!$C$5:$C$1204,A63,'ثبت اطلاعات'!$CL$5:$CL$1204,"&lt;&gt;"),""))</f>
        <v/>
      </c>
      <c r="L63" s="38" t="str">
        <f>IF(A63="","",IFERROR(AVERAGEIFS('ثبت اطلاعات'!$CJ$5:$CJ$1204,'ثبت اطلاعات'!$C$5:$C$1204,A63,'ثبت اطلاعات'!$CL$5:$CL$1204,"&lt;&gt;"),""))</f>
        <v/>
      </c>
      <c r="M63" s="38" t="str">
        <f>IF(A63="","",IFERROR(AVERAGEIFS('ثبت اطلاعات'!$CK$5:$CK$1204,'ثبت اطلاعات'!$C$5:$C$1204,A63,'ثبت اطلاعات'!$CL$5:$CL$1204,"&lt;&gt;"),""))</f>
        <v/>
      </c>
      <c r="N63" s="38" t="str">
        <f>IF(A63="","",IFERROR(AVERAGEIFS('ثبت اطلاعات'!$CL$5:$CL$1204,'ثبت اطلاعات'!$C$5:$C$1204,A63,'ثبت اطلاعات'!$CL$5:$CL$1204,"&lt;&gt;"),""))</f>
        <v/>
      </c>
      <c r="O63" s="38" t="str">
        <f>IF(A63="","",COUNTIFS('ثبت اطلاعات'!$C$5:$C$1204,A63,'ثبت اطلاعات'!$CL$5:$CL$1204,"&lt;&gt;"))</f>
        <v/>
      </c>
      <c r="P63" s="38" t="e">
        <f ca="1">IF(O63=0,"",_xludf.MINIFS('ثبت اطلاعات'!$CN$5:$CN$1204,'ثبت اطلاعات'!$C$5:$C$1204,A63,'ثبت اطلاعات'!$CL$5:$CL$1204,"&lt;&gt;"))</f>
        <v>#NAME?</v>
      </c>
      <c r="Q63" s="38" t="e">
        <f ca="1">IF(O63=0,"",_xludf.MAXIFS('ثبت اطلاعات'!$CN$5:$CN$1204,'ثبت اطلاعات'!$C$5:$C$1204,A63,'ثبت اطلاعات'!$CL$5:$CL$1204,"&lt;&gt;"))</f>
        <v>#NAME?</v>
      </c>
      <c r="R63" s="38">
        <f ca="1">IF(O63&lt;2,"",SUMIFS('ثبت اطلاعات'!$CL$5:$CL$1204,'ثبت اطلاعات'!$C$5:$C$1204,A63,'ثبت اطلاعات'!$CN$5:$CN$1204,Q63)-SUMIFS('ثبت اطلاعات'!$CL$5:$CL$1204,'ثبت اطلاعات'!$C$5:$C$1204,A63,'ثبت اطلاعات'!$CN$5:$CN$1204,P63))</f>
        <v>0</v>
      </c>
      <c r="S63" s="38" t="str">
        <f t="shared" si="5"/>
        <v/>
      </c>
      <c r="T63" s="38" t="str">
        <f t="shared" si="6"/>
        <v/>
      </c>
      <c r="U63" s="38" t="str">
        <f t="shared" si="7"/>
        <v/>
      </c>
      <c r="V63" s="38" t="str">
        <f t="shared" si="8"/>
        <v/>
      </c>
      <c r="W63" s="38" t="str">
        <f>IF(N63="","",_xludf.RANK.EQ(N63,$N$5:$N$104,0))</f>
        <v/>
      </c>
      <c r="X63" s="38" t="str">
        <f t="shared" si="9"/>
        <v/>
      </c>
      <c r="Y63" s="28" t="str">
        <f>IF(U63="","",IFERROR(INDEX('بانک راهکارها'!$C$5:$C$13,MATCH(U63,'بانک راهکارها'!$B$5:$B$13,0)),""))</f>
        <v/>
      </c>
    </row>
    <row r="64" spans="1:25" ht="17.25">
      <c r="A64" s="33" t="str">
        <f>IF(دانش‌آموزان!L64="","",دانش‌آموزان!B64)</f>
        <v/>
      </c>
      <c r="B64" s="55" t="str">
        <f>IF(A64="","",دانش‌آموزان!C64)</f>
        <v/>
      </c>
      <c r="C64" s="55" t="str">
        <f>IF(A64="","",دانش‌آموزان!E64&amp;" "&amp;دانش‌آموزان!F64)</f>
        <v/>
      </c>
      <c r="D64" s="34" t="str">
        <f>IF(A64="","",دانش‌آموزان!I64)</f>
        <v/>
      </c>
      <c r="E64" s="27" t="str">
        <f>IF(A64="","",IFERROR(AVERAGEIFS('ثبت اطلاعات'!$CC$5:$CC$1204,'ثبت اطلاعات'!$C$5:$C$1204,A64,'ثبت اطلاعات'!$CL$5:$CL$1204,"&lt;&gt;"),""))</f>
        <v/>
      </c>
      <c r="F64" s="38" t="str">
        <f>IF(A64="","",IFERROR(AVERAGEIFS('ثبت اطلاعات'!$CD$5:$CD$1204,'ثبت اطلاعات'!$C$5:$C$1204,A64,'ثبت اطلاعات'!$CL$5:$CL$1204,"&lt;&gt;"),""))</f>
        <v/>
      </c>
      <c r="G64" s="38" t="str">
        <f>IF(A64="","",IFERROR(AVERAGEIFS('ثبت اطلاعات'!$CE$5:$CE$1204,'ثبت اطلاعات'!$C$5:$C$1204,A64,'ثبت اطلاعات'!$CL$5:$CL$1204,"&lt;&gt;"),""))</f>
        <v/>
      </c>
      <c r="H64" s="38" t="str">
        <f>IF(A64="","",IFERROR(AVERAGEIFS('ثبت اطلاعات'!$CF$5:$CF$1204,'ثبت اطلاعات'!$C$5:$C$1204,A64,'ثبت اطلاعات'!$CL$5:$CL$1204,"&lt;&gt;"),""))</f>
        <v/>
      </c>
      <c r="I64" s="38" t="str">
        <f>IF(A64="","",IFERROR(AVERAGEIFS('ثبت اطلاعات'!$CG$5:$CG$1204,'ثبت اطلاعات'!$C$5:$C$1204,A64,'ثبت اطلاعات'!$CL$5:$CL$1204,"&lt;&gt;"),""))</f>
        <v/>
      </c>
      <c r="J64" s="38" t="str">
        <f>IF(A64="","",IFERROR(AVERAGEIFS('ثبت اطلاعات'!$CH$5:$CH$1204,'ثبت اطلاعات'!$C$5:$C$1204,A64,'ثبت اطلاعات'!$CL$5:$CL$1204,"&lt;&gt;"),""))</f>
        <v/>
      </c>
      <c r="K64" s="38" t="str">
        <f>IF(A64="","",IFERROR(AVERAGEIFS('ثبت اطلاعات'!$CI$5:$CI$1204,'ثبت اطلاعات'!$C$5:$C$1204,A64,'ثبت اطلاعات'!$CL$5:$CL$1204,"&lt;&gt;"),""))</f>
        <v/>
      </c>
      <c r="L64" s="38" t="str">
        <f>IF(A64="","",IFERROR(AVERAGEIFS('ثبت اطلاعات'!$CJ$5:$CJ$1204,'ثبت اطلاعات'!$C$5:$C$1204,A64,'ثبت اطلاعات'!$CL$5:$CL$1204,"&lt;&gt;"),""))</f>
        <v/>
      </c>
      <c r="M64" s="38" t="str">
        <f>IF(A64="","",IFERROR(AVERAGEIFS('ثبت اطلاعات'!$CK$5:$CK$1204,'ثبت اطلاعات'!$C$5:$C$1204,A64,'ثبت اطلاعات'!$CL$5:$CL$1204,"&lt;&gt;"),""))</f>
        <v/>
      </c>
      <c r="N64" s="38" t="str">
        <f>IF(A64="","",IFERROR(AVERAGEIFS('ثبت اطلاعات'!$CL$5:$CL$1204,'ثبت اطلاعات'!$C$5:$C$1204,A64,'ثبت اطلاعات'!$CL$5:$CL$1204,"&lt;&gt;"),""))</f>
        <v/>
      </c>
      <c r="O64" s="38" t="str">
        <f>IF(A64="","",COUNTIFS('ثبت اطلاعات'!$C$5:$C$1204,A64,'ثبت اطلاعات'!$CL$5:$CL$1204,"&lt;&gt;"))</f>
        <v/>
      </c>
      <c r="P64" s="38" t="e">
        <f ca="1">IF(O64=0,"",_xludf.MINIFS('ثبت اطلاعات'!$CN$5:$CN$1204,'ثبت اطلاعات'!$C$5:$C$1204,A64,'ثبت اطلاعات'!$CL$5:$CL$1204,"&lt;&gt;"))</f>
        <v>#NAME?</v>
      </c>
      <c r="Q64" s="38" t="e">
        <f ca="1">IF(O64=0,"",_xludf.MAXIFS('ثبت اطلاعات'!$CN$5:$CN$1204,'ثبت اطلاعات'!$C$5:$C$1204,A64,'ثبت اطلاعات'!$CL$5:$CL$1204,"&lt;&gt;"))</f>
        <v>#NAME?</v>
      </c>
      <c r="R64" s="38">
        <f ca="1">IF(O64&lt;2,"",SUMIFS('ثبت اطلاعات'!$CL$5:$CL$1204,'ثبت اطلاعات'!$C$5:$C$1204,A64,'ثبت اطلاعات'!$CN$5:$CN$1204,Q64)-SUMIFS('ثبت اطلاعات'!$CL$5:$CL$1204,'ثبت اطلاعات'!$C$5:$C$1204,A64,'ثبت اطلاعات'!$CN$5:$CN$1204,P64))</f>
        <v>0</v>
      </c>
      <c r="S64" s="38" t="str">
        <f t="shared" si="5"/>
        <v/>
      </c>
      <c r="T64" s="38" t="str">
        <f t="shared" si="6"/>
        <v/>
      </c>
      <c r="U64" s="38" t="str">
        <f t="shared" si="7"/>
        <v/>
      </c>
      <c r="V64" s="38" t="str">
        <f t="shared" si="8"/>
        <v/>
      </c>
      <c r="W64" s="38" t="str">
        <f>IF(N64="","",_xludf.RANK.EQ(N64,$N$5:$N$104,0))</f>
        <v/>
      </c>
      <c r="X64" s="38" t="str">
        <f t="shared" si="9"/>
        <v/>
      </c>
      <c r="Y64" s="28" t="str">
        <f>IF(U64="","",IFERROR(INDEX('بانک راهکارها'!$C$5:$C$13,MATCH(U64,'بانک راهکارها'!$B$5:$B$13,0)),""))</f>
        <v/>
      </c>
    </row>
    <row r="65" spans="1:25" ht="17.25">
      <c r="A65" s="33" t="str">
        <f>IF(دانش‌آموزان!L65="","",دانش‌آموزان!B65)</f>
        <v/>
      </c>
      <c r="B65" s="55" t="str">
        <f>IF(A65="","",دانش‌آموزان!C65)</f>
        <v/>
      </c>
      <c r="C65" s="55" t="str">
        <f>IF(A65="","",دانش‌آموزان!E65&amp;" "&amp;دانش‌آموزان!F65)</f>
        <v/>
      </c>
      <c r="D65" s="34" t="str">
        <f>IF(A65="","",دانش‌آموزان!I65)</f>
        <v/>
      </c>
      <c r="E65" s="27" t="str">
        <f>IF(A65="","",IFERROR(AVERAGEIFS('ثبت اطلاعات'!$CC$5:$CC$1204,'ثبت اطلاعات'!$C$5:$C$1204,A65,'ثبت اطلاعات'!$CL$5:$CL$1204,"&lt;&gt;"),""))</f>
        <v/>
      </c>
      <c r="F65" s="38" t="str">
        <f>IF(A65="","",IFERROR(AVERAGEIFS('ثبت اطلاعات'!$CD$5:$CD$1204,'ثبت اطلاعات'!$C$5:$C$1204,A65,'ثبت اطلاعات'!$CL$5:$CL$1204,"&lt;&gt;"),""))</f>
        <v/>
      </c>
      <c r="G65" s="38" t="str">
        <f>IF(A65="","",IFERROR(AVERAGEIFS('ثبت اطلاعات'!$CE$5:$CE$1204,'ثبت اطلاعات'!$C$5:$C$1204,A65,'ثبت اطلاعات'!$CL$5:$CL$1204,"&lt;&gt;"),""))</f>
        <v/>
      </c>
      <c r="H65" s="38" t="str">
        <f>IF(A65="","",IFERROR(AVERAGEIFS('ثبت اطلاعات'!$CF$5:$CF$1204,'ثبت اطلاعات'!$C$5:$C$1204,A65,'ثبت اطلاعات'!$CL$5:$CL$1204,"&lt;&gt;"),""))</f>
        <v/>
      </c>
      <c r="I65" s="38" t="str">
        <f>IF(A65="","",IFERROR(AVERAGEIFS('ثبت اطلاعات'!$CG$5:$CG$1204,'ثبت اطلاعات'!$C$5:$C$1204,A65,'ثبت اطلاعات'!$CL$5:$CL$1204,"&lt;&gt;"),""))</f>
        <v/>
      </c>
      <c r="J65" s="38" t="str">
        <f>IF(A65="","",IFERROR(AVERAGEIFS('ثبت اطلاعات'!$CH$5:$CH$1204,'ثبت اطلاعات'!$C$5:$C$1204,A65,'ثبت اطلاعات'!$CL$5:$CL$1204,"&lt;&gt;"),""))</f>
        <v/>
      </c>
      <c r="K65" s="38" t="str">
        <f>IF(A65="","",IFERROR(AVERAGEIFS('ثبت اطلاعات'!$CI$5:$CI$1204,'ثبت اطلاعات'!$C$5:$C$1204,A65,'ثبت اطلاعات'!$CL$5:$CL$1204,"&lt;&gt;"),""))</f>
        <v/>
      </c>
      <c r="L65" s="38" t="str">
        <f>IF(A65="","",IFERROR(AVERAGEIFS('ثبت اطلاعات'!$CJ$5:$CJ$1204,'ثبت اطلاعات'!$C$5:$C$1204,A65,'ثبت اطلاعات'!$CL$5:$CL$1204,"&lt;&gt;"),""))</f>
        <v/>
      </c>
      <c r="M65" s="38" t="str">
        <f>IF(A65="","",IFERROR(AVERAGEIFS('ثبت اطلاعات'!$CK$5:$CK$1204,'ثبت اطلاعات'!$C$5:$C$1204,A65,'ثبت اطلاعات'!$CL$5:$CL$1204,"&lt;&gt;"),""))</f>
        <v/>
      </c>
      <c r="N65" s="38" t="str">
        <f>IF(A65="","",IFERROR(AVERAGEIFS('ثبت اطلاعات'!$CL$5:$CL$1204,'ثبت اطلاعات'!$C$5:$C$1204,A65,'ثبت اطلاعات'!$CL$5:$CL$1204,"&lt;&gt;"),""))</f>
        <v/>
      </c>
      <c r="O65" s="38" t="str">
        <f>IF(A65="","",COUNTIFS('ثبت اطلاعات'!$C$5:$C$1204,A65,'ثبت اطلاعات'!$CL$5:$CL$1204,"&lt;&gt;"))</f>
        <v/>
      </c>
      <c r="P65" s="38" t="e">
        <f ca="1">IF(O65=0,"",_xludf.MINIFS('ثبت اطلاعات'!$CN$5:$CN$1204,'ثبت اطلاعات'!$C$5:$C$1204,A65,'ثبت اطلاعات'!$CL$5:$CL$1204,"&lt;&gt;"))</f>
        <v>#NAME?</v>
      </c>
      <c r="Q65" s="38" t="e">
        <f ca="1">IF(O65=0,"",_xludf.MAXIFS('ثبت اطلاعات'!$CN$5:$CN$1204,'ثبت اطلاعات'!$C$5:$C$1204,A65,'ثبت اطلاعات'!$CL$5:$CL$1204,"&lt;&gt;"))</f>
        <v>#NAME?</v>
      </c>
      <c r="R65" s="38">
        <f ca="1">IF(O65&lt;2,"",SUMIFS('ثبت اطلاعات'!$CL$5:$CL$1204,'ثبت اطلاعات'!$C$5:$C$1204,A65,'ثبت اطلاعات'!$CN$5:$CN$1204,Q65)-SUMIFS('ثبت اطلاعات'!$CL$5:$CL$1204,'ثبت اطلاعات'!$C$5:$C$1204,A65,'ثبت اطلاعات'!$CN$5:$CN$1204,P65))</f>
        <v>0</v>
      </c>
      <c r="S65" s="38" t="str">
        <f t="shared" si="5"/>
        <v/>
      </c>
      <c r="T65" s="38" t="str">
        <f t="shared" si="6"/>
        <v/>
      </c>
      <c r="U65" s="38" t="str">
        <f t="shared" si="7"/>
        <v/>
      </c>
      <c r="V65" s="38" t="str">
        <f t="shared" si="8"/>
        <v/>
      </c>
      <c r="W65" s="38" t="str">
        <f>IF(N65="","",_xludf.RANK.EQ(N65,$N$5:$N$104,0))</f>
        <v/>
      </c>
      <c r="X65" s="38" t="str">
        <f t="shared" si="9"/>
        <v/>
      </c>
      <c r="Y65" s="28" t="str">
        <f>IF(U65="","",IFERROR(INDEX('بانک راهکارها'!$C$5:$C$13,MATCH(U65,'بانک راهکارها'!$B$5:$B$13,0)),""))</f>
        <v/>
      </c>
    </row>
    <row r="66" spans="1:25" ht="17.25">
      <c r="A66" s="33" t="str">
        <f>IF(دانش‌آموزان!L66="","",دانش‌آموزان!B66)</f>
        <v/>
      </c>
      <c r="B66" s="55" t="str">
        <f>IF(A66="","",دانش‌آموزان!C66)</f>
        <v/>
      </c>
      <c r="C66" s="55" t="str">
        <f>IF(A66="","",دانش‌آموزان!E66&amp;" "&amp;دانش‌آموزان!F66)</f>
        <v/>
      </c>
      <c r="D66" s="34" t="str">
        <f>IF(A66="","",دانش‌آموزان!I66)</f>
        <v/>
      </c>
      <c r="E66" s="27" t="str">
        <f>IF(A66="","",IFERROR(AVERAGEIFS('ثبت اطلاعات'!$CC$5:$CC$1204,'ثبت اطلاعات'!$C$5:$C$1204,A66,'ثبت اطلاعات'!$CL$5:$CL$1204,"&lt;&gt;"),""))</f>
        <v/>
      </c>
      <c r="F66" s="38" t="str">
        <f>IF(A66="","",IFERROR(AVERAGEIFS('ثبت اطلاعات'!$CD$5:$CD$1204,'ثبت اطلاعات'!$C$5:$C$1204,A66,'ثبت اطلاعات'!$CL$5:$CL$1204,"&lt;&gt;"),""))</f>
        <v/>
      </c>
      <c r="G66" s="38" t="str">
        <f>IF(A66="","",IFERROR(AVERAGEIFS('ثبت اطلاعات'!$CE$5:$CE$1204,'ثبت اطلاعات'!$C$5:$C$1204,A66,'ثبت اطلاعات'!$CL$5:$CL$1204,"&lt;&gt;"),""))</f>
        <v/>
      </c>
      <c r="H66" s="38" t="str">
        <f>IF(A66="","",IFERROR(AVERAGEIFS('ثبت اطلاعات'!$CF$5:$CF$1204,'ثبت اطلاعات'!$C$5:$C$1204,A66,'ثبت اطلاعات'!$CL$5:$CL$1204,"&lt;&gt;"),""))</f>
        <v/>
      </c>
      <c r="I66" s="38" t="str">
        <f>IF(A66="","",IFERROR(AVERAGEIFS('ثبت اطلاعات'!$CG$5:$CG$1204,'ثبت اطلاعات'!$C$5:$C$1204,A66,'ثبت اطلاعات'!$CL$5:$CL$1204,"&lt;&gt;"),""))</f>
        <v/>
      </c>
      <c r="J66" s="38" t="str">
        <f>IF(A66="","",IFERROR(AVERAGEIFS('ثبت اطلاعات'!$CH$5:$CH$1204,'ثبت اطلاعات'!$C$5:$C$1204,A66,'ثبت اطلاعات'!$CL$5:$CL$1204,"&lt;&gt;"),""))</f>
        <v/>
      </c>
      <c r="K66" s="38" t="str">
        <f>IF(A66="","",IFERROR(AVERAGEIFS('ثبت اطلاعات'!$CI$5:$CI$1204,'ثبت اطلاعات'!$C$5:$C$1204,A66,'ثبت اطلاعات'!$CL$5:$CL$1204,"&lt;&gt;"),""))</f>
        <v/>
      </c>
      <c r="L66" s="38" t="str">
        <f>IF(A66="","",IFERROR(AVERAGEIFS('ثبت اطلاعات'!$CJ$5:$CJ$1204,'ثبت اطلاعات'!$C$5:$C$1204,A66,'ثبت اطلاعات'!$CL$5:$CL$1204,"&lt;&gt;"),""))</f>
        <v/>
      </c>
      <c r="M66" s="38" t="str">
        <f>IF(A66="","",IFERROR(AVERAGEIFS('ثبت اطلاعات'!$CK$5:$CK$1204,'ثبت اطلاعات'!$C$5:$C$1204,A66,'ثبت اطلاعات'!$CL$5:$CL$1204,"&lt;&gt;"),""))</f>
        <v/>
      </c>
      <c r="N66" s="38" t="str">
        <f>IF(A66="","",IFERROR(AVERAGEIFS('ثبت اطلاعات'!$CL$5:$CL$1204,'ثبت اطلاعات'!$C$5:$C$1204,A66,'ثبت اطلاعات'!$CL$5:$CL$1204,"&lt;&gt;"),""))</f>
        <v/>
      </c>
      <c r="O66" s="38" t="str">
        <f>IF(A66="","",COUNTIFS('ثبت اطلاعات'!$C$5:$C$1204,A66,'ثبت اطلاعات'!$CL$5:$CL$1204,"&lt;&gt;"))</f>
        <v/>
      </c>
      <c r="P66" s="38" t="e">
        <f ca="1">IF(O66=0,"",_xludf.MINIFS('ثبت اطلاعات'!$CN$5:$CN$1204,'ثبت اطلاعات'!$C$5:$C$1204,A66,'ثبت اطلاعات'!$CL$5:$CL$1204,"&lt;&gt;"))</f>
        <v>#NAME?</v>
      </c>
      <c r="Q66" s="38" t="e">
        <f ca="1">IF(O66=0,"",_xludf.MAXIFS('ثبت اطلاعات'!$CN$5:$CN$1204,'ثبت اطلاعات'!$C$5:$C$1204,A66,'ثبت اطلاعات'!$CL$5:$CL$1204,"&lt;&gt;"))</f>
        <v>#NAME?</v>
      </c>
      <c r="R66" s="38">
        <f ca="1">IF(O66&lt;2,"",SUMIFS('ثبت اطلاعات'!$CL$5:$CL$1204,'ثبت اطلاعات'!$C$5:$C$1204,A66,'ثبت اطلاعات'!$CN$5:$CN$1204,Q66)-SUMIFS('ثبت اطلاعات'!$CL$5:$CL$1204,'ثبت اطلاعات'!$C$5:$C$1204,A66,'ثبت اطلاعات'!$CN$5:$CN$1204,P66))</f>
        <v>0</v>
      </c>
      <c r="S66" s="38" t="str">
        <f t="shared" si="5"/>
        <v/>
      </c>
      <c r="T66" s="38" t="str">
        <f t="shared" si="6"/>
        <v/>
      </c>
      <c r="U66" s="38" t="str">
        <f t="shared" si="7"/>
        <v/>
      </c>
      <c r="V66" s="38" t="str">
        <f t="shared" si="8"/>
        <v/>
      </c>
      <c r="W66" s="38" t="str">
        <f>IF(N66="","",_xludf.RANK.EQ(N66,$N$5:$N$104,0))</f>
        <v/>
      </c>
      <c r="X66" s="38" t="str">
        <f t="shared" si="9"/>
        <v/>
      </c>
      <c r="Y66" s="28" t="str">
        <f>IF(U66="","",IFERROR(INDEX('بانک راهکارها'!$C$5:$C$13,MATCH(U66,'بانک راهکارها'!$B$5:$B$13,0)),""))</f>
        <v/>
      </c>
    </row>
    <row r="67" spans="1:25" ht="17.25">
      <c r="A67" s="33" t="str">
        <f>IF(دانش‌آموزان!L67="","",دانش‌آموزان!B67)</f>
        <v/>
      </c>
      <c r="B67" s="55" t="str">
        <f>IF(A67="","",دانش‌آموزان!C67)</f>
        <v/>
      </c>
      <c r="C67" s="55" t="str">
        <f>IF(A67="","",دانش‌آموزان!E67&amp;" "&amp;دانش‌آموزان!F67)</f>
        <v/>
      </c>
      <c r="D67" s="34" t="str">
        <f>IF(A67="","",دانش‌آموزان!I67)</f>
        <v/>
      </c>
      <c r="E67" s="27" t="str">
        <f>IF(A67="","",IFERROR(AVERAGEIFS('ثبت اطلاعات'!$CC$5:$CC$1204,'ثبت اطلاعات'!$C$5:$C$1204,A67,'ثبت اطلاعات'!$CL$5:$CL$1204,"&lt;&gt;"),""))</f>
        <v/>
      </c>
      <c r="F67" s="38" t="str">
        <f>IF(A67="","",IFERROR(AVERAGEIFS('ثبت اطلاعات'!$CD$5:$CD$1204,'ثبت اطلاعات'!$C$5:$C$1204,A67,'ثبت اطلاعات'!$CL$5:$CL$1204,"&lt;&gt;"),""))</f>
        <v/>
      </c>
      <c r="G67" s="38" t="str">
        <f>IF(A67="","",IFERROR(AVERAGEIFS('ثبت اطلاعات'!$CE$5:$CE$1204,'ثبت اطلاعات'!$C$5:$C$1204,A67,'ثبت اطلاعات'!$CL$5:$CL$1204,"&lt;&gt;"),""))</f>
        <v/>
      </c>
      <c r="H67" s="38" t="str">
        <f>IF(A67="","",IFERROR(AVERAGEIFS('ثبت اطلاعات'!$CF$5:$CF$1204,'ثبت اطلاعات'!$C$5:$C$1204,A67,'ثبت اطلاعات'!$CL$5:$CL$1204,"&lt;&gt;"),""))</f>
        <v/>
      </c>
      <c r="I67" s="38" t="str">
        <f>IF(A67="","",IFERROR(AVERAGEIFS('ثبت اطلاعات'!$CG$5:$CG$1204,'ثبت اطلاعات'!$C$5:$C$1204,A67,'ثبت اطلاعات'!$CL$5:$CL$1204,"&lt;&gt;"),""))</f>
        <v/>
      </c>
      <c r="J67" s="38" t="str">
        <f>IF(A67="","",IFERROR(AVERAGEIFS('ثبت اطلاعات'!$CH$5:$CH$1204,'ثبت اطلاعات'!$C$5:$C$1204,A67,'ثبت اطلاعات'!$CL$5:$CL$1204,"&lt;&gt;"),""))</f>
        <v/>
      </c>
      <c r="K67" s="38" t="str">
        <f>IF(A67="","",IFERROR(AVERAGEIFS('ثبت اطلاعات'!$CI$5:$CI$1204,'ثبت اطلاعات'!$C$5:$C$1204,A67,'ثبت اطلاعات'!$CL$5:$CL$1204,"&lt;&gt;"),""))</f>
        <v/>
      </c>
      <c r="L67" s="38" t="str">
        <f>IF(A67="","",IFERROR(AVERAGEIFS('ثبت اطلاعات'!$CJ$5:$CJ$1204,'ثبت اطلاعات'!$C$5:$C$1204,A67,'ثبت اطلاعات'!$CL$5:$CL$1204,"&lt;&gt;"),""))</f>
        <v/>
      </c>
      <c r="M67" s="38" t="str">
        <f>IF(A67="","",IFERROR(AVERAGEIFS('ثبت اطلاعات'!$CK$5:$CK$1204,'ثبت اطلاعات'!$C$5:$C$1204,A67,'ثبت اطلاعات'!$CL$5:$CL$1204,"&lt;&gt;"),""))</f>
        <v/>
      </c>
      <c r="N67" s="38" t="str">
        <f>IF(A67="","",IFERROR(AVERAGEIFS('ثبت اطلاعات'!$CL$5:$CL$1204,'ثبت اطلاعات'!$C$5:$C$1204,A67,'ثبت اطلاعات'!$CL$5:$CL$1204,"&lt;&gt;"),""))</f>
        <v/>
      </c>
      <c r="O67" s="38" t="str">
        <f>IF(A67="","",COUNTIFS('ثبت اطلاعات'!$C$5:$C$1204,A67,'ثبت اطلاعات'!$CL$5:$CL$1204,"&lt;&gt;"))</f>
        <v/>
      </c>
      <c r="P67" s="38" t="e">
        <f ca="1">IF(O67=0,"",_xludf.MINIFS('ثبت اطلاعات'!$CN$5:$CN$1204,'ثبت اطلاعات'!$C$5:$C$1204,A67,'ثبت اطلاعات'!$CL$5:$CL$1204,"&lt;&gt;"))</f>
        <v>#NAME?</v>
      </c>
      <c r="Q67" s="38" t="e">
        <f ca="1">IF(O67=0,"",_xludf.MAXIFS('ثبت اطلاعات'!$CN$5:$CN$1204,'ثبت اطلاعات'!$C$5:$C$1204,A67,'ثبت اطلاعات'!$CL$5:$CL$1204,"&lt;&gt;"))</f>
        <v>#NAME?</v>
      </c>
      <c r="R67" s="38">
        <f ca="1">IF(O67&lt;2,"",SUMIFS('ثبت اطلاعات'!$CL$5:$CL$1204,'ثبت اطلاعات'!$C$5:$C$1204,A67,'ثبت اطلاعات'!$CN$5:$CN$1204,Q67)-SUMIFS('ثبت اطلاعات'!$CL$5:$CL$1204,'ثبت اطلاعات'!$C$5:$C$1204,A67,'ثبت اطلاعات'!$CN$5:$CN$1204,P67))</f>
        <v>0</v>
      </c>
      <c r="S67" s="38" t="str">
        <f t="shared" si="5"/>
        <v/>
      </c>
      <c r="T67" s="38" t="str">
        <f t="shared" si="6"/>
        <v/>
      </c>
      <c r="U67" s="38" t="str">
        <f t="shared" si="7"/>
        <v/>
      </c>
      <c r="V67" s="38" t="str">
        <f t="shared" si="8"/>
        <v/>
      </c>
      <c r="W67" s="38" t="str">
        <f>IF(N67="","",_xludf.RANK.EQ(N67,$N$5:$N$104,0))</f>
        <v/>
      </c>
      <c r="X67" s="38" t="str">
        <f t="shared" si="9"/>
        <v/>
      </c>
      <c r="Y67" s="28" t="str">
        <f>IF(U67="","",IFERROR(INDEX('بانک راهکارها'!$C$5:$C$13,MATCH(U67,'بانک راهکارها'!$B$5:$B$13,0)),""))</f>
        <v/>
      </c>
    </row>
    <row r="68" spans="1:25" ht="17.25">
      <c r="A68" s="33" t="str">
        <f>IF(دانش‌آموزان!L68="","",دانش‌آموزان!B68)</f>
        <v/>
      </c>
      <c r="B68" s="55" t="str">
        <f>IF(A68="","",دانش‌آموزان!C68)</f>
        <v/>
      </c>
      <c r="C68" s="55" t="str">
        <f>IF(A68="","",دانش‌آموزان!E68&amp;" "&amp;دانش‌آموزان!F68)</f>
        <v/>
      </c>
      <c r="D68" s="34" t="str">
        <f>IF(A68="","",دانش‌آموزان!I68)</f>
        <v/>
      </c>
      <c r="E68" s="27" t="str">
        <f>IF(A68="","",IFERROR(AVERAGEIFS('ثبت اطلاعات'!$CC$5:$CC$1204,'ثبت اطلاعات'!$C$5:$C$1204,A68,'ثبت اطلاعات'!$CL$5:$CL$1204,"&lt;&gt;"),""))</f>
        <v/>
      </c>
      <c r="F68" s="38" t="str">
        <f>IF(A68="","",IFERROR(AVERAGEIFS('ثبت اطلاعات'!$CD$5:$CD$1204,'ثبت اطلاعات'!$C$5:$C$1204,A68,'ثبت اطلاعات'!$CL$5:$CL$1204,"&lt;&gt;"),""))</f>
        <v/>
      </c>
      <c r="G68" s="38" t="str">
        <f>IF(A68="","",IFERROR(AVERAGEIFS('ثبت اطلاعات'!$CE$5:$CE$1204,'ثبت اطلاعات'!$C$5:$C$1204,A68,'ثبت اطلاعات'!$CL$5:$CL$1204,"&lt;&gt;"),""))</f>
        <v/>
      </c>
      <c r="H68" s="38" t="str">
        <f>IF(A68="","",IFERROR(AVERAGEIFS('ثبت اطلاعات'!$CF$5:$CF$1204,'ثبت اطلاعات'!$C$5:$C$1204,A68,'ثبت اطلاعات'!$CL$5:$CL$1204,"&lt;&gt;"),""))</f>
        <v/>
      </c>
      <c r="I68" s="38" t="str">
        <f>IF(A68="","",IFERROR(AVERAGEIFS('ثبت اطلاعات'!$CG$5:$CG$1204,'ثبت اطلاعات'!$C$5:$C$1204,A68,'ثبت اطلاعات'!$CL$5:$CL$1204,"&lt;&gt;"),""))</f>
        <v/>
      </c>
      <c r="J68" s="38" t="str">
        <f>IF(A68="","",IFERROR(AVERAGEIFS('ثبت اطلاعات'!$CH$5:$CH$1204,'ثبت اطلاعات'!$C$5:$C$1204,A68,'ثبت اطلاعات'!$CL$5:$CL$1204,"&lt;&gt;"),""))</f>
        <v/>
      </c>
      <c r="K68" s="38" t="str">
        <f>IF(A68="","",IFERROR(AVERAGEIFS('ثبت اطلاعات'!$CI$5:$CI$1204,'ثبت اطلاعات'!$C$5:$C$1204,A68,'ثبت اطلاعات'!$CL$5:$CL$1204,"&lt;&gt;"),""))</f>
        <v/>
      </c>
      <c r="L68" s="38" t="str">
        <f>IF(A68="","",IFERROR(AVERAGEIFS('ثبت اطلاعات'!$CJ$5:$CJ$1204,'ثبت اطلاعات'!$C$5:$C$1204,A68,'ثبت اطلاعات'!$CL$5:$CL$1204,"&lt;&gt;"),""))</f>
        <v/>
      </c>
      <c r="M68" s="38" t="str">
        <f>IF(A68="","",IFERROR(AVERAGEIFS('ثبت اطلاعات'!$CK$5:$CK$1204,'ثبت اطلاعات'!$C$5:$C$1204,A68,'ثبت اطلاعات'!$CL$5:$CL$1204,"&lt;&gt;"),""))</f>
        <v/>
      </c>
      <c r="N68" s="38" t="str">
        <f>IF(A68="","",IFERROR(AVERAGEIFS('ثبت اطلاعات'!$CL$5:$CL$1204,'ثبت اطلاعات'!$C$5:$C$1204,A68,'ثبت اطلاعات'!$CL$5:$CL$1204,"&lt;&gt;"),""))</f>
        <v/>
      </c>
      <c r="O68" s="38" t="str">
        <f>IF(A68="","",COUNTIFS('ثبت اطلاعات'!$C$5:$C$1204,A68,'ثبت اطلاعات'!$CL$5:$CL$1204,"&lt;&gt;"))</f>
        <v/>
      </c>
      <c r="P68" s="38" t="e">
        <f ca="1">IF(O68=0,"",_xludf.MINIFS('ثبت اطلاعات'!$CN$5:$CN$1204,'ثبت اطلاعات'!$C$5:$C$1204,A68,'ثبت اطلاعات'!$CL$5:$CL$1204,"&lt;&gt;"))</f>
        <v>#NAME?</v>
      </c>
      <c r="Q68" s="38" t="e">
        <f ca="1">IF(O68=0,"",_xludf.MAXIFS('ثبت اطلاعات'!$CN$5:$CN$1204,'ثبت اطلاعات'!$C$5:$C$1204,A68,'ثبت اطلاعات'!$CL$5:$CL$1204,"&lt;&gt;"))</f>
        <v>#NAME?</v>
      </c>
      <c r="R68" s="38">
        <f ca="1">IF(O68&lt;2,"",SUMIFS('ثبت اطلاعات'!$CL$5:$CL$1204,'ثبت اطلاعات'!$C$5:$C$1204,A68,'ثبت اطلاعات'!$CN$5:$CN$1204,Q68)-SUMIFS('ثبت اطلاعات'!$CL$5:$CL$1204,'ثبت اطلاعات'!$C$5:$C$1204,A68,'ثبت اطلاعات'!$CN$5:$CN$1204,P68))</f>
        <v>0</v>
      </c>
      <c r="S68" s="38" t="str">
        <f t="shared" si="5"/>
        <v/>
      </c>
      <c r="T68" s="38" t="str">
        <f t="shared" si="6"/>
        <v/>
      </c>
      <c r="U68" s="38" t="str">
        <f t="shared" si="7"/>
        <v/>
      </c>
      <c r="V68" s="38" t="str">
        <f t="shared" si="8"/>
        <v/>
      </c>
      <c r="W68" s="38" t="str">
        <f>IF(N68="","",_xludf.RANK.EQ(N68,$N$5:$N$104,0))</f>
        <v/>
      </c>
      <c r="X68" s="38" t="str">
        <f t="shared" si="9"/>
        <v/>
      </c>
      <c r="Y68" s="28" t="str">
        <f>IF(U68="","",IFERROR(INDEX('بانک راهکارها'!$C$5:$C$13,MATCH(U68,'بانک راهکارها'!$B$5:$B$13,0)),""))</f>
        <v/>
      </c>
    </row>
    <row r="69" spans="1:25" ht="17.25">
      <c r="A69" s="33" t="str">
        <f>IF(دانش‌آموزان!L69="","",دانش‌آموزان!B69)</f>
        <v/>
      </c>
      <c r="B69" s="55" t="str">
        <f>IF(A69="","",دانش‌آموزان!C69)</f>
        <v/>
      </c>
      <c r="C69" s="55" t="str">
        <f>IF(A69="","",دانش‌آموزان!E69&amp;" "&amp;دانش‌آموزان!F69)</f>
        <v/>
      </c>
      <c r="D69" s="34" t="str">
        <f>IF(A69="","",دانش‌آموزان!I69)</f>
        <v/>
      </c>
      <c r="E69" s="27" t="str">
        <f>IF(A69="","",IFERROR(AVERAGEIFS('ثبت اطلاعات'!$CC$5:$CC$1204,'ثبت اطلاعات'!$C$5:$C$1204,A69,'ثبت اطلاعات'!$CL$5:$CL$1204,"&lt;&gt;"),""))</f>
        <v/>
      </c>
      <c r="F69" s="38" t="str">
        <f>IF(A69="","",IFERROR(AVERAGEIFS('ثبت اطلاعات'!$CD$5:$CD$1204,'ثبت اطلاعات'!$C$5:$C$1204,A69,'ثبت اطلاعات'!$CL$5:$CL$1204,"&lt;&gt;"),""))</f>
        <v/>
      </c>
      <c r="G69" s="38" t="str">
        <f>IF(A69="","",IFERROR(AVERAGEIFS('ثبت اطلاعات'!$CE$5:$CE$1204,'ثبت اطلاعات'!$C$5:$C$1204,A69,'ثبت اطلاعات'!$CL$5:$CL$1204,"&lt;&gt;"),""))</f>
        <v/>
      </c>
      <c r="H69" s="38" t="str">
        <f>IF(A69="","",IFERROR(AVERAGEIFS('ثبت اطلاعات'!$CF$5:$CF$1204,'ثبت اطلاعات'!$C$5:$C$1204,A69,'ثبت اطلاعات'!$CL$5:$CL$1204,"&lt;&gt;"),""))</f>
        <v/>
      </c>
      <c r="I69" s="38" t="str">
        <f>IF(A69="","",IFERROR(AVERAGEIFS('ثبت اطلاعات'!$CG$5:$CG$1204,'ثبت اطلاعات'!$C$5:$C$1204,A69,'ثبت اطلاعات'!$CL$5:$CL$1204,"&lt;&gt;"),""))</f>
        <v/>
      </c>
      <c r="J69" s="38" t="str">
        <f>IF(A69="","",IFERROR(AVERAGEIFS('ثبت اطلاعات'!$CH$5:$CH$1204,'ثبت اطلاعات'!$C$5:$C$1204,A69,'ثبت اطلاعات'!$CL$5:$CL$1204,"&lt;&gt;"),""))</f>
        <v/>
      </c>
      <c r="K69" s="38" t="str">
        <f>IF(A69="","",IFERROR(AVERAGEIFS('ثبت اطلاعات'!$CI$5:$CI$1204,'ثبت اطلاعات'!$C$5:$C$1204,A69,'ثبت اطلاعات'!$CL$5:$CL$1204,"&lt;&gt;"),""))</f>
        <v/>
      </c>
      <c r="L69" s="38" t="str">
        <f>IF(A69="","",IFERROR(AVERAGEIFS('ثبت اطلاعات'!$CJ$5:$CJ$1204,'ثبت اطلاعات'!$C$5:$C$1204,A69,'ثبت اطلاعات'!$CL$5:$CL$1204,"&lt;&gt;"),""))</f>
        <v/>
      </c>
      <c r="M69" s="38" t="str">
        <f>IF(A69="","",IFERROR(AVERAGEIFS('ثبت اطلاعات'!$CK$5:$CK$1204,'ثبت اطلاعات'!$C$5:$C$1204,A69,'ثبت اطلاعات'!$CL$5:$CL$1204,"&lt;&gt;"),""))</f>
        <v/>
      </c>
      <c r="N69" s="38" t="str">
        <f>IF(A69="","",IFERROR(AVERAGEIFS('ثبت اطلاعات'!$CL$5:$CL$1204,'ثبت اطلاعات'!$C$5:$C$1204,A69,'ثبت اطلاعات'!$CL$5:$CL$1204,"&lt;&gt;"),""))</f>
        <v/>
      </c>
      <c r="O69" s="38" t="str">
        <f>IF(A69="","",COUNTIFS('ثبت اطلاعات'!$C$5:$C$1204,A69,'ثبت اطلاعات'!$CL$5:$CL$1204,"&lt;&gt;"))</f>
        <v/>
      </c>
      <c r="P69" s="38" t="e">
        <f ca="1">IF(O69=0,"",_xludf.MINIFS('ثبت اطلاعات'!$CN$5:$CN$1204,'ثبت اطلاعات'!$C$5:$C$1204,A69,'ثبت اطلاعات'!$CL$5:$CL$1204,"&lt;&gt;"))</f>
        <v>#NAME?</v>
      </c>
      <c r="Q69" s="38" t="e">
        <f ca="1">IF(O69=0,"",_xludf.MAXIFS('ثبت اطلاعات'!$CN$5:$CN$1204,'ثبت اطلاعات'!$C$5:$C$1204,A69,'ثبت اطلاعات'!$CL$5:$CL$1204,"&lt;&gt;"))</f>
        <v>#NAME?</v>
      </c>
      <c r="R69" s="38">
        <f ca="1">IF(O69&lt;2,"",SUMIFS('ثبت اطلاعات'!$CL$5:$CL$1204,'ثبت اطلاعات'!$C$5:$C$1204,A69,'ثبت اطلاعات'!$CN$5:$CN$1204,Q69)-SUMIFS('ثبت اطلاعات'!$CL$5:$CL$1204,'ثبت اطلاعات'!$C$5:$C$1204,A69,'ثبت اطلاعات'!$CN$5:$CN$1204,P69))</f>
        <v>0</v>
      </c>
      <c r="S69" s="38" t="str">
        <f t="shared" ref="S69:S100" si="10">IF(A69="","",IF(O69=0,"فاقد ارزیابی نهایی",IF(O69=1,"داده ناکافی",IF(R69&gt;0.5,"پیشرفت",IF(R69&lt;-0.5,"افت","ثبات")))))</f>
        <v/>
      </c>
      <c r="T69" s="38" t="str">
        <f t="shared" ref="T69:T104" si="11">IF(N69="","",INDEX($E$4:$M$4,1,MATCH(MAX(E69:M69),E69:M69,0)))</f>
        <v/>
      </c>
      <c r="U69" s="38" t="str">
        <f t="shared" ref="U69:U104" si="12">IF(N69="","",INDEX($E$4:$M$4,1,MATCH(MIN(E69:M69),E69:M69,0)))</f>
        <v/>
      </c>
      <c r="V69" s="38" t="str">
        <f t="shared" ref="V69:V104" si="13">IF(N69="","",IF(N69&gt;=17,"عالی",IF(N69&gt;=14,"خوب",IF(N69&gt;=10,"متوسط","ضعیف"))))</f>
        <v/>
      </c>
      <c r="W69" s="38" t="str">
        <f>IF(N69="","",_xludf.RANK.EQ(N69,$N$5:$N$104,0))</f>
        <v/>
      </c>
      <c r="X69" s="38" t="str">
        <f t="shared" ref="X69:X104" si="14">IF(N69="","",COUNT($N$5:$N$104))</f>
        <v/>
      </c>
      <c r="Y69" s="28" t="str">
        <f>IF(U69="","",IFERROR(INDEX('بانک راهکارها'!$C$5:$C$13,MATCH(U69,'بانک راهکارها'!$B$5:$B$13,0)),""))</f>
        <v/>
      </c>
    </row>
    <row r="70" spans="1:25" ht="17.25">
      <c r="A70" s="33" t="str">
        <f>IF(دانش‌آموزان!L70="","",دانش‌آموزان!B70)</f>
        <v/>
      </c>
      <c r="B70" s="55" t="str">
        <f>IF(A70="","",دانش‌آموزان!C70)</f>
        <v/>
      </c>
      <c r="C70" s="55" t="str">
        <f>IF(A70="","",دانش‌آموزان!E70&amp;" "&amp;دانش‌آموزان!F70)</f>
        <v/>
      </c>
      <c r="D70" s="34" t="str">
        <f>IF(A70="","",دانش‌آموزان!I70)</f>
        <v/>
      </c>
      <c r="E70" s="27" t="str">
        <f>IF(A70="","",IFERROR(AVERAGEIFS('ثبت اطلاعات'!$CC$5:$CC$1204,'ثبت اطلاعات'!$C$5:$C$1204,A70,'ثبت اطلاعات'!$CL$5:$CL$1204,"&lt;&gt;"),""))</f>
        <v/>
      </c>
      <c r="F70" s="38" t="str">
        <f>IF(A70="","",IFERROR(AVERAGEIFS('ثبت اطلاعات'!$CD$5:$CD$1204,'ثبت اطلاعات'!$C$5:$C$1204,A70,'ثبت اطلاعات'!$CL$5:$CL$1204,"&lt;&gt;"),""))</f>
        <v/>
      </c>
      <c r="G70" s="38" t="str">
        <f>IF(A70="","",IFERROR(AVERAGEIFS('ثبت اطلاعات'!$CE$5:$CE$1204,'ثبت اطلاعات'!$C$5:$C$1204,A70,'ثبت اطلاعات'!$CL$5:$CL$1204,"&lt;&gt;"),""))</f>
        <v/>
      </c>
      <c r="H70" s="38" t="str">
        <f>IF(A70="","",IFERROR(AVERAGEIFS('ثبت اطلاعات'!$CF$5:$CF$1204,'ثبت اطلاعات'!$C$5:$C$1204,A70,'ثبت اطلاعات'!$CL$5:$CL$1204,"&lt;&gt;"),""))</f>
        <v/>
      </c>
      <c r="I70" s="38" t="str">
        <f>IF(A70="","",IFERROR(AVERAGEIFS('ثبت اطلاعات'!$CG$5:$CG$1204,'ثبت اطلاعات'!$C$5:$C$1204,A70,'ثبت اطلاعات'!$CL$5:$CL$1204,"&lt;&gt;"),""))</f>
        <v/>
      </c>
      <c r="J70" s="38" t="str">
        <f>IF(A70="","",IFERROR(AVERAGEIFS('ثبت اطلاعات'!$CH$5:$CH$1204,'ثبت اطلاعات'!$C$5:$C$1204,A70,'ثبت اطلاعات'!$CL$5:$CL$1204,"&lt;&gt;"),""))</f>
        <v/>
      </c>
      <c r="K70" s="38" t="str">
        <f>IF(A70="","",IFERROR(AVERAGEIFS('ثبت اطلاعات'!$CI$5:$CI$1204,'ثبت اطلاعات'!$C$5:$C$1204,A70,'ثبت اطلاعات'!$CL$5:$CL$1204,"&lt;&gt;"),""))</f>
        <v/>
      </c>
      <c r="L70" s="38" t="str">
        <f>IF(A70="","",IFERROR(AVERAGEIFS('ثبت اطلاعات'!$CJ$5:$CJ$1204,'ثبت اطلاعات'!$C$5:$C$1204,A70,'ثبت اطلاعات'!$CL$5:$CL$1204,"&lt;&gt;"),""))</f>
        <v/>
      </c>
      <c r="M70" s="38" t="str">
        <f>IF(A70="","",IFERROR(AVERAGEIFS('ثبت اطلاعات'!$CK$5:$CK$1204,'ثبت اطلاعات'!$C$5:$C$1204,A70,'ثبت اطلاعات'!$CL$5:$CL$1204,"&lt;&gt;"),""))</f>
        <v/>
      </c>
      <c r="N70" s="38" t="str">
        <f>IF(A70="","",IFERROR(AVERAGEIFS('ثبت اطلاعات'!$CL$5:$CL$1204,'ثبت اطلاعات'!$C$5:$C$1204,A70,'ثبت اطلاعات'!$CL$5:$CL$1204,"&lt;&gt;"),""))</f>
        <v/>
      </c>
      <c r="O70" s="38" t="str">
        <f>IF(A70="","",COUNTIFS('ثبت اطلاعات'!$C$5:$C$1204,A70,'ثبت اطلاعات'!$CL$5:$CL$1204,"&lt;&gt;"))</f>
        <v/>
      </c>
      <c r="P70" s="38" t="e">
        <f ca="1">IF(O70=0,"",_xludf.MINIFS('ثبت اطلاعات'!$CN$5:$CN$1204,'ثبت اطلاعات'!$C$5:$C$1204,A70,'ثبت اطلاعات'!$CL$5:$CL$1204,"&lt;&gt;"))</f>
        <v>#NAME?</v>
      </c>
      <c r="Q70" s="38" t="e">
        <f ca="1">IF(O70=0,"",_xludf.MAXIFS('ثبت اطلاعات'!$CN$5:$CN$1204,'ثبت اطلاعات'!$C$5:$C$1204,A70,'ثبت اطلاعات'!$CL$5:$CL$1204,"&lt;&gt;"))</f>
        <v>#NAME?</v>
      </c>
      <c r="R70" s="38">
        <f ca="1">IF(O70&lt;2,"",SUMIFS('ثبت اطلاعات'!$CL$5:$CL$1204,'ثبت اطلاعات'!$C$5:$C$1204,A70,'ثبت اطلاعات'!$CN$5:$CN$1204,Q70)-SUMIFS('ثبت اطلاعات'!$CL$5:$CL$1204,'ثبت اطلاعات'!$C$5:$C$1204,A70,'ثبت اطلاعات'!$CN$5:$CN$1204,P70))</f>
        <v>0</v>
      </c>
      <c r="S70" s="38" t="str">
        <f t="shared" si="10"/>
        <v/>
      </c>
      <c r="T70" s="38" t="str">
        <f t="shared" si="11"/>
        <v/>
      </c>
      <c r="U70" s="38" t="str">
        <f t="shared" si="12"/>
        <v/>
      </c>
      <c r="V70" s="38" t="str">
        <f t="shared" si="13"/>
        <v/>
      </c>
      <c r="W70" s="38" t="str">
        <f>IF(N70="","",_xludf.RANK.EQ(N70,$N$5:$N$104,0))</f>
        <v/>
      </c>
      <c r="X70" s="38" t="str">
        <f t="shared" si="14"/>
        <v/>
      </c>
      <c r="Y70" s="28" t="str">
        <f>IF(U70="","",IFERROR(INDEX('بانک راهکارها'!$C$5:$C$13,MATCH(U70,'بانک راهکارها'!$B$5:$B$13,0)),""))</f>
        <v/>
      </c>
    </row>
    <row r="71" spans="1:25" ht="17.25">
      <c r="A71" s="33" t="str">
        <f>IF(دانش‌آموزان!L71="","",دانش‌آموزان!B71)</f>
        <v/>
      </c>
      <c r="B71" s="55" t="str">
        <f>IF(A71="","",دانش‌آموزان!C71)</f>
        <v/>
      </c>
      <c r="C71" s="55" t="str">
        <f>IF(A71="","",دانش‌آموزان!E71&amp;" "&amp;دانش‌آموزان!F71)</f>
        <v/>
      </c>
      <c r="D71" s="34" t="str">
        <f>IF(A71="","",دانش‌آموزان!I71)</f>
        <v/>
      </c>
      <c r="E71" s="27" t="str">
        <f>IF(A71="","",IFERROR(AVERAGEIFS('ثبت اطلاعات'!$CC$5:$CC$1204,'ثبت اطلاعات'!$C$5:$C$1204,A71,'ثبت اطلاعات'!$CL$5:$CL$1204,"&lt;&gt;"),""))</f>
        <v/>
      </c>
      <c r="F71" s="38" t="str">
        <f>IF(A71="","",IFERROR(AVERAGEIFS('ثبت اطلاعات'!$CD$5:$CD$1204,'ثبت اطلاعات'!$C$5:$C$1204,A71,'ثبت اطلاعات'!$CL$5:$CL$1204,"&lt;&gt;"),""))</f>
        <v/>
      </c>
      <c r="G71" s="38" t="str">
        <f>IF(A71="","",IFERROR(AVERAGEIFS('ثبت اطلاعات'!$CE$5:$CE$1204,'ثبت اطلاعات'!$C$5:$C$1204,A71,'ثبت اطلاعات'!$CL$5:$CL$1204,"&lt;&gt;"),""))</f>
        <v/>
      </c>
      <c r="H71" s="38" t="str">
        <f>IF(A71="","",IFERROR(AVERAGEIFS('ثبت اطلاعات'!$CF$5:$CF$1204,'ثبت اطلاعات'!$C$5:$C$1204,A71,'ثبت اطلاعات'!$CL$5:$CL$1204,"&lt;&gt;"),""))</f>
        <v/>
      </c>
      <c r="I71" s="38" t="str">
        <f>IF(A71="","",IFERROR(AVERAGEIFS('ثبت اطلاعات'!$CG$5:$CG$1204,'ثبت اطلاعات'!$C$5:$C$1204,A71,'ثبت اطلاعات'!$CL$5:$CL$1204,"&lt;&gt;"),""))</f>
        <v/>
      </c>
      <c r="J71" s="38" t="str">
        <f>IF(A71="","",IFERROR(AVERAGEIFS('ثبت اطلاعات'!$CH$5:$CH$1204,'ثبت اطلاعات'!$C$5:$C$1204,A71,'ثبت اطلاعات'!$CL$5:$CL$1204,"&lt;&gt;"),""))</f>
        <v/>
      </c>
      <c r="K71" s="38" t="str">
        <f>IF(A71="","",IFERROR(AVERAGEIFS('ثبت اطلاعات'!$CI$5:$CI$1204,'ثبت اطلاعات'!$C$5:$C$1204,A71,'ثبت اطلاعات'!$CL$5:$CL$1204,"&lt;&gt;"),""))</f>
        <v/>
      </c>
      <c r="L71" s="38" t="str">
        <f>IF(A71="","",IFERROR(AVERAGEIFS('ثبت اطلاعات'!$CJ$5:$CJ$1204,'ثبت اطلاعات'!$C$5:$C$1204,A71,'ثبت اطلاعات'!$CL$5:$CL$1204,"&lt;&gt;"),""))</f>
        <v/>
      </c>
      <c r="M71" s="38" t="str">
        <f>IF(A71="","",IFERROR(AVERAGEIFS('ثبت اطلاعات'!$CK$5:$CK$1204,'ثبت اطلاعات'!$C$5:$C$1204,A71,'ثبت اطلاعات'!$CL$5:$CL$1204,"&lt;&gt;"),""))</f>
        <v/>
      </c>
      <c r="N71" s="38" t="str">
        <f>IF(A71="","",IFERROR(AVERAGEIFS('ثبت اطلاعات'!$CL$5:$CL$1204,'ثبت اطلاعات'!$C$5:$C$1204,A71,'ثبت اطلاعات'!$CL$5:$CL$1204,"&lt;&gt;"),""))</f>
        <v/>
      </c>
      <c r="O71" s="38" t="str">
        <f>IF(A71="","",COUNTIFS('ثبت اطلاعات'!$C$5:$C$1204,A71,'ثبت اطلاعات'!$CL$5:$CL$1204,"&lt;&gt;"))</f>
        <v/>
      </c>
      <c r="P71" s="38" t="e">
        <f ca="1">IF(O71=0,"",_xludf.MINIFS('ثبت اطلاعات'!$CN$5:$CN$1204,'ثبت اطلاعات'!$C$5:$C$1204,A71,'ثبت اطلاعات'!$CL$5:$CL$1204,"&lt;&gt;"))</f>
        <v>#NAME?</v>
      </c>
      <c r="Q71" s="38" t="e">
        <f ca="1">IF(O71=0,"",_xludf.MAXIFS('ثبت اطلاعات'!$CN$5:$CN$1204,'ثبت اطلاعات'!$C$5:$C$1204,A71,'ثبت اطلاعات'!$CL$5:$CL$1204,"&lt;&gt;"))</f>
        <v>#NAME?</v>
      </c>
      <c r="R71" s="38">
        <f ca="1">IF(O71&lt;2,"",SUMIFS('ثبت اطلاعات'!$CL$5:$CL$1204,'ثبت اطلاعات'!$C$5:$C$1204,A71,'ثبت اطلاعات'!$CN$5:$CN$1204,Q71)-SUMIFS('ثبت اطلاعات'!$CL$5:$CL$1204,'ثبت اطلاعات'!$C$5:$C$1204,A71,'ثبت اطلاعات'!$CN$5:$CN$1204,P71))</f>
        <v>0</v>
      </c>
      <c r="S71" s="38" t="str">
        <f t="shared" si="10"/>
        <v/>
      </c>
      <c r="T71" s="38" t="str">
        <f t="shared" si="11"/>
        <v/>
      </c>
      <c r="U71" s="38" t="str">
        <f t="shared" si="12"/>
        <v/>
      </c>
      <c r="V71" s="38" t="str">
        <f t="shared" si="13"/>
        <v/>
      </c>
      <c r="W71" s="38" t="str">
        <f>IF(N71="","",_xludf.RANK.EQ(N71,$N$5:$N$104,0))</f>
        <v/>
      </c>
      <c r="X71" s="38" t="str">
        <f t="shared" si="14"/>
        <v/>
      </c>
      <c r="Y71" s="28" t="str">
        <f>IF(U71="","",IFERROR(INDEX('بانک راهکارها'!$C$5:$C$13,MATCH(U71,'بانک راهکارها'!$B$5:$B$13,0)),""))</f>
        <v/>
      </c>
    </row>
    <row r="72" spans="1:25" ht="17.25">
      <c r="A72" s="33" t="str">
        <f>IF(دانش‌آموزان!L72="","",دانش‌آموزان!B72)</f>
        <v/>
      </c>
      <c r="B72" s="55" t="str">
        <f>IF(A72="","",دانش‌آموزان!C72)</f>
        <v/>
      </c>
      <c r="C72" s="55" t="str">
        <f>IF(A72="","",دانش‌آموزان!E72&amp;" "&amp;دانش‌آموزان!F72)</f>
        <v/>
      </c>
      <c r="D72" s="34" t="str">
        <f>IF(A72="","",دانش‌آموزان!I72)</f>
        <v/>
      </c>
      <c r="E72" s="27" t="str">
        <f>IF(A72="","",IFERROR(AVERAGEIFS('ثبت اطلاعات'!$CC$5:$CC$1204,'ثبت اطلاعات'!$C$5:$C$1204,A72,'ثبت اطلاعات'!$CL$5:$CL$1204,"&lt;&gt;"),""))</f>
        <v/>
      </c>
      <c r="F72" s="38" t="str">
        <f>IF(A72="","",IFERROR(AVERAGEIFS('ثبت اطلاعات'!$CD$5:$CD$1204,'ثبت اطلاعات'!$C$5:$C$1204,A72,'ثبت اطلاعات'!$CL$5:$CL$1204,"&lt;&gt;"),""))</f>
        <v/>
      </c>
      <c r="G72" s="38" t="str">
        <f>IF(A72="","",IFERROR(AVERAGEIFS('ثبت اطلاعات'!$CE$5:$CE$1204,'ثبت اطلاعات'!$C$5:$C$1204,A72,'ثبت اطلاعات'!$CL$5:$CL$1204,"&lt;&gt;"),""))</f>
        <v/>
      </c>
      <c r="H72" s="38" t="str">
        <f>IF(A72="","",IFERROR(AVERAGEIFS('ثبت اطلاعات'!$CF$5:$CF$1204,'ثبت اطلاعات'!$C$5:$C$1204,A72,'ثبت اطلاعات'!$CL$5:$CL$1204,"&lt;&gt;"),""))</f>
        <v/>
      </c>
      <c r="I72" s="38" t="str">
        <f>IF(A72="","",IFERROR(AVERAGEIFS('ثبت اطلاعات'!$CG$5:$CG$1204,'ثبت اطلاعات'!$C$5:$C$1204,A72,'ثبت اطلاعات'!$CL$5:$CL$1204,"&lt;&gt;"),""))</f>
        <v/>
      </c>
      <c r="J72" s="38" t="str">
        <f>IF(A72="","",IFERROR(AVERAGEIFS('ثبت اطلاعات'!$CH$5:$CH$1204,'ثبت اطلاعات'!$C$5:$C$1204,A72,'ثبت اطلاعات'!$CL$5:$CL$1204,"&lt;&gt;"),""))</f>
        <v/>
      </c>
      <c r="K72" s="38" t="str">
        <f>IF(A72="","",IFERROR(AVERAGEIFS('ثبت اطلاعات'!$CI$5:$CI$1204,'ثبت اطلاعات'!$C$5:$C$1204,A72,'ثبت اطلاعات'!$CL$5:$CL$1204,"&lt;&gt;"),""))</f>
        <v/>
      </c>
      <c r="L72" s="38" t="str">
        <f>IF(A72="","",IFERROR(AVERAGEIFS('ثبت اطلاعات'!$CJ$5:$CJ$1204,'ثبت اطلاعات'!$C$5:$C$1204,A72,'ثبت اطلاعات'!$CL$5:$CL$1204,"&lt;&gt;"),""))</f>
        <v/>
      </c>
      <c r="M72" s="38" t="str">
        <f>IF(A72="","",IFERROR(AVERAGEIFS('ثبت اطلاعات'!$CK$5:$CK$1204,'ثبت اطلاعات'!$C$5:$C$1204,A72,'ثبت اطلاعات'!$CL$5:$CL$1204,"&lt;&gt;"),""))</f>
        <v/>
      </c>
      <c r="N72" s="38" t="str">
        <f>IF(A72="","",IFERROR(AVERAGEIFS('ثبت اطلاعات'!$CL$5:$CL$1204,'ثبت اطلاعات'!$C$5:$C$1204,A72,'ثبت اطلاعات'!$CL$5:$CL$1204,"&lt;&gt;"),""))</f>
        <v/>
      </c>
      <c r="O72" s="38" t="str">
        <f>IF(A72="","",COUNTIFS('ثبت اطلاعات'!$C$5:$C$1204,A72,'ثبت اطلاعات'!$CL$5:$CL$1204,"&lt;&gt;"))</f>
        <v/>
      </c>
      <c r="P72" s="38" t="e">
        <f ca="1">IF(O72=0,"",_xludf.MINIFS('ثبت اطلاعات'!$CN$5:$CN$1204,'ثبت اطلاعات'!$C$5:$C$1204,A72,'ثبت اطلاعات'!$CL$5:$CL$1204,"&lt;&gt;"))</f>
        <v>#NAME?</v>
      </c>
      <c r="Q72" s="38" t="e">
        <f ca="1">IF(O72=0,"",_xludf.MAXIFS('ثبت اطلاعات'!$CN$5:$CN$1204,'ثبت اطلاعات'!$C$5:$C$1204,A72,'ثبت اطلاعات'!$CL$5:$CL$1204,"&lt;&gt;"))</f>
        <v>#NAME?</v>
      </c>
      <c r="R72" s="38">
        <f ca="1">IF(O72&lt;2,"",SUMIFS('ثبت اطلاعات'!$CL$5:$CL$1204,'ثبت اطلاعات'!$C$5:$C$1204,A72,'ثبت اطلاعات'!$CN$5:$CN$1204,Q72)-SUMIFS('ثبت اطلاعات'!$CL$5:$CL$1204,'ثبت اطلاعات'!$C$5:$C$1204,A72,'ثبت اطلاعات'!$CN$5:$CN$1204,P72))</f>
        <v>0</v>
      </c>
      <c r="S72" s="38" t="str">
        <f t="shared" si="10"/>
        <v/>
      </c>
      <c r="T72" s="38" t="str">
        <f t="shared" si="11"/>
        <v/>
      </c>
      <c r="U72" s="38" t="str">
        <f t="shared" si="12"/>
        <v/>
      </c>
      <c r="V72" s="38" t="str">
        <f t="shared" si="13"/>
        <v/>
      </c>
      <c r="W72" s="38" t="str">
        <f>IF(N72="","",_xludf.RANK.EQ(N72,$N$5:$N$104,0))</f>
        <v/>
      </c>
      <c r="X72" s="38" t="str">
        <f t="shared" si="14"/>
        <v/>
      </c>
      <c r="Y72" s="28" t="str">
        <f>IF(U72="","",IFERROR(INDEX('بانک راهکارها'!$C$5:$C$13,MATCH(U72,'بانک راهکارها'!$B$5:$B$13,0)),""))</f>
        <v/>
      </c>
    </row>
    <row r="73" spans="1:25" ht="17.25">
      <c r="A73" s="33" t="str">
        <f>IF(دانش‌آموزان!L73="","",دانش‌آموزان!B73)</f>
        <v/>
      </c>
      <c r="B73" s="55" t="str">
        <f>IF(A73="","",دانش‌آموزان!C73)</f>
        <v/>
      </c>
      <c r="C73" s="55" t="str">
        <f>IF(A73="","",دانش‌آموزان!E73&amp;" "&amp;دانش‌آموزان!F73)</f>
        <v/>
      </c>
      <c r="D73" s="34" t="str">
        <f>IF(A73="","",دانش‌آموزان!I73)</f>
        <v/>
      </c>
      <c r="E73" s="27" t="str">
        <f>IF(A73="","",IFERROR(AVERAGEIFS('ثبت اطلاعات'!$CC$5:$CC$1204,'ثبت اطلاعات'!$C$5:$C$1204,A73,'ثبت اطلاعات'!$CL$5:$CL$1204,"&lt;&gt;"),""))</f>
        <v/>
      </c>
      <c r="F73" s="38" t="str">
        <f>IF(A73="","",IFERROR(AVERAGEIFS('ثبت اطلاعات'!$CD$5:$CD$1204,'ثبت اطلاعات'!$C$5:$C$1204,A73,'ثبت اطلاعات'!$CL$5:$CL$1204,"&lt;&gt;"),""))</f>
        <v/>
      </c>
      <c r="G73" s="38" t="str">
        <f>IF(A73="","",IFERROR(AVERAGEIFS('ثبت اطلاعات'!$CE$5:$CE$1204,'ثبت اطلاعات'!$C$5:$C$1204,A73,'ثبت اطلاعات'!$CL$5:$CL$1204,"&lt;&gt;"),""))</f>
        <v/>
      </c>
      <c r="H73" s="38" t="str">
        <f>IF(A73="","",IFERROR(AVERAGEIFS('ثبت اطلاعات'!$CF$5:$CF$1204,'ثبت اطلاعات'!$C$5:$C$1204,A73,'ثبت اطلاعات'!$CL$5:$CL$1204,"&lt;&gt;"),""))</f>
        <v/>
      </c>
      <c r="I73" s="38" t="str">
        <f>IF(A73="","",IFERROR(AVERAGEIFS('ثبت اطلاعات'!$CG$5:$CG$1204,'ثبت اطلاعات'!$C$5:$C$1204,A73,'ثبت اطلاعات'!$CL$5:$CL$1204,"&lt;&gt;"),""))</f>
        <v/>
      </c>
      <c r="J73" s="38" t="str">
        <f>IF(A73="","",IFERROR(AVERAGEIFS('ثبت اطلاعات'!$CH$5:$CH$1204,'ثبت اطلاعات'!$C$5:$C$1204,A73,'ثبت اطلاعات'!$CL$5:$CL$1204,"&lt;&gt;"),""))</f>
        <v/>
      </c>
      <c r="K73" s="38" t="str">
        <f>IF(A73="","",IFERROR(AVERAGEIFS('ثبت اطلاعات'!$CI$5:$CI$1204,'ثبت اطلاعات'!$C$5:$C$1204,A73,'ثبت اطلاعات'!$CL$5:$CL$1204,"&lt;&gt;"),""))</f>
        <v/>
      </c>
      <c r="L73" s="38" t="str">
        <f>IF(A73="","",IFERROR(AVERAGEIFS('ثبت اطلاعات'!$CJ$5:$CJ$1204,'ثبت اطلاعات'!$C$5:$C$1204,A73,'ثبت اطلاعات'!$CL$5:$CL$1204,"&lt;&gt;"),""))</f>
        <v/>
      </c>
      <c r="M73" s="38" t="str">
        <f>IF(A73="","",IFERROR(AVERAGEIFS('ثبت اطلاعات'!$CK$5:$CK$1204,'ثبت اطلاعات'!$C$5:$C$1204,A73,'ثبت اطلاعات'!$CL$5:$CL$1204,"&lt;&gt;"),""))</f>
        <v/>
      </c>
      <c r="N73" s="38" t="str">
        <f>IF(A73="","",IFERROR(AVERAGEIFS('ثبت اطلاعات'!$CL$5:$CL$1204,'ثبت اطلاعات'!$C$5:$C$1204,A73,'ثبت اطلاعات'!$CL$5:$CL$1204,"&lt;&gt;"),""))</f>
        <v/>
      </c>
      <c r="O73" s="38" t="str">
        <f>IF(A73="","",COUNTIFS('ثبت اطلاعات'!$C$5:$C$1204,A73,'ثبت اطلاعات'!$CL$5:$CL$1204,"&lt;&gt;"))</f>
        <v/>
      </c>
      <c r="P73" s="38" t="e">
        <f ca="1">IF(O73=0,"",_xludf.MINIFS('ثبت اطلاعات'!$CN$5:$CN$1204,'ثبت اطلاعات'!$C$5:$C$1204,A73,'ثبت اطلاعات'!$CL$5:$CL$1204,"&lt;&gt;"))</f>
        <v>#NAME?</v>
      </c>
      <c r="Q73" s="38" t="e">
        <f ca="1">IF(O73=0,"",_xludf.MAXIFS('ثبت اطلاعات'!$CN$5:$CN$1204,'ثبت اطلاعات'!$C$5:$C$1204,A73,'ثبت اطلاعات'!$CL$5:$CL$1204,"&lt;&gt;"))</f>
        <v>#NAME?</v>
      </c>
      <c r="R73" s="38">
        <f ca="1">IF(O73&lt;2,"",SUMIFS('ثبت اطلاعات'!$CL$5:$CL$1204,'ثبت اطلاعات'!$C$5:$C$1204,A73,'ثبت اطلاعات'!$CN$5:$CN$1204,Q73)-SUMIFS('ثبت اطلاعات'!$CL$5:$CL$1204,'ثبت اطلاعات'!$C$5:$C$1204,A73,'ثبت اطلاعات'!$CN$5:$CN$1204,P73))</f>
        <v>0</v>
      </c>
      <c r="S73" s="38" t="str">
        <f t="shared" si="10"/>
        <v/>
      </c>
      <c r="T73" s="38" t="str">
        <f t="shared" si="11"/>
        <v/>
      </c>
      <c r="U73" s="38" t="str">
        <f t="shared" si="12"/>
        <v/>
      </c>
      <c r="V73" s="38" t="str">
        <f t="shared" si="13"/>
        <v/>
      </c>
      <c r="W73" s="38" t="str">
        <f>IF(N73="","",_xludf.RANK.EQ(N73,$N$5:$N$104,0))</f>
        <v/>
      </c>
      <c r="X73" s="38" t="str">
        <f t="shared" si="14"/>
        <v/>
      </c>
      <c r="Y73" s="28" t="str">
        <f>IF(U73="","",IFERROR(INDEX('بانک راهکارها'!$C$5:$C$13,MATCH(U73,'بانک راهکارها'!$B$5:$B$13,0)),""))</f>
        <v/>
      </c>
    </row>
    <row r="74" spans="1:25" ht="17.25">
      <c r="A74" s="33" t="str">
        <f>IF(دانش‌آموزان!L74="","",دانش‌آموزان!B74)</f>
        <v/>
      </c>
      <c r="B74" s="55" t="str">
        <f>IF(A74="","",دانش‌آموزان!C74)</f>
        <v/>
      </c>
      <c r="C74" s="55" t="str">
        <f>IF(A74="","",دانش‌آموزان!E74&amp;" "&amp;دانش‌آموزان!F74)</f>
        <v/>
      </c>
      <c r="D74" s="34" t="str">
        <f>IF(A74="","",دانش‌آموزان!I74)</f>
        <v/>
      </c>
      <c r="E74" s="27" t="str">
        <f>IF(A74="","",IFERROR(AVERAGEIFS('ثبت اطلاعات'!$CC$5:$CC$1204,'ثبت اطلاعات'!$C$5:$C$1204,A74,'ثبت اطلاعات'!$CL$5:$CL$1204,"&lt;&gt;"),""))</f>
        <v/>
      </c>
      <c r="F74" s="38" t="str">
        <f>IF(A74="","",IFERROR(AVERAGEIFS('ثبت اطلاعات'!$CD$5:$CD$1204,'ثبت اطلاعات'!$C$5:$C$1204,A74,'ثبت اطلاعات'!$CL$5:$CL$1204,"&lt;&gt;"),""))</f>
        <v/>
      </c>
      <c r="G74" s="38" t="str">
        <f>IF(A74="","",IFERROR(AVERAGEIFS('ثبت اطلاعات'!$CE$5:$CE$1204,'ثبت اطلاعات'!$C$5:$C$1204,A74,'ثبت اطلاعات'!$CL$5:$CL$1204,"&lt;&gt;"),""))</f>
        <v/>
      </c>
      <c r="H74" s="38" t="str">
        <f>IF(A74="","",IFERROR(AVERAGEIFS('ثبت اطلاعات'!$CF$5:$CF$1204,'ثبت اطلاعات'!$C$5:$C$1204,A74,'ثبت اطلاعات'!$CL$5:$CL$1204,"&lt;&gt;"),""))</f>
        <v/>
      </c>
      <c r="I74" s="38" t="str">
        <f>IF(A74="","",IFERROR(AVERAGEIFS('ثبت اطلاعات'!$CG$5:$CG$1204,'ثبت اطلاعات'!$C$5:$C$1204,A74,'ثبت اطلاعات'!$CL$5:$CL$1204,"&lt;&gt;"),""))</f>
        <v/>
      </c>
      <c r="J74" s="38" t="str">
        <f>IF(A74="","",IFERROR(AVERAGEIFS('ثبت اطلاعات'!$CH$5:$CH$1204,'ثبت اطلاعات'!$C$5:$C$1204,A74,'ثبت اطلاعات'!$CL$5:$CL$1204,"&lt;&gt;"),""))</f>
        <v/>
      </c>
      <c r="K74" s="38" t="str">
        <f>IF(A74="","",IFERROR(AVERAGEIFS('ثبت اطلاعات'!$CI$5:$CI$1204,'ثبت اطلاعات'!$C$5:$C$1204,A74,'ثبت اطلاعات'!$CL$5:$CL$1204,"&lt;&gt;"),""))</f>
        <v/>
      </c>
      <c r="L74" s="38" t="str">
        <f>IF(A74="","",IFERROR(AVERAGEIFS('ثبت اطلاعات'!$CJ$5:$CJ$1204,'ثبت اطلاعات'!$C$5:$C$1204,A74,'ثبت اطلاعات'!$CL$5:$CL$1204,"&lt;&gt;"),""))</f>
        <v/>
      </c>
      <c r="M74" s="38" t="str">
        <f>IF(A74="","",IFERROR(AVERAGEIFS('ثبت اطلاعات'!$CK$5:$CK$1204,'ثبت اطلاعات'!$C$5:$C$1204,A74,'ثبت اطلاعات'!$CL$5:$CL$1204,"&lt;&gt;"),""))</f>
        <v/>
      </c>
      <c r="N74" s="38" t="str">
        <f>IF(A74="","",IFERROR(AVERAGEIFS('ثبت اطلاعات'!$CL$5:$CL$1204,'ثبت اطلاعات'!$C$5:$C$1204,A74,'ثبت اطلاعات'!$CL$5:$CL$1204,"&lt;&gt;"),""))</f>
        <v/>
      </c>
      <c r="O74" s="38" t="str">
        <f>IF(A74="","",COUNTIFS('ثبت اطلاعات'!$C$5:$C$1204,A74,'ثبت اطلاعات'!$CL$5:$CL$1204,"&lt;&gt;"))</f>
        <v/>
      </c>
      <c r="P74" s="38" t="e">
        <f ca="1">IF(O74=0,"",_xludf.MINIFS('ثبت اطلاعات'!$CN$5:$CN$1204,'ثبت اطلاعات'!$C$5:$C$1204,A74,'ثبت اطلاعات'!$CL$5:$CL$1204,"&lt;&gt;"))</f>
        <v>#NAME?</v>
      </c>
      <c r="Q74" s="38" t="e">
        <f ca="1">IF(O74=0,"",_xludf.MAXIFS('ثبت اطلاعات'!$CN$5:$CN$1204,'ثبت اطلاعات'!$C$5:$C$1204,A74,'ثبت اطلاعات'!$CL$5:$CL$1204,"&lt;&gt;"))</f>
        <v>#NAME?</v>
      </c>
      <c r="R74" s="38">
        <f ca="1">IF(O74&lt;2,"",SUMIFS('ثبت اطلاعات'!$CL$5:$CL$1204,'ثبت اطلاعات'!$C$5:$C$1204,A74,'ثبت اطلاعات'!$CN$5:$CN$1204,Q74)-SUMIFS('ثبت اطلاعات'!$CL$5:$CL$1204,'ثبت اطلاعات'!$C$5:$C$1204,A74,'ثبت اطلاعات'!$CN$5:$CN$1204,P74))</f>
        <v>0</v>
      </c>
      <c r="S74" s="38" t="str">
        <f t="shared" si="10"/>
        <v/>
      </c>
      <c r="T74" s="38" t="str">
        <f t="shared" si="11"/>
        <v/>
      </c>
      <c r="U74" s="38" t="str">
        <f t="shared" si="12"/>
        <v/>
      </c>
      <c r="V74" s="38" t="str">
        <f t="shared" si="13"/>
        <v/>
      </c>
      <c r="W74" s="38" t="str">
        <f>IF(N74="","",_xludf.RANK.EQ(N74,$N$5:$N$104,0))</f>
        <v/>
      </c>
      <c r="X74" s="38" t="str">
        <f t="shared" si="14"/>
        <v/>
      </c>
      <c r="Y74" s="28" t="str">
        <f>IF(U74="","",IFERROR(INDEX('بانک راهکارها'!$C$5:$C$13,MATCH(U74,'بانک راهکارها'!$B$5:$B$13,0)),""))</f>
        <v/>
      </c>
    </row>
    <row r="75" spans="1:25" ht="17.25">
      <c r="A75" s="33" t="str">
        <f>IF(دانش‌آموزان!L75="","",دانش‌آموزان!B75)</f>
        <v/>
      </c>
      <c r="B75" s="55" t="str">
        <f>IF(A75="","",دانش‌آموزان!C75)</f>
        <v/>
      </c>
      <c r="C75" s="55" t="str">
        <f>IF(A75="","",دانش‌آموزان!E75&amp;" "&amp;دانش‌آموزان!F75)</f>
        <v/>
      </c>
      <c r="D75" s="34" t="str">
        <f>IF(A75="","",دانش‌آموزان!I75)</f>
        <v/>
      </c>
      <c r="E75" s="27" t="str">
        <f>IF(A75="","",IFERROR(AVERAGEIFS('ثبت اطلاعات'!$CC$5:$CC$1204,'ثبت اطلاعات'!$C$5:$C$1204,A75,'ثبت اطلاعات'!$CL$5:$CL$1204,"&lt;&gt;"),""))</f>
        <v/>
      </c>
      <c r="F75" s="38" t="str">
        <f>IF(A75="","",IFERROR(AVERAGEIFS('ثبت اطلاعات'!$CD$5:$CD$1204,'ثبت اطلاعات'!$C$5:$C$1204,A75,'ثبت اطلاعات'!$CL$5:$CL$1204,"&lt;&gt;"),""))</f>
        <v/>
      </c>
      <c r="G75" s="38" t="str">
        <f>IF(A75="","",IFERROR(AVERAGEIFS('ثبت اطلاعات'!$CE$5:$CE$1204,'ثبت اطلاعات'!$C$5:$C$1204,A75,'ثبت اطلاعات'!$CL$5:$CL$1204,"&lt;&gt;"),""))</f>
        <v/>
      </c>
      <c r="H75" s="38" t="str">
        <f>IF(A75="","",IFERROR(AVERAGEIFS('ثبت اطلاعات'!$CF$5:$CF$1204,'ثبت اطلاعات'!$C$5:$C$1204,A75,'ثبت اطلاعات'!$CL$5:$CL$1204,"&lt;&gt;"),""))</f>
        <v/>
      </c>
      <c r="I75" s="38" t="str">
        <f>IF(A75="","",IFERROR(AVERAGEIFS('ثبت اطلاعات'!$CG$5:$CG$1204,'ثبت اطلاعات'!$C$5:$C$1204,A75,'ثبت اطلاعات'!$CL$5:$CL$1204,"&lt;&gt;"),""))</f>
        <v/>
      </c>
      <c r="J75" s="38" t="str">
        <f>IF(A75="","",IFERROR(AVERAGEIFS('ثبت اطلاعات'!$CH$5:$CH$1204,'ثبت اطلاعات'!$C$5:$C$1204,A75,'ثبت اطلاعات'!$CL$5:$CL$1204,"&lt;&gt;"),""))</f>
        <v/>
      </c>
      <c r="K75" s="38" t="str">
        <f>IF(A75="","",IFERROR(AVERAGEIFS('ثبت اطلاعات'!$CI$5:$CI$1204,'ثبت اطلاعات'!$C$5:$C$1204,A75,'ثبت اطلاعات'!$CL$5:$CL$1204,"&lt;&gt;"),""))</f>
        <v/>
      </c>
      <c r="L75" s="38" t="str">
        <f>IF(A75="","",IFERROR(AVERAGEIFS('ثبت اطلاعات'!$CJ$5:$CJ$1204,'ثبت اطلاعات'!$C$5:$C$1204,A75,'ثبت اطلاعات'!$CL$5:$CL$1204,"&lt;&gt;"),""))</f>
        <v/>
      </c>
      <c r="M75" s="38" t="str">
        <f>IF(A75="","",IFERROR(AVERAGEIFS('ثبت اطلاعات'!$CK$5:$CK$1204,'ثبت اطلاعات'!$C$5:$C$1204,A75,'ثبت اطلاعات'!$CL$5:$CL$1204,"&lt;&gt;"),""))</f>
        <v/>
      </c>
      <c r="N75" s="38" t="str">
        <f>IF(A75="","",IFERROR(AVERAGEIFS('ثبت اطلاعات'!$CL$5:$CL$1204,'ثبت اطلاعات'!$C$5:$C$1204,A75,'ثبت اطلاعات'!$CL$5:$CL$1204,"&lt;&gt;"),""))</f>
        <v/>
      </c>
      <c r="O75" s="38" t="str">
        <f>IF(A75="","",COUNTIFS('ثبت اطلاعات'!$C$5:$C$1204,A75,'ثبت اطلاعات'!$CL$5:$CL$1204,"&lt;&gt;"))</f>
        <v/>
      </c>
      <c r="P75" s="38" t="e">
        <f ca="1">IF(O75=0,"",_xludf.MINIFS('ثبت اطلاعات'!$CN$5:$CN$1204,'ثبت اطلاعات'!$C$5:$C$1204,A75,'ثبت اطلاعات'!$CL$5:$CL$1204,"&lt;&gt;"))</f>
        <v>#NAME?</v>
      </c>
      <c r="Q75" s="38" t="e">
        <f ca="1">IF(O75=0,"",_xludf.MAXIFS('ثبت اطلاعات'!$CN$5:$CN$1204,'ثبت اطلاعات'!$C$5:$C$1204,A75,'ثبت اطلاعات'!$CL$5:$CL$1204,"&lt;&gt;"))</f>
        <v>#NAME?</v>
      </c>
      <c r="R75" s="38">
        <f ca="1">IF(O75&lt;2,"",SUMIFS('ثبت اطلاعات'!$CL$5:$CL$1204,'ثبت اطلاعات'!$C$5:$C$1204,A75,'ثبت اطلاعات'!$CN$5:$CN$1204,Q75)-SUMIFS('ثبت اطلاعات'!$CL$5:$CL$1204,'ثبت اطلاعات'!$C$5:$C$1204,A75,'ثبت اطلاعات'!$CN$5:$CN$1204,P75))</f>
        <v>0</v>
      </c>
      <c r="S75" s="38" t="str">
        <f t="shared" si="10"/>
        <v/>
      </c>
      <c r="T75" s="38" t="str">
        <f t="shared" si="11"/>
        <v/>
      </c>
      <c r="U75" s="38" t="str">
        <f t="shared" si="12"/>
        <v/>
      </c>
      <c r="V75" s="38" t="str">
        <f t="shared" si="13"/>
        <v/>
      </c>
      <c r="W75" s="38" t="str">
        <f>IF(N75="","",_xludf.RANK.EQ(N75,$N$5:$N$104,0))</f>
        <v/>
      </c>
      <c r="X75" s="38" t="str">
        <f t="shared" si="14"/>
        <v/>
      </c>
      <c r="Y75" s="28" t="str">
        <f>IF(U75="","",IFERROR(INDEX('بانک راهکارها'!$C$5:$C$13,MATCH(U75,'بانک راهکارها'!$B$5:$B$13,0)),""))</f>
        <v/>
      </c>
    </row>
    <row r="76" spans="1:25" ht="17.25">
      <c r="A76" s="33" t="str">
        <f>IF(دانش‌آموزان!L76="","",دانش‌آموزان!B76)</f>
        <v/>
      </c>
      <c r="B76" s="55" t="str">
        <f>IF(A76="","",دانش‌آموزان!C76)</f>
        <v/>
      </c>
      <c r="C76" s="55" t="str">
        <f>IF(A76="","",دانش‌آموزان!E76&amp;" "&amp;دانش‌آموزان!F76)</f>
        <v/>
      </c>
      <c r="D76" s="34" t="str">
        <f>IF(A76="","",دانش‌آموزان!I76)</f>
        <v/>
      </c>
      <c r="E76" s="27" t="str">
        <f>IF(A76="","",IFERROR(AVERAGEIFS('ثبت اطلاعات'!$CC$5:$CC$1204,'ثبت اطلاعات'!$C$5:$C$1204,A76,'ثبت اطلاعات'!$CL$5:$CL$1204,"&lt;&gt;"),""))</f>
        <v/>
      </c>
      <c r="F76" s="38" t="str">
        <f>IF(A76="","",IFERROR(AVERAGEIFS('ثبت اطلاعات'!$CD$5:$CD$1204,'ثبت اطلاعات'!$C$5:$C$1204,A76,'ثبت اطلاعات'!$CL$5:$CL$1204,"&lt;&gt;"),""))</f>
        <v/>
      </c>
      <c r="G76" s="38" t="str">
        <f>IF(A76="","",IFERROR(AVERAGEIFS('ثبت اطلاعات'!$CE$5:$CE$1204,'ثبت اطلاعات'!$C$5:$C$1204,A76,'ثبت اطلاعات'!$CL$5:$CL$1204,"&lt;&gt;"),""))</f>
        <v/>
      </c>
      <c r="H76" s="38" t="str">
        <f>IF(A76="","",IFERROR(AVERAGEIFS('ثبت اطلاعات'!$CF$5:$CF$1204,'ثبت اطلاعات'!$C$5:$C$1204,A76,'ثبت اطلاعات'!$CL$5:$CL$1204,"&lt;&gt;"),""))</f>
        <v/>
      </c>
      <c r="I76" s="38" t="str">
        <f>IF(A76="","",IFERROR(AVERAGEIFS('ثبت اطلاعات'!$CG$5:$CG$1204,'ثبت اطلاعات'!$C$5:$C$1204,A76,'ثبت اطلاعات'!$CL$5:$CL$1204,"&lt;&gt;"),""))</f>
        <v/>
      </c>
      <c r="J76" s="38" t="str">
        <f>IF(A76="","",IFERROR(AVERAGEIFS('ثبت اطلاعات'!$CH$5:$CH$1204,'ثبت اطلاعات'!$C$5:$C$1204,A76,'ثبت اطلاعات'!$CL$5:$CL$1204,"&lt;&gt;"),""))</f>
        <v/>
      </c>
      <c r="K76" s="38" t="str">
        <f>IF(A76="","",IFERROR(AVERAGEIFS('ثبت اطلاعات'!$CI$5:$CI$1204,'ثبت اطلاعات'!$C$5:$C$1204,A76,'ثبت اطلاعات'!$CL$5:$CL$1204,"&lt;&gt;"),""))</f>
        <v/>
      </c>
      <c r="L76" s="38" t="str">
        <f>IF(A76="","",IFERROR(AVERAGEIFS('ثبت اطلاعات'!$CJ$5:$CJ$1204,'ثبت اطلاعات'!$C$5:$C$1204,A76,'ثبت اطلاعات'!$CL$5:$CL$1204,"&lt;&gt;"),""))</f>
        <v/>
      </c>
      <c r="M76" s="38" t="str">
        <f>IF(A76="","",IFERROR(AVERAGEIFS('ثبت اطلاعات'!$CK$5:$CK$1204,'ثبت اطلاعات'!$C$5:$C$1204,A76,'ثبت اطلاعات'!$CL$5:$CL$1204,"&lt;&gt;"),""))</f>
        <v/>
      </c>
      <c r="N76" s="38" t="str">
        <f>IF(A76="","",IFERROR(AVERAGEIFS('ثبت اطلاعات'!$CL$5:$CL$1204,'ثبت اطلاعات'!$C$5:$C$1204,A76,'ثبت اطلاعات'!$CL$5:$CL$1204,"&lt;&gt;"),""))</f>
        <v/>
      </c>
      <c r="O76" s="38" t="str">
        <f>IF(A76="","",COUNTIFS('ثبت اطلاعات'!$C$5:$C$1204,A76,'ثبت اطلاعات'!$CL$5:$CL$1204,"&lt;&gt;"))</f>
        <v/>
      </c>
      <c r="P76" s="38" t="e">
        <f ca="1">IF(O76=0,"",_xludf.MINIFS('ثبت اطلاعات'!$CN$5:$CN$1204,'ثبت اطلاعات'!$C$5:$C$1204,A76,'ثبت اطلاعات'!$CL$5:$CL$1204,"&lt;&gt;"))</f>
        <v>#NAME?</v>
      </c>
      <c r="Q76" s="38" t="e">
        <f ca="1">IF(O76=0,"",_xludf.MAXIFS('ثبت اطلاعات'!$CN$5:$CN$1204,'ثبت اطلاعات'!$C$5:$C$1204,A76,'ثبت اطلاعات'!$CL$5:$CL$1204,"&lt;&gt;"))</f>
        <v>#NAME?</v>
      </c>
      <c r="R76" s="38">
        <f ca="1">IF(O76&lt;2,"",SUMIFS('ثبت اطلاعات'!$CL$5:$CL$1204,'ثبت اطلاعات'!$C$5:$C$1204,A76,'ثبت اطلاعات'!$CN$5:$CN$1204,Q76)-SUMIFS('ثبت اطلاعات'!$CL$5:$CL$1204,'ثبت اطلاعات'!$C$5:$C$1204,A76,'ثبت اطلاعات'!$CN$5:$CN$1204,P76))</f>
        <v>0</v>
      </c>
      <c r="S76" s="38" t="str">
        <f t="shared" si="10"/>
        <v/>
      </c>
      <c r="T76" s="38" t="str">
        <f t="shared" si="11"/>
        <v/>
      </c>
      <c r="U76" s="38" t="str">
        <f t="shared" si="12"/>
        <v/>
      </c>
      <c r="V76" s="38" t="str">
        <f t="shared" si="13"/>
        <v/>
      </c>
      <c r="W76" s="38" t="str">
        <f>IF(N76="","",_xludf.RANK.EQ(N76,$N$5:$N$104,0))</f>
        <v/>
      </c>
      <c r="X76" s="38" t="str">
        <f t="shared" si="14"/>
        <v/>
      </c>
      <c r="Y76" s="28" t="str">
        <f>IF(U76="","",IFERROR(INDEX('بانک راهکارها'!$C$5:$C$13,MATCH(U76,'بانک راهکارها'!$B$5:$B$13,0)),""))</f>
        <v/>
      </c>
    </row>
    <row r="77" spans="1:25" ht="17.25">
      <c r="A77" s="33" t="str">
        <f>IF(دانش‌آموزان!L77="","",دانش‌آموزان!B77)</f>
        <v/>
      </c>
      <c r="B77" s="55" t="str">
        <f>IF(A77="","",دانش‌آموزان!C77)</f>
        <v/>
      </c>
      <c r="C77" s="55" t="str">
        <f>IF(A77="","",دانش‌آموزان!E77&amp;" "&amp;دانش‌آموزان!F77)</f>
        <v/>
      </c>
      <c r="D77" s="34" t="str">
        <f>IF(A77="","",دانش‌آموزان!I77)</f>
        <v/>
      </c>
      <c r="E77" s="27" t="str">
        <f>IF(A77="","",IFERROR(AVERAGEIFS('ثبت اطلاعات'!$CC$5:$CC$1204,'ثبت اطلاعات'!$C$5:$C$1204,A77,'ثبت اطلاعات'!$CL$5:$CL$1204,"&lt;&gt;"),""))</f>
        <v/>
      </c>
      <c r="F77" s="38" t="str">
        <f>IF(A77="","",IFERROR(AVERAGEIFS('ثبت اطلاعات'!$CD$5:$CD$1204,'ثبت اطلاعات'!$C$5:$C$1204,A77,'ثبت اطلاعات'!$CL$5:$CL$1204,"&lt;&gt;"),""))</f>
        <v/>
      </c>
      <c r="G77" s="38" t="str">
        <f>IF(A77="","",IFERROR(AVERAGEIFS('ثبت اطلاعات'!$CE$5:$CE$1204,'ثبت اطلاعات'!$C$5:$C$1204,A77,'ثبت اطلاعات'!$CL$5:$CL$1204,"&lt;&gt;"),""))</f>
        <v/>
      </c>
      <c r="H77" s="38" t="str">
        <f>IF(A77="","",IFERROR(AVERAGEIFS('ثبت اطلاعات'!$CF$5:$CF$1204,'ثبت اطلاعات'!$C$5:$C$1204,A77,'ثبت اطلاعات'!$CL$5:$CL$1204,"&lt;&gt;"),""))</f>
        <v/>
      </c>
      <c r="I77" s="38" t="str">
        <f>IF(A77="","",IFERROR(AVERAGEIFS('ثبت اطلاعات'!$CG$5:$CG$1204,'ثبت اطلاعات'!$C$5:$C$1204,A77,'ثبت اطلاعات'!$CL$5:$CL$1204,"&lt;&gt;"),""))</f>
        <v/>
      </c>
      <c r="J77" s="38" t="str">
        <f>IF(A77="","",IFERROR(AVERAGEIFS('ثبت اطلاعات'!$CH$5:$CH$1204,'ثبت اطلاعات'!$C$5:$C$1204,A77,'ثبت اطلاعات'!$CL$5:$CL$1204,"&lt;&gt;"),""))</f>
        <v/>
      </c>
      <c r="K77" s="38" t="str">
        <f>IF(A77="","",IFERROR(AVERAGEIFS('ثبت اطلاعات'!$CI$5:$CI$1204,'ثبت اطلاعات'!$C$5:$C$1204,A77,'ثبت اطلاعات'!$CL$5:$CL$1204,"&lt;&gt;"),""))</f>
        <v/>
      </c>
      <c r="L77" s="38" t="str">
        <f>IF(A77="","",IFERROR(AVERAGEIFS('ثبت اطلاعات'!$CJ$5:$CJ$1204,'ثبت اطلاعات'!$C$5:$C$1204,A77,'ثبت اطلاعات'!$CL$5:$CL$1204,"&lt;&gt;"),""))</f>
        <v/>
      </c>
      <c r="M77" s="38" t="str">
        <f>IF(A77="","",IFERROR(AVERAGEIFS('ثبت اطلاعات'!$CK$5:$CK$1204,'ثبت اطلاعات'!$C$5:$C$1204,A77,'ثبت اطلاعات'!$CL$5:$CL$1204,"&lt;&gt;"),""))</f>
        <v/>
      </c>
      <c r="N77" s="38" t="str">
        <f>IF(A77="","",IFERROR(AVERAGEIFS('ثبت اطلاعات'!$CL$5:$CL$1204,'ثبت اطلاعات'!$C$5:$C$1204,A77,'ثبت اطلاعات'!$CL$5:$CL$1204,"&lt;&gt;"),""))</f>
        <v/>
      </c>
      <c r="O77" s="38" t="str">
        <f>IF(A77="","",COUNTIFS('ثبت اطلاعات'!$C$5:$C$1204,A77,'ثبت اطلاعات'!$CL$5:$CL$1204,"&lt;&gt;"))</f>
        <v/>
      </c>
      <c r="P77" s="38" t="e">
        <f ca="1">IF(O77=0,"",_xludf.MINIFS('ثبت اطلاعات'!$CN$5:$CN$1204,'ثبت اطلاعات'!$C$5:$C$1204,A77,'ثبت اطلاعات'!$CL$5:$CL$1204,"&lt;&gt;"))</f>
        <v>#NAME?</v>
      </c>
      <c r="Q77" s="38" t="e">
        <f ca="1">IF(O77=0,"",_xludf.MAXIFS('ثبت اطلاعات'!$CN$5:$CN$1204,'ثبت اطلاعات'!$C$5:$C$1204,A77,'ثبت اطلاعات'!$CL$5:$CL$1204,"&lt;&gt;"))</f>
        <v>#NAME?</v>
      </c>
      <c r="R77" s="38">
        <f ca="1">IF(O77&lt;2,"",SUMIFS('ثبت اطلاعات'!$CL$5:$CL$1204,'ثبت اطلاعات'!$C$5:$C$1204,A77,'ثبت اطلاعات'!$CN$5:$CN$1204,Q77)-SUMIFS('ثبت اطلاعات'!$CL$5:$CL$1204,'ثبت اطلاعات'!$C$5:$C$1204,A77,'ثبت اطلاعات'!$CN$5:$CN$1204,P77))</f>
        <v>0</v>
      </c>
      <c r="S77" s="38" t="str">
        <f t="shared" si="10"/>
        <v/>
      </c>
      <c r="T77" s="38" t="str">
        <f t="shared" si="11"/>
        <v/>
      </c>
      <c r="U77" s="38" t="str">
        <f t="shared" si="12"/>
        <v/>
      </c>
      <c r="V77" s="38" t="str">
        <f t="shared" si="13"/>
        <v/>
      </c>
      <c r="W77" s="38" t="str">
        <f>IF(N77="","",_xludf.RANK.EQ(N77,$N$5:$N$104,0))</f>
        <v/>
      </c>
      <c r="X77" s="38" t="str">
        <f t="shared" si="14"/>
        <v/>
      </c>
      <c r="Y77" s="28" t="str">
        <f>IF(U77="","",IFERROR(INDEX('بانک راهکارها'!$C$5:$C$13,MATCH(U77,'بانک راهکارها'!$B$5:$B$13,0)),""))</f>
        <v/>
      </c>
    </row>
    <row r="78" spans="1:25" ht="17.25">
      <c r="A78" s="33" t="str">
        <f>IF(دانش‌آموزان!L78="","",دانش‌آموزان!B78)</f>
        <v/>
      </c>
      <c r="B78" s="55" t="str">
        <f>IF(A78="","",دانش‌آموزان!C78)</f>
        <v/>
      </c>
      <c r="C78" s="55" t="str">
        <f>IF(A78="","",دانش‌آموزان!E78&amp;" "&amp;دانش‌آموزان!F78)</f>
        <v/>
      </c>
      <c r="D78" s="34" t="str">
        <f>IF(A78="","",دانش‌آموزان!I78)</f>
        <v/>
      </c>
      <c r="E78" s="27" t="str">
        <f>IF(A78="","",IFERROR(AVERAGEIFS('ثبت اطلاعات'!$CC$5:$CC$1204,'ثبت اطلاعات'!$C$5:$C$1204,A78,'ثبت اطلاعات'!$CL$5:$CL$1204,"&lt;&gt;"),""))</f>
        <v/>
      </c>
      <c r="F78" s="38" t="str">
        <f>IF(A78="","",IFERROR(AVERAGEIFS('ثبت اطلاعات'!$CD$5:$CD$1204,'ثبت اطلاعات'!$C$5:$C$1204,A78,'ثبت اطلاعات'!$CL$5:$CL$1204,"&lt;&gt;"),""))</f>
        <v/>
      </c>
      <c r="G78" s="38" t="str">
        <f>IF(A78="","",IFERROR(AVERAGEIFS('ثبت اطلاعات'!$CE$5:$CE$1204,'ثبت اطلاعات'!$C$5:$C$1204,A78,'ثبت اطلاعات'!$CL$5:$CL$1204,"&lt;&gt;"),""))</f>
        <v/>
      </c>
      <c r="H78" s="38" t="str">
        <f>IF(A78="","",IFERROR(AVERAGEIFS('ثبت اطلاعات'!$CF$5:$CF$1204,'ثبت اطلاعات'!$C$5:$C$1204,A78,'ثبت اطلاعات'!$CL$5:$CL$1204,"&lt;&gt;"),""))</f>
        <v/>
      </c>
      <c r="I78" s="38" t="str">
        <f>IF(A78="","",IFERROR(AVERAGEIFS('ثبت اطلاعات'!$CG$5:$CG$1204,'ثبت اطلاعات'!$C$5:$C$1204,A78,'ثبت اطلاعات'!$CL$5:$CL$1204,"&lt;&gt;"),""))</f>
        <v/>
      </c>
      <c r="J78" s="38" t="str">
        <f>IF(A78="","",IFERROR(AVERAGEIFS('ثبت اطلاعات'!$CH$5:$CH$1204,'ثبت اطلاعات'!$C$5:$C$1204,A78,'ثبت اطلاعات'!$CL$5:$CL$1204,"&lt;&gt;"),""))</f>
        <v/>
      </c>
      <c r="K78" s="38" t="str">
        <f>IF(A78="","",IFERROR(AVERAGEIFS('ثبت اطلاعات'!$CI$5:$CI$1204,'ثبت اطلاعات'!$C$5:$C$1204,A78,'ثبت اطلاعات'!$CL$5:$CL$1204,"&lt;&gt;"),""))</f>
        <v/>
      </c>
      <c r="L78" s="38" t="str">
        <f>IF(A78="","",IFERROR(AVERAGEIFS('ثبت اطلاعات'!$CJ$5:$CJ$1204,'ثبت اطلاعات'!$C$5:$C$1204,A78,'ثبت اطلاعات'!$CL$5:$CL$1204,"&lt;&gt;"),""))</f>
        <v/>
      </c>
      <c r="M78" s="38" t="str">
        <f>IF(A78="","",IFERROR(AVERAGEIFS('ثبت اطلاعات'!$CK$5:$CK$1204,'ثبت اطلاعات'!$C$5:$C$1204,A78,'ثبت اطلاعات'!$CL$5:$CL$1204,"&lt;&gt;"),""))</f>
        <v/>
      </c>
      <c r="N78" s="38" t="str">
        <f>IF(A78="","",IFERROR(AVERAGEIFS('ثبت اطلاعات'!$CL$5:$CL$1204,'ثبت اطلاعات'!$C$5:$C$1204,A78,'ثبت اطلاعات'!$CL$5:$CL$1204,"&lt;&gt;"),""))</f>
        <v/>
      </c>
      <c r="O78" s="38" t="str">
        <f>IF(A78="","",COUNTIFS('ثبت اطلاعات'!$C$5:$C$1204,A78,'ثبت اطلاعات'!$CL$5:$CL$1204,"&lt;&gt;"))</f>
        <v/>
      </c>
      <c r="P78" s="38" t="e">
        <f ca="1">IF(O78=0,"",_xludf.MINIFS('ثبت اطلاعات'!$CN$5:$CN$1204,'ثبت اطلاعات'!$C$5:$C$1204,A78,'ثبت اطلاعات'!$CL$5:$CL$1204,"&lt;&gt;"))</f>
        <v>#NAME?</v>
      </c>
      <c r="Q78" s="38" t="e">
        <f ca="1">IF(O78=0,"",_xludf.MAXIFS('ثبت اطلاعات'!$CN$5:$CN$1204,'ثبت اطلاعات'!$C$5:$C$1204,A78,'ثبت اطلاعات'!$CL$5:$CL$1204,"&lt;&gt;"))</f>
        <v>#NAME?</v>
      </c>
      <c r="R78" s="38">
        <f ca="1">IF(O78&lt;2,"",SUMIFS('ثبت اطلاعات'!$CL$5:$CL$1204,'ثبت اطلاعات'!$C$5:$C$1204,A78,'ثبت اطلاعات'!$CN$5:$CN$1204,Q78)-SUMIFS('ثبت اطلاعات'!$CL$5:$CL$1204,'ثبت اطلاعات'!$C$5:$C$1204,A78,'ثبت اطلاعات'!$CN$5:$CN$1204,P78))</f>
        <v>0</v>
      </c>
      <c r="S78" s="38" t="str">
        <f t="shared" si="10"/>
        <v/>
      </c>
      <c r="T78" s="38" t="str">
        <f t="shared" si="11"/>
        <v/>
      </c>
      <c r="U78" s="38" t="str">
        <f t="shared" si="12"/>
        <v/>
      </c>
      <c r="V78" s="38" t="str">
        <f t="shared" si="13"/>
        <v/>
      </c>
      <c r="W78" s="38" t="str">
        <f>IF(N78="","",_xludf.RANK.EQ(N78,$N$5:$N$104,0))</f>
        <v/>
      </c>
      <c r="X78" s="38" t="str">
        <f t="shared" si="14"/>
        <v/>
      </c>
      <c r="Y78" s="28" t="str">
        <f>IF(U78="","",IFERROR(INDEX('بانک راهکارها'!$C$5:$C$13,MATCH(U78,'بانک راهکارها'!$B$5:$B$13,0)),""))</f>
        <v/>
      </c>
    </row>
    <row r="79" spans="1:25" ht="17.25">
      <c r="A79" s="33" t="str">
        <f>IF(دانش‌آموزان!L79="","",دانش‌آموزان!B79)</f>
        <v/>
      </c>
      <c r="B79" s="55" t="str">
        <f>IF(A79="","",دانش‌آموزان!C79)</f>
        <v/>
      </c>
      <c r="C79" s="55" t="str">
        <f>IF(A79="","",دانش‌آموزان!E79&amp;" "&amp;دانش‌آموزان!F79)</f>
        <v/>
      </c>
      <c r="D79" s="34" t="str">
        <f>IF(A79="","",دانش‌آموزان!I79)</f>
        <v/>
      </c>
      <c r="E79" s="27" t="str">
        <f>IF(A79="","",IFERROR(AVERAGEIFS('ثبت اطلاعات'!$CC$5:$CC$1204,'ثبت اطلاعات'!$C$5:$C$1204,A79,'ثبت اطلاعات'!$CL$5:$CL$1204,"&lt;&gt;"),""))</f>
        <v/>
      </c>
      <c r="F79" s="38" t="str">
        <f>IF(A79="","",IFERROR(AVERAGEIFS('ثبت اطلاعات'!$CD$5:$CD$1204,'ثبت اطلاعات'!$C$5:$C$1204,A79,'ثبت اطلاعات'!$CL$5:$CL$1204,"&lt;&gt;"),""))</f>
        <v/>
      </c>
      <c r="G79" s="38" t="str">
        <f>IF(A79="","",IFERROR(AVERAGEIFS('ثبت اطلاعات'!$CE$5:$CE$1204,'ثبت اطلاعات'!$C$5:$C$1204,A79,'ثبت اطلاعات'!$CL$5:$CL$1204,"&lt;&gt;"),""))</f>
        <v/>
      </c>
      <c r="H79" s="38" t="str">
        <f>IF(A79="","",IFERROR(AVERAGEIFS('ثبت اطلاعات'!$CF$5:$CF$1204,'ثبت اطلاعات'!$C$5:$C$1204,A79,'ثبت اطلاعات'!$CL$5:$CL$1204,"&lt;&gt;"),""))</f>
        <v/>
      </c>
      <c r="I79" s="38" t="str">
        <f>IF(A79="","",IFERROR(AVERAGEIFS('ثبت اطلاعات'!$CG$5:$CG$1204,'ثبت اطلاعات'!$C$5:$C$1204,A79,'ثبت اطلاعات'!$CL$5:$CL$1204,"&lt;&gt;"),""))</f>
        <v/>
      </c>
      <c r="J79" s="38" t="str">
        <f>IF(A79="","",IFERROR(AVERAGEIFS('ثبت اطلاعات'!$CH$5:$CH$1204,'ثبت اطلاعات'!$C$5:$C$1204,A79,'ثبت اطلاعات'!$CL$5:$CL$1204,"&lt;&gt;"),""))</f>
        <v/>
      </c>
      <c r="K79" s="38" t="str">
        <f>IF(A79="","",IFERROR(AVERAGEIFS('ثبت اطلاعات'!$CI$5:$CI$1204,'ثبت اطلاعات'!$C$5:$C$1204,A79,'ثبت اطلاعات'!$CL$5:$CL$1204,"&lt;&gt;"),""))</f>
        <v/>
      </c>
      <c r="L79" s="38" t="str">
        <f>IF(A79="","",IFERROR(AVERAGEIFS('ثبت اطلاعات'!$CJ$5:$CJ$1204,'ثبت اطلاعات'!$C$5:$C$1204,A79,'ثبت اطلاعات'!$CL$5:$CL$1204,"&lt;&gt;"),""))</f>
        <v/>
      </c>
      <c r="M79" s="38" t="str">
        <f>IF(A79="","",IFERROR(AVERAGEIFS('ثبت اطلاعات'!$CK$5:$CK$1204,'ثبت اطلاعات'!$C$5:$C$1204,A79,'ثبت اطلاعات'!$CL$5:$CL$1204,"&lt;&gt;"),""))</f>
        <v/>
      </c>
      <c r="N79" s="38" t="str">
        <f>IF(A79="","",IFERROR(AVERAGEIFS('ثبت اطلاعات'!$CL$5:$CL$1204,'ثبت اطلاعات'!$C$5:$C$1204,A79,'ثبت اطلاعات'!$CL$5:$CL$1204,"&lt;&gt;"),""))</f>
        <v/>
      </c>
      <c r="O79" s="38" t="str">
        <f>IF(A79="","",COUNTIFS('ثبت اطلاعات'!$C$5:$C$1204,A79,'ثبت اطلاعات'!$CL$5:$CL$1204,"&lt;&gt;"))</f>
        <v/>
      </c>
      <c r="P79" s="38" t="e">
        <f ca="1">IF(O79=0,"",_xludf.MINIFS('ثبت اطلاعات'!$CN$5:$CN$1204,'ثبت اطلاعات'!$C$5:$C$1204,A79,'ثبت اطلاعات'!$CL$5:$CL$1204,"&lt;&gt;"))</f>
        <v>#NAME?</v>
      </c>
      <c r="Q79" s="38" t="e">
        <f ca="1">IF(O79=0,"",_xludf.MAXIFS('ثبت اطلاعات'!$CN$5:$CN$1204,'ثبت اطلاعات'!$C$5:$C$1204,A79,'ثبت اطلاعات'!$CL$5:$CL$1204,"&lt;&gt;"))</f>
        <v>#NAME?</v>
      </c>
      <c r="R79" s="38">
        <f ca="1">IF(O79&lt;2,"",SUMIFS('ثبت اطلاعات'!$CL$5:$CL$1204,'ثبت اطلاعات'!$C$5:$C$1204,A79,'ثبت اطلاعات'!$CN$5:$CN$1204,Q79)-SUMIFS('ثبت اطلاعات'!$CL$5:$CL$1204,'ثبت اطلاعات'!$C$5:$C$1204,A79,'ثبت اطلاعات'!$CN$5:$CN$1204,P79))</f>
        <v>0</v>
      </c>
      <c r="S79" s="38" t="str">
        <f t="shared" si="10"/>
        <v/>
      </c>
      <c r="T79" s="38" t="str">
        <f t="shared" si="11"/>
        <v/>
      </c>
      <c r="U79" s="38" t="str">
        <f t="shared" si="12"/>
        <v/>
      </c>
      <c r="V79" s="38" t="str">
        <f t="shared" si="13"/>
        <v/>
      </c>
      <c r="W79" s="38" t="str">
        <f>IF(N79="","",_xludf.RANK.EQ(N79,$N$5:$N$104,0))</f>
        <v/>
      </c>
      <c r="X79" s="38" t="str">
        <f t="shared" si="14"/>
        <v/>
      </c>
      <c r="Y79" s="28" t="str">
        <f>IF(U79="","",IFERROR(INDEX('بانک راهکارها'!$C$5:$C$13,MATCH(U79,'بانک راهکارها'!$B$5:$B$13,0)),""))</f>
        <v/>
      </c>
    </row>
    <row r="80" spans="1:25" ht="17.25">
      <c r="A80" s="33" t="str">
        <f>IF(دانش‌آموزان!L80="","",دانش‌آموزان!B80)</f>
        <v/>
      </c>
      <c r="B80" s="55" t="str">
        <f>IF(A80="","",دانش‌آموزان!C80)</f>
        <v/>
      </c>
      <c r="C80" s="55" t="str">
        <f>IF(A80="","",دانش‌آموزان!E80&amp;" "&amp;دانش‌آموزان!F80)</f>
        <v/>
      </c>
      <c r="D80" s="34" t="str">
        <f>IF(A80="","",دانش‌آموزان!I80)</f>
        <v/>
      </c>
      <c r="E80" s="27" t="str">
        <f>IF(A80="","",IFERROR(AVERAGEIFS('ثبت اطلاعات'!$CC$5:$CC$1204,'ثبت اطلاعات'!$C$5:$C$1204,A80,'ثبت اطلاعات'!$CL$5:$CL$1204,"&lt;&gt;"),""))</f>
        <v/>
      </c>
      <c r="F80" s="38" t="str">
        <f>IF(A80="","",IFERROR(AVERAGEIFS('ثبت اطلاعات'!$CD$5:$CD$1204,'ثبت اطلاعات'!$C$5:$C$1204,A80,'ثبت اطلاعات'!$CL$5:$CL$1204,"&lt;&gt;"),""))</f>
        <v/>
      </c>
      <c r="G80" s="38" t="str">
        <f>IF(A80="","",IFERROR(AVERAGEIFS('ثبت اطلاعات'!$CE$5:$CE$1204,'ثبت اطلاعات'!$C$5:$C$1204,A80,'ثبت اطلاعات'!$CL$5:$CL$1204,"&lt;&gt;"),""))</f>
        <v/>
      </c>
      <c r="H80" s="38" t="str">
        <f>IF(A80="","",IFERROR(AVERAGEIFS('ثبت اطلاعات'!$CF$5:$CF$1204,'ثبت اطلاعات'!$C$5:$C$1204,A80,'ثبت اطلاعات'!$CL$5:$CL$1204,"&lt;&gt;"),""))</f>
        <v/>
      </c>
      <c r="I80" s="38" t="str">
        <f>IF(A80="","",IFERROR(AVERAGEIFS('ثبت اطلاعات'!$CG$5:$CG$1204,'ثبت اطلاعات'!$C$5:$C$1204,A80,'ثبت اطلاعات'!$CL$5:$CL$1204,"&lt;&gt;"),""))</f>
        <v/>
      </c>
      <c r="J80" s="38" t="str">
        <f>IF(A80="","",IFERROR(AVERAGEIFS('ثبت اطلاعات'!$CH$5:$CH$1204,'ثبت اطلاعات'!$C$5:$C$1204,A80,'ثبت اطلاعات'!$CL$5:$CL$1204,"&lt;&gt;"),""))</f>
        <v/>
      </c>
      <c r="K80" s="38" t="str">
        <f>IF(A80="","",IFERROR(AVERAGEIFS('ثبت اطلاعات'!$CI$5:$CI$1204,'ثبت اطلاعات'!$C$5:$C$1204,A80,'ثبت اطلاعات'!$CL$5:$CL$1204,"&lt;&gt;"),""))</f>
        <v/>
      </c>
      <c r="L80" s="38" t="str">
        <f>IF(A80="","",IFERROR(AVERAGEIFS('ثبت اطلاعات'!$CJ$5:$CJ$1204,'ثبت اطلاعات'!$C$5:$C$1204,A80,'ثبت اطلاعات'!$CL$5:$CL$1204,"&lt;&gt;"),""))</f>
        <v/>
      </c>
      <c r="M80" s="38" t="str">
        <f>IF(A80="","",IFERROR(AVERAGEIFS('ثبت اطلاعات'!$CK$5:$CK$1204,'ثبت اطلاعات'!$C$5:$C$1204,A80,'ثبت اطلاعات'!$CL$5:$CL$1204,"&lt;&gt;"),""))</f>
        <v/>
      </c>
      <c r="N80" s="38" t="str">
        <f>IF(A80="","",IFERROR(AVERAGEIFS('ثبت اطلاعات'!$CL$5:$CL$1204,'ثبت اطلاعات'!$C$5:$C$1204,A80,'ثبت اطلاعات'!$CL$5:$CL$1204,"&lt;&gt;"),""))</f>
        <v/>
      </c>
      <c r="O80" s="38" t="str">
        <f>IF(A80="","",COUNTIFS('ثبت اطلاعات'!$C$5:$C$1204,A80,'ثبت اطلاعات'!$CL$5:$CL$1204,"&lt;&gt;"))</f>
        <v/>
      </c>
      <c r="P80" s="38" t="e">
        <f ca="1">IF(O80=0,"",_xludf.MINIFS('ثبت اطلاعات'!$CN$5:$CN$1204,'ثبت اطلاعات'!$C$5:$C$1204,A80,'ثبت اطلاعات'!$CL$5:$CL$1204,"&lt;&gt;"))</f>
        <v>#NAME?</v>
      </c>
      <c r="Q80" s="38" t="e">
        <f ca="1">IF(O80=0,"",_xludf.MAXIFS('ثبت اطلاعات'!$CN$5:$CN$1204,'ثبت اطلاعات'!$C$5:$C$1204,A80,'ثبت اطلاعات'!$CL$5:$CL$1204,"&lt;&gt;"))</f>
        <v>#NAME?</v>
      </c>
      <c r="R80" s="38">
        <f ca="1">IF(O80&lt;2,"",SUMIFS('ثبت اطلاعات'!$CL$5:$CL$1204,'ثبت اطلاعات'!$C$5:$C$1204,A80,'ثبت اطلاعات'!$CN$5:$CN$1204,Q80)-SUMIFS('ثبت اطلاعات'!$CL$5:$CL$1204,'ثبت اطلاعات'!$C$5:$C$1204,A80,'ثبت اطلاعات'!$CN$5:$CN$1204,P80))</f>
        <v>0</v>
      </c>
      <c r="S80" s="38" t="str">
        <f t="shared" si="10"/>
        <v/>
      </c>
      <c r="T80" s="38" t="str">
        <f t="shared" si="11"/>
        <v/>
      </c>
      <c r="U80" s="38" t="str">
        <f t="shared" si="12"/>
        <v/>
      </c>
      <c r="V80" s="38" t="str">
        <f t="shared" si="13"/>
        <v/>
      </c>
      <c r="W80" s="38" t="str">
        <f>IF(N80="","",_xludf.RANK.EQ(N80,$N$5:$N$104,0))</f>
        <v/>
      </c>
      <c r="X80" s="38" t="str">
        <f t="shared" si="14"/>
        <v/>
      </c>
      <c r="Y80" s="28" t="str">
        <f>IF(U80="","",IFERROR(INDEX('بانک راهکارها'!$C$5:$C$13,MATCH(U80,'بانک راهکارها'!$B$5:$B$13,0)),""))</f>
        <v/>
      </c>
    </row>
    <row r="81" spans="1:25" ht="17.25">
      <c r="A81" s="33" t="str">
        <f>IF(دانش‌آموزان!L81="","",دانش‌آموزان!B81)</f>
        <v/>
      </c>
      <c r="B81" s="55" t="str">
        <f>IF(A81="","",دانش‌آموزان!C81)</f>
        <v/>
      </c>
      <c r="C81" s="55" t="str">
        <f>IF(A81="","",دانش‌آموزان!E81&amp;" "&amp;دانش‌آموزان!F81)</f>
        <v/>
      </c>
      <c r="D81" s="34" t="str">
        <f>IF(A81="","",دانش‌آموزان!I81)</f>
        <v/>
      </c>
      <c r="E81" s="27" t="str">
        <f>IF(A81="","",IFERROR(AVERAGEIFS('ثبت اطلاعات'!$CC$5:$CC$1204,'ثبت اطلاعات'!$C$5:$C$1204,A81,'ثبت اطلاعات'!$CL$5:$CL$1204,"&lt;&gt;"),""))</f>
        <v/>
      </c>
      <c r="F81" s="38" t="str">
        <f>IF(A81="","",IFERROR(AVERAGEIFS('ثبت اطلاعات'!$CD$5:$CD$1204,'ثبت اطلاعات'!$C$5:$C$1204,A81,'ثبت اطلاعات'!$CL$5:$CL$1204,"&lt;&gt;"),""))</f>
        <v/>
      </c>
      <c r="G81" s="38" t="str">
        <f>IF(A81="","",IFERROR(AVERAGEIFS('ثبت اطلاعات'!$CE$5:$CE$1204,'ثبت اطلاعات'!$C$5:$C$1204,A81,'ثبت اطلاعات'!$CL$5:$CL$1204,"&lt;&gt;"),""))</f>
        <v/>
      </c>
      <c r="H81" s="38" t="str">
        <f>IF(A81="","",IFERROR(AVERAGEIFS('ثبت اطلاعات'!$CF$5:$CF$1204,'ثبت اطلاعات'!$C$5:$C$1204,A81,'ثبت اطلاعات'!$CL$5:$CL$1204,"&lt;&gt;"),""))</f>
        <v/>
      </c>
      <c r="I81" s="38" t="str">
        <f>IF(A81="","",IFERROR(AVERAGEIFS('ثبت اطلاعات'!$CG$5:$CG$1204,'ثبت اطلاعات'!$C$5:$C$1204,A81,'ثبت اطلاعات'!$CL$5:$CL$1204,"&lt;&gt;"),""))</f>
        <v/>
      </c>
      <c r="J81" s="38" t="str">
        <f>IF(A81="","",IFERROR(AVERAGEIFS('ثبت اطلاعات'!$CH$5:$CH$1204,'ثبت اطلاعات'!$C$5:$C$1204,A81,'ثبت اطلاعات'!$CL$5:$CL$1204,"&lt;&gt;"),""))</f>
        <v/>
      </c>
      <c r="K81" s="38" t="str">
        <f>IF(A81="","",IFERROR(AVERAGEIFS('ثبت اطلاعات'!$CI$5:$CI$1204,'ثبت اطلاعات'!$C$5:$C$1204,A81,'ثبت اطلاعات'!$CL$5:$CL$1204,"&lt;&gt;"),""))</f>
        <v/>
      </c>
      <c r="L81" s="38" t="str">
        <f>IF(A81="","",IFERROR(AVERAGEIFS('ثبت اطلاعات'!$CJ$5:$CJ$1204,'ثبت اطلاعات'!$C$5:$C$1204,A81,'ثبت اطلاعات'!$CL$5:$CL$1204,"&lt;&gt;"),""))</f>
        <v/>
      </c>
      <c r="M81" s="38" t="str">
        <f>IF(A81="","",IFERROR(AVERAGEIFS('ثبت اطلاعات'!$CK$5:$CK$1204,'ثبت اطلاعات'!$C$5:$C$1204,A81,'ثبت اطلاعات'!$CL$5:$CL$1204,"&lt;&gt;"),""))</f>
        <v/>
      </c>
      <c r="N81" s="38" t="str">
        <f>IF(A81="","",IFERROR(AVERAGEIFS('ثبت اطلاعات'!$CL$5:$CL$1204,'ثبت اطلاعات'!$C$5:$C$1204,A81,'ثبت اطلاعات'!$CL$5:$CL$1204,"&lt;&gt;"),""))</f>
        <v/>
      </c>
      <c r="O81" s="38" t="str">
        <f>IF(A81="","",COUNTIFS('ثبت اطلاعات'!$C$5:$C$1204,A81,'ثبت اطلاعات'!$CL$5:$CL$1204,"&lt;&gt;"))</f>
        <v/>
      </c>
      <c r="P81" s="38" t="e">
        <f ca="1">IF(O81=0,"",_xludf.MINIFS('ثبت اطلاعات'!$CN$5:$CN$1204,'ثبت اطلاعات'!$C$5:$C$1204,A81,'ثبت اطلاعات'!$CL$5:$CL$1204,"&lt;&gt;"))</f>
        <v>#NAME?</v>
      </c>
      <c r="Q81" s="38" t="e">
        <f ca="1">IF(O81=0,"",_xludf.MAXIFS('ثبت اطلاعات'!$CN$5:$CN$1204,'ثبت اطلاعات'!$C$5:$C$1204,A81,'ثبت اطلاعات'!$CL$5:$CL$1204,"&lt;&gt;"))</f>
        <v>#NAME?</v>
      </c>
      <c r="R81" s="38">
        <f ca="1">IF(O81&lt;2,"",SUMIFS('ثبت اطلاعات'!$CL$5:$CL$1204,'ثبت اطلاعات'!$C$5:$C$1204,A81,'ثبت اطلاعات'!$CN$5:$CN$1204,Q81)-SUMIFS('ثبت اطلاعات'!$CL$5:$CL$1204,'ثبت اطلاعات'!$C$5:$C$1204,A81,'ثبت اطلاعات'!$CN$5:$CN$1204,P81))</f>
        <v>0</v>
      </c>
      <c r="S81" s="38" t="str">
        <f t="shared" si="10"/>
        <v/>
      </c>
      <c r="T81" s="38" t="str">
        <f t="shared" si="11"/>
        <v/>
      </c>
      <c r="U81" s="38" t="str">
        <f t="shared" si="12"/>
        <v/>
      </c>
      <c r="V81" s="38" t="str">
        <f t="shared" si="13"/>
        <v/>
      </c>
      <c r="W81" s="38" t="str">
        <f>IF(N81="","",_xludf.RANK.EQ(N81,$N$5:$N$104,0))</f>
        <v/>
      </c>
      <c r="X81" s="38" t="str">
        <f t="shared" si="14"/>
        <v/>
      </c>
      <c r="Y81" s="28" t="str">
        <f>IF(U81="","",IFERROR(INDEX('بانک راهکارها'!$C$5:$C$13,MATCH(U81,'بانک راهکارها'!$B$5:$B$13,0)),""))</f>
        <v/>
      </c>
    </row>
    <row r="82" spans="1:25" ht="17.25">
      <c r="A82" s="33" t="str">
        <f>IF(دانش‌آموزان!L82="","",دانش‌آموزان!B82)</f>
        <v/>
      </c>
      <c r="B82" s="55" t="str">
        <f>IF(A82="","",دانش‌آموزان!C82)</f>
        <v/>
      </c>
      <c r="C82" s="55" t="str">
        <f>IF(A82="","",دانش‌آموزان!E82&amp;" "&amp;دانش‌آموزان!F82)</f>
        <v/>
      </c>
      <c r="D82" s="34" t="str">
        <f>IF(A82="","",دانش‌آموزان!I82)</f>
        <v/>
      </c>
      <c r="E82" s="27" t="str">
        <f>IF(A82="","",IFERROR(AVERAGEIFS('ثبت اطلاعات'!$CC$5:$CC$1204,'ثبت اطلاعات'!$C$5:$C$1204,A82,'ثبت اطلاعات'!$CL$5:$CL$1204,"&lt;&gt;"),""))</f>
        <v/>
      </c>
      <c r="F82" s="38" t="str">
        <f>IF(A82="","",IFERROR(AVERAGEIFS('ثبت اطلاعات'!$CD$5:$CD$1204,'ثبت اطلاعات'!$C$5:$C$1204,A82,'ثبت اطلاعات'!$CL$5:$CL$1204,"&lt;&gt;"),""))</f>
        <v/>
      </c>
      <c r="G82" s="38" t="str">
        <f>IF(A82="","",IFERROR(AVERAGEIFS('ثبت اطلاعات'!$CE$5:$CE$1204,'ثبت اطلاعات'!$C$5:$C$1204,A82,'ثبت اطلاعات'!$CL$5:$CL$1204,"&lt;&gt;"),""))</f>
        <v/>
      </c>
      <c r="H82" s="38" t="str">
        <f>IF(A82="","",IFERROR(AVERAGEIFS('ثبت اطلاعات'!$CF$5:$CF$1204,'ثبت اطلاعات'!$C$5:$C$1204,A82,'ثبت اطلاعات'!$CL$5:$CL$1204,"&lt;&gt;"),""))</f>
        <v/>
      </c>
      <c r="I82" s="38" t="str">
        <f>IF(A82="","",IFERROR(AVERAGEIFS('ثبت اطلاعات'!$CG$5:$CG$1204,'ثبت اطلاعات'!$C$5:$C$1204,A82,'ثبت اطلاعات'!$CL$5:$CL$1204,"&lt;&gt;"),""))</f>
        <v/>
      </c>
      <c r="J82" s="38" t="str">
        <f>IF(A82="","",IFERROR(AVERAGEIFS('ثبت اطلاعات'!$CH$5:$CH$1204,'ثبت اطلاعات'!$C$5:$C$1204,A82,'ثبت اطلاعات'!$CL$5:$CL$1204,"&lt;&gt;"),""))</f>
        <v/>
      </c>
      <c r="K82" s="38" t="str">
        <f>IF(A82="","",IFERROR(AVERAGEIFS('ثبت اطلاعات'!$CI$5:$CI$1204,'ثبت اطلاعات'!$C$5:$C$1204,A82,'ثبت اطلاعات'!$CL$5:$CL$1204,"&lt;&gt;"),""))</f>
        <v/>
      </c>
      <c r="L82" s="38" t="str">
        <f>IF(A82="","",IFERROR(AVERAGEIFS('ثبت اطلاعات'!$CJ$5:$CJ$1204,'ثبت اطلاعات'!$C$5:$C$1204,A82,'ثبت اطلاعات'!$CL$5:$CL$1204,"&lt;&gt;"),""))</f>
        <v/>
      </c>
      <c r="M82" s="38" t="str">
        <f>IF(A82="","",IFERROR(AVERAGEIFS('ثبت اطلاعات'!$CK$5:$CK$1204,'ثبت اطلاعات'!$C$5:$C$1204,A82,'ثبت اطلاعات'!$CL$5:$CL$1204,"&lt;&gt;"),""))</f>
        <v/>
      </c>
      <c r="N82" s="38" t="str">
        <f>IF(A82="","",IFERROR(AVERAGEIFS('ثبت اطلاعات'!$CL$5:$CL$1204,'ثبت اطلاعات'!$C$5:$C$1204,A82,'ثبت اطلاعات'!$CL$5:$CL$1204,"&lt;&gt;"),""))</f>
        <v/>
      </c>
      <c r="O82" s="38" t="str">
        <f>IF(A82="","",COUNTIFS('ثبت اطلاعات'!$C$5:$C$1204,A82,'ثبت اطلاعات'!$CL$5:$CL$1204,"&lt;&gt;"))</f>
        <v/>
      </c>
      <c r="P82" s="38" t="e">
        <f ca="1">IF(O82=0,"",_xludf.MINIFS('ثبت اطلاعات'!$CN$5:$CN$1204,'ثبت اطلاعات'!$C$5:$C$1204,A82,'ثبت اطلاعات'!$CL$5:$CL$1204,"&lt;&gt;"))</f>
        <v>#NAME?</v>
      </c>
      <c r="Q82" s="38" t="e">
        <f ca="1">IF(O82=0,"",_xludf.MAXIFS('ثبت اطلاعات'!$CN$5:$CN$1204,'ثبت اطلاعات'!$C$5:$C$1204,A82,'ثبت اطلاعات'!$CL$5:$CL$1204,"&lt;&gt;"))</f>
        <v>#NAME?</v>
      </c>
      <c r="R82" s="38">
        <f ca="1">IF(O82&lt;2,"",SUMIFS('ثبت اطلاعات'!$CL$5:$CL$1204,'ثبت اطلاعات'!$C$5:$C$1204,A82,'ثبت اطلاعات'!$CN$5:$CN$1204,Q82)-SUMIFS('ثبت اطلاعات'!$CL$5:$CL$1204,'ثبت اطلاعات'!$C$5:$C$1204,A82,'ثبت اطلاعات'!$CN$5:$CN$1204,P82))</f>
        <v>0</v>
      </c>
      <c r="S82" s="38" t="str">
        <f t="shared" si="10"/>
        <v/>
      </c>
      <c r="T82" s="38" t="str">
        <f t="shared" si="11"/>
        <v/>
      </c>
      <c r="U82" s="38" t="str">
        <f t="shared" si="12"/>
        <v/>
      </c>
      <c r="V82" s="38" t="str">
        <f t="shared" si="13"/>
        <v/>
      </c>
      <c r="W82" s="38" t="str">
        <f>IF(N82="","",_xludf.RANK.EQ(N82,$N$5:$N$104,0))</f>
        <v/>
      </c>
      <c r="X82" s="38" t="str">
        <f t="shared" si="14"/>
        <v/>
      </c>
      <c r="Y82" s="28" t="str">
        <f>IF(U82="","",IFERROR(INDEX('بانک راهکارها'!$C$5:$C$13,MATCH(U82,'بانک راهکارها'!$B$5:$B$13,0)),""))</f>
        <v/>
      </c>
    </row>
    <row r="83" spans="1:25" ht="17.25">
      <c r="A83" s="33" t="str">
        <f>IF(دانش‌آموزان!L83="","",دانش‌آموزان!B83)</f>
        <v/>
      </c>
      <c r="B83" s="55" t="str">
        <f>IF(A83="","",دانش‌آموزان!C83)</f>
        <v/>
      </c>
      <c r="C83" s="55" t="str">
        <f>IF(A83="","",دانش‌آموزان!E83&amp;" "&amp;دانش‌آموزان!F83)</f>
        <v/>
      </c>
      <c r="D83" s="34" t="str">
        <f>IF(A83="","",دانش‌آموزان!I83)</f>
        <v/>
      </c>
      <c r="E83" s="27" t="str">
        <f>IF(A83="","",IFERROR(AVERAGEIFS('ثبت اطلاعات'!$CC$5:$CC$1204,'ثبت اطلاعات'!$C$5:$C$1204,A83,'ثبت اطلاعات'!$CL$5:$CL$1204,"&lt;&gt;"),""))</f>
        <v/>
      </c>
      <c r="F83" s="38" t="str">
        <f>IF(A83="","",IFERROR(AVERAGEIFS('ثبت اطلاعات'!$CD$5:$CD$1204,'ثبت اطلاعات'!$C$5:$C$1204,A83,'ثبت اطلاعات'!$CL$5:$CL$1204,"&lt;&gt;"),""))</f>
        <v/>
      </c>
      <c r="G83" s="38" t="str">
        <f>IF(A83="","",IFERROR(AVERAGEIFS('ثبت اطلاعات'!$CE$5:$CE$1204,'ثبت اطلاعات'!$C$5:$C$1204,A83,'ثبت اطلاعات'!$CL$5:$CL$1204,"&lt;&gt;"),""))</f>
        <v/>
      </c>
      <c r="H83" s="38" t="str">
        <f>IF(A83="","",IFERROR(AVERAGEIFS('ثبت اطلاعات'!$CF$5:$CF$1204,'ثبت اطلاعات'!$C$5:$C$1204,A83,'ثبت اطلاعات'!$CL$5:$CL$1204,"&lt;&gt;"),""))</f>
        <v/>
      </c>
      <c r="I83" s="38" t="str">
        <f>IF(A83="","",IFERROR(AVERAGEIFS('ثبت اطلاعات'!$CG$5:$CG$1204,'ثبت اطلاعات'!$C$5:$C$1204,A83,'ثبت اطلاعات'!$CL$5:$CL$1204,"&lt;&gt;"),""))</f>
        <v/>
      </c>
      <c r="J83" s="38" t="str">
        <f>IF(A83="","",IFERROR(AVERAGEIFS('ثبت اطلاعات'!$CH$5:$CH$1204,'ثبت اطلاعات'!$C$5:$C$1204,A83,'ثبت اطلاعات'!$CL$5:$CL$1204,"&lt;&gt;"),""))</f>
        <v/>
      </c>
      <c r="K83" s="38" t="str">
        <f>IF(A83="","",IFERROR(AVERAGEIFS('ثبت اطلاعات'!$CI$5:$CI$1204,'ثبت اطلاعات'!$C$5:$C$1204,A83,'ثبت اطلاعات'!$CL$5:$CL$1204,"&lt;&gt;"),""))</f>
        <v/>
      </c>
      <c r="L83" s="38" t="str">
        <f>IF(A83="","",IFERROR(AVERAGEIFS('ثبت اطلاعات'!$CJ$5:$CJ$1204,'ثبت اطلاعات'!$C$5:$C$1204,A83,'ثبت اطلاعات'!$CL$5:$CL$1204,"&lt;&gt;"),""))</f>
        <v/>
      </c>
      <c r="M83" s="38" t="str">
        <f>IF(A83="","",IFERROR(AVERAGEIFS('ثبت اطلاعات'!$CK$5:$CK$1204,'ثبت اطلاعات'!$C$5:$C$1204,A83,'ثبت اطلاعات'!$CL$5:$CL$1204,"&lt;&gt;"),""))</f>
        <v/>
      </c>
      <c r="N83" s="38" t="str">
        <f>IF(A83="","",IFERROR(AVERAGEIFS('ثبت اطلاعات'!$CL$5:$CL$1204,'ثبت اطلاعات'!$C$5:$C$1204,A83,'ثبت اطلاعات'!$CL$5:$CL$1204,"&lt;&gt;"),""))</f>
        <v/>
      </c>
      <c r="O83" s="38" t="str">
        <f>IF(A83="","",COUNTIFS('ثبت اطلاعات'!$C$5:$C$1204,A83,'ثبت اطلاعات'!$CL$5:$CL$1204,"&lt;&gt;"))</f>
        <v/>
      </c>
      <c r="P83" s="38" t="e">
        <f ca="1">IF(O83=0,"",_xludf.MINIFS('ثبت اطلاعات'!$CN$5:$CN$1204,'ثبت اطلاعات'!$C$5:$C$1204,A83,'ثبت اطلاعات'!$CL$5:$CL$1204,"&lt;&gt;"))</f>
        <v>#NAME?</v>
      </c>
      <c r="Q83" s="38" t="e">
        <f ca="1">IF(O83=0,"",_xludf.MAXIFS('ثبت اطلاعات'!$CN$5:$CN$1204,'ثبت اطلاعات'!$C$5:$C$1204,A83,'ثبت اطلاعات'!$CL$5:$CL$1204,"&lt;&gt;"))</f>
        <v>#NAME?</v>
      </c>
      <c r="R83" s="38">
        <f ca="1">IF(O83&lt;2,"",SUMIFS('ثبت اطلاعات'!$CL$5:$CL$1204,'ثبت اطلاعات'!$C$5:$C$1204,A83,'ثبت اطلاعات'!$CN$5:$CN$1204,Q83)-SUMIFS('ثبت اطلاعات'!$CL$5:$CL$1204,'ثبت اطلاعات'!$C$5:$C$1204,A83,'ثبت اطلاعات'!$CN$5:$CN$1204,P83))</f>
        <v>0</v>
      </c>
      <c r="S83" s="38" t="str">
        <f t="shared" si="10"/>
        <v/>
      </c>
      <c r="T83" s="38" t="str">
        <f t="shared" si="11"/>
        <v/>
      </c>
      <c r="U83" s="38" t="str">
        <f t="shared" si="12"/>
        <v/>
      </c>
      <c r="V83" s="38" t="str">
        <f t="shared" si="13"/>
        <v/>
      </c>
      <c r="W83" s="38" t="str">
        <f>IF(N83="","",_xludf.RANK.EQ(N83,$N$5:$N$104,0))</f>
        <v/>
      </c>
      <c r="X83" s="38" t="str">
        <f t="shared" si="14"/>
        <v/>
      </c>
      <c r="Y83" s="28" t="str">
        <f>IF(U83="","",IFERROR(INDEX('بانک راهکارها'!$C$5:$C$13,MATCH(U83,'بانک راهکارها'!$B$5:$B$13,0)),""))</f>
        <v/>
      </c>
    </row>
    <row r="84" spans="1:25" ht="17.25">
      <c r="A84" s="33" t="str">
        <f>IF(دانش‌آموزان!L84="","",دانش‌آموزان!B84)</f>
        <v/>
      </c>
      <c r="B84" s="55" t="str">
        <f>IF(A84="","",دانش‌آموزان!C84)</f>
        <v/>
      </c>
      <c r="C84" s="55" t="str">
        <f>IF(A84="","",دانش‌آموزان!E84&amp;" "&amp;دانش‌آموزان!F84)</f>
        <v/>
      </c>
      <c r="D84" s="34" t="str">
        <f>IF(A84="","",دانش‌آموزان!I84)</f>
        <v/>
      </c>
      <c r="E84" s="27" t="str">
        <f>IF(A84="","",IFERROR(AVERAGEIFS('ثبت اطلاعات'!$CC$5:$CC$1204,'ثبت اطلاعات'!$C$5:$C$1204,A84,'ثبت اطلاعات'!$CL$5:$CL$1204,"&lt;&gt;"),""))</f>
        <v/>
      </c>
      <c r="F84" s="38" t="str">
        <f>IF(A84="","",IFERROR(AVERAGEIFS('ثبت اطلاعات'!$CD$5:$CD$1204,'ثبت اطلاعات'!$C$5:$C$1204,A84,'ثبت اطلاعات'!$CL$5:$CL$1204,"&lt;&gt;"),""))</f>
        <v/>
      </c>
      <c r="G84" s="38" t="str">
        <f>IF(A84="","",IFERROR(AVERAGEIFS('ثبت اطلاعات'!$CE$5:$CE$1204,'ثبت اطلاعات'!$C$5:$C$1204,A84,'ثبت اطلاعات'!$CL$5:$CL$1204,"&lt;&gt;"),""))</f>
        <v/>
      </c>
      <c r="H84" s="38" t="str">
        <f>IF(A84="","",IFERROR(AVERAGEIFS('ثبت اطلاعات'!$CF$5:$CF$1204,'ثبت اطلاعات'!$C$5:$C$1204,A84,'ثبت اطلاعات'!$CL$5:$CL$1204,"&lt;&gt;"),""))</f>
        <v/>
      </c>
      <c r="I84" s="38" t="str">
        <f>IF(A84="","",IFERROR(AVERAGEIFS('ثبت اطلاعات'!$CG$5:$CG$1204,'ثبت اطلاعات'!$C$5:$C$1204,A84,'ثبت اطلاعات'!$CL$5:$CL$1204,"&lt;&gt;"),""))</f>
        <v/>
      </c>
      <c r="J84" s="38" t="str">
        <f>IF(A84="","",IFERROR(AVERAGEIFS('ثبت اطلاعات'!$CH$5:$CH$1204,'ثبت اطلاعات'!$C$5:$C$1204,A84,'ثبت اطلاعات'!$CL$5:$CL$1204,"&lt;&gt;"),""))</f>
        <v/>
      </c>
      <c r="K84" s="38" t="str">
        <f>IF(A84="","",IFERROR(AVERAGEIFS('ثبت اطلاعات'!$CI$5:$CI$1204,'ثبت اطلاعات'!$C$5:$C$1204,A84,'ثبت اطلاعات'!$CL$5:$CL$1204,"&lt;&gt;"),""))</f>
        <v/>
      </c>
      <c r="L84" s="38" t="str">
        <f>IF(A84="","",IFERROR(AVERAGEIFS('ثبت اطلاعات'!$CJ$5:$CJ$1204,'ثبت اطلاعات'!$C$5:$C$1204,A84,'ثبت اطلاعات'!$CL$5:$CL$1204,"&lt;&gt;"),""))</f>
        <v/>
      </c>
      <c r="M84" s="38" t="str">
        <f>IF(A84="","",IFERROR(AVERAGEIFS('ثبت اطلاعات'!$CK$5:$CK$1204,'ثبت اطلاعات'!$C$5:$C$1204,A84,'ثبت اطلاعات'!$CL$5:$CL$1204,"&lt;&gt;"),""))</f>
        <v/>
      </c>
      <c r="N84" s="38" t="str">
        <f>IF(A84="","",IFERROR(AVERAGEIFS('ثبت اطلاعات'!$CL$5:$CL$1204,'ثبت اطلاعات'!$C$5:$C$1204,A84,'ثبت اطلاعات'!$CL$5:$CL$1204,"&lt;&gt;"),""))</f>
        <v/>
      </c>
      <c r="O84" s="38" t="str">
        <f>IF(A84="","",COUNTIFS('ثبت اطلاعات'!$C$5:$C$1204,A84,'ثبت اطلاعات'!$CL$5:$CL$1204,"&lt;&gt;"))</f>
        <v/>
      </c>
      <c r="P84" s="38" t="e">
        <f ca="1">IF(O84=0,"",_xludf.MINIFS('ثبت اطلاعات'!$CN$5:$CN$1204,'ثبت اطلاعات'!$C$5:$C$1204,A84,'ثبت اطلاعات'!$CL$5:$CL$1204,"&lt;&gt;"))</f>
        <v>#NAME?</v>
      </c>
      <c r="Q84" s="38" t="e">
        <f ca="1">IF(O84=0,"",_xludf.MAXIFS('ثبت اطلاعات'!$CN$5:$CN$1204,'ثبت اطلاعات'!$C$5:$C$1204,A84,'ثبت اطلاعات'!$CL$5:$CL$1204,"&lt;&gt;"))</f>
        <v>#NAME?</v>
      </c>
      <c r="R84" s="38">
        <f ca="1">IF(O84&lt;2,"",SUMIFS('ثبت اطلاعات'!$CL$5:$CL$1204,'ثبت اطلاعات'!$C$5:$C$1204,A84,'ثبت اطلاعات'!$CN$5:$CN$1204,Q84)-SUMIFS('ثبت اطلاعات'!$CL$5:$CL$1204,'ثبت اطلاعات'!$C$5:$C$1204,A84,'ثبت اطلاعات'!$CN$5:$CN$1204,P84))</f>
        <v>0</v>
      </c>
      <c r="S84" s="38" t="str">
        <f t="shared" si="10"/>
        <v/>
      </c>
      <c r="T84" s="38" t="str">
        <f t="shared" si="11"/>
        <v/>
      </c>
      <c r="U84" s="38" t="str">
        <f t="shared" si="12"/>
        <v/>
      </c>
      <c r="V84" s="38" t="str">
        <f t="shared" si="13"/>
        <v/>
      </c>
      <c r="W84" s="38" t="str">
        <f>IF(N84="","",_xludf.RANK.EQ(N84,$N$5:$N$104,0))</f>
        <v/>
      </c>
      <c r="X84" s="38" t="str">
        <f t="shared" si="14"/>
        <v/>
      </c>
      <c r="Y84" s="28" t="str">
        <f>IF(U84="","",IFERROR(INDEX('بانک راهکارها'!$C$5:$C$13,MATCH(U84,'بانک راهکارها'!$B$5:$B$13,0)),""))</f>
        <v/>
      </c>
    </row>
    <row r="85" spans="1:25" ht="17.25">
      <c r="A85" s="33" t="str">
        <f>IF(دانش‌آموزان!L85="","",دانش‌آموزان!B85)</f>
        <v/>
      </c>
      <c r="B85" s="55" t="str">
        <f>IF(A85="","",دانش‌آموزان!C85)</f>
        <v/>
      </c>
      <c r="C85" s="55" t="str">
        <f>IF(A85="","",دانش‌آموزان!E85&amp;" "&amp;دانش‌آموزان!F85)</f>
        <v/>
      </c>
      <c r="D85" s="34" t="str">
        <f>IF(A85="","",دانش‌آموزان!I85)</f>
        <v/>
      </c>
      <c r="E85" s="27" t="str">
        <f>IF(A85="","",IFERROR(AVERAGEIFS('ثبت اطلاعات'!$CC$5:$CC$1204,'ثبت اطلاعات'!$C$5:$C$1204,A85,'ثبت اطلاعات'!$CL$5:$CL$1204,"&lt;&gt;"),""))</f>
        <v/>
      </c>
      <c r="F85" s="38" t="str">
        <f>IF(A85="","",IFERROR(AVERAGEIFS('ثبت اطلاعات'!$CD$5:$CD$1204,'ثبت اطلاعات'!$C$5:$C$1204,A85,'ثبت اطلاعات'!$CL$5:$CL$1204,"&lt;&gt;"),""))</f>
        <v/>
      </c>
      <c r="G85" s="38" t="str">
        <f>IF(A85="","",IFERROR(AVERAGEIFS('ثبت اطلاعات'!$CE$5:$CE$1204,'ثبت اطلاعات'!$C$5:$C$1204,A85,'ثبت اطلاعات'!$CL$5:$CL$1204,"&lt;&gt;"),""))</f>
        <v/>
      </c>
      <c r="H85" s="38" t="str">
        <f>IF(A85="","",IFERROR(AVERAGEIFS('ثبت اطلاعات'!$CF$5:$CF$1204,'ثبت اطلاعات'!$C$5:$C$1204,A85,'ثبت اطلاعات'!$CL$5:$CL$1204,"&lt;&gt;"),""))</f>
        <v/>
      </c>
      <c r="I85" s="38" t="str">
        <f>IF(A85="","",IFERROR(AVERAGEIFS('ثبت اطلاعات'!$CG$5:$CG$1204,'ثبت اطلاعات'!$C$5:$C$1204,A85,'ثبت اطلاعات'!$CL$5:$CL$1204,"&lt;&gt;"),""))</f>
        <v/>
      </c>
      <c r="J85" s="38" t="str">
        <f>IF(A85="","",IFERROR(AVERAGEIFS('ثبت اطلاعات'!$CH$5:$CH$1204,'ثبت اطلاعات'!$C$5:$C$1204,A85,'ثبت اطلاعات'!$CL$5:$CL$1204,"&lt;&gt;"),""))</f>
        <v/>
      </c>
      <c r="K85" s="38" t="str">
        <f>IF(A85="","",IFERROR(AVERAGEIFS('ثبت اطلاعات'!$CI$5:$CI$1204,'ثبت اطلاعات'!$C$5:$C$1204,A85,'ثبت اطلاعات'!$CL$5:$CL$1204,"&lt;&gt;"),""))</f>
        <v/>
      </c>
      <c r="L85" s="38" t="str">
        <f>IF(A85="","",IFERROR(AVERAGEIFS('ثبت اطلاعات'!$CJ$5:$CJ$1204,'ثبت اطلاعات'!$C$5:$C$1204,A85,'ثبت اطلاعات'!$CL$5:$CL$1204,"&lt;&gt;"),""))</f>
        <v/>
      </c>
      <c r="M85" s="38" t="str">
        <f>IF(A85="","",IFERROR(AVERAGEIFS('ثبت اطلاعات'!$CK$5:$CK$1204,'ثبت اطلاعات'!$C$5:$C$1204,A85,'ثبت اطلاعات'!$CL$5:$CL$1204,"&lt;&gt;"),""))</f>
        <v/>
      </c>
      <c r="N85" s="38" t="str">
        <f>IF(A85="","",IFERROR(AVERAGEIFS('ثبت اطلاعات'!$CL$5:$CL$1204,'ثبت اطلاعات'!$C$5:$C$1204,A85,'ثبت اطلاعات'!$CL$5:$CL$1204,"&lt;&gt;"),""))</f>
        <v/>
      </c>
      <c r="O85" s="38" t="str">
        <f>IF(A85="","",COUNTIFS('ثبت اطلاعات'!$C$5:$C$1204,A85,'ثبت اطلاعات'!$CL$5:$CL$1204,"&lt;&gt;"))</f>
        <v/>
      </c>
      <c r="P85" s="38" t="e">
        <f ca="1">IF(O85=0,"",_xludf.MINIFS('ثبت اطلاعات'!$CN$5:$CN$1204,'ثبت اطلاعات'!$C$5:$C$1204,A85,'ثبت اطلاعات'!$CL$5:$CL$1204,"&lt;&gt;"))</f>
        <v>#NAME?</v>
      </c>
      <c r="Q85" s="38" t="e">
        <f ca="1">IF(O85=0,"",_xludf.MAXIFS('ثبت اطلاعات'!$CN$5:$CN$1204,'ثبت اطلاعات'!$C$5:$C$1204,A85,'ثبت اطلاعات'!$CL$5:$CL$1204,"&lt;&gt;"))</f>
        <v>#NAME?</v>
      </c>
      <c r="R85" s="38">
        <f ca="1">IF(O85&lt;2,"",SUMIFS('ثبت اطلاعات'!$CL$5:$CL$1204,'ثبت اطلاعات'!$C$5:$C$1204,A85,'ثبت اطلاعات'!$CN$5:$CN$1204,Q85)-SUMIFS('ثبت اطلاعات'!$CL$5:$CL$1204,'ثبت اطلاعات'!$C$5:$C$1204,A85,'ثبت اطلاعات'!$CN$5:$CN$1204,P85))</f>
        <v>0</v>
      </c>
      <c r="S85" s="38" t="str">
        <f t="shared" si="10"/>
        <v/>
      </c>
      <c r="T85" s="38" t="str">
        <f t="shared" si="11"/>
        <v/>
      </c>
      <c r="U85" s="38" t="str">
        <f t="shared" si="12"/>
        <v/>
      </c>
      <c r="V85" s="38" t="str">
        <f t="shared" si="13"/>
        <v/>
      </c>
      <c r="W85" s="38" t="str">
        <f>IF(N85="","",_xludf.RANK.EQ(N85,$N$5:$N$104,0))</f>
        <v/>
      </c>
      <c r="X85" s="38" t="str">
        <f t="shared" si="14"/>
        <v/>
      </c>
      <c r="Y85" s="28" t="str">
        <f>IF(U85="","",IFERROR(INDEX('بانک راهکارها'!$C$5:$C$13,MATCH(U85,'بانک راهکارها'!$B$5:$B$13,0)),""))</f>
        <v/>
      </c>
    </row>
    <row r="86" spans="1:25" ht="17.25">
      <c r="A86" s="33" t="str">
        <f>IF(دانش‌آموزان!L86="","",دانش‌آموزان!B86)</f>
        <v/>
      </c>
      <c r="B86" s="55" t="str">
        <f>IF(A86="","",دانش‌آموزان!C86)</f>
        <v/>
      </c>
      <c r="C86" s="55" t="str">
        <f>IF(A86="","",دانش‌آموزان!E86&amp;" "&amp;دانش‌آموزان!F86)</f>
        <v/>
      </c>
      <c r="D86" s="34" t="str">
        <f>IF(A86="","",دانش‌آموزان!I86)</f>
        <v/>
      </c>
      <c r="E86" s="27" t="str">
        <f>IF(A86="","",IFERROR(AVERAGEIFS('ثبت اطلاعات'!$CC$5:$CC$1204,'ثبت اطلاعات'!$C$5:$C$1204,A86,'ثبت اطلاعات'!$CL$5:$CL$1204,"&lt;&gt;"),""))</f>
        <v/>
      </c>
      <c r="F86" s="38" t="str">
        <f>IF(A86="","",IFERROR(AVERAGEIFS('ثبت اطلاعات'!$CD$5:$CD$1204,'ثبت اطلاعات'!$C$5:$C$1204,A86,'ثبت اطلاعات'!$CL$5:$CL$1204,"&lt;&gt;"),""))</f>
        <v/>
      </c>
      <c r="G86" s="38" t="str">
        <f>IF(A86="","",IFERROR(AVERAGEIFS('ثبت اطلاعات'!$CE$5:$CE$1204,'ثبت اطلاعات'!$C$5:$C$1204,A86,'ثبت اطلاعات'!$CL$5:$CL$1204,"&lt;&gt;"),""))</f>
        <v/>
      </c>
      <c r="H86" s="38" t="str">
        <f>IF(A86="","",IFERROR(AVERAGEIFS('ثبت اطلاعات'!$CF$5:$CF$1204,'ثبت اطلاعات'!$C$5:$C$1204,A86,'ثبت اطلاعات'!$CL$5:$CL$1204,"&lt;&gt;"),""))</f>
        <v/>
      </c>
      <c r="I86" s="38" t="str">
        <f>IF(A86="","",IFERROR(AVERAGEIFS('ثبت اطلاعات'!$CG$5:$CG$1204,'ثبت اطلاعات'!$C$5:$C$1204,A86,'ثبت اطلاعات'!$CL$5:$CL$1204,"&lt;&gt;"),""))</f>
        <v/>
      </c>
      <c r="J86" s="38" t="str">
        <f>IF(A86="","",IFERROR(AVERAGEIFS('ثبت اطلاعات'!$CH$5:$CH$1204,'ثبت اطلاعات'!$C$5:$C$1204,A86,'ثبت اطلاعات'!$CL$5:$CL$1204,"&lt;&gt;"),""))</f>
        <v/>
      </c>
      <c r="K86" s="38" t="str">
        <f>IF(A86="","",IFERROR(AVERAGEIFS('ثبت اطلاعات'!$CI$5:$CI$1204,'ثبت اطلاعات'!$C$5:$C$1204,A86,'ثبت اطلاعات'!$CL$5:$CL$1204,"&lt;&gt;"),""))</f>
        <v/>
      </c>
      <c r="L86" s="38" t="str">
        <f>IF(A86="","",IFERROR(AVERAGEIFS('ثبت اطلاعات'!$CJ$5:$CJ$1204,'ثبت اطلاعات'!$C$5:$C$1204,A86,'ثبت اطلاعات'!$CL$5:$CL$1204,"&lt;&gt;"),""))</f>
        <v/>
      </c>
      <c r="M86" s="38" t="str">
        <f>IF(A86="","",IFERROR(AVERAGEIFS('ثبت اطلاعات'!$CK$5:$CK$1204,'ثبت اطلاعات'!$C$5:$C$1204,A86,'ثبت اطلاعات'!$CL$5:$CL$1204,"&lt;&gt;"),""))</f>
        <v/>
      </c>
      <c r="N86" s="38" t="str">
        <f>IF(A86="","",IFERROR(AVERAGEIFS('ثبت اطلاعات'!$CL$5:$CL$1204,'ثبت اطلاعات'!$C$5:$C$1204,A86,'ثبت اطلاعات'!$CL$5:$CL$1204,"&lt;&gt;"),""))</f>
        <v/>
      </c>
      <c r="O86" s="38" t="str">
        <f>IF(A86="","",COUNTIFS('ثبت اطلاعات'!$C$5:$C$1204,A86,'ثبت اطلاعات'!$CL$5:$CL$1204,"&lt;&gt;"))</f>
        <v/>
      </c>
      <c r="P86" s="38" t="e">
        <f ca="1">IF(O86=0,"",_xludf.MINIFS('ثبت اطلاعات'!$CN$5:$CN$1204,'ثبت اطلاعات'!$C$5:$C$1204,A86,'ثبت اطلاعات'!$CL$5:$CL$1204,"&lt;&gt;"))</f>
        <v>#NAME?</v>
      </c>
      <c r="Q86" s="38" t="e">
        <f ca="1">IF(O86=0,"",_xludf.MAXIFS('ثبت اطلاعات'!$CN$5:$CN$1204,'ثبت اطلاعات'!$C$5:$C$1204,A86,'ثبت اطلاعات'!$CL$5:$CL$1204,"&lt;&gt;"))</f>
        <v>#NAME?</v>
      </c>
      <c r="R86" s="38">
        <f ca="1">IF(O86&lt;2,"",SUMIFS('ثبت اطلاعات'!$CL$5:$CL$1204,'ثبت اطلاعات'!$C$5:$C$1204,A86,'ثبت اطلاعات'!$CN$5:$CN$1204,Q86)-SUMIFS('ثبت اطلاعات'!$CL$5:$CL$1204,'ثبت اطلاعات'!$C$5:$C$1204,A86,'ثبت اطلاعات'!$CN$5:$CN$1204,P86))</f>
        <v>0</v>
      </c>
      <c r="S86" s="38" t="str">
        <f t="shared" si="10"/>
        <v/>
      </c>
      <c r="T86" s="38" t="str">
        <f t="shared" si="11"/>
        <v/>
      </c>
      <c r="U86" s="38" t="str">
        <f t="shared" si="12"/>
        <v/>
      </c>
      <c r="V86" s="38" t="str">
        <f t="shared" si="13"/>
        <v/>
      </c>
      <c r="W86" s="38" t="str">
        <f>IF(N86="","",_xludf.RANK.EQ(N86,$N$5:$N$104,0))</f>
        <v/>
      </c>
      <c r="X86" s="38" t="str">
        <f t="shared" si="14"/>
        <v/>
      </c>
      <c r="Y86" s="28" t="str">
        <f>IF(U86="","",IFERROR(INDEX('بانک راهکارها'!$C$5:$C$13,MATCH(U86,'بانک راهکارها'!$B$5:$B$13,0)),""))</f>
        <v/>
      </c>
    </row>
    <row r="87" spans="1:25" ht="17.25">
      <c r="A87" s="33" t="str">
        <f>IF(دانش‌آموزان!L87="","",دانش‌آموزان!B87)</f>
        <v/>
      </c>
      <c r="B87" s="55" t="str">
        <f>IF(A87="","",دانش‌آموزان!C87)</f>
        <v/>
      </c>
      <c r="C87" s="55" t="str">
        <f>IF(A87="","",دانش‌آموزان!E87&amp;" "&amp;دانش‌آموزان!F87)</f>
        <v/>
      </c>
      <c r="D87" s="34" t="str">
        <f>IF(A87="","",دانش‌آموزان!I87)</f>
        <v/>
      </c>
      <c r="E87" s="27" t="str">
        <f>IF(A87="","",IFERROR(AVERAGEIFS('ثبت اطلاعات'!$CC$5:$CC$1204,'ثبت اطلاعات'!$C$5:$C$1204,A87,'ثبت اطلاعات'!$CL$5:$CL$1204,"&lt;&gt;"),""))</f>
        <v/>
      </c>
      <c r="F87" s="38" t="str">
        <f>IF(A87="","",IFERROR(AVERAGEIFS('ثبت اطلاعات'!$CD$5:$CD$1204,'ثبت اطلاعات'!$C$5:$C$1204,A87,'ثبت اطلاعات'!$CL$5:$CL$1204,"&lt;&gt;"),""))</f>
        <v/>
      </c>
      <c r="G87" s="38" t="str">
        <f>IF(A87="","",IFERROR(AVERAGEIFS('ثبت اطلاعات'!$CE$5:$CE$1204,'ثبت اطلاعات'!$C$5:$C$1204,A87,'ثبت اطلاعات'!$CL$5:$CL$1204,"&lt;&gt;"),""))</f>
        <v/>
      </c>
      <c r="H87" s="38" t="str">
        <f>IF(A87="","",IFERROR(AVERAGEIFS('ثبت اطلاعات'!$CF$5:$CF$1204,'ثبت اطلاعات'!$C$5:$C$1204,A87,'ثبت اطلاعات'!$CL$5:$CL$1204,"&lt;&gt;"),""))</f>
        <v/>
      </c>
      <c r="I87" s="38" t="str">
        <f>IF(A87="","",IFERROR(AVERAGEIFS('ثبت اطلاعات'!$CG$5:$CG$1204,'ثبت اطلاعات'!$C$5:$C$1204,A87,'ثبت اطلاعات'!$CL$5:$CL$1204,"&lt;&gt;"),""))</f>
        <v/>
      </c>
      <c r="J87" s="38" t="str">
        <f>IF(A87="","",IFERROR(AVERAGEIFS('ثبت اطلاعات'!$CH$5:$CH$1204,'ثبت اطلاعات'!$C$5:$C$1204,A87,'ثبت اطلاعات'!$CL$5:$CL$1204,"&lt;&gt;"),""))</f>
        <v/>
      </c>
      <c r="K87" s="38" t="str">
        <f>IF(A87="","",IFERROR(AVERAGEIFS('ثبت اطلاعات'!$CI$5:$CI$1204,'ثبت اطلاعات'!$C$5:$C$1204,A87,'ثبت اطلاعات'!$CL$5:$CL$1204,"&lt;&gt;"),""))</f>
        <v/>
      </c>
      <c r="L87" s="38" t="str">
        <f>IF(A87="","",IFERROR(AVERAGEIFS('ثبت اطلاعات'!$CJ$5:$CJ$1204,'ثبت اطلاعات'!$C$5:$C$1204,A87,'ثبت اطلاعات'!$CL$5:$CL$1204,"&lt;&gt;"),""))</f>
        <v/>
      </c>
      <c r="M87" s="38" t="str">
        <f>IF(A87="","",IFERROR(AVERAGEIFS('ثبت اطلاعات'!$CK$5:$CK$1204,'ثبت اطلاعات'!$C$5:$C$1204,A87,'ثبت اطلاعات'!$CL$5:$CL$1204,"&lt;&gt;"),""))</f>
        <v/>
      </c>
      <c r="N87" s="38" t="str">
        <f>IF(A87="","",IFERROR(AVERAGEIFS('ثبت اطلاعات'!$CL$5:$CL$1204,'ثبت اطلاعات'!$C$5:$C$1204,A87,'ثبت اطلاعات'!$CL$5:$CL$1204,"&lt;&gt;"),""))</f>
        <v/>
      </c>
      <c r="O87" s="38" t="str">
        <f>IF(A87="","",COUNTIFS('ثبت اطلاعات'!$C$5:$C$1204,A87,'ثبت اطلاعات'!$CL$5:$CL$1204,"&lt;&gt;"))</f>
        <v/>
      </c>
      <c r="P87" s="38" t="e">
        <f ca="1">IF(O87=0,"",_xludf.MINIFS('ثبت اطلاعات'!$CN$5:$CN$1204,'ثبت اطلاعات'!$C$5:$C$1204,A87,'ثبت اطلاعات'!$CL$5:$CL$1204,"&lt;&gt;"))</f>
        <v>#NAME?</v>
      </c>
      <c r="Q87" s="38" t="e">
        <f ca="1">IF(O87=0,"",_xludf.MAXIFS('ثبت اطلاعات'!$CN$5:$CN$1204,'ثبت اطلاعات'!$C$5:$C$1204,A87,'ثبت اطلاعات'!$CL$5:$CL$1204,"&lt;&gt;"))</f>
        <v>#NAME?</v>
      </c>
      <c r="R87" s="38">
        <f ca="1">IF(O87&lt;2,"",SUMIFS('ثبت اطلاعات'!$CL$5:$CL$1204,'ثبت اطلاعات'!$C$5:$C$1204,A87,'ثبت اطلاعات'!$CN$5:$CN$1204,Q87)-SUMIFS('ثبت اطلاعات'!$CL$5:$CL$1204,'ثبت اطلاعات'!$C$5:$C$1204,A87,'ثبت اطلاعات'!$CN$5:$CN$1204,P87))</f>
        <v>0</v>
      </c>
      <c r="S87" s="38" t="str">
        <f t="shared" si="10"/>
        <v/>
      </c>
      <c r="T87" s="38" t="str">
        <f t="shared" si="11"/>
        <v/>
      </c>
      <c r="U87" s="38" t="str">
        <f t="shared" si="12"/>
        <v/>
      </c>
      <c r="V87" s="38" t="str">
        <f t="shared" si="13"/>
        <v/>
      </c>
      <c r="W87" s="38" t="str">
        <f>IF(N87="","",_xludf.RANK.EQ(N87,$N$5:$N$104,0))</f>
        <v/>
      </c>
      <c r="X87" s="38" t="str">
        <f t="shared" si="14"/>
        <v/>
      </c>
      <c r="Y87" s="28" t="str">
        <f>IF(U87="","",IFERROR(INDEX('بانک راهکارها'!$C$5:$C$13,MATCH(U87,'بانک راهکارها'!$B$5:$B$13,0)),""))</f>
        <v/>
      </c>
    </row>
    <row r="88" spans="1:25" ht="17.25">
      <c r="A88" s="33" t="str">
        <f>IF(دانش‌آموزان!L88="","",دانش‌آموزان!B88)</f>
        <v/>
      </c>
      <c r="B88" s="55" t="str">
        <f>IF(A88="","",دانش‌آموزان!C88)</f>
        <v/>
      </c>
      <c r="C88" s="55" t="str">
        <f>IF(A88="","",دانش‌آموزان!E88&amp;" "&amp;دانش‌آموزان!F88)</f>
        <v/>
      </c>
      <c r="D88" s="34" t="str">
        <f>IF(A88="","",دانش‌آموزان!I88)</f>
        <v/>
      </c>
      <c r="E88" s="27" t="str">
        <f>IF(A88="","",IFERROR(AVERAGEIFS('ثبت اطلاعات'!$CC$5:$CC$1204,'ثبت اطلاعات'!$C$5:$C$1204,A88,'ثبت اطلاعات'!$CL$5:$CL$1204,"&lt;&gt;"),""))</f>
        <v/>
      </c>
      <c r="F88" s="38" t="str">
        <f>IF(A88="","",IFERROR(AVERAGEIFS('ثبت اطلاعات'!$CD$5:$CD$1204,'ثبت اطلاعات'!$C$5:$C$1204,A88,'ثبت اطلاعات'!$CL$5:$CL$1204,"&lt;&gt;"),""))</f>
        <v/>
      </c>
      <c r="G88" s="38" t="str">
        <f>IF(A88="","",IFERROR(AVERAGEIFS('ثبت اطلاعات'!$CE$5:$CE$1204,'ثبت اطلاعات'!$C$5:$C$1204,A88,'ثبت اطلاعات'!$CL$5:$CL$1204,"&lt;&gt;"),""))</f>
        <v/>
      </c>
      <c r="H88" s="38" t="str">
        <f>IF(A88="","",IFERROR(AVERAGEIFS('ثبت اطلاعات'!$CF$5:$CF$1204,'ثبت اطلاعات'!$C$5:$C$1204,A88,'ثبت اطلاعات'!$CL$5:$CL$1204,"&lt;&gt;"),""))</f>
        <v/>
      </c>
      <c r="I88" s="38" t="str">
        <f>IF(A88="","",IFERROR(AVERAGEIFS('ثبت اطلاعات'!$CG$5:$CG$1204,'ثبت اطلاعات'!$C$5:$C$1204,A88,'ثبت اطلاعات'!$CL$5:$CL$1204,"&lt;&gt;"),""))</f>
        <v/>
      </c>
      <c r="J88" s="38" t="str">
        <f>IF(A88="","",IFERROR(AVERAGEIFS('ثبت اطلاعات'!$CH$5:$CH$1204,'ثبت اطلاعات'!$C$5:$C$1204,A88,'ثبت اطلاعات'!$CL$5:$CL$1204,"&lt;&gt;"),""))</f>
        <v/>
      </c>
      <c r="K88" s="38" t="str">
        <f>IF(A88="","",IFERROR(AVERAGEIFS('ثبت اطلاعات'!$CI$5:$CI$1204,'ثبت اطلاعات'!$C$5:$C$1204,A88,'ثبت اطلاعات'!$CL$5:$CL$1204,"&lt;&gt;"),""))</f>
        <v/>
      </c>
      <c r="L88" s="38" t="str">
        <f>IF(A88="","",IFERROR(AVERAGEIFS('ثبت اطلاعات'!$CJ$5:$CJ$1204,'ثبت اطلاعات'!$C$5:$C$1204,A88,'ثبت اطلاعات'!$CL$5:$CL$1204,"&lt;&gt;"),""))</f>
        <v/>
      </c>
      <c r="M88" s="38" t="str">
        <f>IF(A88="","",IFERROR(AVERAGEIFS('ثبت اطلاعات'!$CK$5:$CK$1204,'ثبت اطلاعات'!$C$5:$C$1204,A88,'ثبت اطلاعات'!$CL$5:$CL$1204,"&lt;&gt;"),""))</f>
        <v/>
      </c>
      <c r="N88" s="38" t="str">
        <f>IF(A88="","",IFERROR(AVERAGEIFS('ثبت اطلاعات'!$CL$5:$CL$1204,'ثبت اطلاعات'!$C$5:$C$1204,A88,'ثبت اطلاعات'!$CL$5:$CL$1204,"&lt;&gt;"),""))</f>
        <v/>
      </c>
      <c r="O88" s="38" t="str">
        <f>IF(A88="","",COUNTIFS('ثبت اطلاعات'!$C$5:$C$1204,A88,'ثبت اطلاعات'!$CL$5:$CL$1204,"&lt;&gt;"))</f>
        <v/>
      </c>
      <c r="P88" s="38" t="e">
        <f ca="1">IF(O88=0,"",_xludf.MINIFS('ثبت اطلاعات'!$CN$5:$CN$1204,'ثبت اطلاعات'!$C$5:$C$1204,A88,'ثبت اطلاعات'!$CL$5:$CL$1204,"&lt;&gt;"))</f>
        <v>#NAME?</v>
      </c>
      <c r="Q88" s="38" t="e">
        <f ca="1">IF(O88=0,"",_xludf.MAXIFS('ثبت اطلاعات'!$CN$5:$CN$1204,'ثبت اطلاعات'!$C$5:$C$1204,A88,'ثبت اطلاعات'!$CL$5:$CL$1204,"&lt;&gt;"))</f>
        <v>#NAME?</v>
      </c>
      <c r="R88" s="38">
        <f ca="1">IF(O88&lt;2,"",SUMIFS('ثبت اطلاعات'!$CL$5:$CL$1204,'ثبت اطلاعات'!$C$5:$C$1204,A88,'ثبت اطلاعات'!$CN$5:$CN$1204,Q88)-SUMIFS('ثبت اطلاعات'!$CL$5:$CL$1204,'ثبت اطلاعات'!$C$5:$C$1204,A88,'ثبت اطلاعات'!$CN$5:$CN$1204,P88))</f>
        <v>0</v>
      </c>
      <c r="S88" s="38" t="str">
        <f t="shared" si="10"/>
        <v/>
      </c>
      <c r="T88" s="38" t="str">
        <f t="shared" si="11"/>
        <v/>
      </c>
      <c r="U88" s="38" t="str">
        <f t="shared" si="12"/>
        <v/>
      </c>
      <c r="V88" s="38" t="str">
        <f t="shared" si="13"/>
        <v/>
      </c>
      <c r="W88" s="38" t="str">
        <f>IF(N88="","",_xludf.RANK.EQ(N88,$N$5:$N$104,0))</f>
        <v/>
      </c>
      <c r="X88" s="38" t="str">
        <f t="shared" si="14"/>
        <v/>
      </c>
      <c r="Y88" s="28" t="str">
        <f>IF(U88="","",IFERROR(INDEX('بانک راهکارها'!$C$5:$C$13,MATCH(U88,'بانک راهکارها'!$B$5:$B$13,0)),""))</f>
        <v/>
      </c>
    </row>
    <row r="89" spans="1:25" ht="17.25">
      <c r="A89" s="33" t="str">
        <f>IF(دانش‌آموزان!L89="","",دانش‌آموزان!B89)</f>
        <v/>
      </c>
      <c r="B89" s="55" t="str">
        <f>IF(A89="","",دانش‌آموزان!C89)</f>
        <v/>
      </c>
      <c r="C89" s="55" t="str">
        <f>IF(A89="","",دانش‌آموزان!E89&amp;" "&amp;دانش‌آموزان!F89)</f>
        <v/>
      </c>
      <c r="D89" s="34" t="str">
        <f>IF(A89="","",دانش‌آموزان!I89)</f>
        <v/>
      </c>
      <c r="E89" s="27" t="str">
        <f>IF(A89="","",IFERROR(AVERAGEIFS('ثبت اطلاعات'!$CC$5:$CC$1204,'ثبت اطلاعات'!$C$5:$C$1204,A89,'ثبت اطلاعات'!$CL$5:$CL$1204,"&lt;&gt;"),""))</f>
        <v/>
      </c>
      <c r="F89" s="38" t="str">
        <f>IF(A89="","",IFERROR(AVERAGEIFS('ثبت اطلاعات'!$CD$5:$CD$1204,'ثبت اطلاعات'!$C$5:$C$1204,A89,'ثبت اطلاعات'!$CL$5:$CL$1204,"&lt;&gt;"),""))</f>
        <v/>
      </c>
      <c r="G89" s="38" t="str">
        <f>IF(A89="","",IFERROR(AVERAGEIFS('ثبت اطلاعات'!$CE$5:$CE$1204,'ثبت اطلاعات'!$C$5:$C$1204,A89,'ثبت اطلاعات'!$CL$5:$CL$1204,"&lt;&gt;"),""))</f>
        <v/>
      </c>
      <c r="H89" s="38" t="str">
        <f>IF(A89="","",IFERROR(AVERAGEIFS('ثبت اطلاعات'!$CF$5:$CF$1204,'ثبت اطلاعات'!$C$5:$C$1204,A89,'ثبت اطلاعات'!$CL$5:$CL$1204,"&lt;&gt;"),""))</f>
        <v/>
      </c>
      <c r="I89" s="38" t="str">
        <f>IF(A89="","",IFERROR(AVERAGEIFS('ثبت اطلاعات'!$CG$5:$CG$1204,'ثبت اطلاعات'!$C$5:$C$1204,A89,'ثبت اطلاعات'!$CL$5:$CL$1204,"&lt;&gt;"),""))</f>
        <v/>
      </c>
      <c r="J89" s="38" t="str">
        <f>IF(A89="","",IFERROR(AVERAGEIFS('ثبت اطلاعات'!$CH$5:$CH$1204,'ثبت اطلاعات'!$C$5:$C$1204,A89,'ثبت اطلاعات'!$CL$5:$CL$1204,"&lt;&gt;"),""))</f>
        <v/>
      </c>
      <c r="K89" s="38" t="str">
        <f>IF(A89="","",IFERROR(AVERAGEIFS('ثبت اطلاعات'!$CI$5:$CI$1204,'ثبت اطلاعات'!$C$5:$C$1204,A89,'ثبت اطلاعات'!$CL$5:$CL$1204,"&lt;&gt;"),""))</f>
        <v/>
      </c>
      <c r="L89" s="38" t="str">
        <f>IF(A89="","",IFERROR(AVERAGEIFS('ثبت اطلاعات'!$CJ$5:$CJ$1204,'ثبت اطلاعات'!$C$5:$C$1204,A89,'ثبت اطلاعات'!$CL$5:$CL$1204,"&lt;&gt;"),""))</f>
        <v/>
      </c>
      <c r="M89" s="38" t="str">
        <f>IF(A89="","",IFERROR(AVERAGEIFS('ثبت اطلاعات'!$CK$5:$CK$1204,'ثبت اطلاعات'!$C$5:$C$1204,A89,'ثبت اطلاعات'!$CL$5:$CL$1204,"&lt;&gt;"),""))</f>
        <v/>
      </c>
      <c r="N89" s="38" t="str">
        <f>IF(A89="","",IFERROR(AVERAGEIFS('ثبت اطلاعات'!$CL$5:$CL$1204,'ثبت اطلاعات'!$C$5:$C$1204,A89,'ثبت اطلاعات'!$CL$5:$CL$1204,"&lt;&gt;"),""))</f>
        <v/>
      </c>
      <c r="O89" s="38" t="str">
        <f>IF(A89="","",COUNTIFS('ثبت اطلاعات'!$C$5:$C$1204,A89,'ثبت اطلاعات'!$CL$5:$CL$1204,"&lt;&gt;"))</f>
        <v/>
      </c>
      <c r="P89" s="38" t="e">
        <f ca="1">IF(O89=0,"",_xludf.MINIFS('ثبت اطلاعات'!$CN$5:$CN$1204,'ثبت اطلاعات'!$C$5:$C$1204,A89,'ثبت اطلاعات'!$CL$5:$CL$1204,"&lt;&gt;"))</f>
        <v>#NAME?</v>
      </c>
      <c r="Q89" s="38" t="e">
        <f ca="1">IF(O89=0,"",_xludf.MAXIFS('ثبت اطلاعات'!$CN$5:$CN$1204,'ثبت اطلاعات'!$C$5:$C$1204,A89,'ثبت اطلاعات'!$CL$5:$CL$1204,"&lt;&gt;"))</f>
        <v>#NAME?</v>
      </c>
      <c r="R89" s="38">
        <f ca="1">IF(O89&lt;2,"",SUMIFS('ثبت اطلاعات'!$CL$5:$CL$1204,'ثبت اطلاعات'!$C$5:$C$1204,A89,'ثبت اطلاعات'!$CN$5:$CN$1204,Q89)-SUMIFS('ثبت اطلاعات'!$CL$5:$CL$1204,'ثبت اطلاعات'!$C$5:$C$1204,A89,'ثبت اطلاعات'!$CN$5:$CN$1204,P89))</f>
        <v>0</v>
      </c>
      <c r="S89" s="38" t="str">
        <f t="shared" si="10"/>
        <v/>
      </c>
      <c r="T89" s="38" t="str">
        <f t="shared" si="11"/>
        <v/>
      </c>
      <c r="U89" s="38" t="str">
        <f t="shared" si="12"/>
        <v/>
      </c>
      <c r="V89" s="38" t="str">
        <f t="shared" si="13"/>
        <v/>
      </c>
      <c r="W89" s="38" t="str">
        <f>IF(N89="","",_xludf.RANK.EQ(N89,$N$5:$N$104,0))</f>
        <v/>
      </c>
      <c r="X89" s="38" t="str">
        <f t="shared" si="14"/>
        <v/>
      </c>
      <c r="Y89" s="28" t="str">
        <f>IF(U89="","",IFERROR(INDEX('بانک راهکارها'!$C$5:$C$13,MATCH(U89,'بانک راهکارها'!$B$5:$B$13,0)),""))</f>
        <v/>
      </c>
    </row>
    <row r="90" spans="1:25" ht="17.25">
      <c r="A90" s="33" t="str">
        <f>IF(دانش‌آموزان!L90="","",دانش‌آموزان!B90)</f>
        <v/>
      </c>
      <c r="B90" s="55" t="str">
        <f>IF(A90="","",دانش‌آموزان!C90)</f>
        <v/>
      </c>
      <c r="C90" s="55" t="str">
        <f>IF(A90="","",دانش‌آموزان!E90&amp;" "&amp;دانش‌آموزان!F90)</f>
        <v/>
      </c>
      <c r="D90" s="34" t="str">
        <f>IF(A90="","",دانش‌آموزان!I90)</f>
        <v/>
      </c>
      <c r="E90" s="27" t="str">
        <f>IF(A90="","",IFERROR(AVERAGEIFS('ثبت اطلاعات'!$CC$5:$CC$1204,'ثبت اطلاعات'!$C$5:$C$1204,A90,'ثبت اطلاعات'!$CL$5:$CL$1204,"&lt;&gt;"),""))</f>
        <v/>
      </c>
      <c r="F90" s="38" t="str">
        <f>IF(A90="","",IFERROR(AVERAGEIFS('ثبت اطلاعات'!$CD$5:$CD$1204,'ثبت اطلاعات'!$C$5:$C$1204,A90,'ثبت اطلاعات'!$CL$5:$CL$1204,"&lt;&gt;"),""))</f>
        <v/>
      </c>
      <c r="G90" s="38" t="str">
        <f>IF(A90="","",IFERROR(AVERAGEIFS('ثبت اطلاعات'!$CE$5:$CE$1204,'ثبت اطلاعات'!$C$5:$C$1204,A90,'ثبت اطلاعات'!$CL$5:$CL$1204,"&lt;&gt;"),""))</f>
        <v/>
      </c>
      <c r="H90" s="38" t="str">
        <f>IF(A90="","",IFERROR(AVERAGEIFS('ثبت اطلاعات'!$CF$5:$CF$1204,'ثبت اطلاعات'!$C$5:$C$1204,A90,'ثبت اطلاعات'!$CL$5:$CL$1204,"&lt;&gt;"),""))</f>
        <v/>
      </c>
      <c r="I90" s="38" t="str">
        <f>IF(A90="","",IFERROR(AVERAGEIFS('ثبت اطلاعات'!$CG$5:$CG$1204,'ثبت اطلاعات'!$C$5:$C$1204,A90,'ثبت اطلاعات'!$CL$5:$CL$1204,"&lt;&gt;"),""))</f>
        <v/>
      </c>
      <c r="J90" s="38" t="str">
        <f>IF(A90="","",IFERROR(AVERAGEIFS('ثبت اطلاعات'!$CH$5:$CH$1204,'ثبت اطلاعات'!$C$5:$C$1204,A90,'ثبت اطلاعات'!$CL$5:$CL$1204,"&lt;&gt;"),""))</f>
        <v/>
      </c>
      <c r="K90" s="38" t="str">
        <f>IF(A90="","",IFERROR(AVERAGEIFS('ثبت اطلاعات'!$CI$5:$CI$1204,'ثبت اطلاعات'!$C$5:$C$1204,A90,'ثبت اطلاعات'!$CL$5:$CL$1204,"&lt;&gt;"),""))</f>
        <v/>
      </c>
      <c r="L90" s="38" t="str">
        <f>IF(A90="","",IFERROR(AVERAGEIFS('ثبت اطلاعات'!$CJ$5:$CJ$1204,'ثبت اطلاعات'!$C$5:$C$1204,A90,'ثبت اطلاعات'!$CL$5:$CL$1204,"&lt;&gt;"),""))</f>
        <v/>
      </c>
      <c r="M90" s="38" t="str">
        <f>IF(A90="","",IFERROR(AVERAGEIFS('ثبت اطلاعات'!$CK$5:$CK$1204,'ثبت اطلاعات'!$C$5:$C$1204,A90,'ثبت اطلاعات'!$CL$5:$CL$1204,"&lt;&gt;"),""))</f>
        <v/>
      </c>
      <c r="N90" s="38" t="str">
        <f>IF(A90="","",IFERROR(AVERAGEIFS('ثبت اطلاعات'!$CL$5:$CL$1204,'ثبت اطلاعات'!$C$5:$C$1204,A90,'ثبت اطلاعات'!$CL$5:$CL$1204,"&lt;&gt;"),""))</f>
        <v/>
      </c>
      <c r="O90" s="38" t="str">
        <f>IF(A90="","",COUNTIFS('ثبت اطلاعات'!$C$5:$C$1204,A90,'ثبت اطلاعات'!$CL$5:$CL$1204,"&lt;&gt;"))</f>
        <v/>
      </c>
      <c r="P90" s="38" t="e">
        <f ca="1">IF(O90=0,"",_xludf.MINIFS('ثبت اطلاعات'!$CN$5:$CN$1204,'ثبت اطلاعات'!$C$5:$C$1204,A90,'ثبت اطلاعات'!$CL$5:$CL$1204,"&lt;&gt;"))</f>
        <v>#NAME?</v>
      </c>
      <c r="Q90" s="38" t="e">
        <f ca="1">IF(O90=0,"",_xludf.MAXIFS('ثبت اطلاعات'!$CN$5:$CN$1204,'ثبت اطلاعات'!$C$5:$C$1204,A90,'ثبت اطلاعات'!$CL$5:$CL$1204,"&lt;&gt;"))</f>
        <v>#NAME?</v>
      </c>
      <c r="R90" s="38">
        <f ca="1">IF(O90&lt;2,"",SUMIFS('ثبت اطلاعات'!$CL$5:$CL$1204,'ثبت اطلاعات'!$C$5:$C$1204,A90,'ثبت اطلاعات'!$CN$5:$CN$1204,Q90)-SUMIFS('ثبت اطلاعات'!$CL$5:$CL$1204,'ثبت اطلاعات'!$C$5:$C$1204,A90,'ثبت اطلاعات'!$CN$5:$CN$1204,P90))</f>
        <v>0</v>
      </c>
      <c r="S90" s="38" t="str">
        <f t="shared" si="10"/>
        <v/>
      </c>
      <c r="T90" s="38" t="str">
        <f t="shared" si="11"/>
        <v/>
      </c>
      <c r="U90" s="38" t="str">
        <f t="shared" si="12"/>
        <v/>
      </c>
      <c r="V90" s="38" t="str">
        <f t="shared" si="13"/>
        <v/>
      </c>
      <c r="W90" s="38" t="str">
        <f>IF(N90="","",_xludf.RANK.EQ(N90,$N$5:$N$104,0))</f>
        <v/>
      </c>
      <c r="X90" s="38" t="str">
        <f t="shared" si="14"/>
        <v/>
      </c>
      <c r="Y90" s="28" t="str">
        <f>IF(U90="","",IFERROR(INDEX('بانک راهکارها'!$C$5:$C$13,MATCH(U90,'بانک راهکارها'!$B$5:$B$13,0)),""))</f>
        <v/>
      </c>
    </row>
    <row r="91" spans="1:25" ht="17.25">
      <c r="A91" s="33" t="str">
        <f>IF(دانش‌آموزان!L91="","",دانش‌آموزان!B91)</f>
        <v/>
      </c>
      <c r="B91" s="55" t="str">
        <f>IF(A91="","",دانش‌آموزان!C91)</f>
        <v/>
      </c>
      <c r="C91" s="55" t="str">
        <f>IF(A91="","",دانش‌آموزان!E91&amp;" "&amp;دانش‌آموزان!F91)</f>
        <v/>
      </c>
      <c r="D91" s="34" t="str">
        <f>IF(A91="","",دانش‌آموزان!I91)</f>
        <v/>
      </c>
      <c r="E91" s="27" t="str">
        <f>IF(A91="","",IFERROR(AVERAGEIFS('ثبت اطلاعات'!$CC$5:$CC$1204,'ثبت اطلاعات'!$C$5:$C$1204,A91,'ثبت اطلاعات'!$CL$5:$CL$1204,"&lt;&gt;"),""))</f>
        <v/>
      </c>
      <c r="F91" s="38" t="str">
        <f>IF(A91="","",IFERROR(AVERAGEIFS('ثبت اطلاعات'!$CD$5:$CD$1204,'ثبت اطلاعات'!$C$5:$C$1204,A91,'ثبت اطلاعات'!$CL$5:$CL$1204,"&lt;&gt;"),""))</f>
        <v/>
      </c>
      <c r="G91" s="38" t="str">
        <f>IF(A91="","",IFERROR(AVERAGEIFS('ثبت اطلاعات'!$CE$5:$CE$1204,'ثبت اطلاعات'!$C$5:$C$1204,A91,'ثبت اطلاعات'!$CL$5:$CL$1204,"&lt;&gt;"),""))</f>
        <v/>
      </c>
      <c r="H91" s="38" t="str">
        <f>IF(A91="","",IFERROR(AVERAGEIFS('ثبت اطلاعات'!$CF$5:$CF$1204,'ثبت اطلاعات'!$C$5:$C$1204,A91,'ثبت اطلاعات'!$CL$5:$CL$1204,"&lt;&gt;"),""))</f>
        <v/>
      </c>
      <c r="I91" s="38" t="str">
        <f>IF(A91="","",IFERROR(AVERAGEIFS('ثبت اطلاعات'!$CG$5:$CG$1204,'ثبت اطلاعات'!$C$5:$C$1204,A91,'ثبت اطلاعات'!$CL$5:$CL$1204,"&lt;&gt;"),""))</f>
        <v/>
      </c>
      <c r="J91" s="38" t="str">
        <f>IF(A91="","",IFERROR(AVERAGEIFS('ثبت اطلاعات'!$CH$5:$CH$1204,'ثبت اطلاعات'!$C$5:$C$1204,A91,'ثبت اطلاعات'!$CL$5:$CL$1204,"&lt;&gt;"),""))</f>
        <v/>
      </c>
      <c r="K91" s="38" t="str">
        <f>IF(A91="","",IFERROR(AVERAGEIFS('ثبت اطلاعات'!$CI$5:$CI$1204,'ثبت اطلاعات'!$C$5:$C$1204,A91,'ثبت اطلاعات'!$CL$5:$CL$1204,"&lt;&gt;"),""))</f>
        <v/>
      </c>
      <c r="L91" s="38" t="str">
        <f>IF(A91="","",IFERROR(AVERAGEIFS('ثبت اطلاعات'!$CJ$5:$CJ$1204,'ثبت اطلاعات'!$C$5:$C$1204,A91,'ثبت اطلاعات'!$CL$5:$CL$1204,"&lt;&gt;"),""))</f>
        <v/>
      </c>
      <c r="M91" s="38" t="str">
        <f>IF(A91="","",IFERROR(AVERAGEIFS('ثبت اطلاعات'!$CK$5:$CK$1204,'ثبت اطلاعات'!$C$5:$C$1204,A91,'ثبت اطلاعات'!$CL$5:$CL$1204,"&lt;&gt;"),""))</f>
        <v/>
      </c>
      <c r="N91" s="38" t="str">
        <f>IF(A91="","",IFERROR(AVERAGEIFS('ثبت اطلاعات'!$CL$5:$CL$1204,'ثبت اطلاعات'!$C$5:$C$1204,A91,'ثبت اطلاعات'!$CL$5:$CL$1204,"&lt;&gt;"),""))</f>
        <v/>
      </c>
      <c r="O91" s="38" t="str">
        <f>IF(A91="","",COUNTIFS('ثبت اطلاعات'!$C$5:$C$1204,A91,'ثبت اطلاعات'!$CL$5:$CL$1204,"&lt;&gt;"))</f>
        <v/>
      </c>
      <c r="P91" s="38" t="e">
        <f ca="1">IF(O91=0,"",_xludf.MINIFS('ثبت اطلاعات'!$CN$5:$CN$1204,'ثبت اطلاعات'!$C$5:$C$1204,A91,'ثبت اطلاعات'!$CL$5:$CL$1204,"&lt;&gt;"))</f>
        <v>#NAME?</v>
      </c>
      <c r="Q91" s="38" t="e">
        <f ca="1">IF(O91=0,"",_xludf.MAXIFS('ثبت اطلاعات'!$CN$5:$CN$1204,'ثبت اطلاعات'!$C$5:$C$1204,A91,'ثبت اطلاعات'!$CL$5:$CL$1204,"&lt;&gt;"))</f>
        <v>#NAME?</v>
      </c>
      <c r="R91" s="38">
        <f ca="1">IF(O91&lt;2,"",SUMIFS('ثبت اطلاعات'!$CL$5:$CL$1204,'ثبت اطلاعات'!$C$5:$C$1204,A91,'ثبت اطلاعات'!$CN$5:$CN$1204,Q91)-SUMIFS('ثبت اطلاعات'!$CL$5:$CL$1204,'ثبت اطلاعات'!$C$5:$C$1204,A91,'ثبت اطلاعات'!$CN$5:$CN$1204,P91))</f>
        <v>0</v>
      </c>
      <c r="S91" s="38" t="str">
        <f t="shared" si="10"/>
        <v/>
      </c>
      <c r="T91" s="38" t="str">
        <f t="shared" si="11"/>
        <v/>
      </c>
      <c r="U91" s="38" t="str">
        <f t="shared" si="12"/>
        <v/>
      </c>
      <c r="V91" s="38" t="str">
        <f t="shared" si="13"/>
        <v/>
      </c>
      <c r="W91" s="38" t="str">
        <f>IF(N91="","",_xludf.RANK.EQ(N91,$N$5:$N$104,0))</f>
        <v/>
      </c>
      <c r="X91" s="38" t="str">
        <f t="shared" si="14"/>
        <v/>
      </c>
      <c r="Y91" s="28" t="str">
        <f>IF(U91="","",IFERROR(INDEX('بانک راهکارها'!$C$5:$C$13,MATCH(U91,'بانک راهکارها'!$B$5:$B$13,0)),""))</f>
        <v/>
      </c>
    </row>
    <row r="92" spans="1:25" ht="17.25">
      <c r="A92" s="33" t="str">
        <f>IF(دانش‌آموزان!L92="","",دانش‌آموزان!B92)</f>
        <v/>
      </c>
      <c r="B92" s="55" t="str">
        <f>IF(A92="","",دانش‌آموزان!C92)</f>
        <v/>
      </c>
      <c r="C92" s="55" t="str">
        <f>IF(A92="","",دانش‌آموزان!E92&amp;" "&amp;دانش‌آموزان!F92)</f>
        <v/>
      </c>
      <c r="D92" s="34" t="str">
        <f>IF(A92="","",دانش‌آموزان!I92)</f>
        <v/>
      </c>
      <c r="E92" s="27" t="str">
        <f>IF(A92="","",IFERROR(AVERAGEIFS('ثبت اطلاعات'!$CC$5:$CC$1204,'ثبت اطلاعات'!$C$5:$C$1204,A92,'ثبت اطلاعات'!$CL$5:$CL$1204,"&lt;&gt;"),""))</f>
        <v/>
      </c>
      <c r="F92" s="38" t="str">
        <f>IF(A92="","",IFERROR(AVERAGEIFS('ثبت اطلاعات'!$CD$5:$CD$1204,'ثبت اطلاعات'!$C$5:$C$1204,A92,'ثبت اطلاعات'!$CL$5:$CL$1204,"&lt;&gt;"),""))</f>
        <v/>
      </c>
      <c r="G92" s="38" t="str">
        <f>IF(A92="","",IFERROR(AVERAGEIFS('ثبت اطلاعات'!$CE$5:$CE$1204,'ثبت اطلاعات'!$C$5:$C$1204,A92,'ثبت اطلاعات'!$CL$5:$CL$1204,"&lt;&gt;"),""))</f>
        <v/>
      </c>
      <c r="H92" s="38" t="str">
        <f>IF(A92="","",IFERROR(AVERAGEIFS('ثبت اطلاعات'!$CF$5:$CF$1204,'ثبت اطلاعات'!$C$5:$C$1204,A92,'ثبت اطلاعات'!$CL$5:$CL$1204,"&lt;&gt;"),""))</f>
        <v/>
      </c>
      <c r="I92" s="38" t="str">
        <f>IF(A92="","",IFERROR(AVERAGEIFS('ثبت اطلاعات'!$CG$5:$CG$1204,'ثبت اطلاعات'!$C$5:$C$1204,A92,'ثبت اطلاعات'!$CL$5:$CL$1204,"&lt;&gt;"),""))</f>
        <v/>
      </c>
      <c r="J92" s="38" t="str">
        <f>IF(A92="","",IFERROR(AVERAGEIFS('ثبت اطلاعات'!$CH$5:$CH$1204,'ثبت اطلاعات'!$C$5:$C$1204,A92,'ثبت اطلاعات'!$CL$5:$CL$1204,"&lt;&gt;"),""))</f>
        <v/>
      </c>
      <c r="K92" s="38" t="str">
        <f>IF(A92="","",IFERROR(AVERAGEIFS('ثبت اطلاعات'!$CI$5:$CI$1204,'ثبت اطلاعات'!$C$5:$C$1204,A92,'ثبت اطلاعات'!$CL$5:$CL$1204,"&lt;&gt;"),""))</f>
        <v/>
      </c>
      <c r="L92" s="38" t="str">
        <f>IF(A92="","",IFERROR(AVERAGEIFS('ثبت اطلاعات'!$CJ$5:$CJ$1204,'ثبت اطلاعات'!$C$5:$C$1204,A92,'ثبت اطلاعات'!$CL$5:$CL$1204,"&lt;&gt;"),""))</f>
        <v/>
      </c>
      <c r="M92" s="38" t="str">
        <f>IF(A92="","",IFERROR(AVERAGEIFS('ثبت اطلاعات'!$CK$5:$CK$1204,'ثبت اطلاعات'!$C$5:$C$1204,A92,'ثبت اطلاعات'!$CL$5:$CL$1204,"&lt;&gt;"),""))</f>
        <v/>
      </c>
      <c r="N92" s="38" t="str">
        <f>IF(A92="","",IFERROR(AVERAGEIFS('ثبت اطلاعات'!$CL$5:$CL$1204,'ثبت اطلاعات'!$C$5:$C$1204,A92,'ثبت اطلاعات'!$CL$5:$CL$1204,"&lt;&gt;"),""))</f>
        <v/>
      </c>
      <c r="O92" s="38" t="str">
        <f>IF(A92="","",COUNTIFS('ثبت اطلاعات'!$C$5:$C$1204,A92,'ثبت اطلاعات'!$CL$5:$CL$1204,"&lt;&gt;"))</f>
        <v/>
      </c>
      <c r="P92" s="38" t="e">
        <f ca="1">IF(O92=0,"",_xludf.MINIFS('ثبت اطلاعات'!$CN$5:$CN$1204,'ثبت اطلاعات'!$C$5:$C$1204,A92,'ثبت اطلاعات'!$CL$5:$CL$1204,"&lt;&gt;"))</f>
        <v>#NAME?</v>
      </c>
      <c r="Q92" s="38" t="e">
        <f ca="1">IF(O92=0,"",_xludf.MAXIFS('ثبت اطلاعات'!$CN$5:$CN$1204,'ثبت اطلاعات'!$C$5:$C$1204,A92,'ثبت اطلاعات'!$CL$5:$CL$1204,"&lt;&gt;"))</f>
        <v>#NAME?</v>
      </c>
      <c r="R92" s="38">
        <f ca="1">IF(O92&lt;2,"",SUMIFS('ثبت اطلاعات'!$CL$5:$CL$1204,'ثبت اطلاعات'!$C$5:$C$1204,A92,'ثبت اطلاعات'!$CN$5:$CN$1204,Q92)-SUMIFS('ثبت اطلاعات'!$CL$5:$CL$1204,'ثبت اطلاعات'!$C$5:$C$1204,A92,'ثبت اطلاعات'!$CN$5:$CN$1204,P92))</f>
        <v>0</v>
      </c>
      <c r="S92" s="38" t="str">
        <f t="shared" si="10"/>
        <v/>
      </c>
      <c r="T92" s="38" t="str">
        <f t="shared" si="11"/>
        <v/>
      </c>
      <c r="U92" s="38" t="str">
        <f t="shared" si="12"/>
        <v/>
      </c>
      <c r="V92" s="38" t="str">
        <f t="shared" si="13"/>
        <v/>
      </c>
      <c r="W92" s="38" t="str">
        <f>IF(N92="","",_xludf.RANK.EQ(N92,$N$5:$N$104,0))</f>
        <v/>
      </c>
      <c r="X92" s="38" t="str">
        <f t="shared" si="14"/>
        <v/>
      </c>
      <c r="Y92" s="28" t="str">
        <f>IF(U92="","",IFERROR(INDEX('بانک راهکارها'!$C$5:$C$13,MATCH(U92,'بانک راهکارها'!$B$5:$B$13,0)),""))</f>
        <v/>
      </c>
    </row>
    <row r="93" spans="1:25" ht="17.25">
      <c r="A93" s="33" t="str">
        <f>IF(دانش‌آموزان!L93="","",دانش‌آموزان!B93)</f>
        <v/>
      </c>
      <c r="B93" s="55" t="str">
        <f>IF(A93="","",دانش‌آموزان!C93)</f>
        <v/>
      </c>
      <c r="C93" s="55" t="str">
        <f>IF(A93="","",دانش‌آموزان!E93&amp;" "&amp;دانش‌آموزان!F93)</f>
        <v/>
      </c>
      <c r="D93" s="34" t="str">
        <f>IF(A93="","",دانش‌آموزان!I93)</f>
        <v/>
      </c>
      <c r="E93" s="27" t="str">
        <f>IF(A93="","",IFERROR(AVERAGEIFS('ثبت اطلاعات'!$CC$5:$CC$1204,'ثبت اطلاعات'!$C$5:$C$1204,A93,'ثبت اطلاعات'!$CL$5:$CL$1204,"&lt;&gt;"),""))</f>
        <v/>
      </c>
      <c r="F93" s="38" t="str">
        <f>IF(A93="","",IFERROR(AVERAGEIFS('ثبت اطلاعات'!$CD$5:$CD$1204,'ثبت اطلاعات'!$C$5:$C$1204,A93,'ثبت اطلاعات'!$CL$5:$CL$1204,"&lt;&gt;"),""))</f>
        <v/>
      </c>
      <c r="G93" s="38" t="str">
        <f>IF(A93="","",IFERROR(AVERAGEIFS('ثبت اطلاعات'!$CE$5:$CE$1204,'ثبت اطلاعات'!$C$5:$C$1204,A93,'ثبت اطلاعات'!$CL$5:$CL$1204,"&lt;&gt;"),""))</f>
        <v/>
      </c>
      <c r="H93" s="38" t="str">
        <f>IF(A93="","",IFERROR(AVERAGEIFS('ثبت اطلاعات'!$CF$5:$CF$1204,'ثبت اطلاعات'!$C$5:$C$1204,A93,'ثبت اطلاعات'!$CL$5:$CL$1204,"&lt;&gt;"),""))</f>
        <v/>
      </c>
      <c r="I93" s="38" t="str">
        <f>IF(A93="","",IFERROR(AVERAGEIFS('ثبت اطلاعات'!$CG$5:$CG$1204,'ثبت اطلاعات'!$C$5:$C$1204,A93,'ثبت اطلاعات'!$CL$5:$CL$1204,"&lt;&gt;"),""))</f>
        <v/>
      </c>
      <c r="J93" s="38" t="str">
        <f>IF(A93="","",IFERROR(AVERAGEIFS('ثبت اطلاعات'!$CH$5:$CH$1204,'ثبت اطلاعات'!$C$5:$C$1204,A93,'ثبت اطلاعات'!$CL$5:$CL$1204,"&lt;&gt;"),""))</f>
        <v/>
      </c>
      <c r="K93" s="38" t="str">
        <f>IF(A93="","",IFERROR(AVERAGEIFS('ثبت اطلاعات'!$CI$5:$CI$1204,'ثبت اطلاعات'!$C$5:$C$1204,A93,'ثبت اطلاعات'!$CL$5:$CL$1204,"&lt;&gt;"),""))</f>
        <v/>
      </c>
      <c r="L93" s="38" t="str">
        <f>IF(A93="","",IFERROR(AVERAGEIFS('ثبت اطلاعات'!$CJ$5:$CJ$1204,'ثبت اطلاعات'!$C$5:$C$1204,A93,'ثبت اطلاعات'!$CL$5:$CL$1204,"&lt;&gt;"),""))</f>
        <v/>
      </c>
      <c r="M93" s="38" t="str">
        <f>IF(A93="","",IFERROR(AVERAGEIFS('ثبت اطلاعات'!$CK$5:$CK$1204,'ثبت اطلاعات'!$C$5:$C$1204,A93,'ثبت اطلاعات'!$CL$5:$CL$1204,"&lt;&gt;"),""))</f>
        <v/>
      </c>
      <c r="N93" s="38" t="str">
        <f>IF(A93="","",IFERROR(AVERAGEIFS('ثبت اطلاعات'!$CL$5:$CL$1204,'ثبت اطلاعات'!$C$5:$C$1204,A93,'ثبت اطلاعات'!$CL$5:$CL$1204,"&lt;&gt;"),""))</f>
        <v/>
      </c>
      <c r="O93" s="38" t="str">
        <f>IF(A93="","",COUNTIFS('ثبت اطلاعات'!$C$5:$C$1204,A93,'ثبت اطلاعات'!$CL$5:$CL$1204,"&lt;&gt;"))</f>
        <v/>
      </c>
      <c r="P93" s="38" t="e">
        <f ca="1">IF(O93=0,"",_xludf.MINIFS('ثبت اطلاعات'!$CN$5:$CN$1204,'ثبت اطلاعات'!$C$5:$C$1204,A93,'ثبت اطلاعات'!$CL$5:$CL$1204,"&lt;&gt;"))</f>
        <v>#NAME?</v>
      </c>
      <c r="Q93" s="38" t="e">
        <f ca="1">IF(O93=0,"",_xludf.MAXIFS('ثبت اطلاعات'!$CN$5:$CN$1204,'ثبت اطلاعات'!$C$5:$C$1204,A93,'ثبت اطلاعات'!$CL$5:$CL$1204,"&lt;&gt;"))</f>
        <v>#NAME?</v>
      </c>
      <c r="R93" s="38">
        <f ca="1">IF(O93&lt;2,"",SUMIFS('ثبت اطلاعات'!$CL$5:$CL$1204,'ثبت اطلاعات'!$C$5:$C$1204,A93,'ثبت اطلاعات'!$CN$5:$CN$1204,Q93)-SUMIFS('ثبت اطلاعات'!$CL$5:$CL$1204,'ثبت اطلاعات'!$C$5:$C$1204,A93,'ثبت اطلاعات'!$CN$5:$CN$1204,P93))</f>
        <v>0</v>
      </c>
      <c r="S93" s="38" t="str">
        <f t="shared" si="10"/>
        <v/>
      </c>
      <c r="T93" s="38" t="str">
        <f t="shared" si="11"/>
        <v/>
      </c>
      <c r="U93" s="38" t="str">
        <f t="shared" si="12"/>
        <v/>
      </c>
      <c r="V93" s="38" t="str">
        <f t="shared" si="13"/>
        <v/>
      </c>
      <c r="W93" s="38" t="str">
        <f>IF(N93="","",_xludf.RANK.EQ(N93,$N$5:$N$104,0))</f>
        <v/>
      </c>
      <c r="X93" s="38" t="str">
        <f t="shared" si="14"/>
        <v/>
      </c>
      <c r="Y93" s="28" t="str">
        <f>IF(U93="","",IFERROR(INDEX('بانک راهکارها'!$C$5:$C$13,MATCH(U93,'بانک راهکارها'!$B$5:$B$13,0)),""))</f>
        <v/>
      </c>
    </row>
    <row r="94" spans="1:25" ht="17.25">
      <c r="A94" s="33" t="str">
        <f>IF(دانش‌آموزان!L94="","",دانش‌آموزان!B94)</f>
        <v/>
      </c>
      <c r="B94" s="55" t="str">
        <f>IF(A94="","",دانش‌آموزان!C94)</f>
        <v/>
      </c>
      <c r="C94" s="55" t="str">
        <f>IF(A94="","",دانش‌آموزان!E94&amp;" "&amp;دانش‌آموزان!F94)</f>
        <v/>
      </c>
      <c r="D94" s="34" t="str">
        <f>IF(A94="","",دانش‌آموزان!I94)</f>
        <v/>
      </c>
      <c r="E94" s="27" t="str">
        <f>IF(A94="","",IFERROR(AVERAGEIFS('ثبت اطلاعات'!$CC$5:$CC$1204,'ثبت اطلاعات'!$C$5:$C$1204,A94,'ثبت اطلاعات'!$CL$5:$CL$1204,"&lt;&gt;"),""))</f>
        <v/>
      </c>
      <c r="F94" s="38" t="str">
        <f>IF(A94="","",IFERROR(AVERAGEIFS('ثبت اطلاعات'!$CD$5:$CD$1204,'ثبت اطلاعات'!$C$5:$C$1204,A94,'ثبت اطلاعات'!$CL$5:$CL$1204,"&lt;&gt;"),""))</f>
        <v/>
      </c>
      <c r="G94" s="38" t="str">
        <f>IF(A94="","",IFERROR(AVERAGEIFS('ثبت اطلاعات'!$CE$5:$CE$1204,'ثبت اطلاعات'!$C$5:$C$1204,A94,'ثبت اطلاعات'!$CL$5:$CL$1204,"&lt;&gt;"),""))</f>
        <v/>
      </c>
      <c r="H94" s="38" t="str">
        <f>IF(A94="","",IFERROR(AVERAGEIFS('ثبت اطلاعات'!$CF$5:$CF$1204,'ثبت اطلاعات'!$C$5:$C$1204,A94,'ثبت اطلاعات'!$CL$5:$CL$1204,"&lt;&gt;"),""))</f>
        <v/>
      </c>
      <c r="I94" s="38" t="str">
        <f>IF(A94="","",IFERROR(AVERAGEIFS('ثبت اطلاعات'!$CG$5:$CG$1204,'ثبت اطلاعات'!$C$5:$C$1204,A94,'ثبت اطلاعات'!$CL$5:$CL$1204,"&lt;&gt;"),""))</f>
        <v/>
      </c>
      <c r="J94" s="38" t="str">
        <f>IF(A94="","",IFERROR(AVERAGEIFS('ثبت اطلاعات'!$CH$5:$CH$1204,'ثبت اطلاعات'!$C$5:$C$1204,A94,'ثبت اطلاعات'!$CL$5:$CL$1204,"&lt;&gt;"),""))</f>
        <v/>
      </c>
      <c r="K94" s="38" t="str">
        <f>IF(A94="","",IFERROR(AVERAGEIFS('ثبت اطلاعات'!$CI$5:$CI$1204,'ثبت اطلاعات'!$C$5:$C$1204,A94,'ثبت اطلاعات'!$CL$5:$CL$1204,"&lt;&gt;"),""))</f>
        <v/>
      </c>
      <c r="L94" s="38" t="str">
        <f>IF(A94="","",IFERROR(AVERAGEIFS('ثبت اطلاعات'!$CJ$5:$CJ$1204,'ثبت اطلاعات'!$C$5:$C$1204,A94,'ثبت اطلاعات'!$CL$5:$CL$1204,"&lt;&gt;"),""))</f>
        <v/>
      </c>
      <c r="M94" s="38" t="str">
        <f>IF(A94="","",IFERROR(AVERAGEIFS('ثبت اطلاعات'!$CK$5:$CK$1204,'ثبت اطلاعات'!$C$5:$C$1204,A94,'ثبت اطلاعات'!$CL$5:$CL$1204,"&lt;&gt;"),""))</f>
        <v/>
      </c>
      <c r="N94" s="38" t="str">
        <f>IF(A94="","",IFERROR(AVERAGEIFS('ثبت اطلاعات'!$CL$5:$CL$1204,'ثبت اطلاعات'!$C$5:$C$1204,A94,'ثبت اطلاعات'!$CL$5:$CL$1204,"&lt;&gt;"),""))</f>
        <v/>
      </c>
      <c r="O94" s="38" t="str">
        <f>IF(A94="","",COUNTIFS('ثبت اطلاعات'!$C$5:$C$1204,A94,'ثبت اطلاعات'!$CL$5:$CL$1204,"&lt;&gt;"))</f>
        <v/>
      </c>
      <c r="P94" s="38" t="e">
        <f ca="1">IF(O94=0,"",_xludf.MINIFS('ثبت اطلاعات'!$CN$5:$CN$1204,'ثبت اطلاعات'!$C$5:$C$1204,A94,'ثبت اطلاعات'!$CL$5:$CL$1204,"&lt;&gt;"))</f>
        <v>#NAME?</v>
      </c>
      <c r="Q94" s="38" t="e">
        <f ca="1">IF(O94=0,"",_xludf.MAXIFS('ثبت اطلاعات'!$CN$5:$CN$1204,'ثبت اطلاعات'!$C$5:$C$1204,A94,'ثبت اطلاعات'!$CL$5:$CL$1204,"&lt;&gt;"))</f>
        <v>#NAME?</v>
      </c>
      <c r="R94" s="38">
        <f ca="1">IF(O94&lt;2,"",SUMIFS('ثبت اطلاعات'!$CL$5:$CL$1204,'ثبت اطلاعات'!$C$5:$C$1204,A94,'ثبت اطلاعات'!$CN$5:$CN$1204,Q94)-SUMIFS('ثبت اطلاعات'!$CL$5:$CL$1204,'ثبت اطلاعات'!$C$5:$C$1204,A94,'ثبت اطلاعات'!$CN$5:$CN$1204,P94))</f>
        <v>0</v>
      </c>
      <c r="S94" s="38" t="str">
        <f t="shared" si="10"/>
        <v/>
      </c>
      <c r="T94" s="38" t="str">
        <f t="shared" si="11"/>
        <v/>
      </c>
      <c r="U94" s="38" t="str">
        <f t="shared" si="12"/>
        <v/>
      </c>
      <c r="V94" s="38" t="str">
        <f t="shared" si="13"/>
        <v/>
      </c>
      <c r="W94" s="38" t="str">
        <f>IF(N94="","",_xludf.RANK.EQ(N94,$N$5:$N$104,0))</f>
        <v/>
      </c>
      <c r="X94" s="38" t="str">
        <f t="shared" si="14"/>
        <v/>
      </c>
      <c r="Y94" s="28" t="str">
        <f>IF(U94="","",IFERROR(INDEX('بانک راهکارها'!$C$5:$C$13,MATCH(U94,'بانک راهکارها'!$B$5:$B$13,0)),""))</f>
        <v/>
      </c>
    </row>
    <row r="95" spans="1:25" ht="17.25">
      <c r="A95" s="33" t="str">
        <f>IF(دانش‌آموزان!L95="","",دانش‌آموزان!B95)</f>
        <v/>
      </c>
      <c r="B95" s="55" t="str">
        <f>IF(A95="","",دانش‌آموزان!C95)</f>
        <v/>
      </c>
      <c r="C95" s="55" t="str">
        <f>IF(A95="","",دانش‌آموزان!E95&amp;" "&amp;دانش‌آموزان!F95)</f>
        <v/>
      </c>
      <c r="D95" s="34" t="str">
        <f>IF(A95="","",دانش‌آموزان!I95)</f>
        <v/>
      </c>
      <c r="E95" s="27" t="str">
        <f>IF(A95="","",IFERROR(AVERAGEIFS('ثبت اطلاعات'!$CC$5:$CC$1204,'ثبت اطلاعات'!$C$5:$C$1204,A95,'ثبت اطلاعات'!$CL$5:$CL$1204,"&lt;&gt;"),""))</f>
        <v/>
      </c>
      <c r="F95" s="38" t="str">
        <f>IF(A95="","",IFERROR(AVERAGEIFS('ثبت اطلاعات'!$CD$5:$CD$1204,'ثبت اطلاعات'!$C$5:$C$1204,A95,'ثبت اطلاعات'!$CL$5:$CL$1204,"&lt;&gt;"),""))</f>
        <v/>
      </c>
      <c r="G95" s="38" t="str">
        <f>IF(A95="","",IFERROR(AVERAGEIFS('ثبت اطلاعات'!$CE$5:$CE$1204,'ثبت اطلاعات'!$C$5:$C$1204,A95,'ثبت اطلاعات'!$CL$5:$CL$1204,"&lt;&gt;"),""))</f>
        <v/>
      </c>
      <c r="H95" s="38" t="str">
        <f>IF(A95="","",IFERROR(AVERAGEIFS('ثبت اطلاعات'!$CF$5:$CF$1204,'ثبت اطلاعات'!$C$5:$C$1204,A95,'ثبت اطلاعات'!$CL$5:$CL$1204,"&lt;&gt;"),""))</f>
        <v/>
      </c>
      <c r="I95" s="38" t="str">
        <f>IF(A95="","",IFERROR(AVERAGEIFS('ثبت اطلاعات'!$CG$5:$CG$1204,'ثبت اطلاعات'!$C$5:$C$1204,A95,'ثبت اطلاعات'!$CL$5:$CL$1204,"&lt;&gt;"),""))</f>
        <v/>
      </c>
      <c r="J95" s="38" t="str">
        <f>IF(A95="","",IFERROR(AVERAGEIFS('ثبت اطلاعات'!$CH$5:$CH$1204,'ثبت اطلاعات'!$C$5:$C$1204,A95,'ثبت اطلاعات'!$CL$5:$CL$1204,"&lt;&gt;"),""))</f>
        <v/>
      </c>
      <c r="K95" s="38" t="str">
        <f>IF(A95="","",IFERROR(AVERAGEIFS('ثبت اطلاعات'!$CI$5:$CI$1204,'ثبت اطلاعات'!$C$5:$C$1204,A95,'ثبت اطلاعات'!$CL$5:$CL$1204,"&lt;&gt;"),""))</f>
        <v/>
      </c>
      <c r="L95" s="38" t="str">
        <f>IF(A95="","",IFERROR(AVERAGEIFS('ثبت اطلاعات'!$CJ$5:$CJ$1204,'ثبت اطلاعات'!$C$5:$C$1204,A95,'ثبت اطلاعات'!$CL$5:$CL$1204,"&lt;&gt;"),""))</f>
        <v/>
      </c>
      <c r="M95" s="38" t="str">
        <f>IF(A95="","",IFERROR(AVERAGEIFS('ثبت اطلاعات'!$CK$5:$CK$1204,'ثبت اطلاعات'!$C$5:$C$1204,A95,'ثبت اطلاعات'!$CL$5:$CL$1204,"&lt;&gt;"),""))</f>
        <v/>
      </c>
      <c r="N95" s="38" t="str">
        <f>IF(A95="","",IFERROR(AVERAGEIFS('ثبت اطلاعات'!$CL$5:$CL$1204,'ثبت اطلاعات'!$C$5:$C$1204,A95,'ثبت اطلاعات'!$CL$5:$CL$1204,"&lt;&gt;"),""))</f>
        <v/>
      </c>
      <c r="O95" s="38" t="str">
        <f>IF(A95="","",COUNTIFS('ثبت اطلاعات'!$C$5:$C$1204,A95,'ثبت اطلاعات'!$CL$5:$CL$1204,"&lt;&gt;"))</f>
        <v/>
      </c>
      <c r="P95" s="38" t="e">
        <f ca="1">IF(O95=0,"",_xludf.MINIFS('ثبت اطلاعات'!$CN$5:$CN$1204,'ثبت اطلاعات'!$C$5:$C$1204,A95,'ثبت اطلاعات'!$CL$5:$CL$1204,"&lt;&gt;"))</f>
        <v>#NAME?</v>
      </c>
      <c r="Q95" s="38" t="e">
        <f ca="1">IF(O95=0,"",_xludf.MAXIFS('ثبت اطلاعات'!$CN$5:$CN$1204,'ثبت اطلاعات'!$C$5:$C$1204,A95,'ثبت اطلاعات'!$CL$5:$CL$1204,"&lt;&gt;"))</f>
        <v>#NAME?</v>
      </c>
      <c r="R95" s="38">
        <f ca="1">IF(O95&lt;2,"",SUMIFS('ثبت اطلاعات'!$CL$5:$CL$1204,'ثبت اطلاعات'!$C$5:$C$1204,A95,'ثبت اطلاعات'!$CN$5:$CN$1204,Q95)-SUMIFS('ثبت اطلاعات'!$CL$5:$CL$1204,'ثبت اطلاعات'!$C$5:$C$1204,A95,'ثبت اطلاعات'!$CN$5:$CN$1204,P95))</f>
        <v>0</v>
      </c>
      <c r="S95" s="38" t="str">
        <f t="shared" si="10"/>
        <v/>
      </c>
      <c r="T95" s="38" t="str">
        <f t="shared" si="11"/>
        <v/>
      </c>
      <c r="U95" s="38" t="str">
        <f t="shared" si="12"/>
        <v/>
      </c>
      <c r="V95" s="38" t="str">
        <f t="shared" si="13"/>
        <v/>
      </c>
      <c r="W95" s="38" t="str">
        <f>IF(N95="","",_xludf.RANK.EQ(N95,$N$5:$N$104,0))</f>
        <v/>
      </c>
      <c r="X95" s="38" t="str">
        <f t="shared" si="14"/>
        <v/>
      </c>
      <c r="Y95" s="28" t="str">
        <f>IF(U95="","",IFERROR(INDEX('بانک راهکارها'!$C$5:$C$13,MATCH(U95,'بانک راهکارها'!$B$5:$B$13,0)),""))</f>
        <v/>
      </c>
    </row>
    <row r="96" spans="1:25" ht="17.25">
      <c r="A96" s="33" t="str">
        <f>IF(دانش‌آموزان!L96="","",دانش‌آموزان!B96)</f>
        <v/>
      </c>
      <c r="B96" s="55" t="str">
        <f>IF(A96="","",دانش‌آموزان!C96)</f>
        <v/>
      </c>
      <c r="C96" s="55" t="str">
        <f>IF(A96="","",دانش‌آموزان!E96&amp;" "&amp;دانش‌آموزان!F96)</f>
        <v/>
      </c>
      <c r="D96" s="34" t="str">
        <f>IF(A96="","",دانش‌آموزان!I96)</f>
        <v/>
      </c>
      <c r="E96" s="27" t="str">
        <f>IF(A96="","",IFERROR(AVERAGEIFS('ثبت اطلاعات'!$CC$5:$CC$1204,'ثبت اطلاعات'!$C$5:$C$1204,A96,'ثبت اطلاعات'!$CL$5:$CL$1204,"&lt;&gt;"),""))</f>
        <v/>
      </c>
      <c r="F96" s="38" t="str">
        <f>IF(A96="","",IFERROR(AVERAGEIFS('ثبت اطلاعات'!$CD$5:$CD$1204,'ثبت اطلاعات'!$C$5:$C$1204,A96,'ثبت اطلاعات'!$CL$5:$CL$1204,"&lt;&gt;"),""))</f>
        <v/>
      </c>
      <c r="G96" s="38" t="str">
        <f>IF(A96="","",IFERROR(AVERAGEIFS('ثبت اطلاعات'!$CE$5:$CE$1204,'ثبت اطلاعات'!$C$5:$C$1204,A96,'ثبت اطلاعات'!$CL$5:$CL$1204,"&lt;&gt;"),""))</f>
        <v/>
      </c>
      <c r="H96" s="38" t="str">
        <f>IF(A96="","",IFERROR(AVERAGEIFS('ثبت اطلاعات'!$CF$5:$CF$1204,'ثبت اطلاعات'!$C$5:$C$1204,A96,'ثبت اطلاعات'!$CL$5:$CL$1204,"&lt;&gt;"),""))</f>
        <v/>
      </c>
      <c r="I96" s="38" t="str">
        <f>IF(A96="","",IFERROR(AVERAGEIFS('ثبت اطلاعات'!$CG$5:$CG$1204,'ثبت اطلاعات'!$C$5:$C$1204,A96,'ثبت اطلاعات'!$CL$5:$CL$1204,"&lt;&gt;"),""))</f>
        <v/>
      </c>
      <c r="J96" s="38" t="str">
        <f>IF(A96="","",IFERROR(AVERAGEIFS('ثبت اطلاعات'!$CH$5:$CH$1204,'ثبت اطلاعات'!$C$5:$C$1204,A96,'ثبت اطلاعات'!$CL$5:$CL$1204,"&lt;&gt;"),""))</f>
        <v/>
      </c>
      <c r="K96" s="38" t="str">
        <f>IF(A96="","",IFERROR(AVERAGEIFS('ثبت اطلاعات'!$CI$5:$CI$1204,'ثبت اطلاعات'!$C$5:$C$1204,A96,'ثبت اطلاعات'!$CL$5:$CL$1204,"&lt;&gt;"),""))</f>
        <v/>
      </c>
      <c r="L96" s="38" t="str">
        <f>IF(A96="","",IFERROR(AVERAGEIFS('ثبت اطلاعات'!$CJ$5:$CJ$1204,'ثبت اطلاعات'!$C$5:$C$1204,A96,'ثبت اطلاعات'!$CL$5:$CL$1204,"&lt;&gt;"),""))</f>
        <v/>
      </c>
      <c r="M96" s="38" t="str">
        <f>IF(A96="","",IFERROR(AVERAGEIFS('ثبت اطلاعات'!$CK$5:$CK$1204,'ثبت اطلاعات'!$C$5:$C$1204,A96,'ثبت اطلاعات'!$CL$5:$CL$1204,"&lt;&gt;"),""))</f>
        <v/>
      </c>
      <c r="N96" s="38" t="str">
        <f>IF(A96="","",IFERROR(AVERAGEIFS('ثبت اطلاعات'!$CL$5:$CL$1204,'ثبت اطلاعات'!$C$5:$C$1204,A96,'ثبت اطلاعات'!$CL$5:$CL$1204,"&lt;&gt;"),""))</f>
        <v/>
      </c>
      <c r="O96" s="38" t="str">
        <f>IF(A96="","",COUNTIFS('ثبت اطلاعات'!$C$5:$C$1204,A96,'ثبت اطلاعات'!$CL$5:$CL$1204,"&lt;&gt;"))</f>
        <v/>
      </c>
      <c r="P96" s="38" t="e">
        <f ca="1">IF(O96=0,"",_xludf.MINIFS('ثبت اطلاعات'!$CN$5:$CN$1204,'ثبت اطلاعات'!$C$5:$C$1204,A96,'ثبت اطلاعات'!$CL$5:$CL$1204,"&lt;&gt;"))</f>
        <v>#NAME?</v>
      </c>
      <c r="Q96" s="38" t="e">
        <f ca="1">IF(O96=0,"",_xludf.MAXIFS('ثبت اطلاعات'!$CN$5:$CN$1204,'ثبت اطلاعات'!$C$5:$C$1204,A96,'ثبت اطلاعات'!$CL$5:$CL$1204,"&lt;&gt;"))</f>
        <v>#NAME?</v>
      </c>
      <c r="R96" s="38">
        <f ca="1">IF(O96&lt;2,"",SUMIFS('ثبت اطلاعات'!$CL$5:$CL$1204,'ثبت اطلاعات'!$C$5:$C$1204,A96,'ثبت اطلاعات'!$CN$5:$CN$1204,Q96)-SUMIFS('ثبت اطلاعات'!$CL$5:$CL$1204,'ثبت اطلاعات'!$C$5:$C$1204,A96,'ثبت اطلاعات'!$CN$5:$CN$1204,P96))</f>
        <v>0</v>
      </c>
      <c r="S96" s="38" t="str">
        <f t="shared" si="10"/>
        <v/>
      </c>
      <c r="T96" s="38" t="str">
        <f t="shared" si="11"/>
        <v/>
      </c>
      <c r="U96" s="38" t="str">
        <f t="shared" si="12"/>
        <v/>
      </c>
      <c r="V96" s="38" t="str">
        <f t="shared" si="13"/>
        <v/>
      </c>
      <c r="W96" s="38" t="str">
        <f>IF(N96="","",_xludf.RANK.EQ(N96,$N$5:$N$104,0))</f>
        <v/>
      </c>
      <c r="X96" s="38" t="str">
        <f t="shared" si="14"/>
        <v/>
      </c>
      <c r="Y96" s="28" t="str">
        <f>IF(U96="","",IFERROR(INDEX('بانک راهکارها'!$C$5:$C$13,MATCH(U96,'بانک راهکارها'!$B$5:$B$13,0)),""))</f>
        <v/>
      </c>
    </row>
    <row r="97" spans="1:25" ht="17.25">
      <c r="A97" s="33" t="str">
        <f>IF(دانش‌آموزان!L97="","",دانش‌آموزان!B97)</f>
        <v/>
      </c>
      <c r="B97" s="55" t="str">
        <f>IF(A97="","",دانش‌آموزان!C97)</f>
        <v/>
      </c>
      <c r="C97" s="55" t="str">
        <f>IF(A97="","",دانش‌آموزان!E97&amp;" "&amp;دانش‌آموزان!F97)</f>
        <v/>
      </c>
      <c r="D97" s="34" t="str">
        <f>IF(A97="","",دانش‌آموزان!I97)</f>
        <v/>
      </c>
      <c r="E97" s="27" t="str">
        <f>IF(A97="","",IFERROR(AVERAGEIFS('ثبت اطلاعات'!$CC$5:$CC$1204,'ثبت اطلاعات'!$C$5:$C$1204,A97,'ثبت اطلاعات'!$CL$5:$CL$1204,"&lt;&gt;"),""))</f>
        <v/>
      </c>
      <c r="F97" s="38" t="str">
        <f>IF(A97="","",IFERROR(AVERAGEIFS('ثبت اطلاعات'!$CD$5:$CD$1204,'ثبت اطلاعات'!$C$5:$C$1204,A97,'ثبت اطلاعات'!$CL$5:$CL$1204,"&lt;&gt;"),""))</f>
        <v/>
      </c>
      <c r="G97" s="38" t="str">
        <f>IF(A97="","",IFERROR(AVERAGEIFS('ثبت اطلاعات'!$CE$5:$CE$1204,'ثبت اطلاعات'!$C$5:$C$1204,A97,'ثبت اطلاعات'!$CL$5:$CL$1204,"&lt;&gt;"),""))</f>
        <v/>
      </c>
      <c r="H97" s="38" t="str">
        <f>IF(A97="","",IFERROR(AVERAGEIFS('ثبت اطلاعات'!$CF$5:$CF$1204,'ثبت اطلاعات'!$C$5:$C$1204,A97,'ثبت اطلاعات'!$CL$5:$CL$1204,"&lt;&gt;"),""))</f>
        <v/>
      </c>
      <c r="I97" s="38" t="str">
        <f>IF(A97="","",IFERROR(AVERAGEIFS('ثبت اطلاعات'!$CG$5:$CG$1204,'ثبت اطلاعات'!$C$5:$C$1204,A97,'ثبت اطلاعات'!$CL$5:$CL$1204,"&lt;&gt;"),""))</f>
        <v/>
      </c>
      <c r="J97" s="38" t="str">
        <f>IF(A97="","",IFERROR(AVERAGEIFS('ثبت اطلاعات'!$CH$5:$CH$1204,'ثبت اطلاعات'!$C$5:$C$1204,A97,'ثبت اطلاعات'!$CL$5:$CL$1204,"&lt;&gt;"),""))</f>
        <v/>
      </c>
      <c r="K97" s="38" t="str">
        <f>IF(A97="","",IFERROR(AVERAGEIFS('ثبت اطلاعات'!$CI$5:$CI$1204,'ثبت اطلاعات'!$C$5:$C$1204,A97,'ثبت اطلاعات'!$CL$5:$CL$1204,"&lt;&gt;"),""))</f>
        <v/>
      </c>
      <c r="L97" s="38" t="str">
        <f>IF(A97="","",IFERROR(AVERAGEIFS('ثبت اطلاعات'!$CJ$5:$CJ$1204,'ثبت اطلاعات'!$C$5:$C$1204,A97,'ثبت اطلاعات'!$CL$5:$CL$1204,"&lt;&gt;"),""))</f>
        <v/>
      </c>
      <c r="M97" s="38" t="str">
        <f>IF(A97="","",IFERROR(AVERAGEIFS('ثبت اطلاعات'!$CK$5:$CK$1204,'ثبت اطلاعات'!$C$5:$C$1204,A97,'ثبت اطلاعات'!$CL$5:$CL$1204,"&lt;&gt;"),""))</f>
        <v/>
      </c>
      <c r="N97" s="38" t="str">
        <f>IF(A97="","",IFERROR(AVERAGEIFS('ثبت اطلاعات'!$CL$5:$CL$1204,'ثبت اطلاعات'!$C$5:$C$1204,A97,'ثبت اطلاعات'!$CL$5:$CL$1204,"&lt;&gt;"),""))</f>
        <v/>
      </c>
      <c r="O97" s="38" t="str">
        <f>IF(A97="","",COUNTIFS('ثبت اطلاعات'!$C$5:$C$1204,A97,'ثبت اطلاعات'!$CL$5:$CL$1204,"&lt;&gt;"))</f>
        <v/>
      </c>
      <c r="P97" s="38" t="e">
        <f ca="1">IF(O97=0,"",_xludf.MINIFS('ثبت اطلاعات'!$CN$5:$CN$1204,'ثبت اطلاعات'!$C$5:$C$1204,A97,'ثبت اطلاعات'!$CL$5:$CL$1204,"&lt;&gt;"))</f>
        <v>#NAME?</v>
      </c>
      <c r="Q97" s="38" t="e">
        <f ca="1">IF(O97=0,"",_xludf.MAXIFS('ثبت اطلاعات'!$CN$5:$CN$1204,'ثبت اطلاعات'!$C$5:$C$1204,A97,'ثبت اطلاعات'!$CL$5:$CL$1204,"&lt;&gt;"))</f>
        <v>#NAME?</v>
      </c>
      <c r="R97" s="38">
        <f ca="1">IF(O97&lt;2,"",SUMIFS('ثبت اطلاعات'!$CL$5:$CL$1204,'ثبت اطلاعات'!$C$5:$C$1204,A97,'ثبت اطلاعات'!$CN$5:$CN$1204,Q97)-SUMIFS('ثبت اطلاعات'!$CL$5:$CL$1204,'ثبت اطلاعات'!$C$5:$C$1204,A97,'ثبت اطلاعات'!$CN$5:$CN$1204,P97))</f>
        <v>0</v>
      </c>
      <c r="S97" s="38" t="str">
        <f t="shared" si="10"/>
        <v/>
      </c>
      <c r="T97" s="38" t="str">
        <f t="shared" si="11"/>
        <v/>
      </c>
      <c r="U97" s="38" t="str">
        <f t="shared" si="12"/>
        <v/>
      </c>
      <c r="V97" s="38" t="str">
        <f t="shared" si="13"/>
        <v/>
      </c>
      <c r="W97" s="38" t="str">
        <f>IF(N97="","",_xludf.RANK.EQ(N97,$N$5:$N$104,0))</f>
        <v/>
      </c>
      <c r="X97" s="38" t="str">
        <f t="shared" si="14"/>
        <v/>
      </c>
      <c r="Y97" s="28" t="str">
        <f>IF(U97="","",IFERROR(INDEX('بانک راهکارها'!$C$5:$C$13,MATCH(U97,'بانک راهکارها'!$B$5:$B$13,0)),""))</f>
        <v/>
      </c>
    </row>
    <row r="98" spans="1:25" ht="17.25">
      <c r="A98" s="33" t="str">
        <f>IF(دانش‌آموزان!L98="","",دانش‌آموزان!B98)</f>
        <v/>
      </c>
      <c r="B98" s="55" t="str">
        <f>IF(A98="","",دانش‌آموزان!C98)</f>
        <v/>
      </c>
      <c r="C98" s="55" t="str">
        <f>IF(A98="","",دانش‌آموزان!E98&amp;" "&amp;دانش‌آموزان!F98)</f>
        <v/>
      </c>
      <c r="D98" s="34" t="str">
        <f>IF(A98="","",دانش‌آموزان!I98)</f>
        <v/>
      </c>
      <c r="E98" s="27" t="str">
        <f>IF(A98="","",IFERROR(AVERAGEIFS('ثبت اطلاعات'!$CC$5:$CC$1204,'ثبت اطلاعات'!$C$5:$C$1204,A98,'ثبت اطلاعات'!$CL$5:$CL$1204,"&lt;&gt;"),""))</f>
        <v/>
      </c>
      <c r="F98" s="38" t="str">
        <f>IF(A98="","",IFERROR(AVERAGEIFS('ثبت اطلاعات'!$CD$5:$CD$1204,'ثبت اطلاعات'!$C$5:$C$1204,A98,'ثبت اطلاعات'!$CL$5:$CL$1204,"&lt;&gt;"),""))</f>
        <v/>
      </c>
      <c r="G98" s="38" t="str">
        <f>IF(A98="","",IFERROR(AVERAGEIFS('ثبت اطلاعات'!$CE$5:$CE$1204,'ثبت اطلاعات'!$C$5:$C$1204,A98,'ثبت اطلاعات'!$CL$5:$CL$1204,"&lt;&gt;"),""))</f>
        <v/>
      </c>
      <c r="H98" s="38" t="str">
        <f>IF(A98="","",IFERROR(AVERAGEIFS('ثبت اطلاعات'!$CF$5:$CF$1204,'ثبت اطلاعات'!$C$5:$C$1204,A98,'ثبت اطلاعات'!$CL$5:$CL$1204,"&lt;&gt;"),""))</f>
        <v/>
      </c>
      <c r="I98" s="38" t="str">
        <f>IF(A98="","",IFERROR(AVERAGEIFS('ثبت اطلاعات'!$CG$5:$CG$1204,'ثبت اطلاعات'!$C$5:$C$1204,A98,'ثبت اطلاعات'!$CL$5:$CL$1204,"&lt;&gt;"),""))</f>
        <v/>
      </c>
      <c r="J98" s="38" t="str">
        <f>IF(A98="","",IFERROR(AVERAGEIFS('ثبت اطلاعات'!$CH$5:$CH$1204,'ثبت اطلاعات'!$C$5:$C$1204,A98,'ثبت اطلاعات'!$CL$5:$CL$1204,"&lt;&gt;"),""))</f>
        <v/>
      </c>
      <c r="K98" s="38" t="str">
        <f>IF(A98="","",IFERROR(AVERAGEIFS('ثبت اطلاعات'!$CI$5:$CI$1204,'ثبت اطلاعات'!$C$5:$C$1204,A98,'ثبت اطلاعات'!$CL$5:$CL$1204,"&lt;&gt;"),""))</f>
        <v/>
      </c>
      <c r="L98" s="38" t="str">
        <f>IF(A98="","",IFERROR(AVERAGEIFS('ثبت اطلاعات'!$CJ$5:$CJ$1204,'ثبت اطلاعات'!$C$5:$C$1204,A98,'ثبت اطلاعات'!$CL$5:$CL$1204,"&lt;&gt;"),""))</f>
        <v/>
      </c>
      <c r="M98" s="38" t="str">
        <f>IF(A98="","",IFERROR(AVERAGEIFS('ثبت اطلاعات'!$CK$5:$CK$1204,'ثبت اطلاعات'!$C$5:$C$1204,A98,'ثبت اطلاعات'!$CL$5:$CL$1204,"&lt;&gt;"),""))</f>
        <v/>
      </c>
      <c r="N98" s="38" t="str">
        <f>IF(A98="","",IFERROR(AVERAGEIFS('ثبت اطلاعات'!$CL$5:$CL$1204,'ثبت اطلاعات'!$C$5:$C$1204,A98,'ثبت اطلاعات'!$CL$5:$CL$1204,"&lt;&gt;"),""))</f>
        <v/>
      </c>
      <c r="O98" s="38" t="str">
        <f>IF(A98="","",COUNTIFS('ثبت اطلاعات'!$C$5:$C$1204,A98,'ثبت اطلاعات'!$CL$5:$CL$1204,"&lt;&gt;"))</f>
        <v/>
      </c>
      <c r="P98" s="38" t="e">
        <f ca="1">IF(O98=0,"",_xludf.MINIFS('ثبت اطلاعات'!$CN$5:$CN$1204,'ثبت اطلاعات'!$C$5:$C$1204,A98,'ثبت اطلاعات'!$CL$5:$CL$1204,"&lt;&gt;"))</f>
        <v>#NAME?</v>
      </c>
      <c r="Q98" s="38" t="e">
        <f ca="1">IF(O98=0,"",_xludf.MAXIFS('ثبت اطلاعات'!$CN$5:$CN$1204,'ثبت اطلاعات'!$C$5:$C$1204,A98,'ثبت اطلاعات'!$CL$5:$CL$1204,"&lt;&gt;"))</f>
        <v>#NAME?</v>
      </c>
      <c r="R98" s="38">
        <f ca="1">IF(O98&lt;2,"",SUMIFS('ثبت اطلاعات'!$CL$5:$CL$1204,'ثبت اطلاعات'!$C$5:$C$1204,A98,'ثبت اطلاعات'!$CN$5:$CN$1204,Q98)-SUMIFS('ثبت اطلاعات'!$CL$5:$CL$1204,'ثبت اطلاعات'!$C$5:$C$1204,A98,'ثبت اطلاعات'!$CN$5:$CN$1204,P98))</f>
        <v>0</v>
      </c>
      <c r="S98" s="38" t="str">
        <f t="shared" si="10"/>
        <v/>
      </c>
      <c r="T98" s="38" t="str">
        <f t="shared" si="11"/>
        <v/>
      </c>
      <c r="U98" s="38" t="str">
        <f t="shared" si="12"/>
        <v/>
      </c>
      <c r="V98" s="38" t="str">
        <f t="shared" si="13"/>
        <v/>
      </c>
      <c r="W98" s="38" t="str">
        <f>IF(N98="","",_xludf.RANK.EQ(N98,$N$5:$N$104,0))</f>
        <v/>
      </c>
      <c r="X98" s="38" t="str">
        <f t="shared" si="14"/>
        <v/>
      </c>
      <c r="Y98" s="28" t="str">
        <f>IF(U98="","",IFERROR(INDEX('بانک راهکارها'!$C$5:$C$13,MATCH(U98,'بانک راهکارها'!$B$5:$B$13,0)),""))</f>
        <v/>
      </c>
    </row>
    <row r="99" spans="1:25" ht="17.25">
      <c r="A99" s="33" t="str">
        <f>IF(دانش‌آموزان!L99="","",دانش‌آموزان!B99)</f>
        <v/>
      </c>
      <c r="B99" s="55" t="str">
        <f>IF(A99="","",دانش‌آموزان!C99)</f>
        <v/>
      </c>
      <c r="C99" s="55" t="str">
        <f>IF(A99="","",دانش‌آموزان!E99&amp;" "&amp;دانش‌آموزان!F99)</f>
        <v/>
      </c>
      <c r="D99" s="34" t="str">
        <f>IF(A99="","",دانش‌آموزان!I99)</f>
        <v/>
      </c>
      <c r="E99" s="27" t="str">
        <f>IF(A99="","",IFERROR(AVERAGEIFS('ثبت اطلاعات'!$CC$5:$CC$1204,'ثبت اطلاعات'!$C$5:$C$1204,A99,'ثبت اطلاعات'!$CL$5:$CL$1204,"&lt;&gt;"),""))</f>
        <v/>
      </c>
      <c r="F99" s="38" t="str">
        <f>IF(A99="","",IFERROR(AVERAGEIFS('ثبت اطلاعات'!$CD$5:$CD$1204,'ثبت اطلاعات'!$C$5:$C$1204,A99,'ثبت اطلاعات'!$CL$5:$CL$1204,"&lt;&gt;"),""))</f>
        <v/>
      </c>
      <c r="G99" s="38" t="str">
        <f>IF(A99="","",IFERROR(AVERAGEIFS('ثبت اطلاعات'!$CE$5:$CE$1204,'ثبت اطلاعات'!$C$5:$C$1204,A99,'ثبت اطلاعات'!$CL$5:$CL$1204,"&lt;&gt;"),""))</f>
        <v/>
      </c>
      <c r="H99" s="38" t="str">
        <f>IF(A99="","",IFERROR(AVERAGEIFS('ثبت اطلاعات'!$CF$5:$CF$1204,'ثبت اطلاعات'!$C$5:$C$1204,A99,'ثبت اطلاعات'!$CL$5:$CL$1204,"&lt;&gt;"),""))</f>
        <v/>
      </c>
      <c r="I99" s="38" t="str">
        <f>IF(A99="","",IFERROR(AVERAGEIFS('ثبت اطلاعات'!$CG$5:$CG$1204,'ثبت اطلاعات'!$C$5:$C$1204,A99,'ثبت اطلاعات'!$CL$5:$CL$1204,"&lt;&gt;"),""))</f>
        <v/>
      </c>
      <c r="J99" s="38" t="str">
        <f>IF(A99="","",IFERROR(AVERAGEIFS('ثبت اطلاعات'!$CH$5:$CH$1204,'ثبت اطلاعات'!$C$5:$C$1204,A99,'ثبت اطلاعات'!$CL$5:$CL$1204,"&lt;&gt;"),""))</f>
        <v/>
      </c>
      <c r="K99" s="38" t="str">
        <f>IF(A99="","",IFERROR(AVERAGEIFS('ثبت اطلاعات'!$CI$5:$CI$1204,'ثبت اطلاعات'!$C$5:$C$1204,A99,'ثبت اطلاعات'!$CL$5:$CL$1204,"&lt;&gt;"),""))</f>
        <v/>
      </c>
      <c r="L99" s="38" t="str">
        <f>IF(A99="","",IFERROR(AVERAGEIFS('ثبت اطلاعات'!$CJ$5:$CJ$1204,'ثبت اطلاعات'!$C$5:$C$1204,A99,'ثبت اطلاعات'!$CL$5:$CL$1204,"&lt;&gt;"),""))</f>
        <v/>
      </c>
      <c r="M99" s="38" t="str">
        <f>IF(A99="","",IFERROR(AVERAGEIFS('ثبت اطلاعات'!$CK$5:$CK$1204,'ثبت اطلاعات'!$C$5:$C$1204,A99,'ثبت اطلاعات'!$CL$5:$CL$1204,"&lt;&gt;"),""))</f>
        <v/>
      </c>
      <c r="N99" s="38" t="str">
        <f>IF(A99="","",IFERROR(AVERAGEIFS('ثبت اطلاعات'!$CL$5:$CL$1204,'ثبت اطلاعات'!$C$5:$C$1204,A99,'ثبت اطلاعات'!$CL$5:$CL$1204,"&lt;&gt;"),""))</f>
        <v/>
      </c>
      <c r="O99" s="38" t="str">
        <f>IF(A99="","",COUNTIFS('ثبت اطلاعات'!$C$5:$C$1204,A99,'ثبت اطلاعات'!$CL$5:$CL$1204,"&lt;&gt;"))</f>
        <v/>
      </c>
      <c r="P99" s="38" t="e">
        <f ca="1">IF(O99=0,"",_xludf.MINIFS('ثبت اطلاعات'!$CN$5:$CN$1204,'ثبت اطلاعات'!$C$5:$C$1204,A99,'ثبت اطلاعات'!$CL$5:$CL$1204,"&lt;&gt;"))</f>
        <v>#NAME?</v>
      </c>
      <c r="Q99" s="38" t="e">
        <f ca="1">IF(O99=0,"",_xludf.MAXIFS('ثبت اطلاعات'!$CN$5:$CN$1204,'ثبت اطلاعات'!$C$5:$C$1204,A99,'ثبت اطلاعات'!$CL$5:$CL$1204,"&lt;&gt;"))</f>
        <v>#NAME?</v>
      </c>
      <c r="R99" s="38">
        <f ca="1">IF(O99&lt;2,"",SUMIFS('ثبت اطلاعات'!$CL$5:$CL$1204,'ثبت اطلاعات'!$C$5:$C$1204,A99,'ثبت اطلاعات'!$CN$5:$CN$1204,Q99)-SUMIFS('ثبت اطلاعات'!$CL$5:$CL$1204,'ثبت اطلاعات'!$C$5:$C$1204,A99,'ثبت اطلاعات'!$CN$5:$CN$1204,P99))</f>
        <v>0</v>
      </c>
      <c r="S99" s="38" t="str">
        <f t="shared" si="10"/>
        <v/>
      </c>
      <c r="T99" s="38" t="str">
        <f t="shared" si="11"/>
        <v/>
      </c>
      <c r="U99" s="38" t="str">
        <f t="shared" si="12"/>
        <v/>
      </c>
      <c r="V99" s="38" t="str">
        <f t="shared" si="13"/>
        <v/>
      </c>
      <c r="W99" s="38" t="str">
        <f>IF(N99="","",_xludf.RANK.EQ(N99,$N$5:$N$104,0))</f>
        <v/>
      </c>
      <c r="X99" s="38" t="str">
        <f t="shared" si="14"/>
        <v/>
      </c>
      <c r="Y99" s="28" t="str">
        <f>IF(U99="","",IFERROR(INDEX('بانک راهکارها'!$C$5:$C$13,MATCH(U99,'بانک راهکارها'!$B$5:$B$13,0)),""))</f>
        <v/>
      </c>
    </row>
    <row r="100" spans="1:25" ht="17.25">
      <c r="A100" s="33" t="str">
        <f>IF(دانش‌آموزان!L100="","",دانش‌آموزان!B100)</f>
        <v/>
      </c>
      <c r="B100" s="55" t="str">
        <f>IF(A100="","",دانش‌آموزان!C100)</f>
        <v/>
      </c>
      <c r="C100" s="55" t="str">
        <f>IF(A100="","",دانش‌آموزان!E100&amp;" "&amp;دانش‌آموزان!F100)</f>
        <v/>
      </c>
      <c r="D100" s="34" t="str">
        <f>IF(A100="","",دانش‌آموزان!I100)</f>
        <v/>
      </c>
      <c r="E100" s="27" t="str">
        <f>IF(A100="","",IFERROR(AVERAGEIFS('ثبت اطلاعات'!$CC$5:$CC$1204,'ثبت اطلاعات'!$C$5:$C$1204,A100,'ثبت اطلاعات'!$CL$5:$CL$1204,"&lt;&gt;"),""))</f>
        <v/>
      </c>
      <c r="F100" s="38" t="str">
        <f>IF(A100="","",IFERROR(AVERAGEIFS('ثبت اطلاعات'!$CD$5:$CD$1204,'ثبت اطلاعات'!$C$5:$C$1204,A100,'ثبت اطلاعات'!$CL$5:$CL$1204,"&lt;&gt;"),""))</f>
        <v/>
      </c>
      <c r="G100" s="38" t="str">
        <f>IF(A100="","",IFERROR(AVERAGEIFS('ثبت اطلاعات'!$CE$5:$CE$1204,'ثبت اطلاعات'!$C$5:$C$1204,A100,'ثبت اطلاعات'!$CL$5:$CL$1204,"&lt;&gt;"),""))</f>
        <v/>
      </c>
      <c r="H100" s="38" t="str">
        <f>IF(A100="","",IFERROR(AVERAGEIFS('ثبت اطلاعات'!$CF$5:$CF$1204,'ثبت اطلاعات'!$C$5:$C$1204,A100,'ثبت اطلاعات'!$CL$5:$CL$1204,"&lt;&gt;"),""))</f>
        <v/>
      </c>
      <c r="I100" s="38" t="str">
        <f>IF(A100="","",IFERROR(AVERAGEIFS('ثبت اطلاعات'!$CG$5:$CG$1204,'ثبت اطلاعات'!$C$5:$C$1204,A100,'ثبت اطلاعات'!$CL$5:$CL$1204,"&lt;&gt;"),""))</f>
        <v/>
      </c>
      <c r="J100" s="38" t="str">
        <f>IF(A100="","",IFERROR(AVERAGEIFS('ثبت اطلاعات'!$CH$5:$CH$1204,'ثبت اطلاعات'!$C$5:$C$1204,A100,'ثبت اطلاعات'!$CL$5:$CL$1204,"&lt;&gt;"),""))</f>
        <v/>
      </c>
      <c r="K100" s="38" t="str">
        <f>IF(A100="","",IFERROR(AVERAGEIFS('ثبت اطلاعات'!$CI$5:$CI$1204,'ثبت اطلاعات'!$C$5:$C$1204,A100,'ثبت اطلاعات'!$CL$5:$CL$1204,"&lt;&gt;"),""))</f>
        <v/>
      </c>
      <c r="L100" s="38" t="str">
        <f>IF(A100="","",IFERROR(AVERAGEIFS('ثبت اطلاعات'!$CJ$5:$CJ$1204,'ثبت اطلاعات'!$C$5:$C$1204,A100,'ثبت اطلاعات'!$CL$5:$CL$1204,"&lt;&gt;"),""))</f>
        <v/>
      </c>
      <c r="M100" s="38" t="str">
        <f>IF(A100="","",IFERROR(AVERAGEIFS('ثبت اطلاعات'!$CK$5:$CK$1204,'ثبت اطلاعات'!$C$5:$C$1204,A100,'ثبت اطلاعات'!$CL$5:$CL$1204,"&lt;&gt;"),""))</f>
        <v/>
      </c>
      <c r="N100" s="38" t="str">
        <f>IF(A100="","",IFERROR(AVERAGEIFS('ثبت اطلاعات'!$CL$5:$CL$1204,'ثبت اطلاعات'!$C$5:$C$1204,A100,'ثبت اطلاعات'!$CL$5:$CL$1204,"&lt;&gt;"),""))</f>
        <v/>
      </c>
      <c r="O100" s="38" t="str">
        <f>IF(A100="","",COUNTIFS('ثبت اطلاعات'!$C$5:$C$1204,A100,'ثبت اطلاعات'!$CL$5:$CL$1204,"&lt;&gt;"))</f>
        <v/>
      </c>
      <c r="P100" s="38" t="e">
        <f ca="1">IF(O100=0,"",_xludf.MINIFS('ثبت اطلاعات'!$CN$5:$CN$1204,'ثبت اطلاعات'!$C$5:$C$1204,A100,'ثبت اطلاعات'!$CL$5:$CL$1204,"&lt;&gt;"))</f>
        <v>#NAME?</v>
      </c>
      <c r="Q100" s="38" t="e">
        <f ca="1">IF(O100=0,"",_xludf.MAXIFS('ثبت اطلاعات'!$CN$5:$CN$1204,'ثبت اطلاعات'!$C$5:$C$1204,A100,'ثبت اطلاعات'!$CL$5:$CL$1204,"&lt;&gt;"))</f>
        <v>#NAME?</v>
      </c>
      <c r="R100" s="38">
        <f ca="1">IF(O100&lt;2,"",SUMIFS('ثبت اطلاعات'!$CL$5:$CL$1204,'ثبت اطلاعات'!$C$5:$C$1204,A100,'ثبت اطلاعات'!$CN$5:$CN$1204,Q100)-SUMIFS('ثبت اطلاعات'!$CL$5:$CL$1204,'ثبت اطلاعات'!$C$5:$C$1204,A100,'ثبت اطلاعات'!$CN$5:$CN$1204,P100))</f>
        <v>0</v>
      </c>
      <c r="S100" s="38" t="str">
        <f t="shared" si="10"/>
        <v/>
      </c>
      <c r="T100" s="38" t="str">
        <f t="shared" si="11"/>
        <v/>
      </c>
      <c r="U100" s="38" t="str">
        <f t="shared" si="12"/>
        <v/>
      </c>
      <c r="V100" s="38" t="str">
        <f t="shared" si="13"/>
        <v/>
      </c>
      <c r="W100" s="38" t="str">
        <f>IF(N100="","",_xludf.RANK.EQ(N100,$N$5:$N$104,0))</f>
        <v/>
      </c>
      <c r="X100" s="38" t="str">
        <f t="shared" si="14"/>
        <v/>
      </c>
      <c r="Y100" s="28" t="str">
        <f>IF(U100="","",IFERROR(INDEX('بانک راهکارها'!$C$5:$C$13,MATCH(U100,'بانک راهکارها'!$B$5:$B$13,0)),""))</f>
        <v/>
      </c>
    </row>
    <row r="101" spans="1:25" ht="17.25">
      <c r="A101" s="33" t="str">
        <f>IF(دانش‌آموزان!L101="","",دانش‌آموزان!B101)</f>
        <v/>
      </c>
      <c r="B101" s="55" t="str">
        <f>IF(A101="","",دانش‌آموزان!C101)</f>
        <v/>
      </c>
      <c r="C101" s="55" t="str">
        <f>IF(A101="","",دانش‌آموزان!E101&amp;" "&amp;دانش‌آموزان!F101)</f>
        <v/>
      </c>
      <c r="D101" s="34" t="str">
        <f>IF(A101="","",دانش‌آموزان!I101)</f>
        <v/>
      </c>
      <c r="E101" s="27" t="str">
        <f>IF(A101="","",IFERROR(AVERAGEIFS('ثبت اطلاعات'!$CC$5:$CC$1204,'ثبت اطلاعات'!$C$5:$C$1204,A101,'ثبت اطلاعات'!$CL$5:$CL$1204,"&lt;&gt;"),""))</f>
        <v/>
      </c>
      <c r="F101" s="38" t="str">
        <f>IF(A101="","",IFERROR(AVERAGEIFS('ثبت اطلاعات'!$CD$5:$CD$1204,'ثبت اطلاعات'!$C$5:$C$1204,A101,'ثبت اطلاعات'!$CL$5:$CL$1204,"&lt;&gt;"),""))</f>
        <v/>
      </c>
      <c r="G101" s="38" t="str">
        <f>IF(A101="","",IFERROR(AVERAGEIFS('ثبت اطلاعات'!$CE$5:$CE$1204,'ثبت اطلاعات'!$C$5:$C$1204,A101,'ثبت اطلاعات'!$CL$5:$CL$1204,"&lt;&gt;"),""))</f>
        <v/>
      </c>
      <c r="H101" s="38" t="str">
        <f>IF(A101="","",IFERROR(AVERAGEIFS('ثبت اطلاعات'!$CF$5:$CF$1204,'ثبت اطلاعات'!$C$5:$C$1204,A101,'ثبت اطلاعات'!$CL$5:$CL$1204,"&lt;&gt;"),""))</f>
        <v/>
      </c>
      <c r="I101" s="38" t="str">
        <f>IF(A101="","",IFERROR(AVERAGEIFS('ثبت اطلاعات'!$CG$5:$CG$1204,'ثبت اطلاعات'!$C$5:$C$1204,A101,'ثبت اطلاعات'!$CL$5:$CL$1204,"&lt;&gt;"),""))</f>
        <v/>
      </c>
      <c r="J101" s="38" t="str">
        <f>IF(A101="","",IFERROR(AVERAGEIFS('ثبت اطلاعات'!$CH$5:$CH$1204,'ثبت اطلاعات'!$C$5:$C$1204,A101,'ثبت اطلاعات'!$CL$5:$CL$1204,"&lt;&gt;"),""))</f>
        <v/>
      </c>
      <c r="K101" s="38" t="str">
        <f>IF(A101="","",IFERROR(AVERAGEIFS('ثبت اطلاعات'!$CI$5:$CI$1204,'ثبت اطلاعات'!$C$5:$C$1204,A101,'ثبت اطلاعات'!$CL$5:$CL$1204,"&lt;&gt;"),""))</f>
        <v/>
      </c>
      <c r="L101" s="38" t="str">
        <f>IF(A101="","",IFERROR(AVERAGEIFS('ثبت اطلاعات'!$CJ$5:$CJ$1204,'ثبت اطلاعات'!$C$5:$C$1204,A101,'ثبت اطلاعات'!$CL$5:$CL$1204,"&lt;&gt;"),""))</f>
        <v/>
      </c>
      <c r="M101" s="38" t="str">
        <f>IF(A101="","",IFERROR(AVERAGEIFS('ثبت اطلاعات'!$CK$5:$CK$1204,'ثبت اطلاعات'!$C$5:$C$1204,A101,'ثبت اطلاعات'!$CL$5:$CL$1204,"&lt;&gt;"),""))</f>
        <v/>
      </c>
      <c r="N101" s="38" t="str">
        <f>IF(A101="","",IFERROR(AVERAGEIFS('ثبت اطلاعات'!$CL$5:$CL$1204,'ثبت اطلاعات'!$C$5:$C$1204,A101,'ثبت اطلاعات'!$CL$5:$CL$1204,"&lt;&gt;"),""))</f>
        <v/>
      </c>
      <c r="O101" s="38" t="str">
        <f>IF(A101="","",COUNTIFS('ثبت اطلاعات'!$C$5:$C$1204,A101,'ثبت اطلاعات'!$CL$5:$CL$1204,"&lt;&gt;"))</f>
        <v/>
      </c>
      <c r="P101" s="38" t="e">
        <f ca="1">IF(O101=0,"",_xludf.MINIFS('ثبت اطلاعات'!$CN$5:$CN$1204,'ثبت اطلاعات'!$C$5:$C$1204,A101,'ثبت اطلاعات'!$CL$5:$CL$1204,"&lt;&gt;"))</f>
        <v>#NAME?</v>
      </c>
      <c r="Q101" s="38" t="e">
        <f ca="1">IF(O101=0,"",_xludf.MAXIFS('ثبت اطلاعات'!$CN$5:$CN$1204,'ثبت اطلاعات'!$C$5:$C$1204,A101,'ثبت اطلاعات'!$CL$5:$CL$1204,"&lt;&gt;"))</f>
        <v>#NAME?</v>
      </c>
      <c r="R101" s="38">
        <f ca="1">IF(O101&lt;2,"",SUMIFS('ثبت اطلاعات'!$CL$5:$CL$1204,'ثبت اطلاعات'!$C$5:$C$1204,A101,'ثبت اطلاعات'!$CN$5:$CN$1204,Q101)-SUMIFS('ثبت اطلاعات'!$CL$5:$CL$1204,'ثبت اطلاعات'!$C$5:$C$1204,A101,'ثبت اطلاعات'!$CN$5:$CN$1204,P101))</f>
        <v>0</v>
      </c>
      <c r="S101" s="38" t="str">
        <f t="shared" ref="S101:S104" si="15">IF(A101="","",IF(O101=0,"فاقد ارزیابی نهایی",IF(O101=1,"داده ناکافی",IF(R101&gt;0.5,"پیشرفت",IF(R101&lt;-0.5,"افت","ثبات")))))</f>
        <v/>
      </c>
      <c r="T101" s="38" t="str">
        <f t="shared" si="11"/>
        <v/>
      </c>
      <c r="U101" s="38" t="str">
        <f t="shared" si="12"/>
        <v/>
      </c>
      <c r="V101" s="38" t="str">
        <f t="shared" si="13"/>
        <v/>
      </c>
      <c r="W101" s="38" t="str">
        <f>IF(N101="","",_xludf.RANK.EQ(N101,$N$5:$N$104,0))</f>
        <v/>
      </c>
      <c r="X101" s="38" t="str">
        <f t="shared" si="14"/>
        <v/>
      </c>
      <c r="Y101" s="28" t="str">
        <f>IF(U101="","",IFERROR(INDEX('بانک راهکارها'!$C$5:$C$13,MATCH(U101,'بانک راهکارها'!$B$5:$B$13,0)),""))</f>
        <v/>
      </c>
    </row>
    <row r="102" spans="1:25" ht="17.25">
      <c r="A102" s="33" t="str">
        <f>IF(دانش‌آموزان!L102="","",دانش‌آموزان!B102)</f>
        <v/>
      </c>
      <c r="B102" s="55" t="str">
        <f>IF(A102="","",دانش‌آموزان!C102)</f>
        <v/>
      </c>
      <c r="C102" s="55" t="str">
        <f>IF(A102="","",دانش‌آموزان!E102&amp;" "&amp;دانش‌آموزان!F102)</f>
        <v/>
      </c>
      <c r="D102" s="34" t="str">
        <f>IF(A102="","",دانش‌آموزان!I102)</f>
        <v/>
      </c>
      <c r="E102" s="27" t="str">
        <f>IF(A102="","",IFERROR(AVERAGEIFS('ثبت اطلاعات'!$CC$5:$CC$1204,'ثبت اطلاعات'!$C$5:$C$1204,A102,'ثبت اطلاعات'!$CL$5:$CL$1204,"&lt;&gt;"),""))</f>
        <v/>
      </c>
      <c r="F102" s="38" t="str">
        <f>IF(A102="","",IFERROR(AVERAGEIFS('ثبت اطلاعات'!$CD$5:$CD$1204,'ثبت اطلاعات'!$C$5:$C$1204,A102,'ثبت اطلاعات'!$CL$5:$CL$1204,"&lt;&gt;"),""))</f>
        <v/>
      </c>
      <c r="G102" s="38" t="str">
        <f>IF(A102="","",IFERROR(AVERAGEIFS('ثبت اطلاعات'!$CE$5:$CE$1204,'ثبت اطلاعات'!$C$5:$C$1204,A102,'ثبت اطلاعات'!$CL$5:$CL$1204,"&lt;&gt;"),""))</f>
        <v/>
      </c>
      <c r="H102" s="38" t="str">
        <f>IF(A102="","",IFERROR(AVERAGEIFS('ثبت اطلاعات'!$CF$5:$CF$1204,'ثبت اطلاعات'!$C$5:$C$1204,A102,'ثبت اطلاعات'!$CL$5:$CL$1204,"&lt;&gt;"),""))</f>
        <v/>
      </c>
      <c r="I102" s="38" t="str">
        <f>IF(A102="","",IFERROR(AVERAGEIFS('ثبت اطلاعات'!$CG$5:$CG$1204,'ثبت اطلاعات'!$C$5:$C$1204,A102,'ثبت اطلاعات'!$CL$5:$CL$1204,"&lt;&gt;"),""))</f>
        <v/>
      </c>
      <c r="J102" s="38" t="str">
        <f>IF(A102="","",IFERROR(AVERAGEIFS('ثبت اطلاعات'!$CH$5:$CH$1204,'ثبت اطلاعات'!$C$5:$C$1204,A102,'ثبت اطلاعات'!$CL$5:$CL$1204,"&lt;&gt;"),""))</f>
        <v/>
      </c>
      <c r="K102" s="38" t="str">
        <f>IF(A102="","",IFERROR(AVERAGEIFS('ثبت اطلاعات'!$CI$5:$CI$1204,'ثبت اطلاعات'!$C$5:$C$1204,A102,'ثبت اطلاعات'!$CL$5:$CL$1204,"&lt;&gt;"),""))</f>
        <v/>
      </c>
      <c r="L102" s="38" t="str">
        <f>IF(A102="","",IFERROR(AVERAGEIFS('ثبت اطلاعات'!$CJ$5:$CJ$1204,'ثبت اطلاعات'!$C$5:$C$1204,A102,'ثبت اطلاعات'!$CL$5:$CL$1204,"&lt;&gt;"),""))</f>
        <v/>
      </c>
      <c r="M102" s="38" t="str">
        <f>IF(A102="","",IFERROR(AVERAGEIFS('ثبت اطلاعات'!$CK$5:$CK$1204,'ثبت اطلاعات'!$C$5:$C$1204,A102,'ثبت اطلاعات'!$CL$5:$CL$1204,"&lt;&gt;"),""))</f>
        <v/>
      </c>
      <c r="N102" s="38" t="str">
        <f>IF(A102="","",IFERROR(AVERAGEIFS('ثبت اطلاعات'!$CL$5:$CL$1204,'ثبت اطلاعات'!$C$5:$C$1204,A102,'ثبت اطلاعات'!$CL$5:$CL$1204,"&lt;&gt;"),""))</f>
        <v/>
      </c>
      <c r="O102" s="38" t="str">
        <f>IF(A102="","",COUNTIFS('ثبت اطلاعات'!$C$5:$C$1204,A102,'ثبت اطلاعات'!$CL$5:$CL$1204,"&lt;&gt;"))</f>
        <v/>
      </c>
      <c r="P102" s="38" t="e">
        <f ca="1">IF(O102=0,"",_xludf.MINIFS('ثبت اطلاعات'!$CN$5:$CN$1204,'ثبت اطلاعات'!$C$5:$C$1204,A102,'ثبت اطلاعات'!$CL$5:$CL$1204,"&lt;&gt;"))</f>
        <v>#NAME?</v>
      </c>
      <c r="Q102" s="38" t="e">
        <f ca="1">IF(O102=0,"",_xludf.MAXIFS('ثبت اطلاعات'!$CN$5:$CN$1204,'ثبت اطلاعات'!$C$5:$C$1204,A102,'ثبت اطلاعات'!$CL$5:$CL$1204,"&lt;&gt;"))</f>
        <v>#NAME?</v>
      </c>
      <c r="R102" s="38">
        <f ca="1">IF(O102&lt;2,"",SUMIFS('ثبت اطلاعات'!$CL$5:$CL$1204,'ثبت اطلاعات'!$C$5:$C$1204,A102,'ثبت اطلاعات'!$CN$5:$CN$1204,Q102)-SUMIFS('ثبت اطلاعات'!$CL$5:$CL$1204,'ثبت اطلاعات'!$C$5:$C$1204,A102,'ثبت اطلاعات'!$CN$5:$CN$1204,P102))</f>
        <v>0</v>
      </c>
      <c r="S102" s="38" t="str">
        <f t="shared" si="15"/>
        <v/>
      </c>
      <c r="T102" s="38" t="str">
        <f t="shared" si="11"/>
        <v/>
      </c>
      <c r="U102" s="38" t="str">
        <f t="shared" si="12"/>
        <v/>
      </c>
      <c r="V102" s="38" t="str">
        <f t="shared" si="13"/>
        <v/>
      </c>
      <c r="W102" s="38" t="str">
        <f>IF(N102="","",_xludf.RANK.EQ(N102,$N$5:$N$104,0))</f>
        <v/>
      </c>
      <c r="X102" s="38" t="str">
        <f t="shared" si="14"/>
        <v/>
      </c>
      <c r="Y102" s="28" t="str">
        <f>IF(U102="","",IFERROR(INDEX('بانک راهکارها'!$C$5:$C$13,MATCH(U102,'بانک راهکارها'!$B$5:$B$13,0)),""))</f>
        <v/>
      </c>
    </row>
    <row r="103" spans="1:25" ht="17.25">
      <c r="A103" s="33" t="str">
        <f>IF(دانش‌آموزان!L103="","",دانش‌آموزان!B103)</f>
        <v/>
      </c>
      <c r="B103" s="55" t="str">
        <f>IF(A103="","",دانش‌آموزان!C103)</f>
        <v/>
      </c>
      <c r="C103" s="55" t="str">
        <f>IF(A103="","",دانش‌آموزان!E103&amp;" "&amp;دانش‌آموزان!F103)</f>
        <v/>
      </c>
      <c r="D103" s="34" t="str">
        <f>IF(A103="","",دانش‌آموزان!I103)</f>
        <v/>
      </c>
      <c r="E103" s="27" t="str">
        <f>IF(A103="","",IFERROR(AVERAGEIFS('ثبت اطلاعات'!$CC$5:$CC$1204,'ثبت اطلاعات'!$C$5:$C$1204,A103,'ثبت اطلاعات'!$CL$5:$CL$1204,"&lt;&gt;"),""))</f>
        <v/>
      </c>
      <c r="F103" s="38" t="str">
        <f>IF(A103="","",IFERROR(AVERAGEIFS('ثبت اطلاعات'!$CD$5:$CD$1204,'ثبت اطلاعات'!$C$5:$C$1204,A103,'ثبت اطلاعات'!$CL$5:$CL$1204,"&lt;&gt;"),""))</f>
        <v/>
      </c>
      <c r="G103" s="38" t="str">
        <f>IF(A103="","",IFERROR(AVERAGEIFS('ثبت اطلاعات'!$CE$5:$CE$1204,'ثبت اطلاعات'!$C$5:$C$1204,A103,'ثبت اطلاعات'!$CL$5:$CL$1204,"&lt;&gt;"),""))</f>
        <v/>
      </c>
      <c r="H103" s="38" t="str">
        <f>IF(A103="","",IFERROR(AVERAGEIFS('ثبت اطلاعات'!$CF$5:$CF$1204,'ثبت اطلاعات'!$C$5:$C$1204,A103,'ثبت اطلاعات'!$CL$5:$CL$1204,"&lt;&gt;"),""))</f>
        <v/>
      </c>
      <c r="I103" s="38" t="str">
        <f>IF(A103="","",IFERROR(AVERAGEIFS('ثبت اطلاعات'!$CG$5:$CG$1204,'ثبت اطلاعات'!$C$5:$C$1204,A103,'ثبت اطلاعات'!$CL$5:$CL$1204,"&lt;&gt;"),""))</f>
        <v/>
      </c>
      <c r="J103" s="38" t="str">
        <f>IF(A103="","",IFERROR(AVERAGEIFS('ثبت اطلاعات'!$CH$5:$CH$1204,'ثبت اطلاعات'!$C$5:$C$1204,A103,'ثبت اطلاعات'!$CL$5:$CL$1204,"&lt;&gt;"),""))</f>
        <v/>
      </c>
      <c r="K103" s="38" t="str">
        <f>IF(A103="","",IFERROR(AVERAGEIFS('ثبت اطلاعات'!$CI$5:$CI$1204,'ثبت اطلاعات'!$C$5:$C$1204,A103,'ثبت اطلاعات'!$CL$5:$CL$1204,"&lt;&gt;"),""))</f>
        <v/>
      </c>
      <c r="L103" s="38" t="str">
        <f>IF(A103="","",IFERROR(AVERAGEIFS('ثبت اطلاعات'!$CJ$5:$CJ$1204,'ثبت اطلاعات'!$C$5:$C$1204,A103,'ثبت اطلاعات'!$CL$5:$CL$1204,"&lt;&gt;"),""))</f>
        <v/>
      </c>
      <c r="M103" s="38" t="str">
        <f>IF(A103="","",IFERROR(AVERAGEIFS('ثبت اطلاعات'!$CK$5:$CK$1204,'ثبت اطلاعات'!$C$5:$C$1204,A103,'ثبت اطلاعات'!$CL$5:$CL$1204,"&lt;&gt;"),""))</f>
        <v/>
      </c>
      <c r="N103" s="38" t="str">
        <f>IF(A103="","",IFERROR(AVERAGEIFS('ثبت اطلاعات'!$CL$5:$CL$1204,'ثبت اطلاعات'!$C$5:$C$1204,A103,'ثبت اطلاعات'!$CL$5:$CL$1204,"&lt;&gt;"),""))</f>
        <v/>
      </c>
      <c r="O103" s="38" t="str">
        <f>IF(A103="","",COUNTIFS('ثبت اطلاعات'!$C$5:$C$1204,A103,'ثبت اطلاعات'!$CL$5:$CL$1204,"&lt;&gt;"))</f>
        <v/>
      </c>
      <c r="P103" s="38" t="e">
        <f ca="1">IF(O103=0,"",_xludf.MINIFS('ثبت اطلاعات'!$CN$5:$CN$1204,'ثبت اطلاعات'!$C$5:$C$1204,A103,'ثبت اطلاعات'!$CL$5:$CL$1204,"&lt;&gt;"))</f>
        <v>#NAME?</v>
      </c>
      <c r="Q103" s="38" t="e">
        <f ca="1">IF(O103=0,"",_xludf.MAXIFS('ثبت اطلاعات'!$CN$5:$CN$1204,'ثبت اطلاعات'!$C$5:$C$1204,A103,'ثبت اطلاعات'!$CL$5:$CL$1204,"&lt;&gt;"))</f>
        <v>#NAME?</v>
      </c>
      <c r="R103" s="38">
        <f ca="1">IF(O103&lt;2,"",SUMIFS('ثبت اطلاعات'!$CL$5:$CL$1204,'ثبت اطلاعات'!$C$5:$C$1204,A103,'ثبت اطلاعات'!$CN$5:$CN$1204,Q103)-SUMIFS('ثبت اطلاعات'!$CL$5:$CL$1204,'ثبت اطلاعات'!$C$5:$C$1204,A103,'ثبت اطلاعات'!$CN$5:$CN$1204,P103))</f>
        <v>0</v>
      </c>
      <c r="S103" s="38" t="str">
        <f t="shared" si="15"/>
        <v/>
      </c>
      <c r="T103" s="38" t="str">
        <f t="shared" si="11"/>
        <v/>
      </c>
      <c r="U103" s="38" t="str">
        <f t="shared" si="12"/>
        <v/>
      </c>
      <c r="V103" s="38" t="str">
        <f t="shared" si="13"/>
        <v/>
      </c>
      <c r="W103" s="38" t="str">
        <f>IF(N103="","",_xludf.RANK.EQ(N103,$N$5:$N$104,0))</f>
        <v/>
      </c>
      <c r="X103" s="38" t="str">
        <f t="shared" si="14"/>
        <v/>
      </c>
      <c r="Y103" s="28" t="str">
        <f>IF(U103="","",IFERROR(INDEX('بانک راهکارها'!$C$5:$C$13,MATCH(U103,'بانک راهکارها'!$B$5:$B$13,0)),""))</f>
        <v/>
      </c>
    </row>
    <row r="104" spans="1:25" ht="17.25">
      <c r="A104" s="35" t="str">
        <f>IF(دانش‌آموزان!L104="","",دانش‌آموزان!B104)</f>
        <v/>
      </c>
      <c r="B104" s="56" t="str">
        <f>IF(A104="","",دانش‌آموزان!C104)</f>
        <v/>
      </c>
      <c r="C104" s="56" t="str">
        <f>IF(A104="","",دانش‌آموزان!E104&amp;" "&amp;دانش‌آموزان!F104)</f>
        <v/>
      </c>
      <c r="D104" s="36" t="str">
        <f>IF(A104="","",دانش‌آموزان!I104)</f>
        <v/>
      </c>
      <c r="E104" s="29" t="str">
        <f>IF(A104="","",IFERROR(AVERAGEIFS('ثبت اطلاعات'!$CC$5:$CC$1204,'ثبت اطلاعات'!$C$5:$C$1204,A104,'ثبت اطلاعات'!$CL$5:$CL$1204,"&lt;&gt;"),""))</f>
        <v/>
      </c>
      <c r="F104" s="39" t="str">
        <f>IF(A104="","",IFERROR(AVERAGEIFS('ثبت اطلاعات'!$CD$5:$CD$1204,'ثبت اطلاعات'!$C$5:$C$1204,A104,'ثبت اطلاعات'!$CL$5:$CL$1204,"&lt;&gt;"),""))</f>
        <v/>
      </c>
      <c r="G104" s="39" t="str">
        <f>IF(A104="","",IFERROR(AVERAGEIFS('ثبت اطلاعات'!$CE$5:$CE$1204,'ثبت اطلاعات'!$C$5:$C$1204,A104,'ثبت اطلاعات'!$CL$5:$CL$1204,"&lt;&gt;"),""))</f>
        <v/>
      </c>
      <c r="H104" s="39" t="str">
        <f>IF(A104="","",IFERROR(AVERAGEIFS('ثبت اطلاعات'!$CF$5:$CF$1204,'ثبت اطلاعات'!$C$5:$C$1204,A104,'ثبت اطلاعات'!$CL$5:$CL$1204,"&lt;&gt;"),""))</f>
        <v/>
      </c>
      <c r="I104" s="39" t="str">
        <f>IF(A104="","",IFERROR(AVERAGEIFS('ثبت اطلاعات'!$CG$5:$CG$1204,'ثبت اطلاعات'!$C$5:$C$1204,A104,'ثبت اطلاعات'!$CL$5:$CL$1204,"&lt;&gt;"),""))</f>
        <v/>
      </c>
      <c r="J104" s="39" t="str">
        <f>IF(A104="","",IFERROR(AVERAGEIFS('ثبت اطلاعات'!$CH$5:$CH$1204,'ثبت اطلاعات'!$C$5:$C$1204,A104,'ثبت اطلاعات'!$CL$5:$CL$1204,"&lt;&gt;"),""))</f>
        <v/>
      </c>
      <c r="K104" s="39" t="str">
        <f>IF(A104="","",IFERROR(AVERAGEIFS('ثبت اطلاعات'!$CI$5:$CI$1204,'ثبت اطلاعات'!$C$5:$C$1204,A104,'ثبت اطلاعات'!$CL$5:$CL$1204,"&lt;&gt;"),""))</f>
        <v/>
      </c>
      <c r="L104" s="39" t="str">
        <f>IF(A104="","",IFERROR(AVERAGEIFS('ثبت اطلاعات'!$CJ$5:$CJ$1204,'ثبت اطلاعات'!$C$5:$C$1204,A104,'ثبت اطلاعات'!$CL$5:$CL$1204,"&lt;&gt;"),""))</f>
        <v/>
      </c>
      <c r="M104" s="39" t="str">
        <f>IF(A104="","",IFERROR(AVERAGEIFS('ثبت اطلاعات'!$CK$5:$CK$1204,'ثبت اطلاعات'!$C$5:$C$1204,A104,'ثبت اطلاعات'!$CL$5:$CL$1204,"&lt;&gt;"),""))</f>
        <v/>
      </c>
      <c r="N104" s="39" t="str">
        <f>IF(A104="","",IFERROR(AVERAGEIFS('ثبت اطلاعات'!$CL$5:$CL$1204,'ثبت اطلاعات'!$C$5:$C$1204,A104,'ثبت اطلاعات'!$CL$5:$CL$1204,"&lt;&gt;"),""))</f>
        <v/>
      </c>
      <c r="O104" s="39" t="str">
        <f>IF(A104="","",COUNTIFS('ثبت اطلاعات'!$C$5:$C$1204,A104,'ثبت اطلاعات'!$CL$5:$CL$1204,"&lt;&gt;"))</f>
        <v/>
      </c>
      <c r="P104" s="39" t="e">
        <f ca="1">IF(O104=0,"",_xludf.MINIFS('ثبت اطلاعات'!$CN$5:$CN$1204,'ثبت اطلاعات'!$C$5:$C$1204,A104,'ثبت اطلاعات'!$CL$5:$CL$1204,"&lt;&gt;"))</f>
        <v>#NAME?</v>
      </c>
      <c r="Q104" s="39" t="e">
        <f ca="1">IF(O104=0,"",_xludf.MAXIFS('ثبت اطلاعات'!$CN$5:$CN$1204,'ثبت اطلاعات'!$C$5:$C$1204,A104,'ثبت اطلاعات'!$CL$5:$CL$1204,"&lt;&gt;"))</f>
        <v>#NAME?</v>
      </c>
      <c r="R104" s="39">
        <f ca="1">IF(O104&lt;2,"",SUMIFS('ثبت اطلاعات'!$CL$5:$CL$1204,'ثبت اطلاعات'!$C$5:$C$1204,A104,'ثبت اطلاعات'!$CN$5:$CN$1204,Q104)-SUMIFS('ثبت اطلاعات'!$CL$5:$CL$1204,'ثبت اطلاعات'!$C$5:$C$1204,A104,'ثبت اطلاعات'!$CN$5:$CN$1204,P104))</f>
        <v>0</v>
      </c>
      <c r="S104" s="39" t="str">
        <f t="shared" si="15"/>
        <v/>
      </c>
      <c r="T104" s="39" t="str">
        <f t="shared" si="11"/>
        <v/>
      </c>
      <c r="U104" s="39" t="str">
        <f t="shared" si="12"/>
        <v/>
      </c>
      <c r="V104" s="39" t="str">
        <f t="shared" si="13"/>
        <v/>
      </c>
      <c r="W104" s="39" t="str">
        <f>IF(N104="","",_xludf.RANK.EQ(N104,$N$5:$N$104,0))</f>
        <v/>
      </c>
      <c r="X104" s="39" t="str">
        <f t="shared" si="14"/>
        <v/>
      </c>
      <c r="Y104" s="30" t="str">
        <f>IF(U104="","",IFERROR(INDEX('بانک راهکارها'!$C$5:$C$13,MATCH(U104,'بانک راهکارها'!$B$5:$B$13,0)),""))</f>
        <v/>
      </c>
    </row>
  </sheetData>
  <mergeCells count="2">
    <mergeCell ref="A1:Y1"/>
    <mergeCell ref="A2:Y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9"/>
  <sheetViews>
    <sheetView showGridLines="0" workbookViewId="0"/>
  </sheetViews>
  <sheetFormatPr defaultRowHeight="14.25"/>
  <cols>
    <col min="1" max="1" width="24" customWidth="1"/>
    <col min="2" max="2" width="48" customWidth="1"/>
    <col min="3" max="3" width="28" customWidth="1"/>
    <col min="4" max="8" width="18" customWidth="1"/>
  </cols>
  <sheetData>
    <row r="1" spans="1:23" ht="32.1" customHeight="1">
      <c r="A1" s="71" t="s">
        <v>209</v>
      </c>
      <c r="B1" s="72"/>
      <c r="C1" s="72"/>
      <c r="D1" s="72"/>
      <c r="E1" s="72"/>
      <c r="F1" s="72"/>
      <c r="G1" s="72"/>
      <c r="H1" s="72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</row>
    <row r="2" spans="1:23" ht="32.1" customHeight="1">
      <c r="A2" s="73" t="s">
        <v>210</v>
      </c>
      <c r="B2" s="72"/>
      <c r="C2" s="72"/>
      <c r="D2" s="72"/>
      <c r="E2" s="72"/>
      <c r="F2" s="72"/>
      <c r="G2" s="72"/>
      <c r="H2" s="72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</row>
    <row r="3" spans="1:23" ht="21">
      <c r="A3" s="69"/>
      <c r="B3" s="69"/>
      <c r="C3" s="69"/>
      <c r="D3" s="69"/>
      <c r="E3" s="69"/>
      <c r="F3" s="69"/>
      <c r="G3" s="69"/>
      <c r="H3" s="69"/>
    </row>
    <row r="4" spans="1:23" ht="42" customHeight="1">
      <c r="A4" s="1" t="s">
        <v>211</v>
      </c>
      <c r="B4" s="2" t="s">
        <v>50</v>
      </c>
      <c r="C4" s="3" t="s">
        <v>212</v>
      </c>
      <c r="D4" s="69"/>
      <c r="E4" s="69"/>
      <c r="F4" s="69"/>
      <c r="G4" s="69"/>
      <c r="H4" s="69"/>
    </row>
    <row r="5" spans="1:23" ht="21">
      <c r="A5" s="60" t="s">
        <v>213</v>
      </c>
      <c r="B5" s="61">
        <v>1</v>
      </c>
      <c r="C5" s="62" t="str">
        <f>IFERROR(INDEX('تحلیل دانش‌آموزان'!$C$5:$C$104,MATCH(B5,'تحلیل دانش‌آموزان'!$A$5:$A$104,0)),"دانش‌آموزی ثبت نشده است")</f>
        <v>نيما اسكندري تربقان</v>
      </c>
      <c r="D5" s="69"/>
      <c r="E5" s="69"/>
      <c r="F5" s="69"/>
      <c r="G5" s="69"/>
      <c r="H5" s="69"/>
    </row>
    <row r="6" spans="1:23" ht="21">
      <c r="A6" s="69"/>
      <c r="B6" s="69"/>
      <c r="C6" s="69"/>
      <c r="D6" s="69"/>
      <c r="E6" s="69"/>
      <c r="F6" s="69"/>
      <c r="G6" s="69"/>
      <c r="H6" s="69"/>
    </row>
    <row r="7" spans="1:23" ht="42" customHeight="1">
      <c r="A7" s="1" t="s">
        <v>214</v>
      </c>
      <c r="B7" s="3" t="s">
        <v>215</v>
      </c>
      <c r="C7" s="69"/>
      <c r="D7" s="1" t="s">
        <v>106</v>
      </c>
      <c r="E7" s="3" t="s">
        <v>216</v>
      </c>
      <c r="F7" s="69"/>
      <c r="G7" s="1" t="s">
        <v>121</v>
      </c>
      <c r="H7" s="3" t="s">
        <v>217</v>
      </c>
    </row>
    <row r="8" spans="1:23" ht="21">
      <c r="A8" s="63" t="s">
        <v>51</v>
      </c>
      <c r="B8" s="66" t="str">
        <f>IFERROR(INDEX('تحلیل دانش‌آموزان'!$B$5:$B$104,MATCH($B$5,'تحلیل دانش‌آموزان'!$A$5:$A$104,0)),"")</f>
        <v>0960326367</v>
      </c>
      <c r="C8" s="69"/>
      <c r="D8" s="25" t="s">
        <v>68</v>
      </c>
      <c r="E8" s="26">
        <f>IFERROR(INDEX('تحلیل دانش‌آموزان'!$E$5:$E$104,MATCH($B$5,'تحلیل دانش‌آموزان'!$A$5:$A$104,0)),"")</f>
        <v>9.5</v>
      </c>
      <c r="F8" s="69"/>
      <c r="G8" s="25" t="s">
        <v>183</v>
      </c>
      <c r="H8" s="26" t="str">
        <f>IFERROR(AVERAGEIFS('ثبت اطلاعات'!$CL$5:$CL$1204,'ثبت اطلاعات'!$C$5:$C$1204,$B$5,'ثبت اطلاعات'!$CN$5:$CN$1204,1,'ثبت اطلاعات'!$CL$5:$CL$1204,"&lt;&gt;"),"")</f>
        <v/>
      </c>
    </row>
    <row r="9" spans="1:23" ht="21">
      <c r="A9" s="64" t="s">
        <v>43</v>
      </c>
      <c r="B9" s="67">
        <f>IFERROR(INDEX('تحلیل دانش‌آموزان'!$D$5:$D$104,MATCH($B$5,'تحلیل دانش‌آموزان'!$A$5:$A$104,0)),"")</f>
        <v>901</v>
      </c>
      <c r="C9" s="69"/>
      <c r="D9" s="27" t="s">
        <v>72</v>
      </c>
      <c r="E9" s="28">
        <f>IFERROR(INDEX('تحلیل دانش‌آموزان'!$F$5:$F$104,MATCH($B$5,'تحلیل دانش‌آموزان'!$A$5:$A$104,0)),"")</f>
        <v>0</v>
      </c>
      <c r="F9" s="69"/>
      <c r="G9" s="27" t="s">
        <v>184</v>
      </c>
      <c r="H9" s="28" t="str">
        <f>IFERROR(AVERAGEIFS('ثبت اطلاعات'!$CL$5:$CL$1204,'ثبت اطلاعات'!$C$5:$C$1204,$B$5,'ثبت اطلاعات'!$CN$5:$CN$1204,2,'ثبت اطلاعات'!$CL$5:$CL$1204,"&lt;&gt;"),"")</f>
        <v/>
      </c>
    </row>
    <row r="10" spans="1:23" ht="21">
      <c r="A10" s="64" t="s">
        <v>197</v>
      </c>
      <c r="B10" s="67" t="str">
        <f>IFERROR(INDEX('تحلیل دانش‌آموزان'!$N$5:$N$104,MATCH($B$5,'تحلیل دانش‌آموزان'!$A$5:$A$104,0)),"")</f>
        <v/>
      </c>
      <c r="C10" s="69"/>
      <c r="D10" s="27" t="s">
        <v>76</v>
      </c>
      <c r="E10" s="28">
        <f>IFERROR(INDEX('تحلیل دانش‌آموزان'!$G$5:$G$104,MATCH($B$5,'تحلیل دانش‌آموزان'!$A$5:$A$104,0)),"")</f>
        <v>0</v>
      </c>
      <c r="F10" s="69"/>
      <c r="G10" s="27" t="s">
        <v>185</v>
      </c>
      <c r="H10" s="28" t="str">
        <f>IFERROR(AVERAGEIFS('ثبت اطلاعات'!$CL$5:$CL$1204,'ثبت اطلاعات'!$C$5:$C$1204,$B$5,'ثبت اطلاعات'!$CN$5:$CN$1204,3,'ثبت اطلاعات'!$CL$5:$CL$1204,"&lt;&gt;"),"")</f>
        <v/>
      </c>
    </row>
    <row r="11" spans="1:23" ht="21">
      <c r="A11" s="64" t="s">
        <v>205</v>
      </c>
      <c r="B11" s="67" t="str">
        <f>IFERROR(INDEX('تحلیل دانش‌آموزان'!$V$5:$V$104,MATCH($B$5,'تحلیل دانش‌آموزان'!$A$5:$A$104,0)),"")</f>
        <v/>
      </c>
      <c r="C11" s="69"/>
      <c r="D11" s="27" t="s">
        <v>80</v>
      </c>
      <c r="E11" s="28">
        <f>IFERROR(INDEX('تحلیل دانش‌آموزان'!$H$5:$H$104,MATCH($B$5,'تحلیل دانش‌آموزان'!$A$5:$A$104,0)),"")</f>
        <v>3.2</v>
      </c>
      <c r="F11" s="69"/>
      <c r="G11" s="27" t="s">
        <v>186</v>
      </c>
      <c r="H11" s="28" t="str">
        <f>IFERROR(AVERAGEIFS('ثبت اطلاعات'!$CL$5:$CL$1204,'ثبت اطلاعات'!$C$5:$C$1204,$B$5,'ثبت اطلاعات'!$CN$5:$CN$1204,4,'ثبت اطلاعات'!$CL$5:$CL$1204,"&lt;&gt;"),"")</f>
        <v/>
      </c>
    </row>
    <row r="12" spans="1:23" ht="21">
      <c r="A12" s="64" t="s">
        <v>206</v>
      </c>
      <c r="B12" s="67" t="str">
        <f>IFERROR(INDEX('تحلیل دانش‌آموزان'!$W$5:$W$104,MATCH($B$5,'تحلیل دانش‌آموزان'!$A$5:$A$104,0)),"")</f>
        <v/>
      </c>
      <c r="C12" s="69"/>
      <c r="D12" s="27" t="s">
        <v>84</v>
      </c>
      <c r="E12" s="28">
        <f>IFERROR(INDEX('تحلیل دانش‌آموزان'!$I$5:$I$104,MATCH($B$5,'تحلیل دانش‌آموزان'!$A$5:$A$104,0)),"")</f>
        <v>0</v>
      </c>
      <c r="F12" s="69"/>
      <c r="G12" s="27" t="s">
        <v>187</v>
      </c>
      <c r="H12" s="28" t="str">
        <f>IFERROR(AVERAGEIFS('ثبت اطلاعات'!$CL$5:$CL$1204,'ثبت اطلاعات'!$C$5:$C$1204,$B$5,'ثبت اطلاعات'!$CN$5:$CN$1204,5,'ثبت اطلاعات'!$CL$5:$CL$1204,"&lt;&gt;"),"")</f>
        <v/>
      </c>
    </row>
    <row r="13" spans="1:23" ht="21">
      <c r="A13" s="64" t="s">
        <v>207</v>
      </c>
      <c r="B13" s="67" t="str">
        <f>IFERROR(INDEX('تحلیل دانش‌آموزان'!$X$5:$X$104,MATCH($B$5,'تحلیل دانش‌آموزان'!$A$5:$A$104,0)),"")</f>
        <v/>
      </c>
      <c r="C13" s="69"/>
      <c r="D13" s="27" t="s">
        <v>88</v>
      </c>
      <c r="E13" s="28">
        <f>IFERROR(INDEX('تحلیل دانش‌آموزان'!$J$5:$J$104,MATCH($B$5,'تحلیل دانش‌آموزان'!$A$5:$A$104,0)),"")</f>
        <v>0</v>
      </c>
      <c r="F13" s="69"/>
      <c r="G13" s="27" t="s">
        <v>188</v>
      </c>
      <c r="H13" s="28" t="str">
        <f>IFERROR(AVERAGEIFS('ثبت اطلاعات'!$CL$5:$CL$1204,'ثبت اطلاعات'!$C$5:$C$1204,$B$5,'ثبت اطلاعات'!$CN$5:$CN$1204,6,'ثبت اطلاعات'!$CL$5:$CL$1204,"&lt;&gt;"),"")</f>
        <v/>
      </c>
    </row>
    <row r="14" spans="1:23" ht="21">
      <c r="A14" s="64" t="s">
        <v>202</v>
      </c>
      <c r="B14" s="67" t="str">
        <f ca="1">IFERROR(INDEX('تحلیل دانش‌آموزان'!$S$5:$S$104,MATCH($B$5,'تحلیل دانش‌آموزان'!$A$5:$A$104,0)),"")</f>
        <v>ثبات</v>
      </c>
      <c r="C14" s="69"/>
      <c r="D14" s="27" t="s">
        <v>92</v>
      </c>
      <c r="E14" s="28">
        <f>IFERROR(INDEX('تحلیل دانش‌آموزان'!$K$5:$K$104,MATCH($B$5,'تحلیل دانش‌آموزان'!$A$5:$A$104,0)),"")</f>
        <v>0</v>
      </c>
      <c r="F14" s="69"/>
      <c r="G14" s="27" t="s">
        <v>189</v>
      </c>
      <c r="H14" s="28" t="str">
        <f>IFERROR(AVERAGEIFS('ثبت اطلاعات'!$CL$5:$CL$1204,'ثبت اطلاعات'!$C$5:$C$1204,$B$5,'ثبت اطلاعات'!$CN$5:$CN$1204,7,'ثبت اطلاعات'!$CL$5:$CL$1204,"&lt;&gt;"),"")</f>
        <v/>
      </c>
    </row>
    <row r="15" spans="1:23" ht="21">
      <c r="A15" s="64" t="s">
        <v>203</v>
      </c>
      <c r="B15" s="67" t="str">
        <f>IFERROR(INDEX('تحلیل دانش‌آموزان'!$T$5:$T$104,MATCH($B$5,'تحلیل دانش‌آموزان'!$A$5:$A$104,0)),"")</f>
        <v/>
      </c>
      <c r="C15" s="69"/>
      <c r="D15" s="27" t="s">
        <v>96</v>
      </c>
      <c r="E15" s="28">
        <f>IFERROR(INDEX('تحلیل دانش‌آموزان'!$L$5:$L$104,MATCH($B$5,'تحلیل دانش‌آموزان'!$A$5:$A$104,0)),"")</f>
        <v>0</v>
      </c>
      <c r="F15" s="69"/>
      <c r="G15" s="27" t="s">
        <v>190</v>
      </c>
      <c r="H15" s="28" t="str">
        <f>IFERROR(AVERAGEIFS('ثبت اطلاعات'!$CL$5:$CL$1204,'ثبت اطلاعات'!$C$5:$C$1204,$B$5,'ثبت اطلاعات'!$CN$5:$CN$1204,8,'ثبت اطلاعات'!$CL$5:$CL$1204,"&lt;&gt;"),"")</f>
        <v/>
      </c>
    </row>
    <row r="16" spans="1:23" ht="21">
      <c r="A16" s="64" t="s">
        <v>204</v>
      </c>
      <c r="B16" s="67" t="str">
        <f>IFERROR(INDEX('تحلیل دانش‌آموزان'!$U$5:$U$104,MATCH($B$5,'تحلیل دانش‌آموزان'!$A$5:$A$104,0)),"")</f>
        <v/>
      </c>
      <c r="C16" s="69"/>
      <c r="D16" s="29" t="s">
        <v>100</v>
      </c>
      <c r="E16" s="30">
        <f>IFERROR(INDEX('تحلیل دانش‌آموزان'!$M$5:$M$104,MATCH($B$5,'تحلیل دانش‌آموزان'!$A$5:$A$104,0)),"")</f>
        <v>0</v>
      </c>
      <c r="F16" s="69"/>
      <c r="G16" s="27" t="s">
        <v>191</v>
      </c>
      <c r="H16" s="28" t="str">
        <f>IFERROR(AVERAGEIFS('ثبت اطلاعات'!$CL$5:$CL$1204,'ثبت اطلاعات'!$C$5:$C$1204,$B$5,'ثبت اطلاعات'!$CN$5:$CN$1204,9,'ثبت اطلاعات'!$CL$5:$CL$1204,"&lt;&gt;"),"")</f>
        <v/>
      </c>
    </row>
    <row r="17" spans="1:8" ht="21">
      <c r="A17" s="65" t="s">
        <v>208</v>
      </c>
      <c r="B17" s="68" t="str">
        <f>IFERROR(INDEX('تحلیل دانش‌آموزان'!$Y$5:$Y$104,MATCH($B$5,'تحلیل دانش‌آموزان'!$A$5:$A$104,0)),"")</f>
        <v/>
      </c>
      <c r="C17" s="69"/>
      <c r="D17" s="69"/>
      <c r="E17" s="69"/>
      <c r="F17" s="69"/>
      <c r="G17" s="27" t="s">
        <v>192</v>
      </c>
      <c r="H17" s="28" t="str">
        <f>IFERROR(AVERAGEIFS('ثبت اطلاعات'!$CL$5:$CL$1204,'ثبت اطلاعات'!$C$5:$C$1204,$B$5,'ثبت اطلاعات'!$CN$5:$CN$1204,10,'ثبت اطلاعات'!$CL$5:$CL$1204,"&lt;&gt;"),"")</f>
        <v/>
      </c>
    </row>
    <row r="18" spans="1:8" ht="21">
      <c r="A18" s="69"/>
      <c r="B18" s="69"/>
      <c r="C18" s="69"/>
      <c r="D18" s="69"/>
      <c r="E18" s="69"/>
      <c r="F18" s="69"/>
      <c r="G18" s="27" t="s">
        <v>193</v>
      </c>
      <c r="H18" s="28" t="str">
        <f>IFERROR(AVERAGEIFS('ثبت اطلاعات'!$CL$5:$CL$1204,'ثبت اطلاعات'!$C$5:$C$1204,$B$5,'ثبت اطلاعات'!$CN$5:$CN$1204,11,'ثبت اطلاعات'!$CL$5:$CL$1204,"&lt;&gt;"),"")</f>
        <v/>
      </c>
    </row>
    <row r="19" spans="1:8" ht="21">
      <c r="A19" s="69"/>
      <c r="B19" s="69"/>
      <c r="C19" s="69"/>
      <c r="D19" s="69"/>
      <c r="E19" s="69"/>
      <c r="F19" s="69"/>
      <c r="G19" s="29" t="s">
        <v>194</v>
      </c>
      <c r="H19" s="30" t="str">
        <f>IFERROR(AVERAGEIFS('ثبت اطلاعات'!$CL$5:$CL$1204,'ثبت اطلاعات'!$C$5:$C$1204,$B$5,'ثبت اطلاعات'!$CN$5:$CN$1204,12,'ثبت اطلاعات'!$CL$5:$CL$1204,"&lt;&gt;"),"")</f>
        <v/>
      </c>
    </row>
  </sheetData>
  <mergeCells count="2">
    <mergeCell ref="A1:W1"/>
    <mergeCell ref="A2:W2"/>
  </mergeCells>
  <dataValidations count="1">
    <dataValidation type="whole" sqref="B5" xr:uid="{00000000-0002-0000-0700-000000000000}">
      <formula1>1</formula1>
      <formula2>100</formula2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20"/>
  <sheetViews>
    <sheetView showGridLines="0" workbookViewId="0"/>
  </sheetViews>
  <sheetFormatPr defaultRowHeight="14.25"/>
  <cols>
    <col min="1" max="8" width="19" customWidth="1"/>
  </cols>
  <sheetData>
    <row r="1" spans="1:22" ht="32.1" customHeight="1">
      <c r="A1" s="71" t="s">
        <v>218</v>
      </c>
      <c r="B1" s="72"/>
      <c r="C1" s="72"/>
      <c r="D1" s="72"/>
      <c r="E1" s="72"/>
      <c r="F1" s="72"/>
      <c r="G1" s="72"/>
      <c r="H1" s="72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</row>
    <row r="2" spans="1:22" ht="32.1" customHeight="1">
      <c r="A2" s="73" t="s">
        <v>219</v>
      </c>
      <c r="B2" s="72"/>
      <c r="C2" s="72"/>
      <c r="D2" s="72"/>
      <c r="E2" s="72"/>
      <c r="F2" s="72"/>
      <c r="G2" s="72"/>
      <c r="H2" s="72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 spans="1:22" ht="21">
      <c r="A3" s="69"/>
      <c r="B3" s="69"/>
      <c r="C3" s="69"/>
      <c r="D3" s="69"/>
      <c r="E3" s="69"/>
      <c r="F3" s="69"/>
      <c r="G3" s="69"/>
      <c r="H3" s="69"/>
    </row>
    <row r="4" spans="1:22" ht="21">
      <c r="A4" s="83" t="s">
        <v>220</v>
      </c>
      <c r="B4" s="83"/>
      <c r="C4" s="83" t="s">
        <v>221</v>
      </c>
      <c r="D4" s="83"/>
      <c r="E4" s="83" t="s">
        <v>222</v>
      </c>
      <c r="F4" s="83"/>
      <c r="G4" s="83" t="s">
        <v>223</v>
      </c>
      <c r="H4" s="83"/>
    </row>
    <row r="5" spans="1:22">
      <c r="A5" s="77">
        <f>COUNTIF(کلاس‌بندی!$D$5:$D$34,"&lt;&gt;")</f>
        <v>1</v>
      </c>
      <c r="B5" s="78"/>
      <c r="C5" s="78">
        <f>COUNTIF(دانش‌آموزان!$E$5:$E$104,"?*")</f>
        <v>32</v>
      </c>
      <c r="D5" s="78"/>
      <c r="E5" s="78">
        <f>COUNT('ثبت اطلاعات'!$CL$5:$CL$1204)</f>
        <v>0</v>
      </c>
      <c r="F5" s="78"/>
      <c r="G5" s="78">
        <f>COUNTIF('ثبت اطلاعات'!$CM$5:$CM$1204,"موقت*")</f>
        <v>0</v>
      </c>
      <c r="H5" s="81"/>
    </row>
    <row r="6" spans="1:22">
      <c r="A6" s="79"/>
      <c r="B6" s="80"/>
      <c r="C6" s="80"/>
      <c r="D6" s="80"/>
      <c r="E6" s="80"/>
      <c r="F6" s="80"/>
      <c r="G6" s="80"/>
      <c r="H6" s="82"/>
    </row>
    <row r="7" spans="1:22" ht="21">
      <c r="A7" s="69"/>
      <c r="B7" s="69"/>
      <c r="C7" s="69"/>
      <c r="D7" s="69"/>
      <c r="E7" s="69"/>
      <c r="F7" s="69"/>
      <c r="G7" s="69"/>
      <c r="H7" s="69"/>
    </row>
    <row r="8" spans="1:22" ht="42" customHeight="1">
      <c r="A8" s="1" t="s">
        <v>121</v>
      </c>
      <c r="B8" s="3" t="s">
        <v>224</v>
      </c>
      <c r="C8" s="69"/>
      <c r="D8" s="1" t="s">
        <v>106</v>
      </c>
      <c r="E8" s="3" t="s">
        <v>225</v>
      </c>
      <c r="F8" s="69"/>
      <c r="G8" s="1" t="s">
        <v>205</v>
      </c>
      <c r="H8" s="3" t="s">
        <v>226</v>
      </c>
    </row>
    <row r="9" spans="1:22" ht="21">
      <c r="A9" s="25" t="s">
        <v>183</v>
      </c>
      <c r="B9" s="26" t="str">
        <f>IFERROR(AVERAGEIFS('ثبت اطلاعات'!$CL$5:$CL$1204,'ثبت اطلاعات'!$CN$5:$CN$1204,1,'ثبت اطلاعات'!$CL$5:$CL$1204,"&lt;&gt;"),"")</f>
        <v/>
      </c>
      <c r="C9" s="69"/>
      <c r="D9" s="25" t="s">
        <v>68</v>
      </c>
      <c r="E9" s="26">
        <f>IFERROR(AVERAGE('ثبت اطلاعات'!$CC$5:$CC$1204),"")</f>
        <v>9.4092187500000009</v>
      </c>
      <c r="F9" s="69"/>
      <c r="G9" s="25" t="s">
        <v>227</v>
      </c>
      <c r="H9" s="26">
        <f>COUNTIF('تحلیل دانش‌آموزان'!$V$5:$V$104,G9)</f>
        <v>0</v>
      </c>
    </row>
    <row r="10" spans="1:22" ht="21">
      <c r="A10" s="27" t="s">
        <v>184</v>
      </c>
      <c r="B10" s="28" t="str">
        <f>IFERROR(AVERAGEIFS('ثبت اطلاعات'!$CL$5:$CL$1204,'ثبت اطلاعات'!$CN$5:$CN$1204,2,'ثبت اطلاعات'!$CL$5:$CL$1204,"&lt;&gt;"),"")</f>
        <v/>
      </c>
      <c r="C10" s="69"/>
      <c r="D10" s="27" t="s">
        <v>72</v>
      </c>
      <c r="E10" s="28">
        <f>IFERROR(AVERAGE('ثبت اطلاعات'!$CD$5:$CD$1204),"")</f>
        <v>13.6</v>
      </c>
      <c r="F10" s="69"/>
      <c r="G10" s="27" t="s">
        <v>228</v>
      </c>
      <c r="H10" s="28">
        <f>COUNTIF('تحلیل دانش‌آموزان'!$V$5:$V$104,G10)</f>
        <v>0</v>
      </c>
    </row>
    <row r="11" spans="1:22" ht="21">
      <c r="A11" s="27" t="s">
        <v>185</v>
      </c>
      <c r="B11" s="28" t="str">
        <f>IFERROR(AVERAGEIFS('ثبت اطلاعات'!$CL$5:$CL$1204,'ثبت اطلاعات'!$CN$5:$CN$1204,3,'ثبت اطلاعات'!$CL$5:$CL$1204,"&lt;&gt;"),"")</f>
        <v/>
      </c>
      <c r="C11" s="69"/>
      <c r="D11" s="27" t="s">
        <v>76</v>
      </c>
      <c r="E11" s="28">
        <f>IFERROR(AVERAGE('ثبت اطلاعات'!$CE$5:$CE$1204),"")</f>
        <v>7.4375</v>
      </c>
      <c r="F11" s="69"/>
      <c r="G11" s="27" t="s">
        <v>229</v>
      </c>
      <c r="H11" s="28">
        <f>COUNTIF('تحلیل دانش‌آموزان'!$V$5:$V$104,G11)</f>
        <v>0</v>
      </c>
    </row>
    <row r="12" spans="1:22" ht="21">
      <c r="A12" s="27" t="s">
        <v>186</v>
      </c>
      <c r="B12" s="28" t="str">
        <f>IFERROR(AVERAGEIFS('ثبت اطلاعات'!$CL$5:$CL$1204,'ثبت اطلاعات'!$CN$5:$CN$1204,4,'ثبت اطلاعات'!$CL$5:$CL$1204,"&lt;&gt;"),"")</f>
        <v/>
      </c>
      <c r="C12" s="69"/>
      <c r="D12" s="27" t="s">
        <v>80</v>
      </c>
      <c r="E12" s="28">
        <f>IFERROR(AVERAGE('ثبت اطلاعات'!$CF$5:$CF$1204),"")</f>
        <v>13.7</v>
      </c>
      <c r="F12" s="69"/>
      <c r="G12" s="29" t="s">
        <v>230</v>
      </c>
      <c r="H12" s="30">
        <f>COUNTIF('تحلیل دانش‌آموزان'!$V$5:$V$104,G12)</f>
        <v>0</v>
      </c>
    </row>
    <row r="13" spans="1:22" ht="21">
      <c r="A13" s="27" t="s">
        <v>187</v>
      </c>
      <c r="B13" s="28" t="str">
        <f>IFERROR(AVERAGEIFS('ثبت اطلاعات'!$CL$5:$CL$1204,'ثبت اطلاعات'!$CN$5:$CN$1204,5,'ثبت اطلاعات'!$CL$5:$CL$1204,"&lt;&gt;"),"")</f>
        <v/>
      </c>
      <c r="C13" s="69"/>
      <c r="D13" s="27" t="s">
        <v>84</v>
      </c>
      <c r="E13" s="28">
        <f>IFERROR(AVERAGE('ثبت اطلاعات'!$CG$5:$CG$1204),"")</f>
        <v>0</v>
      </c>
      <c r="F13" s="69"/>
      <c r="G13" s="69"/>
      <c r="H13" s="69"/>
    </row>
    <row r="14" spans="1:22" ht="21">
      <c r="A14" s="27" t="s">
        <v>188</v>
      </c>
      <c r="B14" s="28" t="str">
        <f>IFERROR(AVERAGEIFS('ثبت اطلاعات'!$CL$5:$CL$1204,'ثبت اطلاعات'!$CN$5:$CN$1204,6,'ثبت اطلاعات'!$CL$5:$CL$1204,"&lt;&gt;"),"")</f>
        <v/>
      </c>
      <c r="C14" s="69"/>
      <c r="D14" s="27" t="s">
        <v>88</v>
      </c>
      <c r="E14" s="28">
        <f>IFERROR(AVERAGE('ثبت اطلاعات'!$CH$5:$CH$1204),"")</f>
        <v>0</v>
      </c>
      <c r="F14" s="69"/>
      <c r="G14" s="69"/>
      <c r="H14" s="69"/>
    </row>
    <row r="15" spans="1:22" ht="21">
      <c r="A15" s="27" t="s">
        <v>189</v>
      </c>
      <c r="B15" s="28" t="str">
        <f>IFERROR(AVERAGEIFS('ثبت اطلاعات'!$CL$5:$CL$1204,'ثبت اطلاعات'!$CN$5:$CN$1204,7,'ثبت اطلاعات'!$CL$5:$CL$1204,"&lt;&gt;"),"")</f>
        <v/>
      </c>
      <c r="C15" s="69"/>
      <c r="D15" s="27" t="s">
        <v>92</v>
      </c>
      <c r="E15" s="28">
        <f>IFERROR(AVERAGE('ثبت اطلاعات'!$CI$5:$CI$1204),"")</f>
        <v>0</v>
      </c>
      <c r="F15" s="69"/>
      <c r="G15" s="69"/>
      <c r="H15" s="69"/>
    </row>
    <row r="16" spans="1:22" ht="21">
      <c r="A16" s="27" t="s">
        <v>190</v>
      </c>
      <c r="B16" s="28" t="str">
        <f>IFERROR(AVERAGEIFS('ثبت اطلاعات'!$CL$5:$CL$1204,'ثبت اطلاعات'!$CN$5:$CN$1204,8,'ثبت اطلاعات'!$CL$5:$CL$1204,"&lt;&gt;"),"")</f>
        <v/>
      </c>
      <c r="C16" s="69"/>
      <c r="D16" s="27" t="s">
        <v>96</v>
      </c>
      <c r="E16" s="28">
        <f>IFERROR(AVERAGE('ثبت اطلاعات'!$CJ$5:$CJ$1204),"")</f>
        <v>0</v>
      </c>
      <c r="F16" s="69"/>
      <c r="G16" s="69"/>
      <c r="H16" s="69"/>
    </row>
    <row r="17" spans="1:8" ht="21">
      <c r="A17" s="27" t="s">
        <v>191</v>
      </c>
      <c r="B17" s="28" t="str">
        <f>IFERROR(AVERAGEIFS('ثبت اطلاعات'!$CL$5:$CL$1204,'ثبت اطلاعات'!$CN$5:$CN$1204,9,'ثبت اطلاعات'!$CL$5:$CL$1204,"&lt;&gt;"),"")</f>
        <v/>
      </c>
      <c r="C17" s="69"/>
      <c r="D17" s="29" t="s">
        <v>100</v>
      </c>
      <c r="E17" s="30">
        <f>IFERROR(AVERAGE('ثبت اطلاعات'!$CK$5:$CK$1204),"")</f>
        <v>0</v>
      </c>
      <c r="F17" s="69"/>
      <c r="G17" s="69"/>
      <c r="H17" s="69"/>
    </row>
    <row r="18" spans="1:8" ht="21">
      <c r="A18" s="27" t="s">
        <v>192</v>
      </c>
      <c r="B18" s="28" t="str">
        <f>IFERROR(AVERAGEIFS('ثبت اطلاعات'!$CL$5:$CL$1204,'ثبت اطلاعات'!$CN$5:$CN$1204,10,'ثبت اطلاعات'!$CL$5:$CL$1204,"&lt;&gt;"),"")</f>
        <v/>
      </c>
      <c r="C18" s="69"/>
      <c r="D18" s="69"/>
      <c r="E18" s="69"/>
      <c r="F18" s="69"/>
      <c r="G18" s="69"/>
      <c r="H18" s="69"/>
    </row>
    <row r="19" spans="1:8" ht="21">
      <c r="A19" s="27" t="s">
        <v>193</v>
      </c>
      <c r="B19" s="28" t="str">
        <f>IFERROR(AVERAGEIFS('ثبت اطلاعات'!$CL$5:$CL$1204,'ثبت اطلاعات'!$CN$5:$CN$1204,11,'ثبت اطلاعات'!$CL$5:$CL$1204,"&lt;&gt;"),"")</f>
        <v/>
      </c>
      <c r="C19" s="69"/>
      <c r="D19" s="69"/>
      <c r="E19" s="69"/>
      <c r="F19" s="69"/>
      <c r="G19" s="69"/>
      <c r="H19" s="69"/>
    </row>
    <row r="20" spans="1:8" ht="21">
      <c r="A20" s="29" t="s">
        <v>194</v>
      </c>
      <c r="B20" s="30" t="str">
        <f>IFERROR(AVERAGEIFS('ثبت اطلاعات'!$CL$5:$CL$1204,'ثبت اطلاعات'!$CN$5:$CN$1204,12,'ثبت اطلاعات'!$CL$5:$CL$1204,"&lt;&gt;"),"")</f>
        <v/>
      </c>
      <c r="C20" s="69"/>
      <c r="D20" s="69"/>
      <c r="E20" s="69"/>
      <c r="F20" s="69"/>
      <c r="G20" s="69"/>
      <c r="H20" s="69"/>
    </row>
  </sheetData>
  <mergeCells count="10">
    <mergeCell ref="A5:B6"/>
    <mergeCell ref="C5:D6"/>
    <mergeCell ref="E5:F6"/>
    <mergeCell ref="G5:H6"/>
    <mergeCell ref="A1:V1"/>
    <mergeCell ref="A2:V2"/>
    <mergeCell ref="A4:B4"/>
    <mergeCell ref="C4:D4"/>
    <mergeCell ref="E4:F4"/>
    <mergeCell ref="G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راهنما</vt:lpstr>
      <vt:lpstr>کلاس‌بندی</vt:lpstr>
      <vt:lpstr>دانش‌آموزان</vt:lpstr>
      <vt:lpstr>تنظیمات وزن‌دهی</vt:lpstr>
      <vt:lpstr>بانک راهکارها</vt:lpstr>
      <vt:lpstr>ثبت اطلاعات</vt:lpstr>
      <vt:lpstr>تحلیل دانش‌آموزان</vt:lpstr>
      <vt:lpstr>گزارش دانش‌آموز</vt:lpstr>
      <vt:lpstr>داشبورد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DimO</dc:creator>
  <cp:lastModifiedBy>Jalil</cp:lastModifiedBy>
  <dcterms:created xsi:type="dcterms:W3CDTF">2026-09-01T06:45:31Z</dcterms:created>
  <dcterms:modified xsi:type="dcterms:W3CDTF">2026-09-05T14:33:12Z</dcterms:modified>
</cp:coreProperties>
</file>