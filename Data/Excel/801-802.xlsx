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ESAT\Desktop\"/>
    </mc:Choice>
  </mc:AlternateContent>
  <bookViews>
    <workbookView xWindow="0" yWindow="0" windowWidth="7380" windowHeight="6465" firstSheet="2" activeTab="2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اطلاعات'!$B$4:$B$1204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4" i="3" l="1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J6" i="3" l="1"/>
  <c r="J7" i="3"/>
  <c r="J8" i="3"/>
  <c r="J9" i="3"/>
  <c r="J10" i="3"/>
  <c r="J11" i="3"/>
  <c r="J12" i="3"/>
  <c r="J13" i="3"/>
  <c r="C5" i="9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M961" i="6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M960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M959" i="6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M958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M957" i="6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M956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M955" i="6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M954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M953" i="6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M952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M951" i="6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M950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M949" i="6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M948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M947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M946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M945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M944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M943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M942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M941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M940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M939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M938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M937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M936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M935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M934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M933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M932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M931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M930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M929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M928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M927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M926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M925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M924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M923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M922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M921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M920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M919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M918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M917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M916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M915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M914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M913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M912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M911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M910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M909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M908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M907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M906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M905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M904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M903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M902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M901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M900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M899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M898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M897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M896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M895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M894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M893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O893" i="6" s="1"/>
  <c r="CM892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M891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M890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M889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M888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M887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M886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M885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M884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M883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M882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M881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M880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M879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M878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M877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O877" i="6" s="1"/>
  <c r="CM876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M875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M874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M873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M872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M871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M870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M869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O869" i="6" s="1"/>
  <c r="CM868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M867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M866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M865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M864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M863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M862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M861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O861" i="6" s="1"/>
  <c r="CM860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M859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M858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M857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O857" i="6" s="1"/>
  <c r="CM856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M855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O855" i="6" s="1"/>
  <c r="CM854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M853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O853" i="6" s="1"/>
  <c r="CM852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M851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M850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M849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M848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M847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M846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M845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O845" i="6" s="1"/>
  <c r="CM844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M843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M842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M841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M840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M839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M838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M837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O837" i="6" s="1"/>
  <c r="CM836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M835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M834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M833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O833" i="6" s="1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M668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L668" i="6" s="1"/>
  <c r="CM667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L667" i="6" s="1"/>
  <c r="CM666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L666" i="6" s="1"/>
  <c r="CM665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L665" i="6" s="1"/>
  <c r="CM664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L664" i="6" s="1"/>
  <c r="CM663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L663" i="6" s="1"/>
  <c r="CM662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L662" i="6" s="1"/>
  <c r="CM661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L661" i="6" s="1"/>
  <c r="CM660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L660" i="6" s="1"/>
  <c r="CM659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L659" i="6" s="1"/>
  <c r="CM658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L658" i="6" s="1"/>
  <c r="CM657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L657" i="6" s="1"/>
  <c r="CM656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L656" i="6" s="1"/>
  <c r="CM655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L655" i="6" s="1"/>
  <c r="CM654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L654" i="6" s="1"/>
  <c r="CM653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L653" i="6" s="1"/>
  <c r="CM652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L652" i="6" s="1"/>
  <c r="CM651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L651" i="6" s="1"/>
  <c r="CM650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L650" i="6" s="1"/>
  <c r="CM649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L649" i="6" s="1"/>
  <c r="CM648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L648" i="6" s="1"/>
  <c r="CM647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L647" i="6" s="1"/>
  <c r="CM646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L646" i="6" s="1"/>
  <c r="CM645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L645" i="6" s="1"/>
  <c r="CM644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L644" i="6" s="1"/>
  <c r="CM643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L643" i="6" s="1"/>
  <c r="CM642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L642" i="6" s="1"/>
  <c r="CM641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L641" i="6" s="1"/>
  <c r="CM640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L640" i="6" s="1"/>
  <c r="CM639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L639" i="6" s="1"/>
  <c r="CM638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L638" i="6" s="1"/>
  <c r="CM637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L637" i="6" s="1"/>
  <c r="CM636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L636" i="6" s="1"/>
  <c r="CM635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L635" i="6" s="1"/>
  <c r="CM634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L634" i="6" s="1"/>
  <c r="CM633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L633" i="6" s="1"/>
  <c r="CM632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L632" i="6" s="1"/>
  <c r="CM631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L631" i="6" s="1"/>
  <c r="CM630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L630" i="6" s="1"/>
  <c r="CM629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L629" i="6" s="1"/>
  <c r="CM628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L628" i="6" s="1"/>
  <c r="CM627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L627" i="6" s="1"/>
  <c r="CM626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L626" i="6" s="1"/>
  <c r="CM625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L625" i="6" s="1"/>
  <c r="CM624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L624" i="6" s="1"/>
  <c r="CM623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L623" i="6" s="1"/>
  <c r="CM622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L622" i="6" s="1"/>
  <c r="CM621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L621" i="6" s="1"/>
  <c r="CM620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L620" i="6" s="1"/>
  <c r="CM619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L619" i="6" s="1"/>
  <c r="CM618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M617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M616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M615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M614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M613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M612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M611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M610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M609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M608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M607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M606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M605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M604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M603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M602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M601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M600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L600" i="6" s="1"/>
  <c r="CM599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M598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M597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M596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L596" i="6" s="1"/>
  <c r="CM595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M594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L594" i="6" s="1"/>
  <c r="CM593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M592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L592" i="6" s="1"/>
  <c r="CM591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M590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M589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M588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L588" i="6" s="1"/>
  <c r="CM587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L587" i="6" s="1"/>
  <c r="CM586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M585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M584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L584" i="6" s="1"/>
  <c r="CM583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M582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L582" i="6" s="1"/>
  <c r="CM581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L581" i="6" s="1"/>
  <c r="CM580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M579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L579" i="6" s="1"/>
  <c r="CM578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M577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M576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M575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M574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M573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M572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M571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L571" i="6" s="1"/>
  <c r="CM570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L570" i="6" s="1"/>
  <c r="CM569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M568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M567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M566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M565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L565" i="6" s="1"/>
  <c r="CM564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L564" i="6" s="1"/>
  <c r="CM563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L563" i="6" s="1"/>
  <c r="CM562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M561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M560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M559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M558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L558" i="6" s="1"/>
  <c r="CM557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M556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L556" i="6" s="1"/>
  <c r="CM555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L555" i="6" s="1"/>
  <c r="CM554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M553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M552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L552" i="6" s="1"/>
  <c r="CM551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M550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M549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M548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L548" i="6" s="1"/>
  <c r="CM547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M546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L546" i="6" s="1"/>
  <c r="CM545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M544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L544" i="6" s="1"/>
  <c r="CM543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M542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M541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M540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L540" i="6" s="1"/>
  <c r="CM539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M538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M537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M536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L536" i="6" s="1"/>
  <c r="CM535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L535" i="6" s="1"/>
  <c r="CM534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L534" i="6" s="1"/>
  <c r="CM533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M532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L532" i="6" s="1"/>
  <c r="CM531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M530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M529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M528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L528" i="6" s="1"/>
  <c r="CM527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M526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M525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M524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L524" i="6" s="1"/>
  <c r="CM523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M522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L522" i="6" s="1"/>
  <c r="CM521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M520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L520" i="6" s="1"/>
  <c r="CM519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M518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M517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M516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M515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M514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M513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M512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L512" i="6" s="1"/>
  <c r="CM511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M510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M509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M508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L508" i="6" s="1"/>
  <c r="CM507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M506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M505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M504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M503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M502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M501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M500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M499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L499" i="6" s="1"/>
  <c r="CM498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M497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M496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M495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M494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M493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M492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M491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M490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M489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M488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M487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L487" i="6" s="1"/>
  <c r="CM486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M485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M484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M483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M482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M481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M480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M479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M478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M477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M476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M475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L475" i="6" s="1"/>
  <c r="CM474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M473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M472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M471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M470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M469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M468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M467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M466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M465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M464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M463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L463" i="6" s="1"/>
  <c r="CM462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M461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M460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M459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M458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M457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M456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M455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M454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M453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M452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M451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L451" i="6" s="1"/>
  <c r="CM450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M449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L414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L413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O413" i="6" s="1"/>
  <c r="CL412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O412" i="6" s="1"/>
  <c r="CL411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O411" i="6" s="1"/>
  <c r="CL410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O410" i="6" s="1"/>
  <c r="CL409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O409" i="6" s="1"/>
  <c r="CL408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O408" i="6" s="1"/>
  <c r="CL407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7" i="6" s="1"/>
  <c r="CL406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6" i="6" s="1"/>
  <c r="CL405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O405" i="6" s="1"/>
  <c r="CL404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4" i="6" s="1"/>
  <c r="CL403" i="6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3" i="6" s="1"/>
  <c r="CM402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L401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1" i="6" s="1"/>
  <c r="CM400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L399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9" i="6" s="1"/>
  <c r="CM398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L397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7" i="6" s="1"/>
  <c r="CM396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L395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5" i="6" s="1"/>
  <c r="CM394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L393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3" i="6" s="1"/>
  <c r="CM392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L391" i="6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1" i="6" s="1"/>
  <c r="CM390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L389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O389" i="6" s="1"/>
  <c r="CM388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L387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O387" i="6" s="1"/>
  <c r="CM386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L385" i="6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O385" i="6" s="1"/>
  <c r="CM384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L383" i="6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O383" i="6" s="1"/>
  <c r="CM382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L381" i="6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O381" i="6" s="1"/>
  <c r="CM380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L379" i="6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O379" i="6" s="1"/>
  <c r="CM378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L377" i="6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O377" i="6" s="1"/>
  <c r="CM376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L375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O375" i="6" s="1"/>
  <c r="CM374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L373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O373" i="6" s="1"/>
  <c r="CM372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L371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O371" i="6" s="1"/>
  <c r="CM370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L369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O369" i="6" s="1"/>
  <c r="CM368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L367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O367" i="6" s="1"/>
  <c r="CM366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L365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O365" i="6" s="1"/>
  <c r="CM364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L363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O363" i="6" s="1"/>
  <c r="CM362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L361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O361" i="6" s="1"/>
  <c r="CL360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O360" i="6" s="1"/>
  <c r="CM359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O359" i="6" s="1"/>
  <c r="CL358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O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O352" i="6" s="1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O351" i="6" s="1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O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O344" i="6" s="1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O343" i="6" s="1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O342" i="6" s="1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O336" i="6" s="1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O335" i="6" s="1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O334" i="6" s="1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M299" i="6" s="1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M298" i="6" s="1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7" i="6" s="1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M296" i="6" s="1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M295" i="6" s="1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M294" i="6" s="1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3" i="6" s="1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M292" i="6" s="1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M291" i="6" s="1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M290" i="6" s="1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9" i="6" s="1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M288" i="6" s="1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M287" i="6" s="1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M286" i="6" s="1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5" i="6" s="1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M284" i="6" s="1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M283" i="6" s="1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M282" i="6" s="1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1" i="6" s="1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M280" i="6" s="1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M279" i="6" s="1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M278" i="6" s="1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7" i="6" s="1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M276" i="6" s="1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M275" i="6" s="1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M274" i="6" s="1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3" i="6" s="1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M272" i="6" s="1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M271" i="6" s="1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M270" i="6" s="1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9" i="6" s="1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M268" i="6" s="1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M267" i="6" s="1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M266" i="6" s="1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5" i="6" s="1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M264" i="6" s="1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M263" i="6" s="1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M262" i="6" s="1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M261" i="6" s="1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M260" i="6" s="1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O259" i="6" s="1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M258" i="6" s="1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O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M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O255" i="6" s="1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M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O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M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O251" i="6" s="1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M250" i="6" s="1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O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M248" i="6" s="1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O247" i="6" s="1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M246" i="6" s="1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O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M244" i="6" s="1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O243" i="6" s="1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M242" i="6" s="1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O241" i="6" s="1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M240" i="6" s="1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O239" i="6" s="1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M238" i="6" s="1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O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M236" i="6" s="1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O235" i="6" s="1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M234" i="6" s="1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O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M232" i="6" s="1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M165" i="6" s="1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M164" i="6" s="1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M163" i="6" s="1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M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M161" i="6" s="1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M160" i="6" s="1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M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M158" i="6" s="1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O157" i="6" s="1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M155" i="6" s="1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M151" i="6" s="1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M149" i="6" s="1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M147" i="6" s="1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M143" i="6" s="1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M141" i="6" s="1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M139" i="6" s="1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M137" i="6" s="1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M135" i="6" s="1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M133" i="6" s="1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M131" i="6" s="1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M129" i="6" s="1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M127" i="6" s="1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M125" i="6" s="1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M123" i="6" s="1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M119" i="6" s="1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M117" i="6" s="1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M115" i="6" s="1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M111" i="6" s="1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M109" i="6" s="1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M107" i="6" s="1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M103" i="6" s="1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M101" i="6" s="1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M99" i="6" s="1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M95" i="6" s="1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M91" i="6" s="1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M87" i="6" s="1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M83" i="6" s="1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M79" i="6" s="1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M75" i="6" s="1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M71" i="6" s="1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M67" i="6" s="1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M63" i="6" s="1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M59" i="6" s="1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M55" i="6" s="1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M53" i="6" s="1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M51" i="6" s="1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M47" i="6" s="1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M45" i="6" s="1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M43" i="6" s="1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M39" i="6" s="1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M37" i="6" s="1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M35" i="6" s="1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M31" i="6" s="1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M27" i="6" s="1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M23" i="6" s="1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M19" i="6" s="1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M15" i="6" s="1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O13" i="6" s="1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M11" i="6" s="1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L9" i="6" s="1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4" i="3"/>
  <c r="A104" i="7" s="1"/>
  <c r="L103" i="3"/>
  <c r="A103" i="7" s="1"/>
  <c r="L102" i="3"/>
  <c r="A102" i="7" s="1"/>
  <c r="L101" i="3"/>
  <c r="A101" i="7" s="1"/>
  <c r="L100" i="3"/>
  <c r="A100" i="7" s="1"/>
  <c r="L99" i="3"/>
  <c r="A99" i="7" s="1"/>
  <c r="L98" i="3"/>
  <c r="A98" i="7" s="1"/>
  <c r="L97" i="3"/>
  <c r="A97" i="7" s="1"/>
  <c r="L96" i="3"/>
  <c r="A96" i="7" s="1"/>
  <c r="L95" i="3"/>
  <c r="A95" i="7" s="1"/>
  <c r="L94" i="3"/>
  <c r="A94" i="7" s="1"/>
  <c r="L93" i="3"/>
  <c r="A93" i="7" s="1"/>
  <c r="L92" i="3"/>
  <c r="A92" i="7" s="1"/>
  <c r="L91" i="3"/>
  <c r="A91" i="7" s="1"/>
  <c r="L90" i="3"/>
  <c r="A90" i="7" s="1"/>
  <c r="L89" i="3"/>
  <c r="A89" i="7" s="1"/>
  <c r="L88" i="3"/>
  <c r="A88" i="7" s="1"/>
  <c r="L87" i="3"/>
  <c r="A87" i="7" s="1"/>
  <c r="L86" i="3"/>
  <c r="A86" i="7" s="1"/>
  <c r="L85" i="3"/>
  <c r="A85" i="7" s="1"/>
  <c r="L84" i="3"/>
  <c r="A84" i="7" s="1"/>
  <c r="L83" i="3"/>
  <c r="A83" i="7" s="1"/>
  <c r="L82" i="3"/>
  <c r="A82" i="7" s="1"/>
  <c r="L81" i="3"/>
  <c r="A81" i="7" s="1"/>
  <c r="L80" i="3"/>
  <c r="A80" i="7" s="1"/>
  <c r="L79" i="3"/>
  <c r="A79" i="7" s="1"/>
  <c r="L78" i="3"/>
  <c r="A78" i="7" s="1"/>
  <c r="L77" i="3"/>
  <c r="A77" i="7" s="1"/>
  <c r="L76" i="3"/>
  <c r="A76" i="7" s="1"/>
  <c r="L75" i="3"/>
  <c r="A75" i="7" s="1"/>
  <c r="L74" i="3"/>
  <c r="A74" i="7" s="1"/>
  <c r="L73" i="3"/>
  <c r="A73" i="7" s="1"/>
  <c r="L72" i="3"/>
  <c r="A72" i="7" s="1"/>
  <c r="L71" i="3"/>
  <c r="A71" i="7" s="1"/>
  <c r="L70" i="3"/>
  <c r="A70" i="7" s="1"/>
  <c r="L69" i="3"/>
  <c r="A69" i="7" s="1"/>
  <c r="L68" i="3"/>
  <c r="A68" i="7" s="1"/>
  <c r="L67" i="3"/>
  <c r="A67" i="7" s="1"/>
  <c r="L66" i="3"/>
  <c r="A66" i="7" s="1"/>
  <c r="L65" i="3"/>
  <c r="A65" i="7" s="1"/>
  <c r="L64" i="3"/>
  <c r="A64" i="7" s="1"/>
  <c r="L63" i="3"/>
  <c r="A63" i="7" s="1"/>
  <c r="L62" i="3"/>
  <c r="A62" i="7" s="1"/>
  <c r="L61" i="3"/>
  <c r="A61" i="7" s="1"/>
  <c r="L60" i="3"/>
  <c r="A60" i="7" s="1"/>
  <c r="L59" i="3"/>
  <c r="A59" i="7" s="1"/>
  <c r="L58" i="3"/>
  <c r="A58" i="7" s="1"/>
  <c r="L57" i="3"/>
  <c r="A57" i="7" s="1"/>
  <c r="L56" i="3"/>
  <c r="A56" i="7" s="1"/>
  <c r="L55" i="3"/>
  <c r="A55" i="7" s="1"/>
  <c r="L54" i="3"/>
  <c r="A54" i="7" s="1"/>
  <c r="L53" i="3"/>
  <c r="A53" i="7" s="1"/>
  <c r="L52" i="3"/>
  <c r="A52" i="7" s="1"/>
  <c r="L51" i="3"/>
  <c r="A51" i="7" s="1"/>
  <c r="L50" i="3"/>
  <c r="A50" i="7" s="1"/>
  <c r="L49" i="3"/>
  <c r="A49" i="7" s="1"/>
  <c r="L48" i="3"/>
  <c r="A48" i="7" s="1"/>
  <c r="L47" i="3"/>
  <c r="A47" i="7" s="1"/>
  <c r="L46" i="3"/>
  <c r="A46" i="7" s="1"/>
  <c r="L45" i="3"/>
  <c r="A45" i="7" s="1"/>
  <c r="L44" i="3"/>
  <c r="A44" i="7" s="1"/>
  <c r="L43" i="3"/>
  <c r="A43" i="7" s="1"/>
  <c r="L42" i="3"/>
  <c r="A42" i="7" s="1"/>
  <c r="L41" i="3"/>
  <c r="A41" i="7" s="1"/>
  <c r="L40" i="3"/>
  <c r="A40" i="7" s="1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L12" i="3"/>
  <c r="A12" i="7" s="1"/>
  <c r="K12" i="3"/>
  <c r="L11" i="3"/>
  <c r="A11" i="7" s="1"/>
  <c r="K11" i="3"/>
  <c r="L10" i="3"/>
  <c r="A10" i="7" s="1"/>
  <c r="K10" i="3"/>
  <c r="L9" i="3"/>
  <c r="A9" i="7" s="1"/>
  <c r="K9" i="3"/>
  <c r="L8" i="3"/>
  <c r="A8" i="7" s="1"/>
  <c r="K8" i="3"/>
  <c r="L7" i="3"/>
  <c r="A7" i="7" s="1"/>
  <c r="K7" i="3"/>
  <c r="L6" i="3"/>
  <c r="A6" i="7" s="1"/>
  <c r="K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H5" i="2"/>
  <c r="I5" i="2" s="1"/>
  <c r="CL234" i="6" l="1"/>
  <c r="CL236" i="6"/>
  <c r="CL238" i="6"/>
  <c r="CL240" i="6"/>
  <c r="CL242" i="6"/>
  <c r="CL244" i="6"/>
  <c r="CL246" i="6"/>
  <c r="CL248" i="6"/>
  <c r="CL250" i="6"/>
  <c r="CL252" i="6"/>
  <c r="CL254" i="6"/>
  <c r="CL256" i="6"/>
  <c r="CL258" i="6"/>
  <c r="CL7" i="6"/>
  <c r="CO10" i="6"/>
  <c r="CL13" i="6"/>
  <c r="CO18" i="6"/>
  <c r="CL19" i="6"/>
  <c r="CO22" i="6"/>
  <c r="CL23" i="6"/>
  <c r="CO26" i="6"/>
  <c r="CL27" i="6"/>
  <c r="CO30" i="6"/>
  <c r="CL31" i="6"/>
  <c r="CO34" i="6"/>
  <c r="CL35" i="6"/>
  <c r="CO38" i="6"/>
  <c r="CL39" i="6"/>
  <c r="CO42" i="6"/>
  <c r="CL43" i="6"/>
  <c r="CO46" i="6"/>
  <c r="CL47" i="6"/>
  <c r="CO50" i="6"/>
  <c r="CL51" i="6"/>
  <c r="CO54" i="6"/>
  <c r="CL55" i="6"/>
  <c r="CO58" i="6"/>
  <c r="CL59" i="6"/>
  <c r="CO62" i="6"/>
  <c r="CL63" i="6"/>
  <c r="CO66" i="6"/>
  <c r="CL67" i="6"/>
  <c r="CO70" i="6"/>
  <c r="CL71" i="6"/>
  <c r="CO74" i="6"/>
  <c r="CL75" i="6"/>
  <c r="CO78" i="6"/>
  <c r="CL79" i="6"/>
  <c r="CO82" i="6"/>
  <c r="CL83" i="6"/>
  <c r="CO86" i="6"/>
  <c r="CL87" i="6"/>
  <c r="CO90" i="6"/>
  <c r="CL91" i="6"/>
  <c r="CO94" i="6"/>
  <c r="CL95" i="6"/>
  <c r="CO98" i="6"/>
  <c r="CL99" i="6"/>
  <c r="CO102" i="6"/>
  <c r="CL103" i="6"/>
  <c r="CO106" i="6"/>
  <c r="CL107" i="6"/>
  <c r="CO110" i="6"/>
  <c r="CL111" i="6"/>
  <c r="CO114" i="6"/>
  <c r="CL115" i="6"/>
  <c r="CO118" i="6"/>
  <c r="CL119" i="6"/>
  <c r="CO122" i="6"/>
  <c r="CL123" i="6"/>
  <c r="CO126" i="6"/>
  <c r="CL127" i="6"/>
  <c r="CO130" i="6"/>
  <c r="CL131" i="6"/>
  <c r="CO134" i="6"/>
  <c r="CL135" i="6"/>
  <c r="CO138" i="6"/>
  <c r="CL139" i="6"/>
  <c r="CO142" i="6"/>
  <c r="CL143" i="6"/>
  <c r="CO146" i="6"/>
  <c r="CL147" i="6"/>
  <c r="CO150" i="6"/>
  <c r="CL151" i="6"/>
  <c r="CO154" i="6"/>
  <c r="CL155" i="6"/>
  <c r="CL342" i="6"/>
  <c r="CM343" i="6"/>
  <c r="CL344" i="6"/>
  <c r="CL334" i="6"/>
  <c r="CM335" i="6"/>
  <c r="CL336" i="6"/>
  <c r="CL350" i="6"/>
  <c r="CM351" i="6"/>
  <c r="CL352" i="6"/>
  <c r="CO9" i="6"/>
  <c r="CO17" i="6"/>
  <c r="CO21" i="6"/>
  <c r="CO25" i="6"/>
  <c r="CO29" i="6"/>
  <c r="CO33" i="6"/>
  <c r="CO37" i="6"/>
  <c r="CO41" i="6"/>
  <c r="CO45" i="6"/>
  <c r="CO49" i="6"/>
  <c r="CO53" i="6"/>
  <c r="CO57" i="6"/>
  <c r="CO61" i="6"/>
  <c r="CO65" i="6"/>
  <c r="CO69" i="6"/>
  <c r="CO73" i="6"/>
  <c r="CO77" i="6"/>
  <c r="CO81" i="6"/>
  <c r="CO85" i="6"/>
  <c r="CO89" i="6"/>
  <c r="CO93" i="6"/>
  <c r="CO97" i="6"/>
  <c r="CO101" i="6"/>
  <c r="CO105" i="6"/>
  <c r="CO109" i="6"/>
  <c r="CO113" i="6"/>
  <c r="CO117" i="6"/>
  <c r="CO121" i="6"/>
  <c r="CO125" i="6"/>
  <c r="CO129" i="6"/>
  <c r="CO133" i="6"/>
  <c r="CO137" i="6"/>
  <c r="CO141" i="6"/>
  <c r="CO145" i="6"/>
  <c r="CO149" i="6"/>
  <c r="CO153" i="6"/>
  <c r="CM157" i="6"/>
  <c r="CO167" i="6"/>
  <c r="CL167" i="6"/>
  <c r="CM167" i="6"/>
  <c r="CO169" i="6"/>
  <c r="CL169" i="6"/>
  <c r="CM169" i="6"/>
  <c r="CO171" i="6"/>
  <c r="CL171" i="6"/>
  <c r="CM171" i="6"/>
  <c r="CO173" i="6"/>
  <c r="CL173" i="6"/>
  <c r="CM173" i="6"/>
  <c r="CO175" i="6"/>
  <c r="CL175" i="6"/>
  <c r="CM175" i="6"/>
  <c r="CO177" i="6"/>
  <c r="CL177" i="6"/>
  <c r="CM177" i="6"/>
  <c r="CO179" i="6"/>
  <c r="CL179" i="6"/>
  <c r="CM179" i="6"/>
  <c r="CO181" i="6"/>
  <c r="CL181" i="6"/>
  <c r="CM181" i="6"/>
  <c r="CO183" i="6"/>
  <c r="CL183" i="6"/>
  <c r="CM183" i="6"/>
  <c r="CO185" i="6"/>
  <c r="CL185" i="6"/>
  <c r="CM185" i="6"/>
  <c r="CO187" i="6"/>
  <c r="CL187" i="6"/>
  <c r="CM187" i="6"/>
  <c r="CO189" i="6"/>
  <c r="CL189" i="6"/>
  <c r="CM189" i="6"/>
  <c r="CO191" i="6"/>
  <c r="CL191" i="6"/>
  <c r="CM191" i="6"/>
  <c r="CO193" i="6"/>
  <c r="CL193" i="6"/>
  <c r="CM193" i="6"/>
  <c r="CO195" i="6"/>
  <c r="CL195" i="6"/>
  <c r="CM195" i="6"/>
  <c r="CO197" i="6"/>
  <c r="CL197" i="6"/>
  <c r="CM197" i="6"/>
  <c r="CO199" i="6"/>
  <c r="CL199" i="6"/>
  <c r="CM199" i="6"/>
  <c r="CO201" i="6"/>
  <c r="CL201" i="6"/>
  <c r="CM201" i="6"/>
  <c r="CO203" i="6"/>
  <c r="CL203" i="6"/>
  <c r="CM203" i="6"/>
  <c r="CO205" i="6"/>
  <c r="CL205" i="6"/>
  <c r="CM205" i="6"/>
  <c r="CO207" i="6"/>
  <c r="CL207" i="6"/>
  <c r="CM207" i="6"/>
  <c r="CO209" i="6"/>
  <c r="CL209" i="6"/>
  <c r="CM209" i="6"/>
  <c r="CO211" i="6"/>
  <c r="CL211" i="6"/>
  <c r="CM211" i="6"/>
  <c r="CO213" i="6"/>
  <c r="CL213" i="6"/>
  <c r="CM213" i="6"/>
  <c r="CO215" i="6"/>
  <c r="CL215" i="6"/>
  <c r="CM215" i="6"/>
  <c r="CO217" i="6"/>
  <c r="CL217" i="6"/>
  <c r="CM217" i="6"/>
  <c r="CO219" i="6"/>
  <c r="CL219" i="6"/>
  <c r="CM219" i="6"/>
  <c r="CO221" i="6"/>
  <c r="CL221" i="6"/>
  <c r="CM221" i="6"/>
  <c r="CO223" i="6"/>
  <c r="CL223" i="6"/>
  <c r="CM223" i="6"/>
  <c r="CO225" i="6"/>
  <c r="CL225" i="6"/>
  <c r="CM225" i="6"/>
  <c r="CO227" i="6"/>
  <c r="CL227" i="6"/>
  <c r="CM227" i="6"/>
  <c r="CO229" i="6"/>
  <c r="CL229" i="6"/>
  <c r="CM229" i="6"/>
  <c r="CO231" i="6"/>
  <c r="CL231" i="6"/>
  <c r="CM231" i="6"/>
  <c r="CL5" i="6"/>
  <c r="CO14" i="6"/>
  <c r="CL17" i="6"/>
  <c r="CL21" i="6"/>
  <c r="CL25" i="6"/>
  <c r="CL29" i="6"/>
  <c r="CL33" i="6"/>
  <c r="CL37" i="6"/>
  <c r="CL41" i="6"/>
  <c r="CL45" i="6"/>
  <c r="CL49" i="6"/>
  <c r="CL53" i="6"/>
  <c r="CL57" i="6"/>
  <c r="CL61" i="6"/>
  <c r="CL65" i="6"/>
  <c r="CL69" i="6"/>
  <c r="CL73" i="6"/>
  <c r="CL77" i="6"/>
  <c r="CL81" i="6"/>
  <c r="CL85" i="6"/>
  <c r="CL89" i="6"/>
  <c r="CL93" i="6"/>
  <c r="CL97" i="6"/>
  <c r="CL101" i="6"/>
  <c r="CL105" i="6"/>
  <c r="CL109" i="6"/>
  <c r="CL113" i="6"/>
  <c r="CL117" i="6"/>
  <c r="CL121" i="6"/>
  <c r="CL125" i="6"/>
  <c r="CL129" i="6"/>
  <c r="CL133" i="6"/>
  <c r="CL137" i="6"/>
  <c r="CL141" i="6"/>
  <c r="CL145" i="6"/>
  <c r="CL149" i="6"/>
  <c r="CL153" i="6"/>
  <c r="CL157" i="6"/>
  <c r="CO158" i="6"/>
  <c r="CL158" i="6"/>
  <c r="CO159" i="6"/>
  <c r="CL159" i="6"/>
  <c r="CO160" i="6"/>
  <c r="CL160" i="6"/>
  <c r="CO161" i="6"/>
  <c r="CL161" i="6"/>
  <c r="CO162" i="6"/>
  <c r="CL162" i="6"/>
  <c r="CO163" i="6"/>
  <c r="CL163" i="6"/>
  <c r="CO164" i="6"/>
  <c r="CL164" i="6"/>
  <c r="CO165" i="6"/>
  <c r="CL165" i="6"/>
  <c r="CO166" i="6"/>
  <c r="CL166" i="6"/>
  <c r="CM166" i="6"/>
  <c r="CO168" i="6"/>
  <c r="CL168" i="6"/>
  <c r="CM168" i="6"/>
  <c r="CO170" i="6"/>
  <c r="CL170" i="6"/>
  <c r="CM170" i="6"/>
  <c r="CO172" i="6"/>
  <c r="CL172" i="6"/>
  <c r="CM172" i="6"/>
  <c r="CO174" i="6"/>
  <c r="CL174" i="6"/>
  <c r="CM174" i="6"/>
  <c r="CO176" i="6"/>
  <c r="CL176" i="6"/>
  <c r="CM176" i="6"/>
  <c r="CO178" i="6"/>
  <c r="CL178" i="6"/>
  <c r="CM178" i="6"/>
  <c r="CO180" i="6"/>
  <c r="CL180" i="6"/>
  <c r="CM180" i="6"/>
  <c r="CO182" i="6"/>
  <c r="CL182" i="6"/>
  <c r="CM182" i="6"/>
  <c r="CO184" i="6"/>
  <c r="CL184" i="6"/>
  <c r="CM184" i="6"/>
  <c r="CO186" i="6"/>
  <c r="CL186" i="6"/>
  <c r="CM186" i="6"/>
  <c r="CO188" i="6"/>
  <c r="CL188" i="6"/>
  <c r="CM188" i="6"/>
  <c r="CO190" i="6"/>
  <c r="CL190" i="6"/>
  <c r="CM190" i="6"/>
  <c r="CO192" i="6"/>
  <c r="CL192" i="6"/>
  <c r="CM192" i="6"/>
  <c r="CO194" i="6"/>
  <c r="CL194" i="6"/>
  <c r="CM194" i="6"/>
  <c r="CO196" i="6"/>
  <c r="CL196" i="6"/>
  <c r="CM196" i="6"/>
  <c r="CO198" i="6"/>
  <c r="CL198" i="6"/>
  <c r="CM198" i="6"/>
  <c r="CO200" i="6"/>
  <c r="CL200" i="6"/>
  <c r="CM200" i="6"/>
  <c r="CO202" i="6"/>
  <c r="CL202" i="6"/>
  <c r="CM202" i="6"/>
  <c r="CO204" i="6"/>
  <c r="CL204" i="6"/>
  <c r="CM204" i="6"/>
  <c r="CO206" i="6"/>
  <c r="CL206" i="6"/>
  <c r="CM206" i="6"/>
  <c r="CO208" i="6"/>
  <c r="CL208" i="6"/>
  <c r="CM208" i="6"/>
  <c r="CO210" i="6"/>
  <c r="CL210" i="6"/>
  <c r="CM210" i="6"/>
  <c r="CO212" i="6"/>
  <c r="CL212" i="6"/>
  <c r="CM212" i="6"/>
  <c r="CO214" i="6"/>
  <c r="CL214" i="6"/>
  <c r="CM214" i="6"/>
  <c r="CO216" i="6"/>
  <c r="CL216" i="6"/>
  <c r="CM216" i="6"/>
  <c r="CO218" i="6"/>
  <c r="CL218" i="6"/>
  <c r="CM218" i="6"/>
  <c r="CO220" i="6"/>
  <c r="CL220" i="6"/>
  <c r="CM220" i="6"/>
  <c r="CO222" i="6"/>
  <c r="CL222" i="6"/>
  <c r="CM222" i="6"/>
  <c r="CO224" i="6"/>
  <c r="CL224" i="6"/>
  <c r="CM224" i="6"/>
  <c r="CO226" i="6"/>
  <c r="CL226" i="6"/>
  <c r="CM226" i="6"/>
  <c r="CO228" i="6"/>
  <c r="CL228" i="6"/>
  <c r="CM228" i="6"/>
  <c r="CO230" i="6"/>
  <c r="CL230" i="6"/>
  <c r="CM230" i="6"/>
  <c r="CO330" i="6"/>
  <c r="CL330" i="6"/>
  <c r="CO332" i="6"/>
  <c r="CL332" i="6"/>
  <c r="CO339" i="6"/>
  <c r="CM339" i="6"/>
  <c r="CO346" i="6"/>
  <c r="CL346" i="6"/>
  <c r="CO348" i="6"/>
  <c r="CL348" i="6"/>
  <c r="CO355" i="6"/>
  <c r="CM355" i="6"/>
  <c r="CO232" i="6"/>
  <c r="CL232" i="6"/>
  <c r="CM233" i="6"/>
  <c r="CL233" i="6"/>
  <c r="CM235" i="6"/>
  <c r="CL235" i="6"/>
  <c r="CM237" i="6"/>
  <c r="CL237" i="6"/>
  <c r="CM239" i="6"/>
  <c r="CL239" i="6"/>
  <c r="CM241" i="6"/>
  <c r="CL241" i="6"/>
  <c r="CM243" i="6"/>
  <c r="CL243" i="6"/>
  <c r="CM245" i="6"/>
  <c r="CL245" i="6"/>
  <c r="CM247" i="6"/>
  <c r="CL247" i="6"/>
  <c r="CM249" i="6"/>
  <c r="CL249" i="6"/>
  <c r="CM251" i="6"/>
  <c r="CL251" i="6"/>
  <c r="CM253" i="6"/>
  <c r="CL253" i="6"/>
  <c r="CM255" i="6"/>
  <c r="CL255" i="6"/>
  <c r="CM257" i="6"/>
  <c r="CL257" i="6"/>
  <c r="CM259" i="6"/>
  <c r="CL259" i="6"/>
  <c r="CO234" i="6"/>
  <c r="CO236" i="6"/>
  <c r="CO238" i="6"/>
  <c r="CO240" i="6"/>
  <c r="CO242" i="6"/>
  <c r="CO244" i="6"/>
  <c r="CO246" i="6"/>
  <c r="CO248" i="6"/>
  <c r="CO250" i="6"/>
  <c r="CO252" i="6"/>
  <c r="CO254" i="6"/>
  <c r="CO256" i="6"/>
  <c r="CO258" i="6"/>
  <c r="CO331" i="6"/>
  <c r="CM331" i="6"/>
  <c r="CO338" i="6"/>
  <c r="CL338" i="6"/>
  <c r="CO340" i="6"/>
  <c r="CL340" i="6"/>
  <c r="CO347" i="6"/>
  <c r="CM347" i="6"/>
  <c r="CO354" i="6"/>
  <c r="CL354" i="6"/>
  <c r="CO356" i="6"/>
  <c r="CL356" i="6"/>
  <c r="CO362" i="6"/>
  <c r="CL362" i="6"/>
  <c r="CO364" i="6"/>
  <c r="CL364" i="6"/>
  <c r="CO366" i="6"/>
  <c r="CL366" i="6"/>
  <c r="CO368" i="6"/>
  <c r="CL368" i="6"/>
  <c r="CO370" i="6"/>
  <c r="CL370" i="6"/>
  <c r="CO372" i="6"/>
  <c r="CL372" i="6"/>
  <c r="CO374" i="6"/>
  <c r="CL374" i="6"/>
  <c r="CO376" i="6"/>
  <c r="CL376" i="6"/>
  <c r="CO378" i="6"/>
  <c r="CL378" i="6"/>
  <c r="CO380" i="6"/>
  <c r="CL380" i="6"/>
  <c r="CO382" i="6"/>
  <c r="CL382" i="6"/>
  <c r="CO384" i="6"/>
  <c r="CL384" i="6"/>
  <c r="CO386" i="6"/>
  <c r="CL386" i="6"/>
  <c r="CO388" i="6"/>
  <c r="CL388" i="6"/>
  <c r="CO390" i="6"/>
  <c r="CL390" i="6"/>
  <c r="CO392" i="6"/>
  <c r="CL392" i="6"/>
  <c r="CO394" i="6"/>
  <c r="CL394" i="6"/>
  <c r="CO396" i="6"/>
  <c r="CL396" i="6"/>
  <c r="CO398" i="6"/>
  <c r="CL398" i="6"/>
  <c r="CO400" i="6"/>
  <c r="CL400" i="6"/>
  <c r="CO402" i="6"/>
  <c r="CL402" i="6"/>
  <c r="CM361" i="6"/>
  <c r="CM363" i="6"/>
  <c r="CM365" i="6"/>
  <c r="CM367" i="6"/>
  <c r="CM369" i="6"/>
  <c r="CM371" i="6"/>
  <c r="CM373" i="6"/>
  <c r="CM375" i="6"/>
  <c r="CM377" i="6"/>
  <c r="CM379" i="6"/>
  <c r="CM381" i="6"/>
  <c r="CM383" i="6"/>
  <c r="CM385" i="6"/>
  <c r="CM387" i="6"/>
  <c r="CM389" i="6"/>
  <c r="CM391" i="6"/>
  <c r="CM393" i="6"/>
  <c r="CM395" i="6"/>
  <c r="CM397" i="6"/>
  <c r="CM399" i="6"/>
  <c r="CM401" i="6"/>
  <c r="CL672" i="6"/>
  <c r="CM672" i="6"/>
  <c r="CL674" i="6"/>
  <c r="CM674" i="6"/>
  <c r="CL676" i="6"/>
  <c r="CM676" i="6"/>
  <c r="CL680" i="6"/>
  <c r="CM680" i="6"/>
  <c r="CL682" i="6"/>
  <c r="CM682" i="6"/>
  <c r="CL686" i="6"/>
  <c r="CM686" i="6"/>
  <c r="CL690" i="6"/>
  <c r="CM690" i="6"/>
  <c r="CL692" i="6"/>
  <c r="CM692" i="6"/>
  <c r="CL694" i="6"/>
  <c r="CM694" i="6"/>
  <c r="CL698" i="6"/>
  <c r="CM698" i="6"/>
  <c r="CL708" i="6"/>
  <c r="CM708" i="6"/>
  <c r="CL710" i="6"/>
  <c r="CM710" i="6"/>
  <c r="CL712" i="6"/>
  <c r="CM712" i="6"/>
  <c r="CL714" i="6"/>
  <c r="CM714" i="6"/>
  <c r="CL716" i="6"/>
  <c r="CM716" i="6"/>
  <c r="CL718" i="6"/>
  <c r="CM718" i="6"/>
  <c r="CL720" i="6"/>
  <c r="CM720" i="6"/>
  <c r="CL722" i="6"/>
  <c r="CM722" i="6"/>
  <c r="CL724" i="6"/>
  <c r="CM724" i="6"/>
  <c r="CL726" i="6"/>
  <c r="CM726" i="6"/>
  <c r="CL728" i="6"/>
  <c r="CM728" i="6"/>
  <c r="CL730" i="6"/>
  <c r="CM730" i="6"/>
  <c r="CL732" i="6"/>
  <c r="CM732" i="6"/>
  <c r="CL734" i="6"/>
  <c r="CM734" i="6"/>
  <c r="CL736" i="6"/>
  <c r="CM736" i="6"/>
  <c r="CL738" i="6"/>
  <c r="CM738" i="6"/>
  <c r="CL740" i="6"/>
  <c r="CM740" i="6"/>
  <c r="CL742" i="6"/>
  <c r="CM742" i="6"/>
  <c r="CL744" i="6"/>
  <c r="CM744" i="6"/>
  <c r="CL746" i="6"/>
  <c r="CM746" i="6"/>
  <c r="CL748" i="6"/>
  <c r="CM748" i="6"/>
  <c r="CL750" i="6"/>
  <c r="CM750" i="6"/>
  <c r="CO760" i="6"/>
  <c r="CM760" i="6"/>
  <c r="CO762" i="6"/>
  <c r="CM762" i="6"/>
  <c r="CO764" i="6"/>
  <c r="CM764" i="6"/>
  <c r="CO766" i="6"/>
  <c r="CM766" i="6"/>
  <c r="CO768" i="6"/>
  <c r="CM768" i="6"/>
  <c r="CO770" i="6"/>
  <c r="CM770" i="6"/>
  <c r="CO772" i="6"/>
  <c r="CM772" i="6"/>
  <c r="CO774" i="6"/>
  <c r="CM774" i="6"/>
  <c r="CO776" i="6"/>
  <c r="CM776" i="6"/>
  <c r="CO778" i="6"/>
  <c r="CM778" i="6"/>
  <c r="CO780" i="6"/>
  <c r="CM780" i="6"/>
  <c r="CO782" i="6"/>
  <c r="CM782" i="6"/>
  <c r="CO784" i="6"/>
  <c r="CM784" i="6"/>
  <c r="CO786" i="6"/>
  <c r="CM786" i="6"/>
  <c r="CO788" i="6"/>
  <c r="CM788" i="6"/>
  <c r="CO790" i="6"/>
  <c r="CM790" i="6"/>
  <c r="CO792" i="6"/>
  <c r="CM792" i="6"/>
  <c r="CO794" i="6"/>
  <c r="CM794" i="6"/>
  <c r="CO796" i="6"/>
  <c r="CM796" i="6"/>
  <c r="CO798" i="6"/>
  <c r="CM798" i="6"/>
  <c r="CO800" i="6"/>
  <c r="CM800" i="6"/>
  <c r="CO802" i="6"/>
  <c r="CM802" i="6"/>
  <c r="CO804" i="6"/>
  <c r="CM804" i="6"/>
  <c r="CO806" i="6"/>
  <c r="CM806" i="6"/>
  <c r="CO808" i="6"/>
  <c r="CM808" i="6"/>
  <c r="CO810" i="6"/>
  <c r="CM810" i="6"/>
  <c r="CO812" i="6"/>
  <c r="CM812" i="6"/>
  <c r="CO814" i="6"/>
  <c r="CM814" i="6"/>
  <c r="CO816" i="6"/>
  <c r="CM816" i="6"/>
  <c r="CO818" i="6"/>
  <c r="CM818" i="6"/>
  <c r="CO820" i="6"/>
  <c r="CM820" i="6"/>
  <c r="CO822" i="6"/>
  <c r="CM822" i="6"/>
  <c r="CO824" i="6"/>
  <c r="CM824" i="6"/>
  <c r="CO826" i="6"/>
  <c r="CM826" i="6"/>
  <c r="CO828" i="6"/>
  <c r="CM828" i="6"/>
  <c r="CO830" i="6"/>
  <c r="CM830" i="6"/>
  <c r="CO832" i="6"/>
  <c r="CM832" i="6"/>
  <c r="CL670" i="6"/>
  <c r="CM670" i="6"/>
  <c r="CL678" i="6"/>
  <c r="CM678" i="6"/>
  <c r="CL684" i="6"/>
  <c r="CM684" i="6"/>
  <c r="CL688" i="6"/>
  <c r="CM688" i="6"/>
  <c r="CL696" i="6"/>
  <c r="CM696" i="6"/>
  <c r="CL700" i="6"/>
  <c r="CM700" i="6"/>
  <c r="CL702" i="6"/>
  <c r="CM702" i="6"/>
  <c r="CL704" i="6"/>
  <c r="CM704" i="6"/>
  <c r="CL706" i="6"/>
  <c r="CM706" i="6"/>
  <c r="CL669" i="6"/>
  <c r="CM669" i="6"/>
  <c r="CL671" i="6"/>
  <c r="CM671" i="6"/>
  <c r="CL673" i="6"/>
  <c r="CM673" i="6"/>
  <c r="CL675" i="6"/>
  <c r="CM675" i="6"/>
  <c r="CL677" i="6"/>
  <c r="CM677" i="6"/>
  <c r="CL679" i="6"/>
  <c r="CM679" i="6"/>
  <c r="CL681" i="6"/>
  <c r="CM681" i="6"/>
  <c r="CL683" i="6"/>
  <c r="CM683" i="6"/>
  <c r="CL685" i="6"/>
  <c r="CM685" i="6"/>
  <c r="CL687" i="6"/>
  <c r="CM687" i="6"/>
  <c r="CL689" i="6"/>
  <c r="CM689" i="6"/>
  <c r="CL691" i="6"/>
  <c r="CM691" i="6"/>
  <c r="CL693" i="6"/>
  <c r="CM693" i="6"/>
  <c r="CL695" i="6"/>
  <c r="CM695" i="6"/>
  <c r="CL697" i="6"/>
  <c r="CM697" i="6"/>
  <c r="CL699" i="6"/>
  <c r="CM699" i="6"/>
  <c r="CL701" i="6"/>
  <c r="CM701" i="6"/>
  <c r="CL703" i="6"/>
  <c r="CM703" i="6"/>
  <c r="CL705" i="6"/>
  <c r="CM705" i="6"/>
  <c r="CL707" i="6"/>
  <c r="CM707" i="6"/>
  <c r="CL709" i="6"/>
  <c r="CM709" i="6"/>
  <c r="CL711" i="6"/>
  <c r="CM711" i="6"/>
  <c r="CL713" i="6"/>
  <c r="CM713" i="6"/>
  <c r="CL715" i="6"/>
  <c r="CM715" i="6"/>
  <c r="CL717" i="6"/>
  <c r="CM717" i="6"/>
  <c r="CL719" i="6"/>
  <c r="CM719" i="6"/>
  <c r="CL721" i="6"/>
  <c r="CM721" i="6"/>
  <c r="CL723" i="6"/>
  <c r="CM723" i="6"/>
  <c r="CL725" i="6"/>
  <c r="CM725" i="6"/>
  <c r="CL727" i="6"/>
  <c r="CM727" i="6"/>
  <c r="CL729" i="6"/>
  <c r="CM729" i="6"/>
  <c r="CL731" i="6"/>
  <c r="CM731" i="6"/>
  <c r="CL733" i="6"/>
  <c r="CM733" i="6"/>
  <c r="CL735" i="6"/>
  <c r="CM735" i="6"/>
  <c r="CL737" i="6"/>
  <c r="CM737" i="6"/>
  <c r="CL739" i="6"/>
  <c r="CM739" i="6"/>
  <c r="CL741" i="6"/>
  <c r="CM741" i="6"/>
  <c r="CL743" i="6"/>
  <c r="CM743" i="6"/>
  <c r="CL745" i="6"/>
  <c r="CM745" i="6"/>
  <c r="CL747" i="6"/>
  <c r="CM747" i="6"/>
  <c r="CL749" i="6"/>
  <c r="CM749" i="6"/>
  <c r="CO759" i="6"/>
  <c r="CM759" i="6"/>
  <c r="CO761" i="6"/>
  <c r="CM761" i="6"/>
  <c r="CO763" i="6"/>
  <c r="CM763" i="6"/>
  <c r="CO765" i="6"/>
  <c r="CM765" i="6"/>
  <c r="CO767" i="6"/>
  <c r="CM767" i="6"/>
  <c r="CO769" i="6"/>
  <c r="CM769" i="6"/>
  <c r="CO771" i="6"/>
  <c r="CM771" i="6"/>
  <c r="CO773" i="6"/>
  <c r="CM773" i="6"/>
  <c r="CO775" i="6"/>
  <c r="CM775" i="6"/>
  <c r="CO777" i="6"/>
  <c r="CM777" i="6"/>
  <c r="CO779" i="6"/>
  <c r="CM779" i="6"/>
  <c r="CO781" i="6"/>
  <c r="CM781" i="6"/>
  <c r="CO783" i="6"/>
  <c r="CM783" i="6"/>
  <c r="CO785" i="6"/>
  <c r="CM785" i="6"/>
  <c r="CO787" i="6"/>
  <c r="CM787" i="6"/>
  <c r="CO789" i="6"/>
  <c r="CM789" i="6"/>
  <c r="CO791" i="6"/>
  <c r="CM791" i="6"/>
  <c r="CO793" i="6"/>
  <c r="CM793" i="6"/>
  <c r="CO795" i="6"/>
  <c r="CM795" i="6"/>
  <c r="CO797" i="6"/>
  <c r="CM797" i="6"/>
  <c r="CO799" i="6"/>
  <c r="CM799" i="6"/>
  <c r="CO801" i="6"/>
  <c r="CM801" i="6"/>
  <c r="CO803" i="6"/>
  <c r="CM803" i="6"/>
  <c r="CO805" i="6"/>
  <c r="CM805" i="6"/>
  <c r="CO807" i="6"/>
  <c r="CM807" i="6"/>
  <c r="CO809" i="6"/>
  <c r="CM809" i="6"/>
  <c r="CO811" i="6"/>
  <c r="CM811" i="6"/>
  <c r="CO813" i="6"/>
  <c r="CM813" i="6"/>
  <c r="CO815" i="6"/>
  <c r="CM815" i="6"/>
  <c r="CO817" i="6"/>
  <c r="CM817" i="6"/>
  <c r="CO819" i="6"/>
  <c r="CM819" i="6"/>
  <c r="CO821" i="6"/>
  <c r="CM821" i="6"/>
  <c r="CO823" i="6"/>
  <c r="CM823" i="6"/>
  <c r="CO825" i="6"/>
  <c r="CM825" i="6"/>
  <c r="CO827" i="6"/>
  <c r="CM827" i="6"/>
  <c r="CO829" i="6"/>
  <c r="CM829" i="6"/>
  <c r="CO831" i="6"/>
  <c r="CM831" i="6"/>
  <c r="E14" i="9"/>
  <c r="E10" i="9"/>
  <c r="E11" i="9"/>
  <c r="E15" i="9"/>
  <c r="E12" i="9"/>
  <c r="E16" i="9"/>
  <c r="E9" i="9"/>
  <c r="E13" i="9"/>
  <c r="E17" i="9"/>
  <c r="CO301" i="6"/>
  <c r="CM301" i="6"/>
  <c r="CL301" i="6"/>
  <c r="CO305" i="6"/>
  <c r="CM305" i="6"/>
  <c r="CL305" i="6"/>
  <c r="CO309" i="6"/>
  <c r="CM309" i="6"/>
  <c r="CL309" i="6"/>
  <c r="CO313" i="6"/>
  <c r="CM313" i="6"/>
  <c r="CL313" i="6"/>
  <c r="CO317" i="6"/>
  <c r="CM317" i="6"/>
  <c r="CL317" i="6"/>
  <c r="CO321" i="6"/>
  <c r="CM321" i="6"/>
  <c r="CL321" i="6"/>
  <c r="CO325" i="6"/>
  <c r="CM325" i="6"/>
  <c r="CL325" i="6"/>
  <c r="CO329" i="6"/>
  <c r="CM329" i="6"/>
  <c r="CL329" i="6"/>
  <c r="CO345" i="6"/>
  <c r="CM345" i="6"/>
  <c r="CL345" i="6"/>
  <c r="CL16" i="6"/>
  <c r="H19" i="8" s="1"/>
  <c r="CL20" i="6"/>
  <c r="CL24" i="6"/>
  <c r="CL28" i="6"/>
  <c r="CL32" i="6"/>
  <c r="CL36" i="6"/>
  <c r="CL40" i="6"/>
  <c r="CL44" i="6"/>
  <c r="CL48" i="6"/>
  <c r="CL52" i="6"/>
  <c r="CL56" i="6"/>
  <c r="CL60" i="6"/>
  <c r="CL64" i="6"/>
  <c r="CL68" i="6"/>
  <c r="CL72" i="6"/>
  <c r="CL76" i="6"/>
  <c r="CL80" i="6"/>
  <c r="CL84" i="6"/>
  <c r="CL88" i="6"/>
  <c r="CL92" i="6"/>
  <c r="CL96" i="6"/>
  <c r="CL100" i="6"/>
  <c r="CL104" i="6"/>
  <c r="CL108" i="6"/>
  <c r="CL112" i="6"/>
  <c r="CL116" i="6"/>
  <c r="CL120" i="6"/>
  <c r="CL124" i="6"/>
  <c r="CL128" i="6"/>
  <c r="CL132" i="6"/>
  <c r="CL136" i="6"/>
  <c r="CL140" i="6"/>
  <c r="CL144" i="6"/>
  <c r="CL148" i="6"/>
  <c r="CL152" i="6"/>
  <c r="CL156" i="6"/>
  <c r="CO261" i="6"/>
  <c r="CL261" i="6"/>
  <c r="CO263" i="6"/>
  <c r="CL263" i="6"/>
  <c r="CO265" i="6"/>
  <c r="CL265" i="6"/>
  <c r="CO267" i="6"/>
  <c r="CL267" i="6"/>
  <c r="CO269" i="6"/>
  <c r="CL269" i="6"/>
  <c r="CO271" i="6"/>
  <c r="CL271" i="6"/>
  <c r="CO273" i="6"/>
  <c r="CL273" i="6"/>
  <c r="CO275" i="6"/>
  <c r="CL275" i="6"/>
  <c r="CO277" i="6"/>
  <c r="CL277" i="6"/>
  <c r="CO279" i="6"/>
  <c r="CL279" i="6"/>
  <c r="CO281" i="6"/>
  <c r="CL281" i="6"/>
  <c r="CO283" i="6"/>
  <c r="CL283" i="6"/>
  <c r="CO285" i="6"/>
  <c r="CL285" i="6"/>
  <c r="CO287" i="6"/>
  <c r="CL287" i="6"/>
  <c r="CO289" i="6"/>
  <c r="CL289" i="6"/>
  <c r="CO291" i="6"/>
  <c r="CL291" i="6"/>
  <c r="CO293" i="6"/>
  <c r="CL293" i="6"/>
  <c r="CO295" i="6"/>
  <c r="CL295" i="6"/>
  <c r="CO297" i="6"/>
  <c r="CL297" i="6"/>
  <c r="CO299" i="6"/>
  <c r="CL299" i="6"/>
  <c r="CO302" i="6"/>
  <c r="CM302" i="6"/>
  <c r="CL302" i="6"/>
  <c r="CO306" i="6"/>
  <c r="CM306" i="6"/>
  <c r="CL306" i="6"/>
  <c r="CO310" i="6"/>
  <c r="CM310" i="6"/>
  <c r="CL310" i="6"/>
  <c r="CO314" i="6"/>
  <c r="CM314" i="6"/>
  <c r="CL314" i="6"/>
  <c r="CO318" i="6"/>
  <c r="CM318" i="6"/>
  <c r="CL318" i="6"/>
  <c r="CO322" i="6"/>
  <c r="CM322" i="6"/>
  <c r="CL322" i="6"/>
  <c r="CO326" i="6"/>
  <c r="CM326" i="6"/>
  <c r="CL326" i="6"/>
  <c r="CO341" i="6"/>
  <c r="CM341" i="6"/>
  <c r="CL341" i="6"/>
  <c r="CO357" i="6"/>
  <c r="CM357" i="6"/>
  <c r="CL357" i="6"/>
  <c r="CL12" i="6"/>
  <c r="CL6" i="6"/>
  <c r="CL8" i="6"/>
  <c r="H11" i="8" s="1"/>
  <c r="CO12" i="6"/>
  <c r="CL15" i="6"/>
  <c r="CO20" i="6"/>
  <c r="CO28" i="6"/>
  <c r="CO32" i="6"/>
  <c r="CO36" i="6"/>
  <c r="CO56" i="6"/>
  <c r="CO60" i="6"/>
  <c r="CO68" i="6"/>
  <c r="CO76" i="6"/>
  <c r="CO80" i="6"/>
  <c r="CO84" i="6"/>
  <c r="CO100" i="6"/>
  <c r="CO104" i="6"/>
  <c r="CO108" i="6"/>
  <c r="CO112" i="6"/>
  <c r="CO116" i="6"/>
  <c r="CO120" i="6"/>
  <c r="CO124" i="6"/>
  <c r="CO128" i="6"/>
  <c r="CO132" i="6"/>
  <c r="CO136" i="6"/>
  <c r="CO140" i="6"/>
  <c r="CO144" i="6"/>
  <c r="CO148" i="6"/>
  <c r="CO152" i="6"/>
  <c r="CO156" i="6"/>
  <c r="CO303" i="6"/>
  <c r="CM303" i="6"/>
  <c r="CL303" i="6"/>
  <c r="CO307" i="6"/>
  <c r="CM307" i="6"/>
  <c r="CL307" i="6"/>
  <c r="CO311" i="6"/>
  <c r="CM311" i="6"/>
  <c r="CL311" i="6"/>
  <c r="CO315" i="6"/>
  <c r="CM315" i="6"/>
  <c r="CL315" i="6"/>
  <c r="CO319" i="6"/>
  <c r="CM319" i="6"/>
  <c r="CL319" i="6"/>
  <c r="CO323" i="6"/>
  <c r="CM323" i="6"/>
  <c r="CL323" i="6"/>
  <c r="CO327" i="6"/>
  <c r="CM327" i="6"/>
  <c r="CL327" i="6"/>
  <c r="CO337" i="6"/>
  <c r="CM337" i="6"/>
  <c r="CL337" i="6"/>
  <c r="CO353" i="6"/>
  <c r="CM353" i="6"/>
  <c r="CL353" i="6"/>
  <c r="CL11" i="6"/>
  <c r="H14" i="8" s="1"/>
  <c r="CO16" i="6"/>
  <c r="CO24" i="6"/>
  <c r="CO40" i="6"/>
  <c r="CO44" i="6"/>
  <c r="CO48" i="6"/>
  <c r="CO52" i="6"/>
  <c r="CO64" i="6"/>
  <c r="CO72" i="6"/>
  <c r="CO88" i="6"/>
  <c r="CO92" i="6"/>
  <c r="CO96" i="6"/>
  <c r="H12" i="8"/>
  <c r="CL10" i="6"/>
  <c r="CO11" i="6"/>
  <c r="H16" i="8"/>
  <c r="CL14" i="6"/>
  <c r="CO15" i="6"/>
  <c r="CL18" i="6"/>
  <c r="CO19" i="6"/>
  <c r="CL22" i="6"/>
  <c r="CO23" i="6"/>
  <c r="CL26" i="6"/>
  <c r="CO27" i="6"/>
  <c r="CL30" i="6"/>
  <c r="CO31" i="6"/>
  <c r="CL34" i="6"/>
  <c r="CO35" i="6"/>
  <c r="CL38" i="6"/>
  <c r="CO39" i="6"/>
  <c r="CL42" i="6"/>
  <c r="CO43" i="6"/>
  <c r="CL46" i="6"/>
  <c r="CO47" i="6"/>
  <c r="CL50" i="6"/>
  <c r="CO51" i="6"/>
  <c r="CL54" i="6"/>
  <c r="CO55" i="6"/>
  <c r="CL58" i="6"/>
  <c r="CO59" i="6"/>
  <c r="CL62" i="6"/>
  <c r="CO63" i="6"/>
  <c r="CL66" i="6"/>
  <c r="CO67" i="6"/>
  <c r="CL70" i="6"/>
  <c r="CO71" i="6"/>
  <c r="CL74" i="6"/>
  <c r="CO75" i="6"/>
  <c r="CL78" i="6"/>
  <c r="CO79" i="6"/>
  <c r="CL82" i="6"/>
  <c r="CO83" i="6"/>
  <c r="CL86" i="6"/>
  <c r="CO87" i="6"/>
  <c r="CL90" i="6"/>
  <c r="CO91" i="6"/>
  <c r="CL94" i="6"/>
  <c r="CO95" i="6"/>
  <c r="CL98" i="6"/>
  <c r="CO99" i="6"/>
  <c r="CL102" i="6"/>
  <c r="CO103" i="6"/>
  <c r="CL106" i="6"/>
  <c r="CO107" i="6"/>
  <c r="CL110" i="6"/>
  <c r="CO111" i="6"/>
  <c r="CL114" i="6"/>
  <c r="CO115" i="6"/>
  <c r="CL118" i="6"/>
  <c r="CO119" i="6"/>
  <c r="CL122" i="6"/>
  <c r="CO123" i="6"/>
  <c r="CL126" i="6"/>
  <c r="CO127" i="6"/>
  <c r="CL130" i="6"/>
  <c r="CO131" i="6"/>
  <c r="CL134" i="6"/>
  <c r="CO135" i="6"/>
  <c r="CL138" i="6"/>
  <c r="CO139" i="6"/>
  <c r="CL142" i="6"/>
  <c r="CO143" i="6"/>
  <c r="CL146" i="6"/>
  <c r="CO147" i="6"/>
  <c r="CL150" i="6"/>
  <c r="CO151" i="6"/>
  <c r="CL154" i="6"/>
  <c r="CO155" i="6"/>
  <c r="CO260" i="6"/>
  <c r="CL260" i="6"/>
  <c r="CO262" i="6"/>
  <c r="CL262" i="6"/>
  <c r="CO264" i="6"/>
  <c r="CL264" i="6"/>
  <c r="CO266" i="6"/>
  <c r="CL266" i="6"/>
  <c r="CO268" i="6"/>
  <c r="CL268" i="6"/>
  <c r="CO270" i="6"/>
  <c r="CL270" i="6"/>
  <c r="CO272" i="6"/>
  <c r="CL272" i="6"/>
  <c r="CO274" i="6"/>
  <c r="CL274" i="6"/>
  <c r="CO276" i="6"/>
  <c r="CL276" i="6"/>
  <c r="CO278" i="6"/>
  <c r="CL278" i="6"/>
  <c r="CO280" i="6"/>
  <c r="CL280" i="6"/>
  <c r="CO282" i="6"/>
  <c r="CL282" i="6"/>
  <c r="CO284" i="6"/>
  <c r="CL284" i="6"/>
  <c r="CO286" i="6"/>
  <c r="CL286" i="6"/>
  <c r="CO288" i="6"/>
  <c r="CL288" i="6"/>
  <c r="CO290" i="6"/>
  <c r="CL290" i="6"/>
  <c r="CO292" i="6"/>
  <c r="CL292" i="6"/>
  <c r="CO294" i="6"/>
  <c r="CL294" i="6"/>
  <c r="CO296" i="6"/>
  <c r="CL296" i="6"/>
  <c r="CO298" i="6"/>
  <c r="CL298" i="6"/>
  <c r="CO300" i="6"/>
  <c r="CM300" i="6"/>
  <c r="CL300" i="6"/>
  <c r="CO304" i="6"/>
  <c r="CM304" i="6"/>
  <c r="CL304" i="6"/>
  <c r="CO308" i="6"/>
  <c r="CM308" i="6"/>
  <c r="CL308" i="6"/>
  <c r="CO312" i="6"/>
  <c r="CM312" i="6"/>
  <c r="CL312" i="6"/>
  <c r="CO316" i="6"/>
  <c r="CM316" i="6"/>
  <c r="CL316" i="6"/>
  <c r="CO320" i="6"/>
  <c r="CM320" i="6"/>
  <c r="CL320" i="6"/>
  <c r="CO324" i="6"/>
  <c r="CM324" i="6"/>
  <c r="CL324" i="6"/>
  <c r="CO328" i="6"/>
  <c r="CM328" i="6"/>
  <c r="CL328" i="6"/>
  <c r="CO333" i="6"/>
  <c r="CM333" i="6"/>
  <c r="CL333" i="6"/>
  <c r="CO349" i="6"/>
  <c r="CM349" i="6"/>
  <c r="CL349" i="6"/>
  <c r="CM330" i="6"/>
  <c r="CM334" i="6"/>
  <c r="CM338" i="6"/>
  <c r="CM342" i="6"/>
  <c r="CM346" i="6"/>
  <c r="CM350" i="6"/>
  <c r="CM354" i="6"/>
  <c r="CM358" i="6"/>
  <c r="CL331" i="6"/>
  <c r="CM332" i="6"/>
  <c r="CL335" i="6"/>
  <c r="CM336" i="6"/>
  <c r="CL339" i="6"/>
  <c r="CM340" i="6"/>
  <c r="CL343" i="6"/>
  <c r="CM344" i="6"/>
  <c r="CL347" i="6"/>
  <c r="CM348" i="6"/>
  <c r="CL351" i="6"/>
  <c r="CM352" i="6"/>
  <c r="CL355" i="6"/>
  <c r="CM356" i="6"/>
  <c r="CL359" i="6"/>
  <c r="CM360" i="6"/>
  <c r="CM403" i="6"/>
  <c r="CM404" i="6"/>
  <c r="CM405" i="6"/>
  <c r="CM406" i="6"/>
  <c r="CM407" i="6"/>
  <c r="CM408" i="6"/>
  <c r="CM409" i="6"/>
  <c r="CM410" i="6"/>
  <c r="CM411" i="6"/>
  <c r="CM412" i="6"/>
  <c r="CM413" i="6"/>
  <c r="CM414" i="6"/>
  <c r="C5" i="7"/>
  <c r="C5" i="8" s="1"/>
  <c r="B5" i="7"/>
  <c r="B8" i="8" s="1"/>
  <c r="D5" i="7"/>
  <c r="B9" i="8" s="1"/>
  <c r="L25" i="7"/>
  <c r="D25" i="7"/>
  <c r="J25" i="7"/>
  <c r="B25" i="7"/>
  <c r="G25" i="7"/>
  <c r="E25" i="7"/>
  <c r="C25" i="7"/>
  <c r="D33" i="7"/>
  <c r="B33" i="7"/>
  <c r="C33" i="7"/>
  <c r="M53" i="7"/>
  <c r="I53" i="7"/>
  <c r="E53" i="7"/>
  <c r="O53" i="7"/>
  <c r="J53" i="7"/>
  <c r="D53" i="7"/>
  <c r="K53" i="7"/>
  <c r="F53" i="7"/>
  <c r="L53" i="7"/>
  <c r="B53" i="7"/>
  <c r="H53" i="7"/>
  <c r="G53" i="7"/>
  <c r="N53" i="7"/>
  <c r="C53" i="7"/>
  <c r="M61" i="7"/>
  <c r="D61" i="7"/>
  <c r="C61" i="7"/>
  <c r="B61" i="7"/>
  <c r="D69" i="7"/>
  <c r="C69" i="7"/>
  <c r="B69" i="7"/>
  <c r="N77" i="7"/>
  <c r="J77" i="7"/>
  <c r="F77" i="7"/>
  <c r="B77" i="7"/>
  <c r="M77" i="7"/>
  <c r="I77" i="7"/>
  <c r="E77" i="7"/>
  <c r="L77" i="7"/>
  <c r="D77" i="7"/>
  <c r="K77" i="7"/>
  <c r="C77" i="7"/>
  <c r="H77" i="7"/>
  <c r="O77" i="7"/>
  <c r="S77" i="7" s="1"/>
  <c r="G77" i="7"/>
  <c r="D8" i="7"/>
  <c r="C8" i="7"/>
  <c r="B8" i="7"/>
  <c r="D12" i="7"/>
  <c r="C12" i="7"/>
  <c r="B12" i="7"/>
  <c r="D16" i="7"/>
  <c r="C16" i="7"/>
  <c r="B16" i="7"/>
  <c r="D20" i="7"/>
  <c r="C20" i="7"/>
  <c r="B20" i="7"/>
  <c r="I24" i="7"/>
  <c r="O24" i="7"/>
  <c r="G24" i="7"/>
  <c r="C24" i="7"/>
  <c r="H24" i="7"/>
  <c r="F24" i="7"/>
  <c r="D24" i="7"/>
  <c r="B24" i="7"/>
  <c r="C28" i="7"/>
  <c r="D28" i="7"/>
  <c r="B28" i="7"/>
  <c r="C32" i="7"/>
  <c r="D32" i="7"/>
  <c r="B32" i="7"/>
  <c r="M36" i="7"/>
  <c r="E36" i="7"/>
  <c r="K36" i="7"/>
  <c r="C36" i="7"/>
  <c r="D36" i="7"/>
  <c r="B36" i="7"/>
  <c r="N36" i="7"/>
  <c r="D40" i="7"/>
  <c r="C40" i="7"/>
  <c r="B40" i="7"/>
  <c r="O44" i="7"/>
  <c r="K44" i="7"/>
  <c r="G44" i="7"/>
  <c r="C44" i="7"/>
  <c r="N44" i="7"/>
  <c r="I44" i="7"/>
  <c r="D44" i="7"/>
  <c r="M44" i="7"/>
  <c r="H44" i="7"/>
  <c r="B44" i="7"/>
  <c r="L44" i="7"/>
  <c r="F44" i="7"/>
  <c r="E44" i="7"/>
  <c r="J44" i="7"/>
  <c r="O48" i="7"/>
  <c r="K48" i="7"/>
  <c r="G48" i="7"/>
  <c r="C48" i="7"/>
  <c r="L48" i="7"/>
  <c r="H48" i="7"/>
  <c r="D48" i="7"/>
  <c r="M48" i="7"/>
  <c r="E48" i="7"/>
  <c r="J48" i="7"/>
  <c r="B48" i="7"/>
  <c r="I48" i="7"/>
  <c r="N48" i="7"/>
  <c r="F48" i="7"/>
  <c r="O52" i="7"/>
  <c r="K52" i="7"/>
  <c r="G52" i="7"/>
  <c r="C52" i="7"/>
  <c r="L52" i="7"/>
  <c r="H52" i="7"/>
  <c r="D52" i="7"/>
  <c r="I52" i="7"/>
  <c r="N52" i="7"/>
  <c r="F52" i="7"/>
  <c r="M52" i="7"/>
  <c r="E52" i="7"/>
  <c r="J52" i="7"/>
  <c r="B52" i="7"/>
  <c r="N56" i="7"/>
  <c r="J56" i="7"/>
  <c r="F56" i="7"/>
  <c r="B56" i="7"/>
  <c r="M56" i="7"/>
  <c r="I56" i="7"/>
  <c r="E56" i="7"/>
  <c r="L56" i="7"/>
  <c r="H56" i="7"/>
  <c r="D56" i="7"/>
  <c r="K56" i="7"/>
  <c r="O56" i="7"/>
  <c r="G56" i="7"/>
  <c r="C56" i="7"/>
  <c r="J60" i="7"/>
  <c r="B60" i="7"/>
  <c r="I60" i="7"/>
  <c r="L60" i="7"/>
  <c r="D60" i="7"/>
  <c r="K60" i="7"/>
  <c r="C60" i="7"/>
  <c r="J64" i="7"/>
  <c r="B64" i="7"/>
  <c r="I64" i="7"/>
  <c r="L64" i="7"/>
  <c r="D64" i="7"/>
  <c r="C64" i="7"/>
  <c r="G64" i="7"/>
  <c r="O64" i="7"/>
  <c r="B68" i="7"/>
  <c r="D68" i="7"/>
  <c r="C68" i="7"/>
  <c r="B72" i="7"/>
  <c r="D72" i="7"/>
  <c r="C72" i="7"/>
  <c r="O76" i="7"/>
  <c r="S76" i="7" s="1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K88" i="7"/>
  <c r="C88" i="7"/>
  <c r="I88" i="7"/>
  <c r="O88" i="7"/>
  <c r="S88" i="7" s="1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O96" i="7"/>
  <c r="S96" i="7" s="1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O100" i="7"/>
  <c r="S100" i="7" s="1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O104" i="7"/>
  <c r="S104" i="7" s="1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D29" i="7"/>
  <c r="B29" i="7"/>
  <c r="C29" i="7"/>
  <c r="N81" i="7"/>
  <c r="J81" i="7"/>
  <c r="F81" i="7"/>
  <c r="B81" i="7"/>
  <c r="M81" i="7"/>
  <c r="I81" i="7"/>
  <c r="E81" i="7"/>
  <c r="L81" i="7"/>
  <c r="H81" i="7"/>
  <c r="D81" i="7"/>
  <c r="K81" i="7"/>
  <c r="G81" i="7"/>
  <c r="C81" i="7"/>
  <c r="O81" i="7"/>
  <c r="S81" i="7" s="1"/>
  <c r="M93" i="7"/>
  <c r="I93" i="7"/>
  <c r="E93" i="7"/>
  <c r="O93" i="7"/>
  <c r="S93" i="7" s="1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N11" i="7"/>
  <c r="D15" i="7"/>
  <c r="C15" i="7"/>
  <c r="B15" i="7"/>
  <c r="M19" i="7"/>
  <c r="E19" i="7"/>
  <c r="H19" i="7"/>
  <c r="D19" i="7"/>
  <c r="O19" i="7"/>
  <c r="G19" i="7"/>
  <c r="C19" i="7"/>
  <c r="J19" i="7"/>
  <c r="B19" i="7"/>
  <c r="M23" i="7"/>
  <c r="E23" i="7"/>
  <c r="H23" i="7"/>
  <c r="D23" i="7"/>
  <c r="O23" i="7"/>
  <c r="G23" i="7"/>
  <c r="C23" i="7"/>
  <c r="F23" i="7"/>
  <c r="B23" i="7"/>
  <c r="N23" i="7"/>
  <c r="B27" i="7"/>
  <c r="D27" i="7"/>
  <c r="M27" i="7"/>
  <c r="C27" i="7"/>
  <c r="I27" i="7"/>
  <c r="B31" i="7"/>
  <c r="D31" i="7"/>
  <c r="C31" i="7"/>
  <c r="N35" i="7"/>
  <c r="F35" i="7"/>
  <c r="B35" i="7"/>
  <c r="L35" i="7"/>
  <c r="D35" i="7"/>
  <c r="E35" i="7"/>
  <c r="C35" i="7"/>
  <c r="G35" i="7"/>
  <c r="B39" i="7"/>
  <c r="D39" i="7"/>
  <c r="C39" i="7"/>
  <c r="L43" i="7"/>
  <c r="H43" i="7"/>
  <c r="D43" i="7"/>
  <c r="M43" i="7"/>
  <c r="G43" i="7"/>
  <c r="B43" i="7"/>
  <c r="K43" i="7"/>
  <c r="F43" i="7"/>
  <c r="O43" i="7"/>
  <c r="J43" i="7"/>
  <c r="E43" i="7"/>
  <c r="I43" i="7"/>
  <c r="C43" i="7"/>
  <c r="N43" i="7"/>
  <c r="L47" i="7"/>
  <c r="H47" i="7"/>
  <c r="D47" i="7"/>
  <c r="M47" i="7"/>
  <c r="I47" i="7"/>
  <c r="E47" i="7"/>
  <c r="N47" i="7"/>
  <c r="F47" i="7"/>
  <c r="K47" i="7"/>
  <c r="C47" i="7"/>
  <c r="J47" i="7"/>
  <c r="B47" i="7"/>
  <c r="O47" i="7"/>
  <c r="G47" i="7"/>
  <c r="L51" i="7"/>
  <c r="H51" i="7"/>
  <c r="D51" i="7"/>
  <c r="M51" i="7"/>
  <c r="I51" i="7"/>
  <c r="E51" i="7"/>
  <c r="J51" i="7"/>
  <c r="B51" i="7"/>
  <c r="O51" i="7"/>
  <c r="G51" i="7"/>
  <c r="N51" i="7"/>
  <c r="F51" i="7"/>
  <c r="K51" i="7"/>
  <c r="C51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K63" i="7"/>
  <c r="C63" i="7"/>
  <c r="J63" i="7"/>
  <c r="B63" i="7"/>
  <c r="I63" i="7"/>
  <c r="L63" i="7"/>
  <c r="D63" i="7"/>
  <c r="H63" i="7"/>
  <c r="C67" i="7"/>
  <c r="B67" i="7"/>
  <c r="D67" i="7"/>
  <c r="C71" i="7"/>
  <c r="B71" i="7"/>
  <c r="D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O83" i="7"/>
  <c r="S83" i="7" s="1"/>
  <c r="K83" i="7"/>
  <c r="G83" i="7"/>
  <c r="C83" i="7"/>
  <c r="N83" i="7"/>
  <c r="J83" i="7"/>
  <c r="F83" i="7"/>
  <c r="B83" i="7"/>
  <c r="I83" i="7"/>
  <c r="E83" i="7"/>
  <c r="M83" i="7"/>
  <c r="O87" i="7"/>
  <c r="S87" i="7" s="1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O103" i="7"/>
  <c r="S103" i="7" s="1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O9" i="7"/>
  <c r="C9" i="7"/>
  <c r="N9" i="7"/>
  <c r="B9" i="7"/>
  <c r="M9" i="7"/>
  <c r="D9" i="7"/>
  <c r="L9" i="7"/>
  <c r="G17" i="7"/>
  <c r="C17" i="7"/>
  <c r="F17" i="7"/>
  <c r="B17" i="7"/>
  <c r="E17" i="7"/>
  <c r="D17" i="7"/>
  <c r="D41" i="7"/>
  <c r="C41" i="7"/>
  <c r="B41" i="7"/>
  <c r="N49" i="7"/>
  <c r="J49" i="7"/>
  <c r="F49" i="7"/>
  <c r="B49" i="7"/>
  <c r="O49" i="7"/>
  <c r="K49" i="7"/>
  <c r="G49" i="7"/>
  <c r="C49" i="7"/>
  <c r="L49" i="7"/>
  <c r="D49" i="7"/>
  <c r="I49" i="7"/>
  <c r="H49" i="7"/>
  <c r="M49" i="7"/>
  <c r="E49" i="7"/>
  <c r="M57" i="7"/>
  <c r="I57" i="7"/>
  <c r="E57" i="7"/>
  <c r="L57" i="7"/>
  <c r="H57" i="7"/>
  <c r="D57" i="7"/>
  <c r="O57" i="7"/>
  <c r="K57" i="7"/>
  <c r="G57" i="7"/>
  <c r="C57" i="7"/>
  <c r="B57" i="7"/>
  <c r="F57" i="7"/>
  <c r="N57" i="7"/>
  <c r="J57" i="7"/>
  <c r="M65" i="7"/>
  <c r="I65" i="7"/>
  <c r="E65" i="7"/>
  <c r="L65" i="7"/>
  <c r="H65" i="7"/>
  <c r="D65" i="7"/>
  <c r="O65" i="7"/>
  <c r="K65" i="7"/>
  <c r="G65" i="7"/>
  <c r="C65" i="7"/>
  <c r="J65" i="7"/>
  <c r="N65" i="7"/>
  <c r="F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O97" i="7"/>
  <c r="S97" i="7" s="1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O101" i="7"/>
  <c r="S101" i="7" s="1"/>
  <c r="K101" i="7"/>
  <c r="G101" i="7"/>
  <c r="C101" i="7"/>
  <c r="N101" i="7"/>
  <c r="J101" i="7"/>
  <c r="F101" i="7"/>
  <c r="B101" i="7"/>
  <c r="H101" i="7"/>
  <c r="D101" i="7"/>
  <c r="L101" i="7"/>
  <c r="B6" i="7"/>
  <c r="D6" i="7"/>
  <c r="C6" i="7"/>
  <c r="B10" i="7"/>
  <c r="D10" i="7"/>
  <c r="C10" i="7"/>
  <c r="O10" i="7"/>
  <c r="B14" i="7"/>
  <c r="D14" i="7"/>
  <c r="C14" i="7"/>
  <c r="N18" i="7"/>
  <c r="J18" i="7"/>
  <c r="F18" i="7"/>
  <c r="B18" i="7"/>
  <c r="M18" i="7"/>
  <c r="I18" i="7"/>
  <c r="E18" i="7"/>
  <c r="L18" i="7"/>
  <c r="H18" i="7"/>
  <c r="D18" i="7"/>
  <c r="C18" i="7"/>
  <c r="O18" i="7"/>
  <c r="K18" i="7"/>
  <c r="G18" i="7"/>
  <c r="N22" i="7"/>
  <c r="J22" i="7"/>
  <c r="F22" i="7"/>
  <c r="B22" i="7"/>
  <c r="M22" i="7"/>
  <c r="I22" i="7"/>
  <c r="E22" i="7"/>
  <c r="L22" i="7"/>
  <c r="H22" i="7"/>
  <c r="D22" i="7"/>
  <c r="O22" i="7"/>
  <c r="K22" i="7"/>
  <c r="G22" i="7"/>
  <c r="C22" i="7"/>
  <c r="C26" i="7"/>
  <c r="N26" i="7"/>
  <c r="D26" i="7"/>
  <c r="J26" i="7"/>
  <c r="B26" i="7"/>
  <c r="C30" i="7"/>
  <c r="J30" i="7"/>
  <c r="B30" i="7"/>
  <c r="D30" i="7"/>
  <c r="K34" i="7"/>
  <c r="C34" i="7"/>
  <c r="I34" i="7"/>
  <c r="L34" i="7"/>
  <c r="D34" i="7"/>
  <c r="B34" i="7"/>
  <c r="H34" i="7"/>
  <c r="O38" i="7"/>
  <c r="K38" i="7"/>
  <c r="G38" i="7"/>
  <c r="C38" i="7"/>
  <c r="N38" i="7"/>
  <c r="J38" i="7"/>
  <c r="F38" i="7"/>
  <c r="B38" i="7"/>
  <c r="M38" i="7"/>
  <c r="I38" i="7"/>
  <c r="E38" i="7"/>
  <c r="L38" i="7"/>
  <c r="H38" i="7"/>
  <c r="D38" i="7"/>
  <c r="M42" i="7"/>
  <c r="K42" i="7"/>
  <c r="G42" i="7"/>
  <c r="C42" i="7"/>
  <c r="O42" i="7"/>
  <c r="J42" i="7"/>
  <c r="F42" i="7"/>
  <c r="B42" i="7"/>
  <c r="N42" i="7"/>
  <c r="I42" i="7"/>
  <c r="E42" i="7"/>
  <c r="L42" i="7"/>
  <c r="H42" i="7"/>
  <c r="D42" i="7"/>
  <c r="M46" i="7"/>
  <c r="I46" i="7"/>
  <c r="E46" i="7"/>
  <c r="N46" i="7"/>
  <c r="J46" i="7"/>
  <c r="F46" i="7"/>
  <c r="B46" i="7"/>
  <c r="O46" i="7"/>
  <c r="G46" i="7"/>
  <c r="L46" i="7"/>
  <c r="D46" i="7"/>
  <c r="K46" i="7"/>
  <c r="C46" i="7"/>
  <c r="H46" i="7"/>
  <c r="M50" i="7"/>
  <c r="I50" i="7"/>
  <c r="E50" i="7"/>
  <c r="N50" i="7"/>
  <c r="J50" i="7"/>
  <c r="F50" i="7"/>
  <c r="B50" i="7"/>
  <c r="K50" i="7"/>
  <c r="C50" i="7"/>
  <c r="H50" i="7"/>
  <c r="O50" i="7"/>
  <c r="G50" i="7"/>
  <c r="D50" i="7"/>
  <c r="L50" i="7"/>
  <c r="L54" i="7"/>
  <c r="H54" i="7"/>
  <c r="D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O62" i="7"/>
  <c r="K62" i="7"/>
  <c r="G62" i="7"/>
  <c r="C62" i="7"/>
  <c r="N62" i="7"/>
  <c r="J62" i="7"/>
  <c r="F62" i="7"/>
  <c r="B62" i="7"/>
  <c r="E62" i="7"/>
  <c r="I62" i="7"/>
  <c r="M62" i="7"/>
  <c r="L66" i="7"/>
  <c r="H66" i="7"/>
  <c r="D66" i="7"/>
  <c r="O66" i="7"/>
  <c r="K66" i="7"/>
  <c r="G66" i="7"/>
  <c r="C66" i="7"/>
  <c r="N66" i="7"/>
  <c r="J66" i="7"/>
  <c r="F66" i="7"/>
  <c r="B66" i="7"/>
  <c r="E66" i="7"/>
  <c r="M66" i="7"/>
  <c r="I66" i="7"/>
  <c r="D70" i="7"/>
  <c r="C70" i="7"/>
  <c r="B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K78" i="7"/>
  <c r="C78" i="7"/>
  <c r="J78" i="7"/>
  <c r="B78" i="7"/>
  <c r="O78" i="7"/>
  <c r="S78" i="7" s="1"/>
  <c r="G78" i="7"/>
  <c r="N78" i="7"/>
  <c r="F78" i="7"/>
  <c r="M82" i="7"/>
  <c r="I82" i="7"/>
  <c r="E82" i="7"/>
  <c r="L82" i="7"/>
  <c r="H82" i="7"/>
  <c r="D82" i="7"/>
  <c r="O82" i="7"/>
  <c r="S82" i="7" s="1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K90" i="7"/>
  <c r="C90" i="7"/>
  <c r="I90" i="7"/>
  <c r="O90" i="7"/>
  <c r="S90" i="7" s="1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C98" i="7"/>
  <c r="O98" i="7"/>
  <c r="S98" i="7" s="1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S102" i="7" s="1"/>
  <c r="K102" i="7"/>
  <c r="C102" i="7"/>
  <c r="H15" i="8"/>
  <c r="H18" i="8"/>
  <c r="H13" i="8"/>
  <c r="H17" i="8"/>
  <c r="H10" i="8"/>
  <c r="H8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C13" i="7"/>
  <c r="B13" i="7"/>
  <c r="L13" i="7"/>
  <c r="D13" i="7"/>
  <c r="O21" i="7"/>
  <c r="K21" i="7"/>
  <c r="G21" i="7"/>
  <c r="C21" i="7"/>
  <c r="N21" i="7"/>
  <c r="J21" i="7"/>
  <c r="F21" i="7"/>
  <c r="B21" i="7"/>
  <c r="M21" i="7"/>
  <c r="I21" i="7"/>
  <c r="E21" i="7"/>
  <c r="H21" i="7"/>
  <c r="D21" i="7"/>
  <c r="L21" i="7"/>
  <c r="L37" i="7"/>
  <c r="H37" i="7"/>
  <c r="D37" i="7"/>
  <c r="O37" i="7"/>
  <c r="N37" i="7"/>
  <c r="J37" i="7"/>
  <c r="F37" i="7"/>
  <c r="B37" i="7"/>
  <c r="K37" i="7"/>
  <c r="C37" i="7"/>
  <c r="I37" i="7"/>
  <c r="G37" i="7"/>
  <c r="M37" i="7"/>
  <c r="E37" i="7"/>
  <c r="N45" i="7"/>
  <c r="J45" i="7"/>
  <c r="F45" i="7"/>
  <c r="B45" i="7"/>
  <c r="O45" i="7"/>
  <c r="K45" i="7"/>
  <c r="G45" i="7"/>
  <c r="C45" i="7"/>
  <c r="H45" i="7"/>
  <c r="M45" i="7"/>
  <c r="E45" i="7"/>
  <c r="L45" i="7"/>
  <c r="D45" i="7"/>
  <c r="I45" i="7"/>
  <c r="B73" i="7"/>
  <c r="C73" i="7"/>
  <c r="D73" i="7"/>
  <c r="M89" i="7"/>
  <c r="I89" i="7"/>
  <c r="E89" i="7"/>
  <c r="O89" i="7"/>
  <c r="S89" i="7" s="1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H25" i="7" l="1"/>
  <c r="M24" i="7"/>
  <c r="O8" i="7"/>
  <c r="J24" i="7"/>
  <c r="L24" i="7"/>
  <c r="N24" i="7"/>
  <c r="K24" i="7"/>
  <c r="E24" i="7"/>
  <c r="I25" i="7"/>
  <c r="K25" i="7"/>
  <c r="M25" i="7"/>
  <c r="O25" i="7"/>
  <c r="F25" i="7"/>
  <c r="N25" i="7"/>
  <c r="H61" i="7"/>
  <c r="L20" i="7"/>
  <c r="I20" i="7"/>
  <c r="J20" i="7"/>
  <c r="K20" i="7"/>
  <c r="O61" i="7"/>
  <c r="M8" i="7"/>
  <c r="O32" i="7"/>
  <c r="N64" i="7"/>
  <c r="O63" i="7"/>
  <c r="E61" i="7"/>
  <c r="N60" i="7"/>
  <c r="I36" i="7"/>
  <c r="J35" i="7"/>
  <c r="I23" i="7"/>
  <c r="H20" i="7"/>
  <c r="I19" i="7"/>
  <c r="K67" i="7"/>
  <c r="M33" i="7"/>
  <c r="L17" i="7"/>
  <c r="I61" i="7"/>
  <c r="E63" i="7"/>
  <c r="M63" i="7"/>
  <c r="F63" i="7"/>
  <c r="N63" i="7"/>
  <c r="G63" i="7"/>
  <c r="O35" i="7"/>
  <c r="I35" i="7"/>
  <c r="K35" i="7"/>
  <c r="M35" i="7"/>
  <c r="H35" i="7"/>
  <c r="J23" i="7"/>
  <c r="K23" i="7"/>
  <c r="L23" i="7"/>
  <c r="N19" i="7"/>
  <c r="F19" i="7"/>
  <c r="K19" i="7"/>
  <c r="L19" i="7"/>
  <c r="K64" i="7"/>
  <c r="H64" i="7"/>
  <c r="E64" i="7"/>
  <c r="M64" i="7"/>
  <c r="F64" i="7"/>
  <c r="O60" i="7"/>
  <c r="G60" i="7"/>
  <c r="H60" i="7"/>
  <c r="E60" i="7"/>
  <c r="M60" i="7"/>
  <c r="F60" i="7"/>
  <c r="F36" i="7"/>
  <c r="H36" i="7"/>
  <c r="J36" i="7"/>
  <c r="L36" i="7"/>
  <c r="G36" i="7"/>
  <c r="O36" i="7"/>
  <c r="H32" i="7"/>
  <c r="E20" i="7"/>
  <c r="M20" i="7"/>
  <c r="F20" i="7"/>
  <c r="N20" i="7"/>
  <c r="G20" i="7"/>
  <c r="O20" i="7"/>
  <c r="J61" i="7"/>
  <c r="N61" i="7"/>
  <c r="G61" i="7"/>
  <c r="O26" i="7"/>
  <c r="O29" i="7"/>
  <c r="G28" i="7"/>
  <c r="I15" i="7"/>
  <c r="L14" i="7"/>
  <c r="K11" i="7"/>
  <c r="I10" i="7"/>
  <c r="N8" i="7"/>
  <c r="I7" i="7"/>
  <c r="K6" i="7"/>
  <c r="F28" i="7"/>
  <c r="I28" i="7"/>
  <c r="H41" i="7"/>
  <c r="J72" i="7"/>
  <c r="H73" i="7"/>
  <c r="O71" i="7"/>
  <c r="H70" i="7"/>
  <c r="M69" i="7"/>
  <c r="N68" i="7"/>
  <c r="F61" i="7"/>
  <c r="K61" i="7"/>
  <c r="L61" i="7"/>
  <c r="L41" i="7"/>
  <c r="I40" i="7"/>
  <c r="O73" i="7"/>
  <c r="L73" i="7"/>
  <c r="F73" i="7"/>
  <c r="N73" i="7"/>
  <c r="J70" i="7"/>
  <c r="I73" i="7"/>
  <c r="E73" i="7"/>
  <c r="G73" i="7"/>
  <c r="M73" i="7"/>
  <c r="J73" i="7"/>
  <c r="E70" i="7"/>
  <c r="M70" i="7"/>
  <c r="F70" i="7"/>
  <c r="N70" i="7"/>
  <c r="G70" i="7"/>
  <c r="O70" i="7"/>
  <c r="L70" i="7"/>
  <c r="I41" i="7"/>
  <c r="E41" i="7"/>
  <c r="F41" i="7"/>
  <c r="N41" i="7"/>
  <c r="T41" i="7" s="1"/>
  <c r="G41" i="7"/>
  <c r="O41" i="7"/>
  <c r="L71" i="7"/>
  <c r="I71" i="7"/>
  <c r="J71" i="7"/>
  <c r="K71" i="7"/>
  <c r="L67" i="7"/>
  <c r="E67" i="7"/>
  <c r="M67" i="7"/>
  <c r="F67" i="7"/>
  <c r="N67" i="7"/>
  <c r="G67" i="7"/>
  <c r="O67" i="7"/>
  <c r="G72" i="7"/>
  <c r="K72" i="7"/>
  <c r="H72" i="7"/>
  <c r="E72" i="7"/>
  <c r="M72" i="7"/>
  <c r="F72" i="7"/>
  <c r="N72" i="7"/>
  <c r="G68" i="7"/>
  <c r="L68" i="7"/>
  <c r="I68" i="7"/>
  <c r="J68" i="7"/>
  <c r="J40" i="7"/>
  <c r="K40" i="7"/>
  <c r="H40" i="7"/>
  <c r="E40" i="7"/>
  <c r="M40" i="7"/>
  <c r="N69" i="7"/>
  <c r="F69" i="7"/>
  <c r="G69" i="7"/>
  <c r="O69" i="7"/>
  <c r="L69" i="7"/>
  <c r="I69" i="7"/>
  <c r="K73" i="7"/>
  <c r="I70" i="7"/>
  <c r="K70" i="7"/>
  <c r="M41" i="7"/>
  <c r="J41" i="7"/>
  <c r="K41" i="7"/>
  <c r="H71" i="7"/>
  <c r="E71" i="7"/>
  <c r="M71" i="7"/>
  <c r="F71" i="7"/>
  <c r="N71" i="7"/>
  <c r="V71" i="7" s="1"/>
  <c r="G71" i="7"/>
  <c r="H67" i="7"/>
  <c r="I67" i="7"/>
  <c r="J67" i="7"/>
  <c r="O72" i="7"/>
  <c r="L72" i="7"/>
  <c r="I72" i="7"/>
  <c r="K68" i="7"/>
  <c r="O68" i="7"/>
  <c r="H68" i="7"/>
  <c r="E68" i="7"/>
  <c r="M68" i="7"/>
  <c r="F68" i="7"/>
  <c r="F40" i="7"/>
  <c r="N40" i="7"/>
  <c r="U40" i="7" s="1"/>
  <c r="Y40" i="7" s="1"/>
  <c r="G40" i="7"/>
  <c r="O40" i="7"/>
  <c r="L40" i="7"/>
  <c r="J69" i="7"/>
  <c r="K69" i="7"/>
  <c r="H69" i="7"/>
  <c r="E69" i="7"/>
  <c r="F30" i="7"/>
  <c r="J28" i="7"/>
  <c r="G34" i="7"/>
  <c r="M32" i="7"/>
  <c r="H31" i="7"/>
  <c r="N29" i="7"/>
  <c r="E28" i="7"/>
  <c r="N27" i="7"/>
  <c r="J10" i="7"/>
  <c r="L6" i="7"/>
  <c r="G31" i="7"/>
  <c r="J31" i="7"/>
  <c r="F27" i="7"/>
  <c r="L11" i="7"/>
  <c r="E29" i="7"/>
  <c r="I29" i="7"/>
  <c r="F29" i="7"/>
  <c r="H29" i="7"/>
  <c r="N28" i="7"/>
  <c r="U28" i="7" s="1"/>
  <c r="Y28" i="7" s="1"/>
  <c r="K28" i="7"/>
  <c r="M28" i="7"/>
  <c r="F33" i="7"/>
  <c r="F31" i="7"/>
  <c r="O30" i="7"/>
  <c r="L16" i="7"/>
  <c r="N14" i="7"/>
  <c r="X14" i="7" s="1"/>
  <c r="O12" i="7"/>
  <c r="F10" i="7"/>
  <c r="L8" i="7"/>
  <c r="N6" i="7"/>
  <c r="X6" i="7" s="1"/>
  <c r="E26" i="7"/>
  <c r="G26" i="7"/>
  <c r="H26" i="7"/>
  <c r="L26" i="7"/>
  <c r="I26" i="7"/>
  <c r="K26" i="7"/>
  <c r="G27" i="7"/>
  <c r="K27" i="7"/>
  <c r="H27" i="7"/>
  <c r="J27" i="7"/>
  <c r="J7" i="7"/>
  <c r="M29" i="7"/>
  <c r="J29" i="7"/>
  <c r="L29" i="7"/>
  <c r="H28" i="7"/>
  <c r="L28" i="7"/>
  <c r="O28" i="7"/>
  <c r="H33" i="7"/>
  <c r="B10" i="9"/>
  <c r="B15" i="9"/>
  <c r="F26" i="7"/>
  <c r="M26" i="7"/>
  <c r="O27" i="7"/>
  <c r="E27" i="7"/>
  <c r="L27" i="7"/>
  <c r="G29" i="7"/>
  <c r="K29" i="7"/>
  <c r="E16" i="7"/>
  <c r="O16" i="7"/>
  <c r="F12" i="7"/>
  <c r="H12" i="7"/>
  <c r="E33" i="7"/>
  <c r="E15" i="7"/>
  <c r="O13" i="7"/>
  <c r="M11" i="7"/>
  <c r="K9" i="7"/>
  <c r="E7" i="7"/>
  <c r="O5" i="7"/>
  <c r="N16" i="7"/>
  <c r="T16" i="7" s="1"/>
  <c r="M12" i="7"/>
  <c r="G12" i="7"/>
  <c r="N5" i="7"/>
  <c r="B10" i="8" s="1"/>
  <c r="I33" i="7"/>
  <c r="B17" i="9"/>
  <c r="E13" i="7"/>
  <c r="F13" i="7"/>
  <c r="G13" i="7"/>
  <c r="H9" i="8"/>
  <c r="F34" i="7"/>
  <c r="M34" i="7"/>
  <c r="O34" i="7"/>
  <c r="N30" i="7"/>
  <c r="V30" i="7" s="1"/>
  <c r="E30" i="7"/>
  <c r="G30" i="7"/>
  <c r="G14" i="7"/>
  <c r="E14" i="7"/>
  <c r="F14" i="7"/>
  <c r="H10" i="7"/>
  <c r="M10" i="7"/>
  <c r="N10" i="7"/>
  <c r="U10" i="7" s="1"/>
  <c r="Y10" i="7" s="1"/>
  <c r="O6" i="7"/>
  <c r="E6" i="7"/>
  <c r="F6" i="7"/>
  <c r="I17" i="7"/>
  <c r="J17" i="7"/>
  <c r="K17" i="7"/>
  <c r="K31" i="7"/>
  <c r="O31" i="7"/>
  <c r="L31" i="7"/>
  <c r="N31" i="7"/>
  <c r="X31" i="7" s="1"/>
  <c r="F15" i="7"/>
  <c r="G15" i="7"/>
  <c r="H15" i="7"/>
  <c r="M15" i="7"/>
  <c r="O11" i="7"/>
  <c r="E11" i="7"/>
  <c r="N7" i="7"/>
  <c r="W7" i="7" s="1"/>
  <c r="G7" i="7"/>
  <c r="H7" i="7"/>
  <c r="M7" i="7"/>
  <c r="L32" i="7"/>
  <c r="E32" i="7"/>
  <c r="E12" i="7"/>
  <c r="J12" i="7"/>
  <c r="K12" i="7"/>
  <c r="L12" i="7"/>
  <c r="G33" i="7"/>
  <c r="J33" i="7"/>
  <c r="L33" i="7"/>
  <c r="H5" i="7"/>
  <c r="E11" i="8" s="1"/>
  <c r="K5" i="7"/>
  <c r="E14" i="8" s="1"/>
  <c r="B13" i="9"/>
  <c r="B9" i="9"/>
  <c r="B18" i="9"/>
  <c r="B14" i="9"/>
  <c r="I13" i="7"/>
  <c r="J13" i="7"/>
  <c r="K13" i="7"/>
  <c r="J34" i="7"/>
  <c r="N34" i="7"/>
  <c r="W34" i="7" s="1"/>
  <c r="L30" i="7"/>
  <c r="H30" i="7"/>
  <c r="I30" i="7"/>
  <c r="K30" i="7"/>
  <c r="K14" i="7"/>
  <c r="I14" i="7"/>
  <c r="J14" i="7"/>
  <c r="G10" i="7"/>
  <c r="L10" i="7"/>
  <c r="I6" i="7"/>
  <c r="J6" i="7"/>
  <c r="H17" i="7"/>
  <c r="M17" i="7"/>
  <c r="N17" i="7"/>
  <c r="V17" i="7" s="1"/>
  <c r="O17" i="7"/>
  <c r="E9" i="7"/>
  <c r="F9" i="7"/>
  <c r="G9" i="7"/>
  <c r="E5" i="9"/>
  <c r="E31" i="7"/>
  <c r="I31" i="7"/>
  <c r="J15" i="7"/>
  <c r="K15" i="7"/>
  <c r="L15" i="7"/>
  <c r="F11" i="7"/>
  <c r="I11" i="7"/>
  <c r="K7" i="7"/>
  <c r="L7" i="7"/>
  <c r="F32" i="7"/>
  <c r="G32" i="7"/>
  <c r="I32" i="7"/>
  <c r="I16" i="7"/>
  <c r="F16" i="7"/>
  <c r="G16" i="7"/>
  <c r="H16" i="7"/>
  <c r="I12" i="7"/>
  <c r="N12" i="7"/>
  <c r="W12" i="7" s="1"/>
  <c r="E8" i="7"/>
  <c r="F8" i="7"/>
  <c r="G8" i="7"/>
  <c r="H8" i="7"/>
  <c r="K33" i="7"/>
  <c r="O33" i="7"/>
  <c r="N33" i="7"/>
  <c r="V33" i="7" s="1"/>
  <c r="M5" i="7"/>
  <c r="E16" i="8" s="1"/>
  <c r="B20" i="9"/>
  <c r="B16" i="9"/>
  <c r="B12" i="9"/>
  <c r="H13" i="7"/>
  <c r="M13" i="7"/>
  <c r="N13" i="7"/>
  <c r="W13" i="7" s="1"/>
  <c r="E34" i="7"/>
  <c r="M30" i="7"/>
  <c r="O14" i="7"/>
  <c r="H14" i="7"/>
  <c r="M14" i="7"/>
  <c r="K10" i="7"/>
  <c r="E10" i="7"/>
  <c r="G6" i="7"/>
  <c r="H6" i="7"/>
  <c r="M6" i="7"/>
  <c r="H9" i="7"/>
  <c r="I9" i="7"/>
  <c r="J9" i="7"/>
  <c r="M31" i="7"/>
  <c r="N15" i="7"/>
  <c r="X15" i="7" s="1"/>
  <c r="O15" i="7"/>
  <c r="J11" i="7"/>
  <c r="G11" i="7"/>
  <c r="H11" i="7"/>
  <c r="F7" i="7"/>
  <c r="O7" i="7"/>
  <c r="J32" i="7"/>
  <c r="N32" i="7"/>
  <c r="V32" i="7" s="1"/>
  <c r="K32" i="7"/>
  <c r="M16" i="7"/>
  <c r="J16" i="7"/>
  <c r="K16" i="7"/>
  <c r="I8" i="7"/>
  <c r="J8" i="7"/>
  <c r="K8" i="7"/>
  <c r="O39" i="7"/>
  <c r="I39" i="7"/>
  <c r="J39" i="7"/>
  <c r="B11" i="9"/>
  <c r="B19" i="9"/>
  <c r="H39" i="7"/>
  <c r="M39" i="7"/>
  <c r="N39" i="7"/>
  <c r="V39" i="7" s="1"/>
  <c r="L5" i="7"/>
  <c r="E15" i="8" s="1"/>
  <c r="L39" i="7"/>
  <c r="E5" i="7"/>
  <c r="E8" i="8" s="1"/>
  <c r="F5" i="7"/>
  <c r="E9" i="8" s="1"/>
  <c r="G5" i="7"/>
  <c r="E10" i="8" s="1"/>
  <c r="K39" i="7"/>
  <c r="G39" i="7"/>
  <c r="E39" i="7"/>
  <c r="F39" i="7"/>
  <c r="I5" i="7"/>
  <c r="E12" i="8" s="1"/>
  <c r="J5" i="7"/>
  <c r="E13" i="8" s="1"/>
  <c r="V73" i="7"/>
  <c r="X73" i="7"/>
  <c r="W73" i="7"/>
  <c r="U73" i="7"/>
  <c r="Y73" i="7" s="1"/>
  <c r="T73" i="7"/>
  <c r="W21" i="7"/>
  <c r="V21" i="7"/>
  <c r="U21" i="7"/>
  <c r="Y21" i="7" s="1"/>
  <c r="X21" i="7"/>
  <c r="T21" i="7"/>
  <c r="U82" i="7"/>
  <c r="Y82" i="7" s="1"/>
  <c r="X82" i="7"/>
  <c r="T82" i="7"/>
  <c r="W82" i="7"/>
  <c r="V82" i="7"/>
  <c r="X66" i="7"/>
  <c r="T66" i="7"/>
  <c r="W66" i="7"/>
  <c r="V66" i="7"/>
  <c r="U66" i="7"/>
  <c r="Y66" i="7" s="1"/>
  <c r="U46" i="7"/>
  <c r="Y46" i="7" s="1"/>
  <c r="V46" i="7"/>
  <c r="W46" i="7"/>
  <c r="T46" i="7"/>
  <c r="X46" i="7"/>
  <c r="W38" i="7"/>
  <c r="V38" i="7"/>
  <c r="U38" i="7"/>
  <c r="Y38" i="7" s="1"/>
  <c r="X38" i="7"/>
  <c r="T38" i="7"/>
  <c r="U30" i="7"/>
  <c r="Y30" i="7" s="1"/>
  <c r="V18" i="7"/>
  <c r="U18" i="7"/>
  <c r="Y18" i="7" s="1"/>
  <c r="X18" i="7"/>
  <c r="T18" i="7"/>
  <c r="W18" i="7"/>
  <c r="T6" i="7"/>
  <c r="W6" i="7"/>
  <c r="U101" i="7"/>
  <c r="Y101" i="7" s="1"/>
  <c r="W101" i="7"/>
  <c r="V101" i="7"/>
  <c r="X101" i="7"/>
  <c r="T101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U71" i="7"/>
  <c r="Y71" i="7" s="1"/>
  <c r="X71" i="7"/>
  <c r="W55" i="7"/>
  <c r="V55" i="7"/>
  <c r="U55" i="7"/>
  <c r="Y55" i="7" s="1"/>
  <c r="T55" i="7"/>
  <c r="X55" i="7"/>
  <c r="X43" i="7"/>
  <c r="T43" i="7"/>
  <c r="W43" i="7"/>
  <c r="V43" i="7"/>
  <c r="U43" i="7"/>
  <c r="Y43" i="7" s="1"/>
  <c r="V35" i="7"/>
  <c r="X35" i="7"/>
  <c r="T35" i="7"/>
  <c r="U35" i="7"/>
  <c r="Y35" i="7" s="1"/>
  <c r="W35" i="7"/>
  <c r="U23" i="7"/>
  <c r="Y23" i="7" s="1"/>
  <c r="X23" i="7"/>
  <c r="T23" i="7"/>
  <c r="W23" i="7"/>
  <c r="V23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W28" i="7"/>
  <c r="X28" i="7"/>
  <c r="X8" i="7"/>
  <c r="T8" i="7"/>
  <c r="W8" i="7"/>
  <c r="V8" i="7"/>
  <c r="U8" i="7"/>
  <c r="Y8" i="7" s="1"/>
  <c r="U61" i="7"/>
  <c r="Y61" i="7" s="1"/>
  <c r="X61" i="7"/>
  <c r="T61" i="7"/>
  <c r="W61" i="7"/>
  <c r="V61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X70" i="7"/>
  <c r="T70" i="7"/>
  <c r="W70" i="7"/>
  <c r="V70" i="7"/>
  <c r="U70" i="7"/>
  <c r="Y70" i="7" s="1"/>
  <c r="U50" i="7"/>
  <c r="Y50" i="7" s="1"/>
  <c r="V50" i="7"/>
  <c r="X50" i="7"/>
  <c r="W50" i="7"/>
  <c r="T50" i="7"/>
  <c r="U42" i="7"/>
  <c r="Y42" i="7" s="1"/>
  <c r="V42" i="7"/>
  <c r="T42" i="7"/>
  <c r="X42" i="7"/>
  <c r="W42" i="7"/>
  <c r="V22" i="7"/>
  <c r="U22" i="7"/>
  <c r="Y22" i="7" s="1"/>
  <c r="X22" i="7"/>
  <c r="T22" i="7"/>
  <c r="W22" i="7"/>
  <c r="U65" i="7"/>
  <c r="Y65" i="7" s="1"/>
  <c r="X65" i="7"/>
  <c r="T65" i="7"/>
  <c r="W65" i="7"/>
  <c r="V65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W59" i="7"/>
  <c r="V59" i="7"/>
  <c r="U59" i="7"/>
  <c r="Y59" i="7" s="1"/>
  <c r="T59" i="7"/>
  <c r="X59" i="7"/>
  <c r="X47" i="7"/>
  <c r="T47" i="7"/>
  <c r="U47" i="7"/>
  <c r="Y47" i="7" s="1"/>
  <c r="V47" i="7"/>
  <c r="W47" i="7"/>
  <c r="G5" i="9"/>
  <c r="V92" i="7"/>
  <c r="X92" i="7"/>
  <c r="T92" i="7"/>
  <c r="W92" i="7"/>
  <c r="U92" i="7"/>
  <c r="Y92" i="7" s="1"/>
  <c r="W80" i="7"/>
  <c r="V80" i="7"/>
  <c r="U80" i="7"/>
  <c r="Y80" i="7" s="1"/>
  <c r="T80" i="7"/>
  <c r="X80" i="7"/>
  <c r="V60" i="7"/>
  <c r="U60" i="7"/>
  <c r="Y60" i="7" s="1"/>
  <c r="X60" i="7"/>
  <c r="T60" i="7"/>
  <c r="W60" i="7"/>
  <c r="W48" i="7"/>
  <c r="X48" i="7"/>
  <c r="T48" i="7"/>
  <c r="U48" i="7"/>
  <c r="Y48" i="7" s="1"/>
  <c r="V48" i="7"/>
  <c r="V77" i="7"/>
  <c r="U77" i="7"/>
  <c r="Y77" i="7" s="1"/>
  <c r="T77" i="7"/>
  <c r="X77" i="7"/>
  <c r="W77" i="7"/>
  <c r="U53" i="7"/>
  <c r="Y53" i="7" s="1"/>
  <c r="T53" i="7"/>
  <c r="V53" i="7"/>
  <c r="W53" i="7"/>
  <c r="X53" i="7"/>
  <c r="X25" i="7"/>
  <c r="T25" i="7"/>
  <c r="V25" i="7"/>
  <c r="W25" i="7"/>
  <c r="U25" i="7"/>
  <c r="Y25" i="7" s="1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26" i="7"/>
  <c r="U26" i="7"/>
  <c r="Y26" i="7" s="1"/>
  <c r="V26" i="7"/>
  <c r="T26" i="7"/>
  <c r="X26" i="7"/>
  <c r="X41" i="7"/>
  <c r="W41" i="7"/>
  <c r="U41" i="7"/>
  <c r="Y41" i="7" s="1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X51" i="7"/>
  <c r="T51" i="7"/>
  <c r="U51" i="7"/>
  <c r="Y51" i="7" s="1"/>
  <c r="W51" i="7"/>
  <c r="V51" i="7"/>
  <c r="V27" i="7"/>
  <c r="X27" i="7"/>
  <c r="T27" i="7"/>
  <c r="U27" i="7"/>
  <c r="Y27" i="7" s="1"/>
  <c r="W27" i="7"/>
  <c r="U19" i="7"/>
  <c r="Y19" i="7" s="1"/>
  <c r="X19" i="7"/>
  <c r="T19" i="7"/>
  <c r="W19" i="7"/>
  <c r="V19" i="7"/>
  <c r="U11" i="7"/>
  <c r="Y11" i="7" s="1"/>
  <c r="X11" i="7"/>
  <c r="T11" i="7"/>
  <c r="W11" i="7"/>
  <c r="V11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V52" i="7"/>
  <c r="X52" i="7"/>
  <c r="T52" i="7"/>
  <c r="W52" i="7"/>
  <c r="U52" i="7"/>
  <c r="Y52" i="7" s="1"/>
  <c r="U36" i="7"/>
  <c r="Y36" i="7" s="1"/>
  <c r="W36" i="7"/>
  <c r="T36" i="7"/>
  <c r="X36" i="7"/>
  <c r="V36" i="7"/>
  <c r="X16" i="7"/>
  <c r="U16" i="7"/>
  <c r="Y16" i="7" s="1"/>
  <c r="X5" i="7"/>
  <c r="B13" i="8" s="1"/>
  <c r="U89" i="7"/>
  <c r="Y89" i="7" s="1"/>
  <c r="W89" i="7"/>
  <c r="T89" i="7"/>
  <c r="X89" i="7"/>
  <c r="V89" i="7"/>
  <c r="V45" i="7"/>
  <c r="W45" i="7"/>
  <c r="X45" i="7"/>
  <c r="U45" i="7"/>
  <c r="Y45" i="7" s="1"/>
  <c r="T45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X62" i="7"/>
  <c r="T62" i="7"/>
  <c r="W62" i="7"/>
  <c r="V62" i="7"/>
  <c r="U62" i="7"/>
  <c r="Y62" i="7" s="1"/>
  <c r="V14" i="7"/>
  <c r="U14" i="7"/>
  <c r="Y14" i="7" s="1"/>
  <c r="W1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U57" i="7"/>
  <c r="Y57" i="7" s="1"/>
  <c r="X57" i="7"/>
  <c r="T57" i="7"/>
  <c r="W57" i="7"/>
  <c r="V57" i="7"/>
  <c r="V49" i="7"/>
  <c r="W49" i="7"/>
  <c r="T49" i="7"/>
  <c r="X49" i="7"/>
  <c r="U49" i="7"/>
  <c r="Y49" i="7" s="1"/>
  <c r="W9" i="7"/>
  <c r="V9" i="7"/>
  <c r="U9" i="7"/>
  <c r="Y9" i="7" s="1"/>
  <c r="T9" i="7"/>
  <c r="X9" i="7"/>
  <c r="W91" i="7"/>
  <c r="U91" i="7"/>
  <c r="Y91" i="7" s="1"/>
  <c r="X91" i="7"/>
  <c r="V91" i="7"/>
  <c r="T91" i="7"/>
  <c r="W67" i="7"/>
  <c r="V67" i="7"/>
  <c r="U67" i="7"/>
  <c r="Y67" i="7" s="1"/>
  <c r="X67" i="7"/>
  <c r="T67" i="7"/>
  <c r="V81" i="7"/>
  <c r="U81" i="7"/>
  <c r="Y81" i="7" s="1"/>
  <c r="X81" i="7"/>
  <c r="T81" i="7"/>
  <c r="W81" i="7"/>
  <c r="X29" i="7"/>
  <c r="T29" i="7"/>
  <c r="V29" i="7"/>
  <c r="W29" i="7"/>
  <c r="U29" i="7"/>
  <c r="Y29" i="7" s="1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V68" i="7"/>
  <c r="U68" i="7"/>
  <c r="Y68" i="7" s="1"/>
  <c r="X68" i="7"/>
  <c r="T68" i="7"/>
  <c r="W68" i="7"/>
  <c r="U24" i="7"/>
  <c r="Y24" i="7" s="1"/>
  <c r="W24" i="7"/>
  <c r="X24" i="7"/>
  <c r="V24" i="7"/>
  <c r="T24" i="7"/>
  <c r="X20" i="7"/>
  <c r="T20" i="7"/>
  <c r="W20" i="7"/>
  <c r="V20" i="7"/>
  <c r="U20" i="7"/>
  <c r="Y20" i="7" s="1"/>
  <c r="U69" i="7"/>
  <c r="Y69" i="7" s="1"/>
  <c r="X69" i="7"/>
  <c r="T69" i="7"/>
  <c r="W69" i="7"/>
  <c r="V69" i="7"/>
  <c r="V41" i="7" l="1"/>
  <c r="W16" i="7"/>
  <c r="V28" i="7"/>
  <c r="T28" i="7"/>
  <c r="W31" i="7"/>
  <c r="T5" i="7"/>
  <c r="B15" i="8" s="1"/>
  <c r="T30" i="7"/>
  <c r="W30" i="7"/>
  <c r="T71" i="7"/>
  <c r="W40" i="7"/>
  <c r="X40" i="7"/>
  <c r="V40" i="7"/>
  <c r="T40" i="7"/>
  <c r="V16" i="7"/>
  <c r="W5" i="7"/>
  <c r="B12" i="8" s="1"/>
  <c r="T10" i="7"/>
  <c r="V10" i="7"/>
  <c r="W10" i="7"/>
  <c r="V34" i="7"/>
  <c r="U13" i="7"/>
  <c r="Y13" i="7" s="1"/>
  <c r="U31" i="7"/>
  <c r="Y31" i="7" s="1"/>
  <c r="W17" i="7"/>
  <c r="X33" i="7"/>
  <c r="U34" i="7"/>
  <c r="Y34" i="7" s="1"/>
  <c r="X7" i="7"/>
  <c r="T14" i="7"/>
  <c r="X10" i="7"/>
  <c r="U6" i="7"/>
  <c r="Y6" i="7" s="1"/>
  <c r="V6" i="7"/>
  <c r="X30" i="7"/>
  <c r="T34" i="7"/>
  <c r="X34" i="7"/>
  <c r="V31" i="7"/>
  <c r="T7" i="7"/>
  <c r="V7" i="7"/>
  <c r="U7" i="7"/>
  <c r="Y7" i="7" s="1"/>
  <c r="T31" i="7"/>
  <c r="U5" i="7"/>
  <c r="Y5" i="7" s="1"/>
  <c r="B17" i="8" s="1"/>
  <c r="V5" i="7"/>
  <c r="B11" i="8" s="1"/>
  <c r="U15" i="7"/>
  <c r="Y15" i="7" s="1"/>
  <c r="T17" i="7"/>
  <c r="U17" i="7"/>
  <c r="Y17" i="7" s="1"/>
  <c r="X32" i="7"/>
  <c r="V15" i="7"/>
  <c r="T12" i="7"/>
  <c r="V12" i="7"/>
  <c r="U33" i="7"/>
  <c r="Y33" i="7" s="1"/>
  <c r="W33" i="7"/>
  <c r="U12" i="7"/>
  <c r="Y12" i="7" s="1"/>
  <c r="X12" i="7"/>
  <c r="X13" i="7"/>
  <c r="T33" i="7"/>
  <c r="W32" i="7"/>
  <c r="W15" i="7"/>
  <c r="X17" i="7"/>
  <c r="T32" i="7"/>
  <c r="U32" i="7"/>
  <c r="Y32" i="7" s="1"/>
  <c r="T15" i="7"/>
  <c r="V13" i="7"/>
  <c r="T13" i="7"/>
  <c r="T39" i="7"/>
  <c r="U39" i="7"/>
  <c r="Y39" i="7" s="1"/>
  <c r="X39" i="7"/>
  <c r="W39" i="7"/>
  <c r="Q12" i="7"/>
  <c r="P16" i="7"/>
  <c r="Q6" i="7"/>
  <c r="Q17" i="7"/>
  <c r="Q15" i="7"/>
  <c r="Q21" i="7"/>
  <c r="P66" i="7"/>
  <c r="Q38" i="7"/>
  <c r="Q10" i="7"/>
  <c r="P103" i="7"/>
  <c r="P83" i="7"/>
  <c r="P55" i="7"/>
  <c r="P93" i="7"/>
  <c r="Q76" i="7"/>
  <c r="P44" i="7"/>
  <c r="Q8" i="7"/>
  <c r="Q61" i="7"/>
  <c r="Q94" i="7"/>
  <c r="Q70" i="7"/>
  <c r="P50" i="7"/>
  <c r="P57" i="7"/>
  <c r="Q91" i="7"/>
  <c r="P59" i="7"/>
  <c r="Q19" i="7"/>
  <c r="Q96" i="7"/>
  <c r="P80" i="7"/>
  <c r="P68" i="7"/>
  <c r="Q56" i="7"/>
  <c r="Q40" i="7"/>
  <c r="P69" i="7"/>
  <c r="Q45" i="7"/>
  <c r="Q102" i="7"/>
  <c r="Q58" i="7"/>
  <c r="Q30" i="7"/>
  <c r="Q65" i="7"/>
  <c r="Q41" i="7"/>
  <c r="Q47" i="7"/>
  <c r="Q35" i="7"/>
  <c r="Q52" i="7"/>
  <c r="P98" i="7"/>
  <c r="P74" i="7"/>
  <c r="Q34" i="7"/>
  <c r="P97" i="7"/>
  <c r="P99" i="7"/>
  <c r="P67" i="7"/>
  <c r="P100" i="7"/>
  <c r="Q84" i="7"/>
  <c r="Q20" i="7"/>
  <c r="P21" i="7"/>
  <c r="Q66" i="7"/>
  <c r="P38" i="7"/>
  <c r="P10" i="7"/>
  <c r="Q103" i="7"/>
  <c r="Q83" i="7"/>
  <c r="Q55" i="7"/>
  <c r="Q93" i="7"/>
  <c r="P76" i="7"/>
  <c r="Q44" i="7"/>
  <c r="P8" i="7"/>
  <c r="P61" i="7"/>
  <c r="P94" i="7"/>
  <c r="P70" i="7"/>
  <c r="Q50" i="7"/>
  <c r="Q57" i="7"/>
  <c r="Q13" i="7"/>
  <c r="P31" i="7"/>
  <c r="P7" i="7"/>
  <c r="P73" i="7"/>
  <c r="P91" i="7"/>
  <c r="P92" i="7"/>
  <c r="Q60" i="7"/>
  <c r="P48" i="7"/>
  <c r="P37" i="7"/>
  <c r="P43" i="7"/>
  <c r="P90" i="7"/>
  <c r="Q9" i="7"/>
  <c r="Q100" i="7"/>
  <c r="Q36" i="7"/>
  <c r="Q97" i="7"/>
  <c r="Q67" i="7"/>
  <c r="Q75" i="7"/>
  <c r="Q27" i="7"/>
  <c r="P96" i="7"/>
  <c r="Q68" i="7"/>
  <c r="Q69" i="7"/>
  <c r="P45" i="7"/>
  <c r="Q86" i="7"/>
  <c r="P42" i="7"/>
  <c r="P49" i="7"/>
  <c r="P63" i="7"/>
  <c r="P35" i="7"/>
  <c r="P52" i="7"/>
  <c r="P13" i="7"/>
  <c r="Q79" i="7"/>
  <c r="P20" i="7"/>
  <c r="Q28" i="7"/>
  <c r="P34" i="7"/>
  <c r="P11" i="7"/>
  <c r="P33" i="7"/>
  <c r="Q73" i="7"/>
  <c r="P78" i="7"/>
  <c r="Q46" i="7"/>
  <c r="P18" i="7"/>
  <c r="P101" i="7"/>
  <c r="P87" i="7"/>
  <c r="Q71" i="7"/>
  <c r="Q51" i="7"/>
  <c r="Q104" i="7"/>
  <c r="P64" i="7"/>
  <c r="Q24" i="7"/>
  <c r="P77" i="7"/>
  <c r="Q89" i="7"/>
  <c r="Q82" i="7"/>
  <c r="Q54" i="7"/>
  <c r="P26" i="7"/>
  <c r="P95" i="7"/>
  <c r="P75" i="7"/>
  <c r="P27" i="7"/>
  <c r="Q81" i="7"/>
  <c r="Q92" i="7"/>
  <c r="P72" i="7"/>
  <c r="P60" i="7"/>
  <c r="Q48" i="7"/>
  <c r="P28" i="7"/>
  <c r="P25" i="7"/>
  <c r="Q37" i="7"/>
  <c r="P86" i="7"/>
  <c r="Q85" i="7"/>
  <c r="Q63" i="7"/>
  <c r="Q23" i="7"/>
  <c r="Q90" i="7"/>
  <c r="P22" i="7"/>
  <c r="P79" i="7"/>
  <c r="Q88" i="7"/>
  <c r="Q53" i="7"/>
  <c r="P46" i="7"/>
  <c r="Q101" i="7"/>
  <c r="P71" i="7"/>
  <c r="P104" i="7"/>
  <c r="P24" i="7"/>
  <c r="P89" i="7"/>
  <c r="P54" i="7"/>
  <c r="P30" i="7"/>
  <c r="Q14" i="7"/>
  <c r="Q95" i="7"/>
  <c r="Q72" i="7"/>
  <c r="P40" i="7"/>
  <c r="Q98" i="7"/>
  <c r="P29" i="7"/>
  <c r="Q74" i="7"/>
  <c r="P53" i="7"/>
  <c r="P81" i="7"/>
  <c r="P12" i="7"/>
  <c r="P102" i="7"/>
  <c r="P85" i="7"/>
  <c r="P47" i="7"/>
  <c r="P32" i="7"/>
  <c r="P84" i="7"/>
  <c r="Q42" i="7"/>
  <c r="Q49" i="7"/>
  <c r="Q43" i="7"/>
  <c r="Q32" i="7"/>
  <c r="P62" i="7"/>
  <c r="P9" i="7"/>
  <c r="Q29" i="7"/>
  <c r="P36" i="7"/>
  <c r="Q78" i="7"/>
  <c r="Q18" i="7"/>
  <c r="Q87" i="7"/>
  <c r="P51" i="7"/>
  <c r="Q64" i="7"/>
  <c r="Q77" i="7"/>
  <c r="P82" i="7"/>
  <c r="Q26" i="7"/>
  <c r="Q5" i="7"/>
  <c r="P39" i="7"/>
  <c r="P19" i="7"/>
  <c r="P56" i="7"/>
  <c r="P65" i="7"/>
  <c r="Q22" i="7"/>
  <c r="P88" i="7"/>
  <c r="Q99" i="7"/>
  <c r="Q59" i="7"/>
  <c r="Q80" i="7"/>
  <c r="Q25" i="7"/>
  <c r="P58" i="7"/>
  <c r="P41" i="7"/>
  <c r="P23" i="7"/>
  <c r="Q62" i="7"/>
  <c r="Q11" i="7"/>
  <c r="Q16" i="7"/>
  <c r="P14" i="7"/>
  <c r="P17" i="7"/>
  <c r="Q7" i="7"/>
  <c r="Q33" i="7"/>
  <c r="Q31" i="7"/>
  <c r="P6" i="7"/>
  <c r="P15" i="7"/>
  <c r="P5" i="7"/>
  <c r="Q39" i="7"/>
  <c r="H12" i="9" l="1"/>
  <c r="H9" i="9"/>
  <c r="R62" i="7"/>
  <c r="S62" i="7" s="1"/>
  <c r="R25" i="7"/>
  <c r="S25" i="7" s="1"/>
  <c r="R80" i="7"/>
  <c r="R59" i="7"/>
  <c r="S59" i="7" s="1"/>
  <c r="R99" i="7"/>
  <c r="R22" i="7"/>
  <c r="S22" i="7" s="1"/>
  <c r="R26" i="7"/>
  <c r="S26" i="7" s="1"/>
  <c r="R77" i="7"/>
  <c r="R64" i="7"/>
  <c r="S64" i="7" s="1"/>
  <c r="R87" i="7"/>
  <c r="R18" i="7"/>
  <c r="S18" i="7" s="1"/>
  <c r="R78" i="7"/>
  <c r="R29" i="7"/>
  <c r="S29" i="7" s="1"/>
  <c r="R32" i="7"/>
  <c r="S32" i="7" s="1"/>
  <c r="R43" i="7"/>
  <c r="S43" i="7" s="1"/>
  <c r="R49" i="7"/>
  <c r="S49" i="7" s="1"/>
  <c r="R42" i="7"/>
  <c r="S42" i="7" s="1"/>
  <c r="R74" i="7"/>
  <c r="R98" i="7"/>
  <c r="R72" i="7"/>
  <c r="S72" i="7" s="1"/>
  <c r="R95" i="7"/>
  <c r="R101" i="7"/>
  <c r="R53" i="7"/>
  <c r="S53" i="7" s="1"/>
  <c r="R88" i="7"/>
  <c r="R90" i="7"/>
  <c r="R23" i="7"/>
  <c r="S23" i="7" s="1"/>
  <c r="R63" i="7"/>
  <c r="S63" i="7" s="1"/>
  <c r="R85" i="7"/>
  <c r="R37" i="7"/>
  <c r="S37" i="7" s="1"/>
  <c r="R48" i="7"/>
  <c r="S48" i="7" s="1"/>
  <c r="R92" i="7"/>
  <c r="R81" i="7"/>
  <c r="R54" i="7"/>
  <c r="S54" i="7" s="1"/>
  <c r="R82" i="7"/>
  <c r="R89" i="7"/>
  <c r="R24" i="7"/>
  <c r="S24" i="7" s="1"/>
  <c r="R104" i="7"/>
  <c r="R51" i="7"/>
  <c r="S51" i="7" s="1"/>
  <c r="R71" i="7"/>
  <c r="S71" i="7" s="1"/>
  <c r="R46" i="7"/>
  <c r="S46" i="7" s="1"/>
  <c r="R73" i="7"/>
  <c r="S73" i="7" s="1"/>
  <c r="R28" i="7"/>
  <c r="S28" i="7" s="1"/>
  <c r="R79" i="7"/>
  <c r="R86" i="7"/>
  <c r="R69" i="7"/>
  <c r="S69" i="7" s="1"/>
  <c r="R68" i="7"/>
  <c r="S68" i="7" s="1"/>
  <c r="R27" i="7"/>
  <c r="S27" i="7" s="1"/>
  <c r="R75" i="7"/>
  <c r="R67" i="7"/>
  <c r="S67" i="7" s="1"/>
  <c r="R97" i="7"/>
  <c r="R36" i="7"/>
  <c r="S36" i="7" s="1"/>
  <c r="R100" i="7"/>
  <c r="R9" i="7"/>
  <c r="S9" i="7" s="1"/>
  <c r="R60" i="7"/>
  <c r="S60" i="7" s="1"/>
  <c r="R13" i="7"/>
  <c r="S13" i="7" s="1"/>
  <c r="R57" i="7"/>
  <c r="S57" i="7" s="1"/>
  <c r="R50" i="7"/>
  <c r="S50" i="7" s="1"/>
  <c r="R44" i="7"/>
  <c r="S44" i="7" s="1"/>
  <c r="R93" i="7"/>
  <c r="R55" i="7"/>
  <c r="S55" i="7" s="1"/>
  <c r="R83" i="7"/>
  <c r="R103" i="7"/>
  <c r="R66" i="7"/>
  <c r="S66" i="7" s="1"/>
  <c r="R20" i="7"/>
  <c r="S20" i="7" s="1"/>
  <c r="R84" i="7"/>
  <c r="R34" i="7"/>
  <c r="S34" i="7" s="1"/>
  <c r="R52" i="7"/>
  <c r="S52" i="7" s="1"/>
  <c r="R35" i="7"/>
  <c r="S35" i="7" s="1"/>
  <c r="R47" i="7"/>
  <c r="S47" i="7" s="1"/>
  <c r="R41" i="7"/>
  <c r="S41" i="7" s="1"/>
  <c r="R65" i="7"/>
  <c r="S65" i="7" s="1"/>
  <c r="R30" i="7"/>
  <c r="S30" i="7" s="1"/>
  <c r="R58" i="7"/>
  <c r="S58" i="7" s="1"/>
  <c r="R102" i="7"/>
  <c r="R45" i="7"/>
  <c r="S45" i="7" s="1"/>
  <c r="R40" i="7"/>
  <c r="S40" i="7" s="1"/>
  <c r="R56" i="7"/>
  <c r="S56" i="7" s="1"/>
  <c r="R96" i="7"/>
  <c r="R19" i="7"/>
  <c r="S19" i="7" s="1"/>
  <c r="R91" i="7"/>
  <c r="R70" i="7"/>
  <c r="S70" i="7" s="1"/>
  <c r="R94" i="7"/>
  <c r="R61" i="7"/>
  <c r="S61" i="7" s="1"/>
  <c r="R8" i="7"/>
  <c r="S8" i="7" s="1"/>
  <c r="R76" i="7"/>
  <c r="R10" i="7"/>
  <c r="S10" i="7" s="1"/>
  <c r="R38" i="7"/>
  <c r="S38" i="7" s="1"/>
  <c r="R21" i="7"/>
  <c r="S21" i="7" s="1"/>
  <c r="R12" i="7"/>
  <c r="S12" i="7" s="1"/>
  <c r="R33" i="7"/>
  <c r="S33" i="7" s="1"/>
  <c r="R39" i="7"/>
  <c r="S39" i="7" s="1"/>
  <c r="R7" i="7"/>
  <c r="S7" i="7" s="1"/>
  <c r="R5" i="7"/>
  <c r="S5" i="7" s="1"/>
  <c r="B14" i="8" s="1"/>
  <c r="R17" i="7"/>
  <c r="S17" i="7" s="1"/>
  <c r="R15" i="7"/>
  <c r="S15" i="7" s="1"/>
  <c r="R14" i="7"/>
  <c r="S14" i="7" s="1"/>
  <c r="R6" i="7"/>
  <c r="S6" i="7" s="1"/>
  <c r="R16" i="7"/>
  <c r="S16" i="7" s="1"/>
  <c r="R31" i="7"/>
  <c r="S31" i="7" s="1"/>
  <c r="R11" i="7"/>
  <c r="S11" i="7" s="1"/>
  <c r="H11" i="9"/>
  <c r="H10" i="9"/>
  <c r="B16" i="8"/>
</calcChain>
</file>

<file path=xl/sharedStrings.xml><?xml version="1.0" encoding="utf-8"?>
<sst xmlns="http://schemas.openxmlformats.org/spreadsheetml/2006/main" count="3103" uniqueCount="496">
  <si>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</si>
  <si>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</si>
  <si>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</si>
  <si>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</si>
  <si>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</si>
  <si>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</si>
  <si>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</si>
  <si>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</si>
  <si>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</si>
  <si>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</si>
  <si>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</si>
  <si>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</si>
  <si>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</si>
  <si>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</si>
  <si>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</si>
  <si>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</si>
  <si>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</si>
  <si>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</si>
  <si>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</si>
  <si>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</si>
  <si>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</si>
  <si>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</si>
  <si>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</si>
  <si>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</si>
  <si>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</si>
  <si>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</si>
  <si>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</si>
  <si>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</si>
  <si>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</si>
  <si>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</si>
  <si>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</si>
  <si>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</si>
  <si>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</si>
  <si>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</si>
  <si>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</si>
  <si>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</si>
  <si>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</si>
  <si>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</si>
  <si>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</si>
  <si>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</si>
  <si>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</si>
  <si>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</si>
  <si>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</si>
  <si>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</si>
  <si>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</si>
  <si>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</si>
  <si>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</si>
  <si>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</si>
  <si>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</si>
  <si>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</si>
  <si>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</si>
  <si>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</si>
  <si>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</si>
  <si>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</si>
  <si>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</si>
  <si>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</si>
  <si>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</si>
  <si>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</si>
  <si>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</si>
  <si>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</si>
  <si>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</si>
  <si>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</si>
  <si>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</si>
  <si>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</si>
  <si>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</si>
  <si>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</si>
  <si>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</si>
  <si>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</si>
  <si>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</si>
  <si>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</si>
  <si>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</si>
  <si>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</si>
  <si>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</si>
  <si>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</si>
  <si>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</si>
  <si>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</si>
  <si>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</si>
  <si>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</si>
  <si>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</si>
  <si>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</si>
  <si>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</si>
  <si>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</si>
  <si>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</si>
  <si>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</si>
  <si>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</si>
  <si>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</si>
  <si>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</si>
  <si>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</si>
  <si>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</si>
  <si>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</si>
  <si>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</si>
  <si>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</si>
  <si>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</si>
  <si>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</si>
  <si>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</si>
  <si>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</si>
  <si>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</si>
  <si>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</si>
  <si>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</si>
  <si>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</si>
  <si>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</si>
  <si>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</si>
  <si>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</si>
  <si>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</si>
  <si>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</si>
  <si>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</si>
  <si>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</si>
  <si>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</si>
  <si>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</si>
  <si>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</si>
  <si>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</si>
  <si>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</si>
  <si>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</si>
  <si>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</si>
  <si>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</si>
  <si>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</si>
  <si>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</si>
  <si>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</si>
  <si>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</si>
  <si>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</si>
  <si>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</si>
  <si>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</si>
  <si>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</si>
  <si>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</si>
  <si>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</si>
  <si>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</si>
  <si>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</si>
  <si>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</si>
  <si>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</si>
  <si>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</si>
  <si>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</si>
  <si>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</si>
  <si>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</si>
  <si>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</si>
  <si>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</si>
  <si>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</si>
  <si>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</si>
  <si>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</si>
  <si>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</si>
  <si>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</si>
  <si>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</si>
  <si>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</si>
  <si>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</si>
  <si>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</si>
  <si>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</si>
  <si>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</si>
  <si>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</si>
  <si>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</si>
  <si>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</si>
  <si>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</si>
  <si>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</si>
  <si>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</si>
  <si>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</si>
  <si>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</si>
  <si>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</si>
  <si>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</si>
  <si>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</si>
  <si>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</si>
  <si>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</si>
  <si>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</si>
  <si>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</si>
  <si>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</si>
  <si>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</si>
  <si>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</si>
  <si>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</si>
  <si>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</si>
  <si>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</si>
  <si>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</si>
  <si>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</si>
  <si>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</si>
  <si>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</si>
  <si>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</si>
  <si>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</si>
  <si>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</si>
  <si>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</si>
  <si>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</si>
  <si>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</si>
  <si>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</si>
  <si>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</si>
  <si>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</si>
  <si>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</si>
  <si>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</si>
  <si>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</si>
  <si>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</si>
  <si>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</si>
  <si>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</si>
  <si>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</si>
  <si>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</si>
  <si>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</si>
  <si>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</si>
  <si>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</si>
  <si>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</si>
  <si>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</si>
  <si>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</si>
  <si>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</si>
  <si>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</si>
  <si>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</si>
  <si>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</si>
  <si>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</si>
  <si>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</si>
  <si>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</si>
  <si>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</si>
  <si>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</si>
  <si>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</si>
  <si>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</si>
  <si>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</si>
  <si>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</si>
  <si>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</si>
  <si>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</si>
  <si>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</si>
  <si>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</si>
  <si>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</si>
  <si>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</si>
  <si>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</si>
  <si>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</si>
  <si>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</si>
  <si>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</si>
  <si>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</si>
  <si>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</si>
  <si>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</si>
  <si>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</si>
  <si>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</si>
  <si>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</si>
  <si>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</si>
  <si>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</si>
  <si>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</si>
  <si>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</si>
  <si>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</si>
  <si>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</si>
  <si>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</si>
  <si>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</si>
  <si>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پارسا</t>
  </si>
  <si>
    <t>ادياني راد</t>
  </si>
  <si>
    <t>علي</t>
  </si>
  <si>
    <t>اصغرزاده</t>
  </si>
  <si>
    <t>حسين</t>
  </si>
  <si>
    <t>السعداني</t>
  </si>
  <si>
    <t>جواد</t>
  </si>
  <si>
    <t>ثقفي</t>
  </si>
  <si>
    <t>سيدمهديار</t>
  </si>
  <si>
    <t>جوادي</t>
  </si>
  <si>
    <t>آيدين</t>
  </si>
  <si>
    <t>چرخكار</t>
  </si>
  <si>
    <t>محمدطاها</t>
  </si>
  <si>
    <t>حشمتي</t>
  </si>
  <si>
    <t>مهديار</t>
  </si>
  <si>
    <t>حيدرزاده</t>
  </si>
  <si>
    <t>اميرحسين</t>
  </si>
  <si>
    <t>دائي صراف</t>
  </si>
  <si>
    <t>حامد</t>
  </si>
  <si>
    <t>روحي</t>
  </si>
  <si>
    <t>مبين</t>
  </si>
  <si>
    <t>زمانزاده دربان</t>
  </si>
  <si>
    <t>كوروش</t>
  </si>
  <si>
    <t>سالاري هدكي</t>
  </si>
  <si>
    <t>پوريا</t>
  </si>
  <si>
    <t>شوشتري</t>
  </si>
  <si>
    <t>ياسين</t>
  </si>
  <si>
    <t>صادقي تازه كندي</t>
  </si>
  <si>
    <t>امير حسين</t>
  </si>
  <si>
    <t>ضيافتي محرابي</t>
  </si>
  <si>
    <t>اميررضا</t>
  </si>
  <si>
    <t>عبدالهي خوشمردان</t>
  </si>
  <si>
    <t>كيان</t>
  </si>
  <si>
    <t>عرفانيان امدادي</t>
  </si>
  <si>
    <t>مهدي</t>
  </si>
  <si>
    <t>عضدالملكي</t>
  </si>
  <si>
    <t>ايمان</t>
  </si>
  <si>
    <t>عظيمي</t>
  </si>
  <si>
    <t>اميدرضا</t>
  </si>
  <si>
    <t>علي آبادي</t>
  </si>
  <si>
    <t>محمد ماهان</t>
  </si>
  <si>
    <t>علينقي زاده طبسي</t>
  </si>
  <si>
    <t>اميرعلي</t>
  </si>
  <si>
    <t>فدايي</t>
  </si>
  <si>
    <t>فرقاني طرقي</t>
  </si>
  <si>
    <t>امير علي</t>
  </si>
  <si>
    <t>قايني</t>
  </si>
  <si>
    <t>محمد حسين</t>
  </si>
  <si>
    <t>قنبري</t>
  </si>
  <si>
    <t>پاكان</t>
  </si>
  <si>
    <t>قوي پيكر</t>
  </si>
  <si>
    <t>مهرداد</t>
  </si>
  <si>
    <t>كاظمي بنهنگي</t>
  </si>
  <si>
    <t>شايان</t>
  </si>
  <si>
    <t>كوهجاني گوجي</t>
  </si>
  <si>
    <t>سام</t>
  </si>
  <si>
    <t>محبتي</t>
  </si>
  <si>
    <t>ميرنژاد</t>
  </si>
  <si>
    <t>نادمي</t>
  </si>
  <si>
    <t>عليرضا</t>
  </si>
  <si>
    <t>نجاتي ساربان</t>
  </si>
  <si>
    <t>سبحان</t>
  </si>
  <si>
    <t>نشاط يزدي</t>
  </si>
  <si>
    <t>واقعي</t>
  </si>
  <si>
    <t>هاشمي</t>
  </si>
  <si>
    <t>0960551832</t>
  </si>
  <si>
    <t>0960568107</t>
  </si>
  <si>
    <t>94100017036</t>
  </si>
  <si>
    <t>0970971788</t>
  </si>
  <si>
    <t>0980728177</t>
  </si>
  <si>
    <t>0960526307</t>
  </si>
  <si>
    <t>0960565329</t>
  </si>
  <si>
    <t>0960592393</t>
  </si>
  <si>
    <t>0980638951</t>
  </si>
  <si>
    <t>0960493670</t>
  </si>
  <si>
    <t>0252128788</t>
  </si>
  <si>
    <t>0980597838</t>
  </si>
  <si>
    <t>0960491090</t>
  </si>
  <si>
    <t>0960555821</t>
  </si>
  <si>
    <t>0960501711</t>
  </si>
  <si>
    <t>0960632591</t>
  </si>
  <si>
    <t>0960505350</t>
  </si>
  <si>
    <t>4712679727</t>
  </si>
  <si>
    <t>0960494790</t>
  </si>
  <si>
    <t>0960469958</t>
  </si>
  <si>
    <t>0960646825</t>
  </si>
  <si>
    <t>0980524954</t>
  </si>
  <si>
    <t>0960447040</t>
  </si>
  <si>
    <t>0970859112</t>
  </si>
  <si>
    <t>0960650040</t>
  </si>
  <si>
    <t>0960581286</t>
  </si>
  <si>
    <t>0960607544</t>
  </si>
  <si>
    <t>0980615364</t>
  </si>
  <si>
    <t>0970840314</t>
  </si>
  <si>
    <t>0960571604</t>
  </si>
  <si>
    <t>0960562141</t>
  </si>
  <si>
    <t>0960545182</t>
  </si>
  <si>
    <t>0970867603</t>
  </si>
  <si>
    <t>0980566126</t>
  </si>
  <si>
    <t>0970862415</t>
  </si>
  <si>
    <t>پسر</t>
  </si>
  <si>
    <t>1392/01/09</t>
  </si>
  <si>
    <t>1392/02/12</t>
  </si>
  <si>
    <t>1391/10/15</t>
  </si>
  <si>
    <t>1392/06/28</t>
  </si>
  <si>
    <t>1392/06/29</t>
  </si>
  <si>
    <t>1391/01/21</t>
  </si>
  <si>
    <t>1392/02/09</t>
  </si>
  <si>
    <t>1392/03/26</t>
  </si>
  <si>
    <t>1392/02/17</t>
  </si>
  <si>
    <t>1391/09/20</t>
  </si>
  <si>
    <t>1392/06/14</t>
  </si>
  <si>
    <t>1391/11/26</t>
  </si>
  <si>
    <t>1391/09/16</t>
  </si>
  <si>
    <t>1392/01/21</t>
  </si>
  <si>
    <t>1391/10/06</t>
  </si>
  <si>
    <t>1392/06/02</t>
  </si>
  <si>
    <t>1391/10/14</t>
  </si>
  <si>
    <t>1392/04/04</t>
  </si>
  <si>
    <t>1391/09/22</t>
  </si>
  <si>
    <t>1391/08/02</t>
  </si>
  <si>
    <t>1392/06/26</t>
  </si>
  <si>
    <t>1391/07/28</t>
  </si>
  <si>
    <t>1391/06/16</t>
  </si>
  <si>
    <t>1392/04/18</t>
  </si>
  <si>
    <t>1392/06/31</t>
  </si>
  <si>
    <t>1392/03/06</t>
  </si>
  <si>
    <t>1392/04/16</t>
  </si>
  <si>
    <t>1392/01/05</t>
  </si>
  <si>
    <t>1392/03/24</t>
  </si>
  <si>
    <t>1392/02/18</t>
  </si>
  <si>
    <t>1392/02/03</t>
  </si>
  <si>
    <t>1391/12/26</t>
  </si>
  <si>
    <t>1392/04/26</t>
  </si>
  <si>
    <t>1391/10/12</t>
  </si>
  <si>
    <t>1392/04/20</t>
  </si>
  <si>
    <t>1405-1406</t>
  </si>
  <si>
    <t>خوارزمی 1</t>
  </si>
  <si>
    <t>هشتم</t>
  </si>
  <si>
    <t>20</t>
  </si>
  <si>
    <t>ندارد</t>
  </si>
  <si>
    <t>كيارش</t>
  </si>
  <si>
    <t>اتحادي نيا</t>
  </si>
  <si>
    <t>طاها</t>
  </si>
  <si>
    <t>اسدي</t>
  </si>
  <si>
    <t>ايرانمنش</t>
  </si>
  <si>
    <t>فرزاد</t>
  </si>
  <si>
    <t>آرازش</t>
  </si>
  <si>
    <t>بابائي</t>
  </si>
  <si>
    <t>كسرا</t>
  </si>
  <si>
    <t>برزگر</t>
  </si>
  <si>
    <t>باربد</t>
  </si>
  <si>
    <t>بلندي</t>
  </si>
  <si>
    <t>محمدسجاد</t>
  </si>
  <si>
    <t>بوذري</t>
  </si>
  <si>
    <t>يوسف</t>
  </si>
  <si>
    <t>جعفري</t>
  </si>
  <si>
    <t>بنيامين</t>
  </si>
  <si>
    <t>جعفريان</t>
  </si>
  <si>
    <t>محمد</t>
  </si>
  <si>
    <t>چمانه گير</t>
  </si>
  <si>
    <t>حسن پور</t>
  </si>
  <si>
    <t>سيد اميرحسين</t>
  </si>
  <si>
    <t>حسيني</t>
  </si>
  <si>
    <t>محمد طاها</t>
  </si>
  <si>
    <t>خالقي</t>
  </si>
  <si>
    <t>اميركسري</t>
  </si>
  <si>
    <t>دادخواه</t>
  </si>
  <si>
    <t>دستمرد</t>
  </si>
  <si>
    <t>محمدعطا</t>
  </si>
  <si>
    <t>رادمردباغي</t>
  </si>
  <si>
    <t>رجبي اول قصر</t>
  </si>
  <si>
    <t>سخاوتي راد</t>
  </si>
  <si>
    <t>برهان</t>
  </si>
  <si>
    <t>سويزي</t>
  </si>
  <si>
    <t>محمدمتين</t>
  </si>
  <si>
    <t>شاه زاده</t>
  </si>
  <si>
    <t>محمدياسين</t>
  </si>
  <si>
    <t>صفاري بيدهندي</t>
  </si>
  <si>
    <t>سيد عبدالحسين</t>
  </si>
  <si>
    <t>طبسي</t>
  </si>
  <si>
    <t>سيداميرحسين</t>
  </si>
  <si>
    <t>طوسي</t>
  </si>
  <si>
    <t>يونس</t>
  </si>
  <si>
    <t>عدالتي تبار</t>
  </si>
  <si>
    <t>سيدمحمدپارسا</t>
  </si>
  <si>
    <t>فرشچي</t>
  </si>
  <si>
    <t>اميركيان</t>
  </si>
  <si>
    <t>قرباني مقدم</t>
  </si>
  <si>
    <t>كامكار سه قلعه</t>
  </si>
  <si>
    <t>محمدي شكرانلويي</t>
  </si>
  <si>
    <t>ايليا</t>
  </si>
  <si>
    <t>مشيري</t>
  </si>
  <si>
    <t>احمدرضا</t>
  </si>
  <si>
    <t>مصطفي پور</t>
  </si>
  <si>
    <t>سيد مرتضي</t>
  </si>
  <si>
    <t>موسوي</t>
  </si>
  <si>
    <t>نظري</t>
  </si>
  <si>
    <t>محمدمحسن</t>
  </si>
  <si>
    <t>نعيمي</t>
  </si>
  <si>
    <t>1391/12/24</t>
  </si>
  <si>
    <t>1391/02/30</t>
  </si>
  <si>
    <t>1391/03/01</t>
  </si>
  <si>
    <t>1392/04/09</t>
  </si>
  <si>
    <t>1391/08/07</t>
  </si>
  <si>
    <t>1391/12/04</t>
  </si>
  <si>
    <t>1391/11/20</t>
  </si>
  <si>
    <t>1392/02/25</t>
  </si>
  <si>
    <t>1392/01/03</t>
  </si>
  <si>
    <t>1392/03/23</t>
  </si>
  <si>
    <t>1391/08/25</t>
  </si>
  <si>
    <t>1391/07/13</t>
  </si>
  <si>
    <t>1391/07/29</t>
  </si>
  <si>
    <t>1391/08/06</t>
  </si>
  <si>
    <t>1392/05/07</t>
  </si>
  <si>
    <t>1392/03/28</t>
  </si>
  <si>
    <t>1391/07/24</t>
  </si>
  <si>
    <t>1392/03/01</t>
  </si>
  <si>
    <t>1391/12/14</t>
  </si>
  <si>
    <t>1392/02/10</t>
  </si>
  <si>
    <t>1391/07/23</t>
  </si>
  <si>
    <t>1392/01/02</t>
  </si>
  <si>
    <t>1391/12/02</t>
  </si>
  <si>
    <t>1392/05/15</t>
  </si>
  <si>
    <t>1391/08/11</t>
  </si>
  <si>
    <t>1392/02/15</t>
  </si>
  <si>
    <t>1392/01/31</t>
  </si>
  <si>
    <t>1392/01/27</t>
  </si>
  <si>
    <t>1391/06/21</t>
  </si>
  <si>
    <t>1392/03/18</t>
  </si>
  <si>
    <t>خوارزمی 2</t>
  </si>
  <si>
    <t>93100756484</t>
  </si>
  <si>
    <t>0960543211</t>
  </si>
  <si>
    <t>0970552777</t>
  </si>
  <si>
    <t>0980430399</t>
  </si>
  <si>
    <t>0960600620</t>
  </si>
  <si>
    <t>0960472606</t>
  </si>
  <si>
    <t>0960516697</t>
  </si>
  <si>
    <t>0960527303</t>
  </si>
  <si>
    <t>0960469478</t>
  </si>
  <si>
    <t>0960575340</t>
  </si>
  <si>
    <t>0960550658</t>
  </si>
  <si>
    <t>0970836211</t>
  </si>
  <si>
    <t>0960460098</t>
  </si>
  <si>
    <t>0960533151</t>
  </si>
  <si>
    <t>0960470018</t>
  </si>
  <si>
    <t>0970673388</t>
  </si>
  <si>
    <t>0960617809</t>
  </si>
  <si>
    <t>0970843550</t>
  </si>
  <si>
    <t>0980519268</t>
  </si>
  <si>
    <t>0980654361</t>
  </si>
  <si>
    <t>0970771010</t>
  </si>
  <si>
    <t>0960469672</t>
  </si>
  <si>
    <t>0980636231</t>
  </si>
  <si>
    <t>0960467191</t>
  </si>
  <si>
    <t>0960546928</t>
  </si>
  <si>
    <t>0970754353</t>
  </si>
  <si>
    <t>0970881649</t>
  </si>
  <si>
    <t>0980536839</t>
  </si>
  <si>
    <t>0970811012</t>
  </si>
  <si>
    <t>0980566401</t>
  </si>
  <si>
    <t>0760725179</t>
  </si>
  <si>
    <t>0980629063</t>
  </si>
  <si>
    <t>0960448357</t>
  </si>
  <si>
    <t>0970831919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</si>
</sst>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  <font>
      <sz val="11"/>
      <color theme="1"/>
      <name val="Calibri"/>
      <family val="2"/>
      <charset val="178"/>
      <scheme val="minor"/>
    </font>
    <font>
      <sz val="12"/>
      <color theme="1"/>
      <name val="Vazirmatn FD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19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0" fillId="0" borderId="0" xfId="0"/>
    <xf numFmtId="0" fontId="10" fillId="0" borderId="23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13" borderId="22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12" borderId="22" xfId="1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28.228571428571428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26.70157142857143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106" t="s">
        <v>0</v>
      </c>
      <c r="B1" s="107"/>
      <c r="C1" s="107"/>
      <c r="D1" s="107"/>
      <c r="E1" s="107"/>
      <c r="F1" s="107"/>
      <c r="G1" s="107"/>
      <c r="H1" s="107"/>
    </row>
    <row r="2" spans="1:8" ht="32.1" customHeight="1">
      <c r="A2" s="108" t="s">
        <v>1</v>
      </c>
      <c r="B2" s="107"/>
      <c r="C2" s="107"/>
      <c r="D2" s="107"/>
      <c r="E2" s="107"/>
      <c r="F2" s="107"/>
      <c r="G2" s="107"/>
      <c r="H2" s="107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109" t="s">
        <v>36</v>
      </c>
      <c r="B10" s="109"/>
      <c r="C10" s="109"/>
      <c r="D10" s="109"/>
      <c r="E10" s="109"/>
      <c r="F10" s="109"/>
      <c r="G10" s="109"/>
      <c r="H10" s="109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110" t="s">
        <v>37</v>
      </c>
      <c r="B12" s="110"/>
      <c r="C12" s="110"/>
      <c r="D12" s="110"/>
      <c r="E12" s="110"/>
      <c r="F12" s="110"/>
      <c r="G12" s="110"/>
      <c r="H12" s="110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rightToLeft="1" workbookViewId="0">
      <selection activeCell="G6" sqref="G6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106" t="s">
        <v>38</v>
      </c>
      <c r="B1" s="107"/>
      <c r="C1" s="107"/>
      <c r="D1" s="107"/>
      <c r="E1" s="107"/>
      <c r="F1" s="107"/>
      <c r="G1" s="107"/>
      <c r="H1" s="107"/>
      <c r="I1" s="107"/>
    </row>
    <row r="2" spans="1:9" ht="32.1" customHeight="1">
      <c r="A2" s="108" t="s">
        <v>39</v>
      </c>
      <c r="B2" s="107"/>
      <c r="C2" s="107"/>
      <c r="D2" s="107"/>
      <c r="E2" s="107"/>
      <c r="F2" s="107"/>
      <c r="G2" s="107"/>
      <c r="H2" s="107"/>
      <c r="I2" s="107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>
        <v>95114129</v>
      </c>
      <c r="C5" s="17" t="s">
        <v>367</v>
      </c>
      <c r="D5" s="17">
        <v>801</v>
      </c>
      <c r="E5" s="17" t="s">
        <v>368</v>
      </c>
      <c r="F5" s="17" t="s">
        <v>369</v>
      </c>
      <c r="G5" s="18">
        <v>35</v>
      </c>
      <c r="H5" s="25">
        <f>IF(D5="","",COUNTIF(دانش‌آموزان!$I$5:$I$104,D5))</f>
        <v>35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19"/>
      <c r="C6" s="20"/>
      <c r="D6" s="20"/>
      <c r="E6" s="20"/>
      <c r="F6" s="20"/>
      <c r="G6" s="21"/>
      <c r="H6" s="27" t="str">
        <f>IF(D6="","",COUNTIF(دانش‌آموزان!$I$5:$I$104,D6))</f>
        <v/>
      </c>
      <c r="I6" s="28" t="str">
        <f t="shared" si="0"/>
        <v/>
      </c>
    </row>
    <row r="7" spans="1:9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IF(D7="","",COUNTIF(دانش‌آموزان!$I$5:$I$104,D7))</f>
        <v/>
      </c>
      <c r="I7" s="28" t="str">
        <f t="shared" si="0"/>
        <v/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IF(D8="","",COUNTIF(دانش‌آموزان!$I$5:$I$104,D8))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IF(D9="","",COUNTIF(دانش‌آموزان!$I$5:$I$104,D9))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IF(D10="","",COUNTIF(دانش‌آموزان!$I$5:$I$104,D10))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IF(D11="","",COUNTIF(دانش‌آموزان!$I$5:$I$104,D11))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IF(D12="","",COUNTIF(دانش‌آموزان!$I$5:$I$104,D12))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IF(D13="","",COUNTIF(دانش‌آموزان!$I$5:$I$104,D13))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IF(D14="","",COUNTIF(دانش‌آموزان!$I$5:$I$104,D14))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IF(D15="","",COUNTIF(دانش‌آموزان!$I$5:$I$104,D15))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IF(D16="","",COUNTIF(دانش‌آموزان!$I$5:$I$104,D16))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IF(D17="","",COUNTIF(دانش‌آموزان!$I$5:$I$104,D17))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IF(D18="","",COUNTIF(دانش‌آموزان!$I$5:$I$104,D18))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IF(D19="","",COUNTIF(دانش‌آموزان!$I$5:$I$104,D19))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IF(D20="","",COUNTIF(دانش‌آموزان!$I$5:$I$104,D20))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IF(D21="","",COUNTIF(دانش‌آموزان!$I$5:$I$104,D21))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IF(D22="","",COUNTIF(دانش‌آموزان!$I$5:$I$104,D22))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IF(D23="","",COUNTIF(دانش‌آموزان!$I$5:$I$104,D23))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IF(D24="","",COUNTIF(دانش‌آموزان!$I$5:$I$104,D24))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IF(D25="","",COUNTIF(دانش‌آموزان!$I$5:$I$104,D25))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IF(D26="","",COUNTIF(دانش‌آموزان!$I$5:$I$104,D26))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IF(D27="","",COUNTIF(دانش‌آموزان!$I$5:$I$104,D27))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IF(D28="","",COUNTIF(دانش‌آموزان!$I$5:$I$104,D28))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IF(D29="","",COUNTIF(دانش‌آموزان!$I$5:$I$104,D29))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IF(D30="","",COUNTIF(دانش‌آموزان!$I$5:$I$104,D30))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IF(D31="","",COUNTIF(دانش‌آموزان!$I$5:$I$104,D31))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IF(D32="","",COUNTIF(دانش‌آموزان!$I$5:$I$104,D32))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IF(D33="","",COUNTIF(دانش‌آموزان!$I$5:$I$104,D33))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IF(D34="","",COUNTIF(دانش‌آموزان!$I$5:$I$104,D34))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showGridLines="0" rightToLeft="1" tabSelected="1" topLeftCell="A52" zoomScale="85" zoomScaleNormal="85" workbookViewId="0">
      <selection activeCell="D51" sqref="D51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106" t="s">
        <v>21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32.1" customHeight="1">
      <c r="A2" s="108" t="s">
        <v>49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>
      <c r="A5" s="31">
        <v>1</v>
      </c>
      <c r="B5" s="32">
        <v>1</v>
      </c>
      <c r="C5" s="16" t="s">
        <v>296</v>
      </c>
      <c r="D5" s="17" t="s">
        <v>296</v>
      </c>
      <c r="E5" s="70" t="s">
        <v>231</v>
      </c>
      <c r="F5" s="70" t="s">
        <v>232</v>
      </c>
      <c r="G5" s="17" t="s">
        <v>331</v>
      </c>
      <c r="H5" s="17" t="s">
        <v>332</v>
      </c>
      <c r="I5" s="18">
        <v>801</v>
      </c>
      <c r="J5" s="25" t="str">
        <f>IF(I5="","",IFERROR(INDEX(کلاس‌بندی!$E$5:$E$34,MATCH(I5,کلاس‌بندی!$D$5:$D$34,0)),"کد کلاس نامعتبر"))</f>
        <v>خوارزمی 1</v>
      </c>
      <c r="K5" s="37" t="str">
        <f>IF(I5="","",IFERROR(INDEX(کلاس‌بندی!$F$5:$F$34,MATCH(I5,کلاس‌بندی!$D$5:$D$34,0)),""))</f>
        <v>هشتم</v>
      </c>
      <c r="L5" s="26" t="str">
        <f t="shared" ref="L5:L36" si="0">IF(COUNTA(C5:I5)=0,"",IF(AND(LEN(C5)=10,D5&lt;&gt;"",E5&lt;&gt;"",F5&lt;&gt;"",G5&lt;&gt;"",H5&lt;&gt;"",I5&lt;&gt;""),"کامل","ناقص"))</f>
        <v>کامل</v>
      </c>
    </row>
    <row r="6" spans="1:12">
      <c r="A6" s="33">
        <v>2</v>
      </c>
      <c r="B6" s="34">
        <v>2</v>
      </c>
      <c r="C6" s="19" t="s">
        <v>297</v>
      </c>
      <c r="D6" s="20" t="s">
        <v>297</v>
      </c>
      <c r="E6" s="70" t="s">
        <v>233</v>
      </c>
      <c r="F6" s="70" t="s">
        <v>234</v>
      </c>
      <c r="G6" s="17" t="s">
        <v>331</v>
      </c>
      <c r="H6" s="20" t="s">
        <v>333</v>
      </c>
      <c r="I6" s="21">
        <v>801</v>
      </c>
      <c r="J6" s="27" t="str">
        <f>IF(I6="","",IFERROR(INDEX(کلاس‌بندی!$E$5:$E$34,MATCH(I6,کلاس‌بندی!$D$5:$D$34,0)),"کد کلاس نامعتبر"))</f>
        <v>خوارزمی 1</v>
      </c>
      <c r="K6" s="38" t="str">
        <f>IF(I6="","",IFERROR(INDEX(کلاس‌بندی!$F$5:$F$34,MATCH(I6,کلاس‌بندی!$D$5:$D$34,0)),""))</f>
        <v>هشتم</v>
      </c>
      <c r="L6" s="28" t="str">
        <f t="shared" si="0"/>
        <v>کامل</v>
      </c>
    </row>
    <row r="7" spans="1:12">
      <c r="A7" s="33">
        <v>3</v>
      </c>
      <c r="B7" s="34">
        <v>3</v>
      </c>
      <c r="C7" s="19">
        <v>94100017036</v>
      </c>
      <c r="D7" s="20" t="s">
        <v>298</v>
      </c>
      <c r="E7" s="70" t="s">
        <v>235</v>
      </c>
      <c r="F7" s="70" t="s">
        <v>236</v>
      </c>
      <c r="G7" s="17" t="s">
        <v>331</v>
      </c>
      <c r="H7" s="20" t="s">
        <v>334</v>
      </c>
      <c r="I7" s="21">
        <v>801</v>
      </c>
      <c r="J7" s="27" t="str">
        <f>IF(I7="","",IFERROR(INDEX(کلاس‌بندی!$E$5:$E$34,MATCH(I7,کلاس‌بندی!$D$5:$D$34,0)),"کد کلاس نامعتبر"))</f>
        <v>خوارزمی 1</v>
      </c>
      <c r="K7" s="38" t="str">
        <f>IF(I7="","",IFERROR(INDEX(کلاس‌بندی!$F$5:$F$34,MATCH(I7,کلاس‌بندی!$D$5:$D$34,0)),""))</f>
        <v>هشتم</v>
      </c>
      <c r="L7" s="28" t="str">
        <f t="shared" si="0"/>
        <v>ناقص</v>
      </c>
    </row>
    <row r="8" spans="1:12">
      <c r="A8" s="33">
        <v>4</v>
      </c>
      <c r="B8" s="34">
        <v>4</v>
      </c>
      <c r="C8" s="19" t="s">
        <v>299</v>
      </c>
      <c r="D8" s="20" t="s">
        <v>299</v>
      </c>
      <c r="E8" s="70" t="s">
        <v>237</v>
      </c>
      <c r="F8" s="70" t="s">
        <v>238</v>
      </c>
      <c r="G8" s="17" t="s">
        <v>331</v>
      </c>
      <c r="H8" s="20" t="s">
        <v>335</v>
      </c>
      <c r="I8" s="21">
        <v>801</v>
      </c>
      <c r="J8" s="27" t="str">
        <f>IF(I8="","",IFERROR(INDEX(کلاس‌بندی!$E$5:$E$34,MATCH(I8,کلاس‌بندی!$D$5:$D$34,0)),"کد کلاس نامعتبر"))</f>
        <v>خوارزمی 1</v>
      </c>
      <c r="K8" s="38" t="str">
        <f>IF(I8="","",IFERROR(INDEX(کلاس‌بندی!$F$5:$F$34,MATCH(I8,کلاس‌بندی!$D$5:$D$34,0)),""))</f>
        <v>هشتم</v>
      </c>
      <c r="L8" s="28" t="str">
        <f t="shared" si="0"/>
        <v>کامل</v>
      </c>
    </row>
    <row r="9" spans="1:12">
      <c r="A9" s="33">
        <v>5</v>
      </c>
      <c r="B9" s="34">
        <v>5</v>
      </c>
      <c r="C9" s="19" t="s">
        <v>300</v>
      </c>
      <c r="D9" s="20" t="s">
        <v>300</v>
      </c>
      <c r="E9" s="70" t="s">
        <v>239</v>
      </c>
      <c r="F9" s="70" t="s">
        <v>240</v>
      </c>
      <c r="G9" s="17" t="s">
        <v>331</v>
      </c>
      <c r="H9" s="20" t="s">
        <v>336</v>
      </c>
      <c r="I9" s="21">
        <v>801</v>
      </c>
      <c r="J9" s="27" t="str">
        <f>IF(I9="","",IFERROR(INDEX(کلاس‌بندی!$E$5:$E$34,MATCH(I9,کلاس‌بندی!$D$5:$D$34,0)),"کد کلاس نامعتبر"))</f>
        <v>خوارزمی 1</v>
      </c>
      <c r="K9" s="38" t="str">
        <f>IF(I9="","",IFERROR(INDEX(کلاس‌بندی!$F$5:$F$34,MATCH(I9,کلاس‌بندی!$D$5:$D$34,0)),""))</f>
        <v>هشتم</v>
      </c>
      <c r="L9" s="28" t="str">
        <f t="shared" si="0"/>
        <v>کامل</v>
      </c>
    </row>
    <row r="10" spans="1:12">
      <c r="A10" s="33">
        <v>6</v>
      </c>
      <c r="B10" s="34">
        <v>6</v>
      </c>
      <c r="C10" s="19" t="s">
        <v>301</v>
      </c>
      <c r="D10" s="20" t="s">
        <v>301</v>
      </c>
      <c r="E10" s="70" t="s">
        <v>241</v>
      </c>
      <c r="F10" s="70" t="s">
        <v>242</v>
      </c>
      <c r="G10" s="17" t="s">
        <v>331</v>
      </c>
      <c r="H10" s="20" t="s">
        <v>337</v>
      </c>
      <c r="I10" s="21">
        <v>801</v>
      </c>
      <c r="J10" s="27" t="str">
        <f>IF(I10="","",IFERROR(INDEX(کلاس‌بندی!$E$5:$E$34,MATCH(I10,کلاس‌بندی!$D$5:$D$34,0)),"کد کلاس نامعتبر"))</f>
        <v>خوارزمی 1</v>
      </c>
      <c r="K10" s="38" t="str">
        <f>IF(I10="","",IFERROR(INDEX(کلاس‌بندی!$F$5:$F$34,MATCH(I10,کلاس‌بندی!$D$5:$D$34,0)),""))</f>
        <v>هشتم</v>
      </c>
      <c r="L10" s="28" t="str">
        <f t="shared" si="0"/>
        <v>کامل</v>
      </c>
    </row>
    <row r="11" spans="1:12">
      <c r="A11" s="33">
        <v>7</v>
      </c>
      <c r="B11" s="34">
        <v>7</v>
      </c>
      <c r="C11" s="19" t="s">
        <v>302</v>
      </c>
      <c r="D11" s="20" t="s">
        <v>302</v>
      </c>
      <c r="E11" s="70" t="s">
        <v>243</v>
      </c>
      <c r="F11" s="70" t="s">
        <v>244</v>
      </c>
      <c r="G11" s="17" t="s">
        <v>331</v>
      </c>
      <c r="H11" s="20" t="s">
        <v>338</v>
      </c>
      <c r="I11" s="21">
        <v>801</v>
      </c>
      <c r="J11" s="27" t="str">
        <f>IF(I11="","",IFERROR(INDEX(کلاس‌بندی!$E$5:$E$34,MATCH(I11,کلاس‌بندی!$D$5:$D$34,0)),"کد کلاس نامعتبر"))</f>
        <v>خوارزمی 1</v>
      </c>
      <c r="K11" s="38" t="str">
        <f>IF(I11="","",IFERROR(INDEX(کلاس‌بندی!$F$5:$F$34,MATCH(I11,کلاس‌بندی!$D$5:$D$34,0)),""))</f>
        <v>هشتم</v>
      </c>
      <c r="L11" s="28" t="str">
        <f t="shared" si="0"/>
        <v>کامل</v>
      </c>
    </row>
    <row r="12" spans="1:12">
      <c r="A12" s="33">
        <v>8</v>
      </c>
      <c r="B12" s="34">
        <v>8</v>
      </c>
      <c r="C12" s="19" t="s">
        <v>303</v>
      </c>
      <c r="D12" s="20" t="s">
        <v>303</v>
      </c>
      <c r="E12" s="70" t="s">
        <v>245</v>
      </c>
      <c r="F12" s="70" t="s">
        <v>246</v>
      </c>
      <c r="G12" s="17" t="s">
        <v>331</v>
      </c>
      <c r="H12" s="20" t="s">
        <v>339</v>
      </c>
      <c r="I12" s="21">
        <v>801</v>
      </c>
      <c r="J12" s="27" t="str">
        <f>IF(I12="","",IFERROR(INDEX(کلاس‌بندی!$E$5:$E$34,MATCH(I12,کلاس‌بندی!$D$5:$D$34,0)),"کد کلاس نامعتبر"))</f>
        <v>خوارزمی 1</v>
      </c>
      <c r="K12" s="38" t="str">
        <f>IF(I12="","",IFERROR(INDEX(کلاس‌بندی!$F$5:$F$34,MATCH(I12,کلاس‌بندی!$D$5:$D$34,0)),""))</f>
        <v>هشتم</v>
      </c>
      <c r="L12" s="28" t="str">
        <f t="shared" si="0"/>
        <v>کامل</v>
      </c>
    </row>
    <row r="13" spans="1:12">
      <c r="A13" s="33">
        <v>9</v>
      </c>
      <c r="B13" s="34">
        <v>9</v>
      </c>
      <c r="C13" s="19" t="s">
        <v>304</v>
      </c>
      <c r="D13" s="20" t="s">
        <v>304</v>
      </c>
      <c r="E13" s="70" t="s">
        <v>247</v>
      </c>
      <c r="F13" s="70" t="s">
        <v>248</v>
      </c>
      <c r="G13" s="17" t="s">
        <v>331</v>
      </c>
      <c r="H13" s="20" t="s">
        <v>340</v>
      </c>
      <c r="I13" s="21">
        <v>801</v>
      </c>
      <c r="J13" s="27" t="str">
        <f>IF(I13="","",IFERROR(INDEX(کلاس‌بندی!$E$5:$E$34,MATCH(I13,کلاس‌بندی!$D$5:$D$34,0)),"کد کلاس نامعتبر"))</f>
        <v>خوارزمی 1</v>
      </c>
      <c r="K13" s="38" t="str">
        <f>IF(I13="","",IFERROR(INDEX(کلاس‌بندی!$F$5:$F$34,MATCH(I13,کلاس‌بندی!$D$5:$D$34,0)),""))</f>
        <v>هشتم</v>
      </c>
      <c r="L13" s="28" t="str">
        <f t="shared" si="0"/>
        <v>کامل</v>
      </c>
    </row>
    <row r="14" spans="1:12">
      <c r="A14" s="33">
        <v>10</v>
      </c>
      <c r="B14" s="34">
        <v>10</v>
      </c>
      <c r="C14" s="19" t="s">
        <v>305</v>
      </c>
      <c r="D14" s="20" t="s">
        <v>305</v>
      </c>
      <c r="E14" s="70" t="s">
        <v>249</v>
      </c>
      <c r="F14" s="70" t="s">
        <v>250</v>
      </c>
      <c r="G14" s="17" t="s">
        <v>331</v>
      </c>
      <c r="H14" s="20" t="s">
        <v>341</v>
      </c>
      <c r="I14" s="21">
        <v>801</v>
      </c>
      <c r="J14" s="27" t="str">
        <f>IF(I14="","",IFERROR(INDEX(کلاس‌بندی!$E$5:$E$34,MATCH(I14,کلاس‌بندی!$D$5:$D$34,0)),"کد کلاس نامعتبر"))</f>
        <v>خوارزمی 1</v>
      </c>
      <c r="K14" s="38" t="str">
        <f>IF(I14="","",IFERROR(INDEX(کلاس‌بندی!$F$5:$F$34,MATCH(I14,کلاس‌بندی!$D$5:$D$34,0)),""))</f>
        <v>هشتم</v>
      </c>
      <c r="L14" s="28" t="str">
        <f t="shared" si="0"/>
        <v>کامل</v>
      </c>
    </row>
    <row r="15" spans="1:12">
      <c r="A15" s="33">
        <v>11</v>
      </c>
      <c r="B15" s="34">
        <v>11</v>
      </c>
      <c r="C15" s="19" t="s">
        <v>306</v>
      </c>
      <c r="D15" s="20" t="s">
        <v>306</v>
      </c>
      <c r="E15" s="70" t="s">
        <v>251</v>
      </c>
      <c r="F15" s="70" t="s">
        <v>252</v>
      </c>
      <c r="G15" s="17" t="s">
        <v>331</v>
      </c>
      <c r="H15" s="20" t="s">
        <v>342</v>
      </c>
      <c r="I15" s="21">
        <v>801</v>
      </c>
      <c r="J15" s="27" t="str">
        <f>IF(I15="","",IFERROR(INDEX(کلاس‌بندی!$E$5:$E$34,MATCH(I15,کلاس‌بندی!$D$5:$D$34,0)),"کد کلاس نامعتبر"))</f>
        <v>خوارزمی 1</v>
      </c>
      <c r="K15" s="38" t="str">
        <f>IF(I15="","",IFERROR(INDEX(کلاس‌بندی!$F$5:$F$34,MATCH(I15,کلاس‌بندی!$D$5:$D$34,0)),""))</f>
        <v>هشتم</v>
      </c>
      <c r="L15" s="28" t="str">
        <f t="shared" si="0"/>
        <v>کامل</v>
      </c>
    </row>
    <row r="16" spans="1:12">
      <c r="A16" s="33">
        <v>12</v>
      </c>
      <c r="B16" s="34">
        <v>12</v>
      </c>
      <c r="C16" s="19" t="s">
        <v>307</v>
      </c>
      <c r="D16" s="20" t="s">
        <v>307</v>
      </c>
      <c r="E16" s="70" t="s">
        <v>253</v>
      </c>
      <c r="F16" s="70" t="s">
        <v>254</v>
      </c>
      <c r="G16" s="17" t="s">
        <v>331</v>
      </c>
      <c r="H16" s="20" t="s">
        <v>343</v>
      </c>
      <c r="I16" s="21">
        <v>801</v>
      </c>
      <c r="J16" s="27" t="str">
        <f>IF(I16="","",IFERROR(INDEX(کلاس‌بندی!$E$5:$E$34,MATCH(I16,کلاس‌بندی!$D$5:$D$34,0)),"کد کلاس نامعتبر"))</f>
        <v>خوارزمی 1</v>
      </c>
      <c r="K16" s="38" t="str">
        <f>IF(I16="","",IFERROR(INDEX(کلاس‌بندی!$F$5:$F$34,MATCH(I16,کلاس‌بندی!$D$5:$D$34,0)),""))</f>
        <v>هشتم</v>
      </c>
      <c r="L16" s="28" t="str">
        <f t="shared" si="0"/>
        <v>کامل</v>
      </c>
    </row>
    <row r="17" spans="1:12">
      <c r="A17" s="33">
        <v>13</v>
      </c>
      <c r="B17" s="34">
        <v>13</v>
      </c>
      <c r="C17" s="19" t="s">
        <v>308</v>
      </c>
      <c r="D17" s="20" t="s">
        <v>308</v>
      </c>
      <c r="E17" s="70" t="s">
        <v>255</v>
      </c>
      <c r="F17" s="70" t="s">
        <v>256</v>
      </c>
      <c r="G17" s="17" t="s">
        <v>331</v>
      </c>
      <c r="H17" s="20" t="s">
        <v>344</v>
      </c>
      <c r="I17" s="21">
        <v>801</v>
      </c>
      <c r="J17" s="27" t="str">
        <f>IF(I17="","",IFERROR(INDEX(کلاس‌بندی!$E$5:$E$34,MATCH(I17,کلاس‌بندی!$D$5:$D$34,0)),"کد کلاس نامعتبر"))</f>
        <v>خوارزمی 1</v>
      </c>
      <c r="K17" s="38" t="str">
        <f>IF(I17="","",IFERROR(INDEX(کلاس‌بندی!$F$5:$F$34,MATCH(I17,کلاس‌بندی!$D$5:$D$34,0)),""))</f>
        <v>هشتم</v>
      </c>
      <c r="L17" s="28" t="str">
        <f t="shared" si="0"/>
        <v>کامل</v>
      </c>
    </row>
    <row r="18" spans="1:12">
      <c r="A18" s="33">
        <v>14</v>
      </c>
      <c r="B18" s="34">
        <v>14</v>
      </c>
      <c r="C18" s="19" t="s">
        <v>309</v>
      </c>
      <c r="D18" s="20" t="s">
        <v>309</v>
      </c>
      <c r="E18" s="70" t="s">
        <v>257</v>
      </c>
      <c r="F18" s="70" t="s">
        <v>258</v>
      </c>
      <c r="G18" s="17" t="s">
        <v>331</v>
      </c>
      <c r="H18" s="20" t="s">
        <v>345</v>
      </c>
      <c r="I18" s="21">
        <v>801</v>
      </c>
      <c r="J18" s="27" t="str">
        <f>IF(I18="","",IFERROR(INDEX(کلاس‌بندی!$E$5:$E$34,MATCH(I18,کلاس‌بندی!$D$5:$D$34,0)),"کد کلاس نامعتبر"))</f>
        <v>خوارزمی 1</v>
      </c>
      <c r="K18" s="38" t="str">
        <f>IF(I18="","",IFERROR(INDEX(کلاس‌بندی!$F$5:$F$34,MATCH(I18,کلاس‌بندی!$D$5:$D$34,0)),""))</f>
        <v>هشتم</v>
      </c>
      <c r="L18" s="28" t="str">
        <f t="shared" si="0"/>
        <v>کامل</v>
      </c>
    </row>
    <row r="19" spans="1:12">
      <c r="A19" s="33">
        <v>15</v>
      </c>
      <c r="B19" s="34">
        <v>15</v>
      </c>
      <c r="C19" s="19" t="s">
        <v>310</v>
      </c>
      <c r="D19" s="20" t="s">
        <v>310</v>
      </c>
      <c r="E19" s="70" t="s">
        <v>259</v>
      </c>
      <c r="F19" s="70" t="s">
        <v>260</v>
      </c>
      <c r="G19" s="17" t="s">
        <v>331</v>
      </c>
      <c r="H19" s="20" t="s">
        <v>346</v>
      </c>
      <c r="I19" s="21">
        <v>801</v>
      </c>
      <c r="J19" s="27" t="str">
        <f>IF(I19="","",IFERROR(INDEX(کلاس‌بندی!$E$5:$E$34,MATCH(I19,کلاس‌بندی!$D$5:$D$34,0)),"کد کلاس نامعتبر"))</f>
        <v>خوارزمی 1</v>
      </c>
      <c r="K19" s="38" t="str">
        <f>IF(I19="","",IFERROR(INDEX(کلاس‌بندی!$F$5:$F$34,MATCH(I19,کلاس‌بندی!$D$5:$D$34,0)),""))</f>
        <v>هشتم</v>
      </c>
      <c r="L19" s="28" t="str">
        <f t="shared" si="0"/>
        <v>کامل</v>
      </c>
    </row>
    <row r="20" spans="1:12">
      <c r="A20" s="33">
        <v>16</v>
      </c>
      <c r="B20" s="34">
        <v>16</v>
      </c>
      <c r="C20" s="19" t="s">
        <v>311</v>
      </c>
      <c r="D20" s="20" t="s">
        <v>311</v>
      </c>
      <c r="E20" s="70" t="s">
        <v>261</v>
      </c>
      <c r="F20" s="70" t="s">
        <v>262</v>
      </c>
      <c r="G20" s="17" t="s">
        <v>331</v>
      </c>
      <c r="H20" s="20" t="s">
        <v>347</v>
      </c>
      <c r="I20" s="21">
        <v>801</v>
      </c>
      <c r="J20" s="27" t="str">
        <f>IF(I20="","",IFERROR(INDEX(کلاس‌بندی!$E$5:$E$34,MATCH(I20,کلاس‌بندی!$D$5:$D$34,0)),"کد کلاس نامعتبر"))</f>
        <v>خوارزمی 1</v>
      </c>
      <c r="K20" s="38" t="str">
        <f>IF(I20="","",IFERROR(INDEX(کلاس‌بندی!$F$5:$F$34,MATCH(I20,کلاس‌بندی!$D$5:$D$34,0)),""))</f>
        <v>هشتم</v>
      </c>
      <c r="L20" s="28" t="str">
        <f t="shared" si="0"/>
        <v>کامل</v>
      </c>
    </row>
    <row r="21" spans="1:12">
      <c r="A21" s="33">
        <v>17</v>
      </c>
      <c r="B21" s="34">
        <v>17</v>
      </c>
      <c r="C21" s="19" t="s">
        <v>312</v>
      </c>
      <c r="D21" s="20" t="s">
        <v>312</v>
      </c>
      <c r="E21" s="70" t="s">
        <v>263</v>
      </c>
      <c r="F21" s="70" t="s">
        <v>264</v>
      </c>
      <c r="G21" s="17" t="s">
        <v>331</v>
      </c>
      <c r="H21" s="20" t="s">
        <v>348</v>
      </c>
      <c r="I21" s="21">
        <v>801</v>
      </c>
      <c r="J21" s="27" t="str">
        <f>IF(I21="","",IFERROR(INDEX(کلاس‌بندی!$E$5:$E$34,MATCH(I21,کلاس‌بندی!$D$5:$D$34,0)),"کد کلاس نامعتبر"))</f>
        <v>خوارزمی 1</v>
      </c>
      <c r="K21" s="38" t="str">
        <f>IF(I21="","",IFERROR(INDEX(کلاس‌بندی!$F$5:$F$34,MATCH(I21,کلاس‌بندی!$D$5:$D$34,0)),""))</f>
        <v>هشتم</v>
      </c>
      <c r="L21" s="28" t="str">
        <f t="shared" si="0"/>
        <v>کامل</v>
      </c>
    </row>
    <row r="22" spans="1:12">
      <c r="A22" s="33">
        <v>18</v>
      </c>
      <c r="B22" s="34">
        <v>18</v>
      </c>
      <c r="C22" s="19" t="s">
        <v>313</v>
      </c>
      <c r="D22" s="20" t="s">
        <v>313</v>
      </c>
      <c r="E22" s="70" t="s">
        <v>265</v>
      </c>
      <c r="F22" s="70" t="s">
        <v>266</v>
      </c>
      <c r="G22" s="17" t="s">
        <v>331</v>
      </c>
      <c r="H22" s="20" t="s">
        <v>349</v>
      </c>
      <c r="I22" s="21">
        <v>801</v>
      </c>
      <c r="J22" s="27" t="str">
        <f>IF(I22="","",IFERROR(INDEX(کلاس‌بندی!$E$5:$E$34,MATCH(I22,کلاس‌بندی!$D$5:$D$34,0)),"کد کلاس نامعتبر"))</f>
        <v>خوارزمی 1</v>
      </c>
      <c r="K22" s="38" t="str">
        <f>IF(I22="","",IFERROR(INDEX(کلاس‌بندی!$F$5:$F$34,MATCH(I22,کلاس‌بندی!$D$5:$D$34,0)),""))</f>
        <v>هشتم</v>
      </c>
      <c r="L22" s="28" t="str">
        <f t="shared" si="0"/>
        <v>کامل</v>
      </c>
    </row>
    <row r="23" spans="1:12">
      <c r="A23" s="33">
        <v>19</v>
      </c>
      <c r="B23" s="34">
        <v>19</v>
      </c>
      <c r="C23" s="19" t="s">
        <v>314</v>
      </c>
      <c r="D23" s="20" t="s">
        <v>314</v>
      </c>
      <c r="E23" s="70" t="s">
        <v>267</v>
      </c>
      <c r="F23" s="70" t="s">
        <v>268</v>
      </c>
      <c r="G23" s="17" t="s">
        <v>331</v>
      </c>
      <c r="H23" s="20" t="s">
        <v>350</v>
      </c>
      <c r="I23" s="21">
        <v>801</v>
      </c>
      <c r="J23" s="27" t="str">
        <f>IF(I23="","",IFERROR(INDEX(کلاس‌بندی!$E$5:$E$34,MATCH(I23,کلاس‌بندی!$D$5:$D$34,0)),"کد کلاس نامعتبر"))</f>
        <v>خوارزمی 1</v>
      </c>
      <c r="K23" s="38" t="str">
        <f>IF(I23="","",IFERROR(INDEX(کلاس‌بندی!$F$5:$F$34,MATCH(I23,کلاس‌بندی!$D$5:$D$34,0)),""))</f>
        <v>هشتم</v>
      </c>
      <c r="L23" s="28" t="str">
        <f t="shared" si="0"/>
        <v>کامل</v>
      </c>
    </row>
    <row r="24" spans="1:12">
      <c r="A24" s="33">
        <v>20</v>
      </c>
      <c r="B24" s="34">
        <v>20</v>
      </c>
      <c r="C24" s="19" t="s">
        <v>315</v>
      </c>
      <c r="D24" s="20" t="s">
        <v>315</v>
      </c>
      <c r="E24" s="70" t="s">
        <v>269</v>
      </c>
      <c r="F24" s="70" t="s">
        <v>270</v>
      </c>
      <c r="G24" s="17" t="s">
        <v>331</v>
      </c>
      <c r="H24" s="20" t="s">
        <v>351</v>
      </c>
      <c r="I24" s="21">
        <v>801</v>
      </c>
      <c r="J24" s="27" t="str">
        <f>IF(I24="","",IFERROR(INDEX(کلاس‌بندی!$E$5:$E$34,MATCH(I24,کلاس‌بندی!$D$5:$D$34,0)),"کد کلاس نامعتبر"))</f>
        <v>خوارزمی 1</v>
      </c>
      <c r="K24" s="38" t="str">
        <f>IF(I24="","",IFERROR(INDEX(کلاس‌بندی!$F$5:$F$34,MATCH(I24,کلاس‌بندی!$D$5:$D$34,0)),""))</f>
        <v>هشتم</v>
      </c>
      <c r="L24" s="28" t="str">
        <f t="shared" si="0"/>
        <v>کامل</v>
      </c>
    </row>
    <row r="25" spans="1:12">
      <c r="A25" s="33">
        <v>21</v>
      </c>
      <c r="B25" s="34">
        <v>21</v>
      </c>
      <c r="C25" s="19" t="s">
        <v>316</v>
      </c>
      <c r="D25" s="20" t="s">
        <v>316</v>
      </c>
      <c r="E25" s="70" t="s">
        <v>271</v>
      </c>
      <c r="F25" s="70" t="s">
        <v>272</v>
      </c>
      <c r="G25" s="17" t="s">
        <v>331</v>
      </c>
      <c r="H25" s="20" t="s">
        <v>352</v>
      </c>
      <c r="I25" s="21">
        <v>801</v>
      </c>
      <c r="J25" s="27" t="str">
        <f>IF(I25="","",IFERROR(INDEX(کلاس‌بندی!$E$5:$E$34,MATCH(I25,کلاس‌بندی!$D$5:$D$34,0)),"کد کلاس نامعتبر"))</f>
        <v>خوارزمی 1</v>
      </c>
      <c r="K25" s="38" t="str">
        <f>IF(I25="","",IFERROR(INDEX(کلاس‌بندی!$F$5:$F$34,MATCH(I25,کلاس‌بندی!$D$5:$D$34,0)),""))</f>
        <v>هشتم</v>
      </c>
      <c r="L25" s="28" t="str">
        <f t="shared" si="0"/>
        <v>کامل</v>
      </c>
    </row>
    <row r="26" spans="1:12">
      <c r="A26" s="33">
        <v>22</v>
      </c>
      <c r="B26" s="34">
        <v>22</v>
      </c>
      <c r="C26" s="19" t="s">
        <v>317</v>
      </c>
      <c r="D26" s="20" t="s">
        <v>317</v>
      </c>
      <c r="E26" s="70" t="s">
        <v>273</v>
      </c>
      <c r="F26" s="70" t="s">
        <v>274</v>
      </c>
      <c r="G26" s="17" t="s">
        <v>331</v>
      </c>
      <c r="H26" s="20" t="s">
        <v>353</v>
      </c>
      <c r="I26" s="21">
        <v>801</v>
      </c>
      <c r="J26" s="27" t="str">
        <f>IF(I26="","",IFERROR(INDEX(کلاس‌بندی!$E$5:$E$34,MATCH(I26,کلاس‌بندی!$D$5:$D$34,0)),"کد کلاس نامعتبر"))</f>
        <v>خوارزمی 1</v>
      </c>
      <c r="K26" s="38" t="str">
        <f>IF(I26="","",IFERROR(INDEX(کلاس‌بندی!$F$5:$F$34,MATCH(I26,کلاس‌بندی!$D$5:$D$34,0)),""))</f>
        <v>هشتم</v>
      </c>
      <c r="L26" s="28" t="str">
        <f t="shared" si="0"/>
        <v>کامل</v>
      </c>
    </row>
    <row r="27" spans="1:12">
      <c r="A27" s="33">
        <v>23</v>
      </c>
      <c r="B27" s="34">
        <v>23</v>
      </c>
      <c r="C27" s="19" t="s">
        <v>318</v>
      </c>
      <c r="D27" s="20" t="s">
        <v>318</v>
      </c>
      <c r="E27" s="70" t="s">
        <v>273</v>
      </c>
      <c r="F27" s="70" t="s">
        <v>275</v>
      </c>
      <c r="G27" s="17" t="s">
        <v>331</v>
      </c>
      <c r="H27" s="20" t="s">
        <v>354</v>
      </c>
      <c r="I27" s="21">
        <v>801</v>
      </c>
      <c r="J27" s="27" t="str">
        <f>IF(I27="","",IFERROR(INDEX(کلاس‌بندی!$E$5:$E$34,MATCH(I27,کلاس‌بندی!$D$5:$D$34,0)),"کد کلاس نامعتبر"))</f>
        <v>خوارزمی 1</v>
      </c>
      <c r="K27" s="38" t="str">
        <f>IF(I27="","",IFERROR(INDEX(کلاس‌بندی!$F$5:$F$34,MATCH(I27,کلاس‌بندی!$D$5:$D$34,0)),""))</f>
        <v>هشتم</v>
      </c>
      <c r="L27" s="28" t="str">
        <f t="shared" si="0"/>
        <v>کامل</v>
      </c>
    </row>
    <row r="28" spans="1:12">
      <c r="A28" s="33">
        <v>24</v>
      </c>
      <c r="B28" s="34">
        <v>24</v>
      </c>
      <c r="C28" s="19" t="s">
        <v>319</v>
      </c>
      <c r="D28" s="20" t="s">
        <v>319</v>
      </c>
      <c r="E28" s="70" t="s">
        <v>276</v>
      </c>
      <c r="F28" s="70" t="s">
        <v>277</v>
      </c>
      <c r="G28" s="17" t="s">
        <v>331</v>
      </c>
      <c r="H28" s="20" t="s">
        <v>355</v>
      </c>
      <c r="I28" s="21">
        <v>801</v>
      </c>
      <c r="J28" s="27" t="str">
        <f>IF(I28="","",IFERROR(INDEX(کلاس‌بندی!$E$5:$E$34,MATCH(I28,کلاس‌بندی!$D$5:$D$34,0)),"کد کلاس نامعتبر"))</f>
        <v>خوارزمی 1</v>
      </c>
      <c r="K28" s="38" t="str">
        <f>IF(I28="","",IFERROR(INDEX(کلاس‌بندی!$F$5:$F$34,MATCH(I28,کلاس‌بندی!$D$5:$D$34,0)),""))</f>
        <v>هشتم</v>
      </c>
      <c r="L28" s="28" t="str">
        <f t="shared" si="0"/>
        <v>کامل</v>
      </c>
    </row>
    <row r="29" spans="1:12">
      <c r="A29" s="33">
        <v>25</v>
      </c>
      <c r="B29" s="34">
        <v>25</v>
      </c>
      <c r="C29" s="19" t="s">
        <v>320</v>
      </c>
      <c r="D29" s="20" t="s">
        <v>320</v>
      </c>
      <c r="E29" s="70" t="s">
        <v>278</v>
      </c>
      <c r="F29" s="70" t="s">
        <v>279</v>
      </c>
      <c r="G29" s="17" t="s">
        <v>331</v>
      </c>
      <c r="H29" s="20" t="s">
        <v>356</v>
      </c>
      <c r="I29" s="21">
        <v>801</v>
      </c>
      <c r="J29" s="27" t="str">
        <f>IF(I29="","",IFERROR(INDEX(کلاس‌بندی!$E$5:$E$34,MATCH(I29,کلاس‌بندی!$D$5:$D$34,0)),"کد کلاس نامعتبر"))</f>
        <v>خوارزمی 1</v>
      </c>
      <c r="K29" s="38" t="str">
        <f>IF(I29="","",IFERROR(INDEX(کلاس‌بندی!$F$5:$F$34,MATCH(I29,کلاس‌بندی!$D$5:$D$34,0)),""))</f>
        <v>هشتم</v>
      </c>
      <c r="L29" s="28" t="str">
        <f t="shared" si="0"/>
        <v>کامل</v>
      </c>
    </row>
    <row r="30" spans="1:12">
      <c r="A30" s="33">
        <v>26</v>
      </c>
      <c r="B30" s="34">
        <v>26</v>
      </c>
      <c r="C30" s="19" t="s">
        <v>321</v>
      </c>
      <c r="D30" s="20" t="s">
        <v>321</v>
      </c>
      <c r="E30" s="70" t="s">
        <v>280</v>
      </c>
      <c r="F30" s="70" t="s">
        <v>281</v>
      </c>
      <c r="G30" s="17" t="s">
        <v>331</v>
      </c>
      <c r="H30" s="20" t="s">
        <v>357</v>
      </c>
      <c r="I30" s="21">
        <v>801</v>
      </c>
      <c r="J30" s="27" t="str">
        <f>IF(I30="","",IFERROR(INDEX(کلاس‌بندی!$E$5:$E$34,MATCH(I30,کلاس‌بندی!$D$5:$D$34,0)),"کد کلاس نامعتبر"))</f>
        <v>خوارزمی 1</v>
      </c>
      <c r="K30" s="38" t="str">
        <f>IF(I30="","",IFERROR(INDEX(کلاس‌بندی!$F$5:$F$34,MATCH(I30,کلاس‌بندی!$D$5:$D$34,0)),""))</f>
        <v>هشتم</v>
      </c>
      <c r="L30" s="28" t="str">
        <f t="shared" si="0"/>
        <v>کامل</v>
      </c>
    </row>
    <row r="31" spans="1:12">
      <c r="A31" s="33">
        <v>27</v>
      </c>
      <c r="B31" s="34">
        <v>27</v>
      </c>
      <c r="C31" s="19" t="s">
        <v>322</v>
      </c>
      <c r="D31" s="20" t="s">
        <v>322</v>
      </c>
      <c r="E31" s="70" t="s">
        <v>282</v>
      </c>
      <c r="F31" s="70" t="s">
        <v>283</v>
      </c>
      <c r="G31" s="17" t="s">
        <v>331</v>
      </c>
      <c r="H31" s="20" t="s">
        <v>358</v>
      </c>
      <c r="I31" s="21">
        <v>801</v>
      </c>
      <c r="J31" s="27" t="str">
        <f>IF(I31="","",IFERROR(INDEX(کلاس‌بندی!$E$5:$E$34,MATCH(I31,کلاس‌بندی!$D$5:$D$34,0)),"کد کلاس نامعتبر"))</f>
        <v>خوارزمی 1</v>
      </c>
      <c r="K31" s="38" t="str">
        <f>IF(I31="","",IFERROR(INDEX(کلاس‌بندی!$F$5:$F$34,MATCH(I31,کلاس‌بندی!$D$5:$D$34,0)),""))</f>
        <v>هشتم</v>
      </c>
      <c r="L31" s="28" t="str">
        <f t="shared" si="0"/>
        <v>کامل</v>
      </c>
    </row>
    <row r="32" spans="1:12">
      <c r="A32" s="33">
        <v>28</v>
      </c>
      <c r="B32" s="34">
        <v>28</v>
      </c>
      <c r="C32" s="19" t="s">
        <v>323</v>
      </c>
      <c r="D32" s="20" t="s">
        <v>323</v>
      </c>
      <c r="E32" s="70" t="s">
        <v>284</v>
      </c>
      <c r="F32" s="70" t="s">
        <v>285</v>
      </c>
      <c r="G32" s="17" t="s">
        <v>331</v>
      </c>
      <c r="H32" s="20" t="s">
        <v>359</v>
      </c>
      <c r="I32" s="21">
        <v>801</v>
      </c>
      <c r="J32" s="27" t="str">
        <f>IF(I32="","",IFERROR(INDEX(کلاس‌بندی!$E$5:$E$34,MATCH(I32,کلاس‌بندی!$D$5:$D$34,0)),"کد کلاس نامعتبر"))</f>
        <v>خوارزمی 1</v>
      </c>
      <c r="K32" s="38" t="str">
        <f>IF(I32="","",IFERROR(INDEX(کلاس‌بندی!$F$5:$F$34,MATCH(I32,کلاس‌بندی!$D$5:$D$34,0)),""))</f>
        <v>هشتم</v>
      </c>
      <c r="L32" s="28" t="str">
        <f t="shared" si="0"/>
        <v>کامل</v>
      </c>
    </row>
    <row r="33" spans="1:12">
      <c r="A33" s="33">
        <v>29</v>
      </c>
      <c r="B33" s="34">
        <v>29</v>
      </c>
      <c r="C33" s="19" t="s">
        <v>324</v>
      </c>
      <c r="D33" s="20" t="s">
        <v>324</v>
      </c>
      <c r="E33" s="70" t="s">
        <v>286</v>
      </c>
      <c r="F33" s="70" t="s">
        <v>287</v>
      </c>
      <c r="G33" s="17" t="s">
        <v>331</v>
      </c>
      <c r="H33" s="20" t="s">
        <v>360</v>
      </c>
      <c r="I33" s="21">
        <v>801</v>
      </c>
      <c r="J33" s="27" t="str">
        <f>IF(I33="","",IFERROR(INDEX(کلاس‌بندی!$E$5:$E$34,MATCH(I33,کلاس‌بندی!$D$5:$D$34,0)),"کد کلاس نامعتبر"))</f>
        <v>خوارزمی 1</v>
      </c>
      <c r="K33" s="38" t="str">
        <f>IF(I33="","",IFERROR(INDEX(کلاس‌بندی!$F$5:$F$34,MATCH(I33,کلاس‌بندی!$D$5:$D$34,0)),""))</f>
        <v>هشتم</v>
      </c>
      <c r="L33" s="28" t="str">
        <f t="shared" si="0"/>
        <v>کامل</v>
      </c>
    </row>
    <row r="34" spans="1:12">
      <c r="A34" s="33">
        <v>30</v>
      </c>
      <c r="B34" s="34">
        <v>30</v>
      </c>
      <c r="C34" s="19" t="s">
        <v>325</v>
      </c>
      <c r="D34" s="20" t="s">
        <v>325</v>
      </c>
      <c r="E34" s="70" t="s">
        <v>273</v>
      </c>
      <c r="F34" s="70" t="s">
        <v>288</v>
      </c>
      <c r="G34" s="17" t="s">
        <v>331</v>
      </c>
      <c r="H34" s="20" t="s">
        <v>361</v>
      </c>
      <c r="I34" s="21">
        <v>801</v>
      </c>
      <c r="J34" s="27" t="str">
        <f>IF(I34="","",IFERROR(INDEX(کلاس‌بندی!$E$5:$E$34,MATCH(I34,کلاس‌بندی!$D$5:$D$34,0)),"کد کلاس نامعتبر"))</f>
        <v>خوارزمی 1</v>
      </c>
      <c r="K34" s="38" t="str">
        <f>IF(I34="","",IFERROR(INDEX(کلاس‌بندی!$F$5:$F$34,MATCH(I34,کلاس‌بندی!$D$5:$D$34,0)),""))</f>
        <v>هشتم</v>
      </c>
      <c r="L34" s="28" t="str">
        <f t="shared" si="0"/>
        <v>کامل</v>
      </c>
    </row>
    <row r="35" spans="1:12">
      <c r="A35" s="33">
        <v>31</v>
      </c>
      <c r="B35" s="34">
        <v>31</v>
      </c>
      <c r="C35" s="19" t="s">
        <v>326</v>
      </c>
      <c r="D35" s="20" t="s">
        <v>326</v>
      </c>
      <c r="E35" s="70" t="s">
        <v>265</v>
      </c>
      <c r="F35" s="70" t="s">
        <v>289</v>
      </c>
      <c r="G35" s="17" t="s">
        <v>331</v>
      </c>
      <c r="H35" s="20" t="s">
        <v>362</v>
      </c>
      <c r="I35" s="21">
        <v>801</v>
      </c>
      <c r="J35" s="27" t="str">
        <f>IF(I35="","",IFERROR(INDEX(کلاس‌بندی!$E$5:$E$34,MATCH(I35,کلاس‌بندی!$D$5:$D$34,0)),"کد کلاس نامعتبر"))</f>
        <v>خوارزمی 1</v>
      </c>
      <c r="K35" s="38" t="str">
        <f>IF(I35="","",IFERROR(INDEX(کلاس‌بندی!$F$5:$F$34,MATCH(I35,کلاس‌بندی!$D$5:$D$34,0)),""))</f>
        <v>هشتم</v>
      </c>
      <c r="L35" s="28" t="str">
        <f t="shared" si="0"/>
        <v>کامل</v>
      </c>
    </row>
    <row r="36" spans="1:12">
      <c r="A36" s="33">
        <v>32</v>
      </c>
      <c r="B36" s="34">
        <v>32</v>
      </c>
      <c r="C36" s="19" t="s">
        <v>327</v>
      </c>
      <c r="D36" s="20" t="s">
        <v>327</v>
      </c>
      <c r="E36" s="70" t="s">
        <v>290</v>
      </c>
      <c r="F36" s="70" t="s">
        <v>291</v>
      </c>
      <c r="G36" s="17" t="s">
        <v>331</v>
      </c>
      <c r="H36" s="20" t="s">
        <v>363</v>
      </c>
      <c r="I36" s="21">
        <v>801</v>
      </c>
      <c r="J36" s="27" t="str">
        <f>IF(I36="","",IFERROR(INDEX(کلاس‌بندی!$E$5:$E$34,MATCH(I36,کلاس‌بندی!$D$5:$D$34,0)),"کد کلاس نامعتبر"))</f>
        <v>خوارزمی 1</v>
      </c>
      <c r="K36" s="38" t="str">
        <f>IF(I36="","",IFERROR(INDEX(کلاس‌بندی!$F$5:$F$34,MATCH(I36,کلاس‌بندی!$D$5:$D$34,0)),""))</f>
        <v>هشتم</v>
      </c>
      <c r="L36" s="28" t="str">
        <f t="shared" si="0"/>
        <v>کامل</v>
      </c>
    </row>
    <row r="37" spans="1:12">
      <c r="A37" s="33">
        <v>33</v>
      </c>
      <c r="B37" s="34">
        <v>33</v>
      </c>
      <c r="C37" s="19" t="s">
        <v>328</v>
      </c>
      <c r="D37" s="20" t="s">
        <v>328</v>
      </c>
      <c r="E37" s="70" t="s">
        <v>292</v>
      </c>
      <c r="F37" s="70" t="s">
        <v>293</v>
      </c>
      <c r="G37" s="17" t="s">
        <v>331</v>
      </c>
      <c r="H37" s="20" t="s">
        <v>364</v>
      </c>
      <c r="I37" s="21">
        <v>801</v>
      </c>
      <c r="J37" s="27" t="str">
        <f>IF(I37="","",IFERROR(INDEX(کلاس‌بندی!$E$5:$E$34,MATCH(I37,کلاس‌بندی!$D$5:$D$34,0)),"کد کلاس نامعتبر"))</f>
        <v>خوارزمی 1</v>
      </c>
      <c r="K37" s="38" t="str">
        <f>IF(I37="","",IFERROR(INDEX(کلاس‌بندی!$F$5:$F$34,MATCH(I37,کلاس‌بندی!$D$5:$D$34,0)),""))</f>
        <v>هشتم</v>
      </c>
      <c r="L37" s="28" t="str">
        <f t="shared" ref="L37:L68" si="1">IF(COUNTA(C37:I37)=0,"",IF(AND(LEN(C37)=10,D37&lt;&gt;"",E37&lt;&gt;"",F37&lt;&gt;"",G37&lt;&gt;"",H37&lt;&gt;"",I37&lt;&gt;""),"کامل","ناقص"))</f>
        <v>کامل</v>
      </c>
    </row>
    <row r="38" spans="1:12">
      <c r="A38" s="33">
        <v>34</v>
      </c>
      <c r="B38" s="34">
        <v>34</v>
      </c>
      <c r="C38" s="19" t="s">
        <v>329</v>
      </c>
      <c r="D38" s="20" t="s">
        <v>329</v>
      </c>
      <c r="E38" s="70" t="s">
        <v>259</v>
      </c>
      <c r="F38" s="70" t="s">
        <v>294</v>
      </c>
      <c r="G38" s="17" t="s">
        <v>331</v>
      </c>
      <c r="H38" s="20" t="s">
        <v>365</v>
      </c>
      <c r="I38" s="21">
        <v>801</v>
      </c>
      <c r="J38" s="27" t="str">
        <f>IF(I38="","",IFERROR(INDEX(کلاس‌بندی!$E$5:$E$34,MATCH(I38,کلاس‌بندی!$D$5:$D$34,0)),"کد کلاس نامعتبر"))</f>
        <v>خوارزمی 1</v>
      </c>
      <c r="K38" s="38" t="str">
        <f>IF(I38="","",IFERROR(INDEX(کلاس‌بندی!$F$5:$F$34,MATCH(I38,کلاس‌بندی!$D$5:$D$34,0)),""))</f>
        <v>هشتم</v>
      </c>
      <c r="L38" s="28" t="str">
        <f t="shared" si="1"/>
        <v>کامل</v>
      </c>
    </row>
    <row r="39" spans="1:12">
      <c r="A39" s="33">
        <v>35</v>
      </c>
      <c r="B39" s="34">
        <v>35</v>
      </c>
      <c r="C39" s="19" t="s">
        <v>330</v>
      </c>
      <c r="D39" s="20" t="s">
        <v>330</v>
      </c>
      <c r="E39" s="70" t="s">
        <v>273</v>
      </c>
      <c r="F39" s="70" t="s">
        <v>295</v>
      </c>
      <c r="G39" s="17" t="s">
        <v>331</v>
      </c>
      <c r="H39" s="20" t="s">
        <v>366</v>
      </c>
      <c r="I39" s="21">
        <v>801</v>
      </c>
      <c r="J39" s="27" t="str">
        <f>IF(I39="","",IFERROR(INDEX(کلاس‌بندی!$E$5:$E$34,MATCH(I39,کلاس‌بندی!$D$5:$D$34,0)),"کد کلاس نامعتبر"))</f>
        <v>خوارزمی 1</v>
      </c>
      <c r="K39" s="38" t="str">
        <f>IF(I39="","",IFERROR(INDEX(کلاس‌بندی!$F$5:$F$34,MATCH(I39,کلاس‌بندی!$D$5:$D$34,0)),""))</f>
        <v>هشتم</v>
      </c>
      <c r="L39" s="28" t="str">
        <f t="shared" si="1"/>
        <v>کامل</v>
      </c>
    </row>
    <row r="40" spans="1:12">
      <c r="A40" s="33">
        <v>36</v>
      </c>
      <c r="B40" s="34">
        <v>36</v>
      </c>
      <c r="C40" s="19" t="s">
        <v>463</v>
      </c>
      <c r="D40" s="20" t="s">
        <v>463</v>
      </c>
      <c r="E40" s="20" t="s">
        <v>372</v>
      </c>
      <c r="F40" s="20" t="s">
        <v>373</v>
      </c>
      <c r="G40" s="20" t="s">
        <v>331</v>
      </c>
      <c r="H40" s="20" t="s">
        <v>431</v>
      </c>
      <c r="I40" s="21">
        <v>802</v>
      </c>
      <c r="J40" s="27" t="s">
        <v>461</v>
      </c>
      <c r="K40" s="38" t="s">
        <v>369</v>
      </c>
      <c r="L40" s="28" t="str">
        <f t="shared" si="1"/>
        <v>کامل</v>
      </c>
    </row>
    <row r="41" spans="1:12">
      <c r="A41" s="33">
        <v>37</v>
      </c>
      <c r="B41" s="34">
        <v>37</v>
      </c>
      <c r="C41" s="19" t="s">
        <v>464</v>
      </c>
      <c r="D41" s="20" t="s">
        <v>464</v>
      </c>
      <c r="E41" s="20" t="s">
        <v>374</v>
      </c>
      <c r="F41" s="20" t="s">
        <v>375</v>
      </c>
      <c r="G41" s="20" t="s">
        <v>331</v>
      </c>
      <c r="H41" s="20" t="s">
        <v>432</v>
      </c>
      <c r="I41" s="21">
        <v>802</v>
      </c>
      <c r="J41" s="27" t="s">
        <v>461</v>
      </c>
      <c r="K41" s="38" t="s">
        <v>369</v>
      </c>
      <c r="L41" s="28" t="str">
        <f t="shared" si="1"/>
        <v>کامل</v>
      </c>
    </row>
    <row r="42" spans="1:12">
      <c r="A42" s="33">
        <v>38</v>
      </c>
      <c r="B42" s="34">
        <v>38</v>
      </c>
      <c r="C42" s="19" t="s">
        <v>465</v>
      </c>
      <c r="D42" s="20" t="s">
        <v>465</v>
      </c>
      <c r="E42" s="20" t="s">
        <v>271</v>
      </c>
      <c r="F42" s="20" t="s">
        <v>376</v>
      </c>
      <c r="G42" s="20" t="s">
        <v>331</v>
      </c>
      <c r="H42" s="20" t="s">
        <v>433</v>
      </c>
      <c r="I42" s="21">
        <v>802</v>
      </c>
      <c r="J42" s="27" t="s">
        <v>461</v>
      </c>
      <c r="K42" s="38" t="s">
        <v>369</v>
      </c>
      <c r="L42" s="28" t="str">
        <f t="shared" si="1"/>
        <v>کامل</v>
      </c>
    </row>
    <row r="43" spans="1:12">
      <c r="A43" s="33">
        <v>39</v>
      </c>
      <c r="B43" s="34">
        <v>39</v>
      </c>
      <c r="C43" s="55" t="s">
        <v>466</v>
      </c>
      <c r="D43" s="20" t="s">
        <v>466</v>
      </c>
      <c r="E43" s="20" t="s">
        <v>377</v>
      </c>
      <c r="F43" s="20" t="s">
        <v>378</v>
      </c>
      <c r="G43" s="20" t="s">
        <v>331</v>
      </c>
      <c r="H43" s="20" t="s">
        <v>434</v>
      </c>
      <c r="I43" s="21">
        <v>802</v>
      </c>
      <c r="J43" s="27" t="s">
        <v>461</v>
      </c>
      <c r="K43" s="38" t="s">
        <v>369</v>
      </c>
      <c r="L43" s="28" t="str">
        <f t="shared" si="1"/>
        <v>کامل</v>
      </c>
    </row>
    <row r="44" spans="1:12">
      <c r="A44" s="33">
        <v>40</v>
      </c>
      <c r="B44" s="34">
        <v>40</v>
      </c>
      <c r="C44" s="19" t="s">
        <v>467</v>
      </c>
      <c r="D44" s="20" t="s">
        <v>467</v>
      </c>
      <c r="E44" s="20" t="s">
        <v>273</v>
      </c>
      <c r="F44" s="20" t="s">
        <v>379</v>
      </c>
      <c r="G44" s="20" t="s">
        <v>331</v>
      </c>
      <c r="H44" s="20" t="s">
        <v>435</v>
      </c>
      <c r="I44" s="21">
        <v>802</v>
      </c>
      <c r="J44" s="27" t="s">
        <v>461</v>
      </c>
      <c r="K44" s="38" t="s">
        <v>369</v>
      </c>
      <c r="L44" s="28" t="str">
        <f t="shared" si="1"/>
        <v>کامل</v>
      </c>
    </row>
    <row r="45" spans="1:12">
      <c r="A45" s="33">
        <v>41</v>
      </c>
      <c r="B45" s="34">
        <v>41</v>
      </c>
      <c r="C45" s="19" t="s">
        <v>468</v>
      </c>
      <c r="D45" s="20" t="s">
        <v>468</v>
      </c>
      <c r="E45" s="20" t="s">
        <v>380</v>
      </c>
      <c r="F45" s="20" t="s">
        <v>381</v>
      </c>
      <c r="G45" s="20" t="s">
        <v>331</v>
      </c>
      <c r="H45" s="20" t="s">
        <v>436</v>
      </c>
      <c r="I45" s="21">
        <v>802</v>
      </c>
      <c r="J45" s="27" t="s">
        <v>461</v>
      </c>
      <c r="K45" s="38" t="s">
        <v>369</v>
      </c>
      <c r="L45" s="28" t="str">
        <f t="shared" si="1"/>
        <v>کامل</v>
      </c>
    </row>
    <row r="46" spans="1:12">
      <c r="A46" s="33">
        <v>42</v>
      </c>
      <c r="B46" s="34">
        <v>42</v>
      </c>
      <c r="C46" s="19" t="s">
        <v>469</v>
      </c>
      <c r="D46" s="20" t="s">
        <v>469</v>
      </c>
      <c r="E46" s="20" t="s">
        <v>382</v>
      </c>
      <c r="F46" s="20" t="s">
        <v>383</v>
      </c>
      <c r="G46" s="20" t="s">
        <v>331</v>
      </c>
      <c r="H46" s="20" t="s">
        <v>437</v>
      </c>
      <c r="I46" s="21">
        <v>802</v>
      </c>
      <c r="J46" s="27" t="s">
        <v>461</v>
      </c>
      <c r="K46" s="38" t="s">
        <v>369</v>
      </c>
      <c r="L46" s="28" t="str">
        <f t="shared" si="1"/>
        <v>کامل</v>
      </c>
    </row>
    <row r="47" spans="1:12">
      <c r="A47" s="33">
        <v>43</v>
      </c>
      <c r="B47" s="34">
        <v>43</v>
      </c>
      <c r="C47" s="19" t="s">
        <v>470</v>
      </c>
      <c r="D47" s="20" t="s">
        <v>470</v>
      </c>
      <c r="E47" s="20" t="s">
        <v>384</v>
      </c>
      <c r="F47" s="20" t="s">
        <v>385</v>
      </c>
      <c r="G47" s="20" t="s">
        <v>331</v>
      </c>
      <c r="H47" s="20" t="s">
        <v>351</v>
      </c>
      <c r="I47" s="21">
        <v>802</v>
      </c>
      <c r="J47" s="27" t="s">
        <v>461</v>
      </c>
      <c r="K47" s="38" t="s">
        <v>369</v>
      </c>
      <c r="L47" s="28" t="str">
        <f t="shared" si="1"/>
        <v>کامل</v>
      </c>
    </row>
    <row r="48" spans="1:12">
      <c r="A48" s="33">
        <v>44</v>
      </c>
      <c r="B48" s="34">
        <v>44</v>
      </c>
      <c r="C48" s="19" t="s">
        <v>471</v>
      </c>
      <c r="D48" s="20" t="s">
        <v>471</v>
      </c>
      <c r="E48" s="20" t="s">
        <v>386</v>
      </c>
      <c r="F48" s="20" t="s">
        <v>387</v>
      </c>
      <c r="G48" s="20" t="s">
        <v>331</v>
      </c>
      <c r="H48" s="20" t="s">
        <v>438</v>
      </c>
      <c r="I48" s="21">
        <v>802</v>
      </c>
      <c r="J48" s="27" t="s">
        <v>461</v>
      </c>
      <c r="K48" s="38" t="s">
        <v>369</v>
      </c>
      <c r="L48" s="28" t="str">
        <f t="shared" si="1"/>
        <v>کامل</v>
      </c>
    </row>
    <row r="49" spans="1:12">
      <c r="A49" s="33">
        <v>45</v>
      </c>
      <c r="B49" s="34">
        <v>45</v>
      </c>
      <c r="C49" s="19" t="s">
        <v>472</v>
      </c>
      <c r="D49" s="20" t="s">
        <v>472</v>
      </c>
      <c r="E49" s="20" t="s">
        <v>388</v>
      </c>
      <c r="F49" s="20" t="s">
        <v>389</v>
      </c>
      <c r="G49" s="20" t="s">
        <v>331</v>
      </c>
      <c r="H49" s="20" t="s">
        <v>439</v>
      </c>
      <c r="I49" s="21">
        <v>802</v>
      </c>
      <c r="J49" s="27" t="s">
        <v>461</v>
      </c>
      <c r="K49" s="38" t="s">
        <v>369</v>
      </c>
      <c r="L49" s="28" t="str">
        <f t="shared" si="1"/>
        <v>کامل</v>
      </c>
    </row>
    <row r="50" spans="1:12">
      <c r="A50" s="33">
        <v>46</v>
      </c>
      <c r="B50" s="34">
        <v>46</v>
      </c>
      <c r="C50" s="19" t="s">
        <v>473</v>
      </c>
      <c r="D50" s="20" t="s">
        <v>473</v>
      </c>
      <c r="E50" s="20" t="s">
        <v>390</v>
      </c>
      <c r="F50" s="20" t="s">
        <v>391</v>
      </c>
      <c r="G50" s="20" t="s">
        <v>331</v>
      </c>
      <c r="H50" s="20" t="s">
        <v>440</v>
      </c>
      <c r="I50" s="21">
        <v>802</v>
      </c>
      <c r="J50" s="27" t="s">
        <v>461</v>
      </c>
      <c r="K50" s="38" t="s">
        <v>369</v>
      </c>
      <c r="L50" s="28" t="str">
        <f t="shared" si="1"/>
        <v>کامل</v>
      </c>
    </row>
    <row r="51" spans="1:12">
      <c r="A51" s="33">
        <v>47</v>
      </c>
      <c r="B51" s="34">
        <v>47</v>
      </c>
      <c r="C51" s="19" t="s">
        <v>462</v>
      </c>
      <c r="D51" s="20" t="s">
        <v>462</v>
      </c>
      <c r="E51" s="20" t="s">
        <v>273</v>
      </c>
      <c r="F51" s="20" t="s">
        <v>392</v>
      </c>
      <c r="G51" s="20" t="s">
        <v>331</v>
      </c>
      <c r="H51" s="20" t="s">
        <v>441</v>
      </c>
      <c r="I51" s="21">
        <v>802</v>
      </c>
      <c r="J51" s="27" t="s">
        <v>461</v>
      </c>
      <c r="K51" s="38" t="s">
        <v>369</v>
      </c>
      <c r="L51" s="28" t="str">
        <f t="shared" si="1"/>
        <v>ناقص</v>
      </c>
    </row>
    <row r="52" spans="1:12">
      <c r="A52" s="33">
        <v>48</v>
      </c>
      <c r="B52" s="34">
        <v>48</v>
      </c>
      <c r="C52" s="19" t="s">
        <v>474</v>
      </c>
      <c r="D52" s="20" t="s">
        <v>474</v>
      </c>
      <c r="E52" s="20" t="s">
        <v>393</v>
      </c>
      <c r="F52" s="20" t="s">
        <v>394</v>
      </c>
      <c r="G52" s="20" t="s">
        <v>331</v>
      </c>
      <c r="H52" s="20" t="s">
        <v>442</v>
      </c>
      <c r="I52" s="21">
        <v>802</v>
      </c>
      <c r="J52" s="27" t="s">
        <v>461</v>
      </c>
      <c r="K52" s="38" t="s">
        <v>369</v>
      </c>
      <c r="L52" s="28" t="str">
        <f t="shared" si="1"/>
        <v>کامل</v>
      </c>
    </row>
    <row r="53" spans="1:12">
      <c r="A53" s="33">
        <v>49</v>
      </c>
      <c r="B53" s="34">
        <v>49</v>
      </c>
      <c r="C53" s="19" t="s">
        <v>475</v>
      </c>
      <c r="D53" s="20" t="s">
        <v>475</v>
      </c>
      <c r="E53" s="20" t="s">
        <v>395</v>
      </c>
      <c r="F53" s="20" t="s">
        <v>396</v>
      </c>
      <c r="G53" s="20" t="s">
        <v>331</v>
      </c>
      <c r="H53" s="20" t="s">
        <v>436</v>
      </c>
      <c r="I53" s="21">
        <v>802</v>
      </c>
      <c r="J53" s="27" t="s">
        <v>461</v>
      </c>
      <c r="K53" s="38" t="s">
        <v>369</v>
      </c>
      <c r="L53" s="28" t="str">
        <f t="shared" si="1"/>
        <v>کامل</v>
      </c>
    </row>
    <row r="54" spans="1:12">
      <c r="A54" s="33">
        <v>50</v>
      </c>
      <c r="B54" s="34">
        <v>50</v>
      </c>
      <c r="C54" s="19" t="s">
        <v>476</v>
      </c>
      <c r="D54" s="20" t="s">
        <v>476</v>
      </c>
      <c r="E54" s="20" t="s">
        <v>397</v>
      </c>
      <c r="F54" s="20" t="s">
        <v>398</v>
      </c>
      <c r="G54" s="20" t="s">
        <v>331</v>
      </c>
      <c r="H54" s="20" t="s">
        <v>443</v>
      </c>
      <c r="I54" s="21">
        <v>802</v>
      </c>
      <c r="J54" s="27" t="s">
        <v>461</v>
      </c>
      <c r="K54" s="38" t="s">
        <v>369</v>
      </c>
      <c r="L54" s="28" t="str">
        <f t="shared" si="1"/>
        <v>کامل</v>
      </c>
    </row>
    <row r="55" spans="1:12">
      <c r="A55" s="33">
        <v>51</v>
      </c>
      <c r="B55" s="34">
        <v>51</v>
      </c>
      <c r="C55" s="19" t="s">
        <v>477</v>
      </c>
      <c r="D55" s="20" t="s">
        <v>477</v>
      </c>
      <c r="E55" s="20" t="s">
        <v>231</v>
      </c>
      <c r="F55" s="20" t="s">
        <v>399</v>
      </c>
      <c r="G55" s="20" t="s">
        <v>331</v>
      </c>
      <c r="H55" s="20" t="s">
        <v>444</v>
      </c>
      <c r="I55" s="21">
        <v>802</v>
      </c>
      <c r="J55" s="27" t="s">
        <v>461</v>
      </c>
      <c r="K55" s="38" t="s">
        <v>369</v>
      </c>
      <c r="L55" s="28" t="str">
        <f t="shared" si="1"/>
        <v>کامل</v>
      </c>
    </row>
    <row r="56" spans="1:12">
      <c r="A56" s="33">
        <v>52</v>
      </c>
      <c r="B56" s="34">
        <v>52</v>
      </c>
      <c r="C56" s="19" t="s">
        <v>478</v>
      </c>
      <c r="D56" s="20" t="s">
        <v>478</v>
      </c>
      <c r="E56" s="20" t="s">
        <v>400</v>
      </c>
      <c r="F56" s="20" t="s">
        <v>401</v>
      </c>
      <c r="G56" s="20" t="s">
        <v>331</v>
      </c>
      <c r="H56" s="20" t="s">
        <v>445</v>
      </c>
      <c r="I56" s="21">
        <v>802</v>
      </c>
      <c r="J56" s="27" t="s">
        <v>461</v>
      </c>
      <c r="K56" s="38" t="s">
        <v>369</v>
      </c>
      <c r="L56" s="28" t="str">
        <f t="shared" si="1"/>
        <v>کامل</v>
      </c>
    </row>
    <row r="57" spans="1:12">
      <c r="A57" s="33">
        <v>53</v>
      </c>
      <c r="B57" s="34">
        <v>53</v>
      </c>
      <c r="C57" s="19" t="s">
        <v>479</v>
      </c>
      <c r="D57" s="20" t="s">
        <v>479</v>
      </c>
      <c r="E57" s="20" t="s">
        <v>255</v>
      </c>
      <c r="F57" s="20" t="s">
        <v>402</v>
      </c>
      <c r="G57" s="20" t="s">
        <v>331</v>
      </c>
      <c r="H57" s="20" t="s">
        <v>446</v>
      </c>
      <c r="I57" s="21">
        <v>802</v>
      </c>
      <c r="J57" s="27" t="s">
        <v>461</v>
      </c>
      <c r="K57" s="38" t="s">
        <v>369</v>
      </c>
      <c r="L57" s="28" t="str">
        <f t="shared" si="1"/>
        <v>کامل</v>
      </c>
    </row>
    <row r="58" spans="1:12">
      <c r="A58" s="33">
        <v>54</v>
      </c>
      <c r="B58" s="34">
        <v>54</v>
      </c>
      <c r="C58" s="19" t="s">
        <v>480</v>
      </c>
      <c r="D58" s="20" t="s">
        <v>480</v>
      </c>
      <c r="E58" s="20" t="s">
        <v>273</v>
      </c>
      <c r="F58" s="20" t="s">
        <v>403</v>
      </c>
      <c r="G58" s="20" t="s">
        <v>331</v>
      </c>
      <c r="H58" s="20" t="s">
        <v>447</v>
      </c>
      <c r="I58" s="21">
        <v>802</v>
      </c>
      <c r="J58" s="27" t="s">
        <v>461</v>
      </c>
      <c r="K58" s="38" t="s">
        <v>369</v>
      </c>
      <c r="L58" s="28" t="str">
        <f t="shared" si="1"/>
        <v>کامل</v>
      </c>
    </row>
    <row r="59" spans="1:12">
      <c r="A59" s="33">
        <v>55</v>
      </c>
      <c r="B59" s="34">
        <v>55</v>
      </c>
      <c r="C59" s="19" t="s">
        <v>481</v>
      </c>
      <c r="D59" s="20" t="s">
        <v>481</v>
      </c>
      <c r="E59" s="20" t="s">
        <v>404</v>
      </c>
      <c r="F59" s="20" t="s">
        <v>405</v>
      </c>
      <c r="G59" s="20" t="s">
        <v>331</v>
      </c>
      <c r="H59" s="20" t="s">
        <v>448</v>
      </c>
      <c r="I59" s="21">
        <v>802</v>
      </c>
      <c r="J59" s="27" t="s">
        <v>461</v>
      </c>
      <c r="K59" s="38" t="s">
        <v>369</v>
      </c>
      <c r="L59" s="28" t="str">
        <f t="shared" si="1"/>
        <v>کامل</v>
      </c>
    </row>
    <row r="60" spans="1:12">
      <c r="A60" s="33">
        <v>56</v>
      </c>
      <c r="B60" s="34">
        <v>56</v>
      </c>
      <c r="C60" s="19" t="s">
        <v>482</v>
      </c>
      <c r="D60" s="20" t="s">
        <v>482</v>
      </c>
      <c r="E60" s="20" t="s">
        <v>406</v>
      </c>
      <c r="F60" s="20" t="s">
        <v>407</v>
      </c>
      <c r="G60" s="20" t="s">
        <v>331</v>
      </c>
      <c r="H60" s="20" t="s">
        <v>449</v>
      </c>
      <c r="I60" s="21">
        <v>802</v>
      </c>
      <c r="J60" s="27" t="s">
        <v>461</v>
      </c>
      <c r="K60" s="38" t="s">
        <v>369</v>
      </c>
      <c r="L60" s="28" t="str">
        <f t="shared" si="1"/>
        <v>کامل</v>
      </c>
    </row>
    <row r="61" spans="1:12">
      <c r="A61" s="33">
        <v>57</v>
      </c>
      <c r="B61" s="34">
        <v>57</v>
      </c>
      <c r="C61" s="19" t="s">
        <v>483</v>
      </c>
      <c r="D61" s="20" t="s">
        <v>483</v>
      </c>
      <c r="E61" s="20" t="s">
        <v>408</v>
      </c>
      <c r="F61" s="20" t="s">
        <v>409</v>
      </c>
      <c r="G61" s="20" t="s">
        <v>331</v>
      </c>
      <c r="H61" s="20" t="s">
        <v>351</v>
      </c>
      <c r="I61" s="21">
        <v>802</v>
      </c>
      <c r="J61" s="27" t="s">
        <v>461</v>
      </c>
      <c r="K61" s="38" t="s">
        <v>369</v>
      </c>
      <c r="L61" s="28" t="str">
        <f t="shared" si="1"/>
        <v>کامل</v>
      </c>
    </row>
    <row r="62" spans="1:12">
      <c r="A62" s="33">
        <v>58</v>
      </c>
      <c r="B62" s="34">
        <v>58</v>
      </c>
      <c r="C62" s="19" t="s">
        <v>484</v>
      </c>
      <c r="D62" s="20" t="s">
        <v>484</v>
      </c>
      <c r="E62" s="20" t="s">
        <v>410</v>
      </c>
      <c r="F62" s="20" t="s">
        <v>411</v>
      </c>
      <c r="G62" s="20" t="s">
        <v>331</v>
      </c>
      <c r="H62" s="20" t="s">
        <v>450</v>
      </c>
      <c r="I62" s="21">
        <v>802</v>
      </c>
      <c r="J62" s="27" t="s">
        <v>461</v>
      </c>
      <c r="K62" s="38" t="s">
        <v>369</v>
      </c>
      <c r="L62" s="28" t="str">
        <f t="shared" si="1"/>
        <v>کامل</v>
      </c>
    </row>
    <row r="63" spans="1:12">
      <c r="A63" s="33">
        <v>59</v>
      </c>
      <c r="B63" s="34">
        <v>59</v>
      </c>
      <c r="C63" s="19" t="s">
        <v>485</v>
      </c>
      <c r="D63" s="20" t="s">
        <v>485</v>
      </c>
      <c r="E63" s="20" t="s">
        <v>412</v>
      </c>
      <c r="F63" s="20" t="s">
        <v>413</v>
      </c>
      <c r="G63" s="20" t="s">
        <v>331</v>
      </c>
      <c r="H63" s="20" t="s">
        <v>451</v>
      </c>
      <c r="I63" s="21">
        <v>802</v>
      </c>
      <c r="J63" s="27" t="s">
        <v>461</v>
      </c>
      <c r="K63" s="38" t="s">
        <v>369</v>
      </c>
      <c r="L63" s="28" t="str">
        <f t="shared" si="1"/>
        <v>کامل</v>
      </c>
    </row>
    <row r="64" spans="1:12">
      <c r="A64" s="33">
        <v>60</v>
      </c>
      <c r="B64" s="34">
        <v>60</v>
      </c>
      <c r="C64" s="19" t="s">
        <v>486</v>
      </c>
      <c r="D64" s="20" t="s">
        <v>486</v>
      </c>
      <c r="E64" s="20" t="s">
        <v>414</v>
      </c>
      <c r="F64" s="20" t="s">
        <v>415</v>
      </c>
      <c r="G64" s="20" t="s">
        <v>331</v>
      </c>
      <c r="H64" s="20" t="s">
        <v>452</v>
      </c>
      <c r="I64" s="21">
        <v>802</v>
      </c>
      <c r="J64" s="27" t="s">
        <v>461</v>
      </c>
      <c r="K64" s="38" t="s">
        <v>369</v>
      </c>
      <c r="L64" s="28" t="str">
        <f t="shared" si="1"/>
        <v>کامل</v>
      </c>
    </row>
    <row r="65" spans="1:12">
      <c r="A65" s="33">
        <v>61</v>
      </c>
      <c r="B65" s="34">
        <v>61</v>
      </c>
      <c r="C65" s="19" t="s">
        <v>487</v>
      </c>
      <c r="D65" s="20" t="s">
        <v>487</v>
      </c>
      <c r="E65" s="20" t="s">
        <v>416</v>
      </c>
      <c r="F65" s="20" t="s">
        <v>417</v>
      </c>
      <c r="G65" s="20" t="s">
        <v>331</v>
      </c>
      <c r="H65" s="20" t="s">
        <v>453</v>
      </c>
      <c r="I65" s="21">
        <v>802</v>
      </c>
      <c r="J65" s="27" t="s">
        <v>461</v>
      </c>
      <c r="K65" s="38" t="s">
        <v>369</v>
      </c>
      <c r="L65" s="28" t="str">
        <f t="shared" si="1"/>
        <v>کامل</v>
      </c>
    </row>
    <row r="66" spans="1:12">
      <c r="A66" s="33">
        <v>62</v>
      </c>
      <c r="B66" s="34">
        <v>62</v>
      </c>
      <c r="C66" s="19" t="s">
        <v>488</v>
      </c>
      <c r="D66" s="20" t="s">
        <v>488</v>
      </c>
      <c r="E66" s="20" t="s">
        <v>418</v>
      </c>
      <c r="F66" s="20" t="s">
        <v>419</v>
      </c>
      <c r="G66" s="20" t="s">
        <v>331</v>
      </c>
      <c r="H66" s="20" t="s">
        <v>454</v>
      </c>
      <c r="I66" s="21">
        <v>802</v>
      </c>
      <c r="J66" s="27" t="s">
        <v>461</v>
      </c>
      <c r="K66" s="38" t="s">
        <v>369</v>
      </c>
      <c r="L66" s="28" t="str">
        <f t="shared" si="1"/>
        <v>کامل</v>
      </c>
    </row>
    <row r="67" spans="1:12">
      <c r="A67" s="33">
        <v>63</v>
      </c>
      <c r="B67" s="34">
        <v>63</v>
      </c>
      <c r="C67" s="19" t="s">
        <v>489</v>
      </c>
      <c r="D67" s="20" t="s">
        <v>489</v>
      </c>
      <c r="E67" s="20" t="s">
        <v>273</v>
      </c>
      <c r="F67" s="20" t="s">
        <v>420</v>
      </c>
      <c r="G67" s="20" t="s">
        <v>331</v>
      </c>
      <c r="H67" s="20" t="s">
        <v>455</v>
      </c>
      <c r="I67" s="21">
        <v>802</v>
      </c>
      <c r="J67" s="27" t="s">
        <v>461</v>
      </c>
      <c r="K67" s="38" t="s">
        <v>369</v>
      </c>
      <c r="L67" s="28" t="str">
        <f t="shared" si="1"/>
        <v>کامل</v>
      </c>
    </row>
    <row r="68" spans="1:12">
      <c r="A68" s="33">
        <v>64</v>
      </c>
      <c r="B68" s="34">
        <v>64</v>
      </c>
      <c r="C68" s="19" t="s">
        <v>490</v>
      </c>
      <c r="D68" s="20">
        <v>970811012</v>
      </c>
      <c r="E68" s="20" t="s">
        <v>233</v>
      </c>
      <c r="F68" s="20" t="s">
        <v>421</v>
      </c>
      <c r="G68" s="20" t="s">
        <v>331</v>
      </c>
      <c r="H68" s="20" t="s">
        <v>456</v>
      </c>
      <c r="I68" s="21">
        <v>802</v>
      </c>
      <c r="J68" s="27" t="s">
        <v>461</v>
      </c>
      <c r="K68" s="38" t="s">
        <v>369</v>
      </c>
      <c r="L68" s="28" t="str">
        <f t="shared" si="1"/>
        <v>کامل</v>
      </c>
    </row>
    <row r="69" spans="1:12">
      <c r="A69" s="33">
        <v>65</v>
      </c>
      <c r="B69" s="34">
        <v>65</v>
      </c>
      <c r="C69" s="19" t="s">
        <v>491</v>
      </c>
      <c r="D69" s="20" t="s">
        <v>491</v>
      </c>
      <c r="E69" s="20" t="s">
        <v>422</v>
      </c>
      <c r="F69" s="20" t="s">
        <v>423</v>
      </c>
      <c r="G69" s="20" t="s">
        <v>331</v>
      </c>
      <c r="H69" s="20" t="s">
        <v>334</v>
      </c>
      <c r="I69" s="21">
        <v>802</v>
      </c>
      <c r="J69" s="27" t="s">
        <v>461</v>
      </c>
      <c r="K69" s="38" t="s">
        <v>369</v>
      </c>
      <c r="L69" s="28" t="str">
        <f t="shared" ref="L69:L104" si="2">IF(COUNTA(C69:I69)=0,"",IF(AND(LEN(C69)=10,D69&lt;&gt;"",E69&lt;&gt;"",F69&lt;&gt;"",G69&lt;&gt;"",H69&lt;&gt;"",I69&lt;&gt;""),"کامل","ناقص"))</f>
        <v>کامل</v>
      </c>
    </row>
    <row r="70" spans="1:12">
      <c r="A70" s="33">
        <v>66</v>
      </c>
      <c r="B70" s="34">
        <v>66</v>
      </c>
      <c r="C70" s="19" t="s">
        <v>492</v>
      </c>
      <c r="D70" s="20" t="s">
        <v>492</v>
      </c>
      <c r="E70" s="20" t="s">
        <v>424</v>
      </c>
      <c r="F70" s="20" t="s">
        <v>425</v>
      </c>
      <c r="G70" s="20" t="s">
        <v>331</v>
      </c>
      <c r="H70" s="20" t="s">
        <v>457</v>
      </c>
      <c r="I70" s="21">
        <v>802</v>
      </c>
      <c r="J70" s="27" t="s">
        <v>461</v>
      </c>
      <c r="K70" s="38" t="s">
        <v>369</v>
      </c>
      <c r="L70" s="28" t="str">
        <f t="shared" si="2"/>
        <v>کامل</v>
      </c>
    </row>
    <row r="71" spans="1:12">
      <c r="A71" s="33">
        <v>67</v>
      </c>
      <c r="B71" s="34">
        <v>67</v>
      </c>
      <c r="C71" s="19" t="s">
        <v>493</v>
      </c>
      <c r="D71" s="20" t="s">
        <v>493</v>
      </c>
      <c r="E71" s="20" t="s">
        <v>426</v>
      </c>
      <c r="F71" s="20" t="s">
        <v>427</v>
      </c>
      <c r="G71" s="20" t="s">
        <v>331</v>
      </c>
      <c r="H71" s="20" t="s">
        <v>458</v>
      </c>
      <c r="I71" s="21">
        <v>802</v>
      </c>
      <c r="J71" s="27" t="s">
        <v>461</v>
      </c>
      <c r="K71" s="38" t="s">
        <v>369</v>
      </c>
      <c r="L71" s="28" t="str">
        <f t="shared" si="2"/>
        <v>کامل</v>
      </c>
    </row>
    <row r="72" spans="1:12">
      <c r="A72" s="33">
        <v>68</v>
      </c>
      <c r="B72" s="34">
        <v>68</v>
      </c>
      <c r="C72" s="19" t="s">
        <v>494</v>
      </c>
      <c r="D72" s="20" t="s">
        <v>494</v>
      </c>
      <c r="E72" s="20" t="s">
        <v>273</v>
      </c>
      <c r="F72" s="20" t="s">
        <v>428</v>
      </c>
      <c r="G72" s="20" t="s">
        <v>331</v>
      </c>
      <c r="H72" s="20" t="s">
        <v>459</v>
      </c>
      <c r="I72" s="21">
        <v>802</v>
      </c>
      <c r="J72" s="27" t="s">
        <v>461</v>
      </c>
      <c r="K72" s="38" t="s">
        <v>369</v>
      </c>
      <c r="L72" s="28" t="str">
        <f t="shared" si="2"/>
        <v>کامل</v>
      </c>
    </row>
    <row r="73" spans="1:12">
      <c r="A73" s="33">
        <v>69</v>
      </c>
      <c r="B73" s="34">
        <v>69</v>
      </c>
      <c r="C73" s="19" t="s">
        <v>495</v>
      </c>
      <c r="D73" s="20" t="s">
        <v>495</v>
      </c>
      <c r="E73" s="20" t="s">
        <v>429</v>
      </c>
      <c r="F73" s="20" t="s">
        <v>430</v>
      </c>
      <c r="G73" s="20" t="s">
        <v>331</v>
      </c>
      <c r="H73" s="20" t="s">
        <v>460</v>
      </c>
      <c r="I73" s="21">
        <v>802</v>
      </c>
      <c r="J73" s="27" t="s">
        <v>461</v>
      </c>
      <c r="K73" s="38" t="s">
        <v>369</v>
      </c>
      <c r="L73" s="28" t="str">
        <f t="shared" si="2"/>
        <v>کامل</v>
      </c>
    </row>
    <row r="74" spans="1:12">
      <c r="A74" s="33">
        <v>70</v>
      </c>
      <c r="B74" s="34">
        <v>70</v>
      </c>
      <c r="C74" s="19"/>
      <c r="D74" s="20"/>
      <c r="E74" s="20"/>
      <c r="F74" s="20"/>
      <c r="G74" s="20"/>
      <c r="H74" s="20"/>
      <c r="I74" s="21"/>
      <c r="J74" s="27"/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>
      <c r="A75" s="33">
        <v>71</v>
      </c>
      <c r="B75" s="34">
        <v>71</v>
      </c>
      <c r="C75" s="19"/>
      <c r="D75" s="20"/>
      <c r="E75" s="20"/>
      <c r="F75" s="20"/>
      <c r="G75" s="20"/>
      <c r="H75" s="20"/>
      <c r="I75" s="21"/>
      <c r="J75" s="27"/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>
      <c r="A76" s="33">
        <v>72</v>
      </c>
      <c r="B76" s="34">
        <v>72</v>
      </c>
      <c r="C76" s="19"/>
      <c r="D76" s="20"/>
      <c r="E76" s="20"/>
      <c r="F76" s="20"/>
      <c r="G76" s="20"/>
      <c r="H76" s="20"/>
      <c r="I76" s="21"/>
      <c r="J76" s="27"/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>
      <c r="A77" s="33">
        <v>73</v>
      </c>
      <c r="B77" s="34">
        <v>73</v>
      </c>
      <c r="C77" s="19"/>
      <c r="D77" s="20"/>
      <c r="E77" s="20"/>
      <c r="F77" s="20"/>
      <c r="G77" s="20"/>
      <c r="H77" s="20"/>
      <c r="I77" s="21"/>
      <c r="J77" s="27"/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>
      <c r="A78" s="33">
        <v>74</v>
      </c>
      <c r="B78" s="34">
        <v>74</v>
      </c>
      <c r="C78" s="19"/>
      <c r="D78" s="20"/>
      <c r="E78" s="20"/>
      <c r="F78" s="20"/>
      <c r="G78" s="20"/>
      <c r="H78" s="20"/>
      <c r="I78" s="21"/>
      <c r="J78" s="27"/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>
      <c r="A79" s="33">
        <v>75</v>
      </c>
      <c r="B79" s="34">
        <v>75</v>
      </c>
      <c r="C79" s="19"/>
      <c r="D79" s="20"/>
      <c r="E79" s="20"/>
      <c r="F79" s="20"/>
      <c r="G79" s="20"/>
      <c r="H79" s="20"/>
      <c r="I79" s="21"/>
      <c r="J79" s="27"/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>
      <c r="A80" s="33">
        <v>76</v>
      </c>
      <c r="B80" s="34">
        <v>76</v>
      </c>
      <c r="C80" s="19"/>
      <c r="D80" s="20"/>
      <c r="E80" s="20"/>
      <c r="F80" s="20"/>
      <c r="G80" s="20"/>
      <c r="H80" s="20"/>
      <c r="I80" s="21"/>
      <c r="J80" s="27"/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>
      <c r="A81" s="33">
        <v>77</v>
      </c>
      <c r="B81" s="34">
        <v>77</v>
      </c>
      <c r="C81" s="19"/>
      <c r="D81" s="20"/>
      <c r="E81" s="20"/>
      <c r="F81" s="20"/>
      <c r="G81" s="20"/>
      <c r="H81" s="20"/>
      <c r="I81" s="21"/>
      <c r="J81" s="27"/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/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>
      <c r="A83" s="33">
        <v>79</v>
      </c>
      <c r="B83" s="34">
        <v>79</v>
      </c>
      <c r="C83" s="19"/>
      <c r="D83" s="20"/>
      <c r="E83" s="20"/>
      <c r="F83" s="20"/>
      <c r="G83" s="20"/>
      <c r="H83" s="20"/>
      <c r="I83" s="21"/>
      <c r="J83" s="27"/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/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>
      <c r="A85" s="33">
        <v>81</v>
      </c>
      <c r="B85" s="34">
        <v>81</v>
      </c>
      <c r="C85" s="19"/>
      <c r="D85" s="20"/>
      <c r="E85" s="20"/>
      <c r="F85" s="20"/>
      <c r="G85" s="20"/>
      <c r="H85" s="20"/>
      <c r="I85" s="21"/>
      <c r="J85" s="27"/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/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/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/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/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/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/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/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/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/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/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/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/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/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/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/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/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/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3">
        <v>99</v>
      </c>
      <c r="B103" s="34">
        <v>99</v>
      </c>
      <c r="C103" s="19"/>
      <c r="D103" s="20"/>
      <c r="E103" s="20"/>
      <c r="F103" s="20"/>
      <c r="G103" s="20"/>
      <c r="H103" s="20"/>
      <c r="I103" s="21"/>
      <c r="J103" s="27"/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>
      <c r="A104" s="35">
        <v>100</v>
      </c>
      <c r="B104" s="36">
        <v>100</v>
      </c>
      <c r="C104" s="22"/>
      <c r="D104" s="23"/>
      <c r="E104" s="23"/>
      <c r="F104" s="23"/>
      <c r="G104" s="20"/>
      <c r="H104" s="23"/>
      <c r="I104" s="21"/>
      <c r="J104" s="27"/>
      <c r="K104" s="38" t="str">
        <f>IF(I104="","",IFERROR(INDEX(کلاس‌بندی!$F$5:$F$34,MATCH(I104,کلاس‌بندی!$D$5:$D$34,0)),""))</f>
        <v/>
      </c>
      <c r="L104" s="30" t="str">
        <f t="shared" si="2"/>
        <v/>
      </c>
    </row>
  </sheetData>
  <mergeCells count="2">
    <mergeCell ref="A1:L1"/>
    <mergeCell ref="A2:L2"/>
  </mergeCells>
  <dataValidations count="1">
    <dataValidation type="list" sqref="G5:G104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کلاس‌بندی!$D$5:$D$34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106" t="s">
        <v>59</v>
      </c>
      <c r="B1" s="107"/>
      <c r="C1" s="107"/>
      <c r="D1" s="107"/>
      <c r="E1" s="107"/>
      <c r="F1" s="107"/>
    </row>
    <row r="2" spans="1:6" ht="32.1" customHeight="1">
      <c r="A2" s="108" t="s">
        <v>60</v>
      </c>
      <c r="B2" s="107"/>
      <c r="C2" s="107"/>
      <c r="D2" s="107"/>
      <c r="E2" s="107"/>
      <c r="F2" s="107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106" t="s">
        <v>104</v>
      </c>
      <c r="B1" s="107"/>
      <c r="C1" s="107"/>
      <c r="D1" s="107"/>
    </row>
    <row r="2" spans="1:4" ht="32.1" customHeight="1">
      <c r="A2" s="108" t="s">
        <v>105</v>
      </c>
      <c r="B2" s="107"/>
      <c r="C2" s="107"/>
      <c r="D2" s="107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P1204"/>
  <sheetViews>
    <sheetView showGridLines="0" rightToLeft="1" topLeftCell="B1" zoomScale="55" zoomScaleNormal="55" workbookViewId="0">
      <pane ySplit="6" topLeftCell="A403" activePane="bottomLeft" state="frozen"/>
      <selection pane="bottomLeft" activeCell="CI103" sqref="CI103:CI115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106" t="s">
        <v>119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</row>
    <row r="2" spans="1:94" ht="32.1" customHeight="1">
      <c r="A2" s="108" t="s">
        <v>120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0960551832</v>
      </c>
      <c r="E5" s="54" t="str">
        <f>IF(دانش‌آموزان!E5="","",دانش‌آموزان!E5&amp;" "&amp;دانش‌آموزان!F5)</f>
        <v>پارسا ادياني راد</v>
      </c>
      <c r="F5" s="32">
        <f>IF(دانش‌آموزان!I5="","",دانش‌آموزان!I5)</f>
        <v>801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0960551832</v>
      </c>
      <c r="E6" s="55" t="str">
        <f>IF(دانش‌آموزان!E5="","",دانش‌آموزان!E5&amp;" "&amp;دانش‌آموزان!F5)</f>
        <v>پارسا ادياني راد</v>
      </c>
      <c r="F6" s="34">
        <f>IF(دانش‌آموزان!I5="","",دانش‌آموزان!I5)</f>
        <v>801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0960551832</v>
      </c>
      <c r="E7" s="55" t="str">
        <f>IF(دانش‌آموزان!E5="","",دانش‌آموزان!E5&amp;" "&amp;دانش‌آموزان!F5)</f>
        <v>پارسا ادياني راد</v>
      </c>
      <c r="F7" s="34">
        <f>IF(دانش‌آموزان!I5="","",دانش‌آموزان!I5)</f>
        <v>801</v>
      </c>
      <c r="G7" s="19">
        <v>19.399999999999999</v>
      </c>
      <c r="H7" s="20" t="s">
        <v>371</v>
      </c>
      <c r="I7" s="20">
        <v>5</v>
      </c>
      <c r="J7" s="20">
        <v>5</v>
      </c>
      <c r="K7" s="20">
        <v>5</v>
      </c>
      <c r="L7" s="20">
        <v>5</v>
      </c>
      <c r="M7" s="20">
        <v>5</v>
      </c>
      <c r="N7" s="20">
        <v>5</v>
      </c>
      <c r="O7" s="20">
        <v>5</v>
      </c>
      <c r="P7" s="20">
        <v>5</v>
      </c>
      <c r="Q7" s="20">
        <v>5</v>
      </c>
      <c r="R7" s="20">
        <v>5</v>
      </c>
      <c r="S7" s="20">
        <v>5</v>
      </c>
      <c r="T7" s="20">
        <v>5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5</v>
      </c>
      <c r="AB7" s="20">
        <v>5</v>
      </c>
      <c r="AC7" s="20">
        <v>5</v>
      </c>
      <c r="AD7" s="20" t="s">
        <v>371</v>
      </c>
      <c r="AE7" s="20" t="s">
        <v>371</v>
      </c>
      <c r="AF7" s="20" t="s">
        <v>371</v>
      </c>
      <c r="AG7" s="20" t="s">
        <v>371</v>
      </c>
      <c r="AH7" s="20" t="s">
        <v>371</v>
      </c>
      <c r="AI7" s="20" t="s">
        <v>371</v>
      </c>
      <c r="AJ7" s="20">
        <v>5</v>
      </c>
      <c r="AK7" s="20">
        <v>5</v>
      </c>
      <c r="AL7" s="20">
        <v>5</v>
      </c>
      <c r="AM7" s="20">
        <v>5</v>
      </c>
      <c r="AN7" s="20">
        <v>5</v>
      </c>
      <c r="AO7" s="20">
        <v>5</v>
      </c>
      <c r="AP7" s="20">
        <v>5</v>
      </c>
      <c r="AQ7" s="20" t="s">
        <v>371</v>
      </c>
      <c r="AR7" s="20" t="s">
        <v>371</v>
      </c>
      <c r="AS7" s="20" t="s">
        <v>371</v>
      </c>
      <c r="AT7" s="20" t="s">
        <v>371</v>
      </c>
      <c r="AU7" s="20" t="s">
        <v>371</v>
      </c>
      <c r="AV7" s="20" t="s">
        <v>371</v>
      </c>
      <c r="AW7" s="20" t="s">
        <v>371</v>
      </c>
      <c r="AX7" s="20" t="s">
        <v>371</v>
      </c>
      <c r="AY7" s="20" t="s">
        <v>371</v>
      </c>
      <c r="AZ7" s="20" t="s">
        <v>371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28.228571428571428</v>
      </c>
      <c r="CD7" s="38">
        <f t="shared" si="1"/>
        <v>20</v>
      </c>
      <c r="CE7" s="38">
        <f t="shared" si="2"/>
        <v>20</v>
      </c>
      <c r="CF7" s="38">
        <f t="shared" si="3"/>
        <v>20</v>
      </c>
      <c r="CG7" s="38">
        <f t="shared" si="4"/>
        <v>20</v>
      </c>
      <c r="CH7" s="38" t="str">
        <f t="shared" si="5"/>
        <v/>
      </c>
      <c r="CI7" s="38">
        <f t="shared" si="6"/>
        <v>20</v>
      </c>
      <c r="CJ7" s="38" t="str">
        <f t="shared" si="7"/>
        <v/>
      </c>
      <c r="CK7" s="38" t="str">
        <f t="shared" si="8"/>
        <v/>
      </c>
      <c r="CL7" s="38" t="str">
        <f>IF(C7="","",IF(COUNT(G7:AZ7)&lt;46,"",SUMPRODUCT(CC7:CK7,'تنظیمات وزن‌دهی'!$C$5:$C$13)/100))</f>
        <v/>
      </c>
      <c r="CM7" s="38" t="str">
        <f t="shared" si="9"/>
        <v>موقت - اطلاعات ناقص</v>
      </c>
      <c r="CN7" s="38">
        <v>3</v>
      </c>
      <c r="CO7" s="28">
        <f t="shared" si="10"/>
        <v>0.63043478260869568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0960551832</v>
      </c>
      <c r="E8" s="55" t="str">
        <f>IF(دانش‌آموزان!E5="","",دانش‌آموزان!E5&amp;" "&amp;دانش‌آموزان!F5)</f>
        <v>پارسا ادياني راد</v>
      </c>
      <c r="F8" s="34">
        <f>IF(دانش‌آموزان!I5="","",دانش‌آموزان!I5)</f>
        <v>801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0960551832</v>
      </c>
      <c r="E9" s="55" t="str">
        <f>IF(دانش‌آموزان!E5="","",دانش‌آموزان!E5&amp;" "&amp;دانش‌آموزان!F5)</f>
        <v>پارسا ادياني راد</v>
      </c>
      <c r="F9" s="34">
        <f>IF(دانش‌آموزان!I5="","",دانش‌آموزان!I5)</f>
        <v>801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0960551832</v>
      </c>
      <c r="E10" s="55" t="str">
        <f>IF(دانش‌آموزان!E5="","",دانش‌آموزان!E5&amp;" "&amp;دانش‌آموزان!F5)</f>
        <v>پارسا ادياني راد</v>
      </c>
      <c r="F10" s="34">
        <f>IF(دانش‌آموزان!I5="","",دانش‌آموزان!I5)</f>
        <v>801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0960551832</v>
      </c>
      <c r="E11" s="55" t="str">
        <f>IF(دانش‌آموزان!E5="","",دانش‌آموزان!E5&amp;" "&amp;دانش‌آموزان!F5)</f>
        <v>پارسا ادياني راد</v>
      </c>
      <c r="F11" s="34">
        <f>IF(دانش‌آموزان!I5="","",دانش‌آموزان!I5)</f>
        <v>801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0960551832</v>
      </c>
      <c r="E12" s="55" t="str">
        <f>IF(دانش‌آموزان!E5="","",دانش‌آموزان!E5&amp;" "&amp;دانش‌آموزان!F5)</f>
        <v>پارسا ادياني راد</v>
      </c>
      <c r="F12" s="34">
        <f>IF(دانش‌آموزان!I5="","",دانش‌آموزان!I5)</f>
        <v>801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0960551832</v>
      </c>
      <c r="E13" s="55" t="str">
        <f>IF(دانش‌آموزان!E5="","",دانش‌آموزان!E5&amp;" "&amp;دانش‌آموزان!F5)</f>
        <v>پارسا ادياني راد</v>
      </c>
      <c r="F13" s="34">
        <f>IF(دانش‌آموزان!I5="","",دانش‌آموزان!I5)</f>
        <v>801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0960551832</v>
      </c>
      <c r="E14" s="55" t="str">
        <f>IF(دانش‌آموزان!E5="","",دانش‌آموزان!E5&amp;" "&amp;دانش‌آموزان!F5)</f>
        <v>پارسا ادياني راد</v>
      </c>
      <c r="F14" s="34">
        <f>IF(دانش‌آموزان!I5="","",دانش‌آموزان!I5)</f>
        <v>801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0960551832</v>
      </c>
      <c r="E15" s="55" t="str">
        <f>IF(دانش‌آموزان!E5="","",دانش‌آموزان!E5&amp;" "&amp;دانش‌آموزان!F5)</f>
        <v>پارسا ادياني راد</v>
      </c>
      <c r="F15" s="34">
        <f>IF(دانش‌آموزان!I5="","",دانش‌آموزان!I5)</f>
        <v>801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0960551832</v>
      </c>
      <c r="E16" s="55" t="str">
        <f>IF(دانش‌آموزان!E5="","",دانش‌آموزان!E5&amp;" "&amp;دانش‌آموزان!F5)</f>
        <v>پارسا ادياني راد</v>
      </c>
      <c r="F16" s="34">
        <f>IF(دانش‌آموزان!I5="","",دانش‌آموزان!I5)</f>
        <v>801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0960568107</v>
      </c>
      <c r="E17" s="55" t="str">
        <f>IF(دانش‌آموزان!E6="","",دانش‌آموزان!E6&amp;" "&amp;دانش‌آموزان!F6)</f>
        <v>علي اصغرزاده</v>
      </c>
      <c r="F17" s="34">
        <f>IF(دانش‌آموزان!I6="","",دانش‌آموزان!I6)</f>
        <v>801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0960568107</v>
      </c>
      <c r="E18" s="55" t="str">
        <f>IF(دانش‌آموزان!E6="","",دانش‌آموزان!E6&amp;" "&amp;دانش‌آموزان!F6)</f>
        <v>علي اصغرزاده</v>
      </c>
      <c r="F18" s="34">
        <f>IF(دانش‌آموزان!I6="","",دانش‌آموزان!I6)</f>
        <v>801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5.75" thickBot="1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0960568107</v>
      </c>
      <c r="E19" s="55" t="str">
        <f>IF(دانش‌آموزان!E6="","",دانش‌آموزان!E6&amp;" "&amp;دانش‌آموزان!F6)</f>
        <v>علي اصغرزاده</v>
      </c>
      <c r="F19" s="34">
        <f>IF(دانش‌آموزان!I6="","",دانش‌آموزان!I6)</f>
        <v>801</v>
      </c>
      <c r="G19" s="71">
        <v>18.329999999999998</v>
      </c>
      <c r="H19" s="20">
        <v>-10.329999999999998</v>
      </c>
      <c r="I19" s="20">
        <v>4</v>
      </c>
      <c r="J19" s="20">
        <v>5</v>
      </c>
      <c r="K19" s="20">
        <v>5</v>
      </c>
      <c r="L19" s="20">
        <v>5</v>
      </c>
      <c r="M19" s="20">
        <v>5</v>
      </c>
      <c r="N19" s="20">
        <v>5</v>
      </c>
      <c r="O19" s="20">
        <v>5</v>
      </c>
      <c r="P19" s="20">
        <v>5</v>
      </c>
      <c r="Q19" s="20">
        <v>5</v>
      </c>
      <c r="R19" s="20">
        <v>5</v>
      </c>
      <c r="S19" s="20">
        <v>5</v>
      </c>
      <c r="T19" s="20">
        <v>5</v>
      </c>
      <c r="U19" s="20">
        <v>5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5</v>
      </c>
      <c r="AB19" s="20">
        <v>5</v>
      </c>
      <c r="AC19" s="20">
        <v>5</v>
      </c>
      <c r="AD19" s="20" t="s">
        <v>371</v>
      </c>
      <c r="AE19" s="20" t="s">
        <v>371</v>
      </c>
      <c r="AF19" s="20" t="s">
        <v>371</v>
      </c>
      <c r="AG19" s="20" t="s">
        <v>371</v>
      </c>
      <c r="AH19" s="20" t="s">
        <v>371</v>
      </c>
      <c r="AI19" s="20" t="s">
        <v>371</v>
      </c>
      <c r="AJ19" s="20">
        <v>5</v>
      </c>
      <c r="AK19" s="20">
        <v>5</v>
      </c>
      <c r="AL19" s="20">
        <v>5</v>
      </c>
      <c r="AM19" s="20">
        <v>5</v>
      </c>
      <c r="AN19" s="20">
        <v>5</v>
      </c>
      <c r="AO19" s="20">
        <v>5</v>
      </c>
      <c r="AP19" s="20">
        <v>5</v>
      </c>
      <c r="AQ19" s="20" t="s">
        <v>371</v>
      </c>
      <c r="AR19" s="20" t="s">
        <v>371</v>
      </c>
      <c r="AS19" s="20" t="s">
        <v>371</v>
      </c>
      <c r="AT19" s="20" t="s">
        <v>371</v>
      </c>
      <c r="AU19" s="20" t="s">
        <v>371</v>
      </c>
      <c r="AV19" s="20" t="s">
        <v>371</v>
      </c>
      <c r="AW19" s="20" t="s">
        <v>371</v>
      </c>
      <c r="AX19" s="20" t="s">
        <v>371</v>
      </c>
      <c r="AY19" s="20" t="s">
        <v>371</v>
      </c>
      <c r="AZ19" s="20" t="s">
        <v>371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18.5</v>
      </c>
      <c r="CD19" s="38">
        <f t="shared" si="1"/>
        <v>20</v>
      </c>
      <c r="CE19" s="38">
        <f t="shared" si="2"/>
        <v>20</v>
      </c>
      <c r="CF19" s="38">
        <f t="shared" si="3"/>
        <v>20</v>
      </c>
      <c r="CG19" s="38">
        <f t="shared" si="4"/>
        <v>20</v>
      </c>
      <c r="CH19" s="38" t="str">
        <f t="shared" si="5"/>
        <v/>
      </c>
      <c r="CI19" s="38">
        <f t="shared" si="6"/>
        <v>20</v>
      </c>
      <c r="CJ19" s="38" t="str">
        <f t="shared" si="7"/>
        <v/>
      </c>
      <c r="CK19" s="38" t="str">
        <f t="shared" si="8"/>
        <v/>
      </c>
      <c r="CL19" s="38" t="str">
        <f>IF(C19="","",IF(COUNT(G19:AZ19)&lt;46,"",SUMPRODUCT(CC19:CK19,'تنظیمات وزن‌دهی'!$C$5:$C$13)/100))</f>
        <v/>
      </c>
      <c r="CM19" s="38" t="str">
        <f t="shared" si="9"/>
        <v>موقت - اطلاعات ناقص</v>
      </c>
      <c r="CN19" s="38">
        <v>3</v>
      </c>
      <c r="CO19" s="28">
        <f t="shared" si="10"/>
        <v>0.65217391304347827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0960568107</v>
      </c>
      <c r="E20" s="55" t="str">
        <f>IF(دانش‌آموزان!E6="","",دانش‌آموزان!E6&amp;" "&amp;دانش‌آموزان!F6)</f>
        <v>علي اصغرزاده</v>
      </c>
      <c r="F20" s="34">
        <f>IF(دانش‌آموزان!I6="","",دانش‌آموزان!I6)</f>
        <v>801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0960568107</v>
      </c>
      <c r="E21" s="55" t="str">
        <f>IF(دانش‌آموزان!E6="","",دانش‌آموزان!E6&amp;" "&amp;دانش‌آموزان!F6)</f>
        <v>علي اصغرزاده</v>
      </c>
      <c r="F21" s="34">
        <f>IF(دانش‌آموزان!I6="","",دانش‌آموزان!I6)</f>
        <v>801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0960568107</v>
      </c>
      <c r="E22" s="55" t="str">
        <f>IF(دانش‌آموزان!E6="","",دانش‌آموزان!E6&amp;" "&amp;دانش‌آموزان!F6)</f>
        <v>علي اصغرزاده</v>
      </c>
      <c r="F22" s="34">
        <f>IF(دانش‌آموزان!I6="","",دانش‌آموزان!I6)</f>
        <v>801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0960568107</v>
      </c>
      <c r="E23" s="55" t="str">
        <f>IF(دانش‌آموزان!E6="","",دانش‌آموزان!E6&amp;" "&amp;دانش‌آموزان!F6)</f>
        <v>علي اصغرزاده</v>
      </c>
      <c r="F23" s="34">
        <f>IF(دانش‌آموزان!I6="","",دانش‌آموزان!I6)</f>
        <v>801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0960568107</v>
      </c>
      <c r="E24" s="55" t="str">
        <f>IF(دانش‌آموزان!E6="","",دانش‌آموزان!E6&amp;" "&amp;دانش‌آموزان!F6)</f>
        <v>علي اصغرزاده</v>
      </c>
      <c r="F24" s="34">
        <f>IF(دانش‌آموزان!I6="","",دانش‌آموزان!I6)</f>
        <v>801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0960568107</v>
      </c>
      <c r="E25" s="55" t="str">
        <f>IF(دانش‌آموزان!E6="","",دانش‌آموزان!E6&amp;" "&amp;دانش‌آموزان!F6)</f>
        <v>علي اصغرزاده</v>
      </c>
      <c r="F25" s="34">
        <f>IF(دانش‌آموزان!I6="","",دانش‌آموزان!I6)</f>
        <v>801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0960568107</v>
      </c>
      <c r="E26" s="55" t="str">
        <f>IF(دانش‌آموزان!E6="","",دانش‌آموزان!E6&amp;" "&amp;دانش‌آموزان!F6)</f>
        <v>علي اصغرزاده</v>
      </c>
      <c r="F26" s="34">
        <f>IF(دانش‌آموزان!I6="","",دانش‌آموزان!I6)</f>
        <v>801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0960568107</v>
      </c>
      <c r="E27" s="55" t="str">
        <f>IF(دانش‌آموزان!E6="","",دانش‌آموزان!E6&amp;" "&amp;دانش‌آموزان!F6)</f>
        <v>علي اصغرزاده</v>
      </c>
      <c r="F27" s="34">
        <f>IF(دانش‌آموزان!I6="","",دانش‌آموزان!I6)</f>
        <v>801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0960568107</v>
      </c>
      <c r="E28" s="55" t="str">
        <f>IF(دانش‌آموزان!E6="","",دانش‌آموزان!E6&amp;" "&amp;دانش‌آموزان!F6)</f>
        <v>علي اصغرزاده</v>
      </c>
      <c r="F28" s="34">
        <f>IF(دانش‌آموزان!I6="","",دانش‌آموزان!I6)</f>
        <v>801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>
        <f>IF(دانش‌آموزان!C7="","",دانش‌آموزان!C7)</f>
        <v>94100017036</v>
      </c>
      <c r="E29" s="55" t="str">
        <f>IF(دانش‌آموزان!E7="","",دانش‌آموزان!E7&amp;" "&amp;دانش‌آموزان!F7)</f>
        <v>حسين السعداني</v>
      </c>
      <c r="F29" s="34">
        <f>IF(دانش‌آموزان!I7="","",دانش‌آموزان!I7)</f>
        <v>801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>
        <f>IF(دانش‌آموزان!C7="","",دانش‌آموزان!C7)</f>
        <v>94100017036</v>
      </c>
      <c r="E30" s="55" t="str">
        <f>IF(دانش‌آموزان!E7="","",دانش‌آموزان!E7&amp;" "&amp;دانش‌آموزان!F7)</f>
        <v>حسين السعداني</v>
      </c>
      <c r="F30" s="34">
        <f>IF(دانش‌آموزان!I7="","",دانش‌آموزان!I7)</f>
        <v>801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5">
      <c r="A31" s="33">
        <v>27</v>
      </c>
      <c r="B31" s="55" t="s">
        <v>185</v>
      </c>
      <c r="C31" s="55">
        <f>IF(دانش‌آموزان!E7="","",دانش‌آموزان!B7)</f>
        <v>3</v>
      </c>
      <c r="D31" s="55">
        <f>IF(دانش‌آموزان!C7="","",دانش‌آموزان!C7)</f>
        <v>94100017036</v>
      </c>
      <c r="E31" s="55" t="str">
        <f>IF(دانش‌آموزان!E7="","",دانش‌آموزان!E7&amp;" "&amp;دانش‌آموزان!F7)</f>
        <v>حسين السعداني</v>
      </c>
      <c r="F31" s="34">
        <f>IF(دانش‌آموزان!I7="","",دانش‌آموزان!I7)</f>
        <v>801</v>
      </c>
      <c r="G31" s="72">
        <v>19.829999999999998</v>
      </c>
      <c r="H31" s="20">
        <v>-7.8299999999999983</v>
      </c>
      <c r="I31" s="20">
        <v>5</v>
      </c>
      <c r="J31" s="20">
        <v>5</v>
      </c>
      <c r="K31" s="20">
        <v>5</v>
      </c>
      <c r="L31" s="20">
        <v>5</v>
      </c>
      <c r="M31" s="20">
        <v>5</v>
      </c>
      <c r="N31" s="20">
        <v>5</v>
      </c>
      <c r="O31" s="20">
        <v>5</v>
      </c>
      <c r="P31" s="20">
        <v>5</v>
      </c>
      <c r="Q31" s="20">
        <v>5</v>
      </c>
      <c r="R31" s="20">
        <v>5</v>
      </c>
      <c r="S31" s="20">
        <v>5</v>
      </c>
      <c r="T31" s="20">
        <v>5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 t="s">
        <v>371</v>
      </c>
      <c r="AE31" s="20" t="s">
        <v>371</v>
      </c>
      <c r="AF31" s="20" t="s">
        <v>371</v>
      </c>
      <c r="AG31" s="20" t="s">
        <v>371</v>
      </c>
      <c r="AH31" s="20" t="s">
        <v>371</v>
      </c>
      <c r="AI31" s="20" t="s">
        <v>371</v>
      </c>
      <c r="AJ31" s="20">
        <v>5</v>
      </c>
      <c r="AK31" s="20">
        <v>5</v>
      </c>
      <c r="AL31" s="20">
        <v>5</v>
      </c>
      <c r="AM31" s="20">
        <v>5</v>
      </c>
      <c r="AN31" s="20">
        <v>5</v>
      </c>
      <c r="AO31" s="20">
        <v>5</v>
      </c>
      <c r="AP31" s="20">
        <v>5</v>
      </c>
      <c r="AQ31" s="20" t="s">
        <v>371</v>
      </c>
      <c r="AR31" s="20" t="s">
        <v>371</v>
      </c>
      <c r="AS31" s="20" t="s">
        <v>371</v>
      </c>
      <c r="AT31" s="20" t="s">
        <v>371</v>
      </c>
      <c r="AU31" s="20" t="s">
        <v>371</v>
      </c>
      <c r="AV31" s="20" t="s">
        <v>371</v>
      </c>
      <c r="AW31" s="20" t="s">
        <v>371</v>
      </c>
      <c r="AX31" s="20" t="s">
        <v>371</v>
      </c>
      <c r="AY31" s="20" t="s">
        <v>371</v>
      </c>
      <c r="AZ31" s="20" t="s">
        <v>371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21</v>
      </c>
      <c r="CD31" s="38">
        <f t="shared" si="1"/>
        <v>20</v>
      </c>
      <c r="CE31" s="38">
        <f t="shared" si="2"/>
        <v>20</v>
      </c>
      <c r="CF31" s="38">
        <f t="shared" si="3"/>
        <v>20</v>
      </c>
      <c r="CG31" s="38">
        <f t="shared" si="4"/>
        <v>20</v>
      </c>
      <c r="CH31" s="38" t="str">
        <f t="shared" si="5"/>
        <v/>
      </c>
      <c r="CI31" s="38">
        <f t="shared" si="6"/>
        <v>20</v>
      </c>
      <c r="CJ31" s="38" t="str">
        <f t="shared" si="7"/>
        <v/>
      </c>
      <c r="CK31" s="38" t="str">
        <f t="shared" si="8"/>
        <v/>
      </c>
      <c r="CL31" s="38" t="str">
        <f>IF(C31="","",IF(COUNT(G31:AZ31)&lt;46,"",SUMPRODUCT(CC31:CK31,'تنظیمات وزن‌دهی'!$C$5:$C$13)/100))</f>
        <v/>
      </c>
      <c r="CM31" s="38" t="str">
        <f t="shared" si="9"/>
        <v>موقت - اطلاعات ناقص</v>
      </c>
      <c r="CN31" s="38">
        <v>3</v>
      </c>
      <c r="CO31" s="28">
        <f t="shared" si="10"/>
        <v>0.65217391304347827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>
        <f>IF(دانش‌آموزان!C7="","",دانش‌آموزان!C7)</f>
        <v>94100017036</v>
      </c>
      <c r="E32" s="55" t="str">
        <f>IF(دانش‌آموزان!E7="","",دانش‌آموزان!E7&amp;" "&amp;دانش‌آموزان!F7)</f>
        <v>حسين السعداني</v>
      </c>
      <c r="F32" s="34">
        <f>IF(دانش‌آموزان!I7="","",دانش‌آموزان!I7)</f>
        <v>801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>
        <f>IF(دانش‌آموزان!C7="","",دانش‌آموزان!C7)</f>
        <v>94100017036</v>
      </c>
      <c r="E33" s="55" t="str">
        <f>IF(دانش‌آموزان!E7="","",دانش‌آموزان!E7&amp;" "&amp;دانش‌آموزان!F7)</f>
        <v>حسين السعداني</v>
      </c>
      <c r="F33" s="34">
        <f>IF(دانش‌آموزان!I7="","",دانش‌آموزان!I7)</f>
        <v>801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>
        <f>IF(دانش‌آموزان!C7="","",دانش‌آموزان!C7)</f>
        <v>94100017036</v>
      </c>
      <c r="E34" s="55" t="str">
        <f>IF(دانش‌آموزان!E7="","",دانش‌آموزان!E7&amp;" "&amp;دانش‌آموزان!F7)</f>
        <v>حسين السعداني</v>
      </c>
      <c r="F34" s="34">
        <f>IF(دانش‌آموزان!I7="","",دانش‌آموزان!I7)</f>
        <v>801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>
        <f>IF(دانش‌آموزان!C7="","",دانش‌آموزان!C7)</f>
        <v>94100017036</v>
      </c>
      <c r="E35" s="55" t="str">
        <f>IF(دانش‌آموزان!E7="","",دانش‌آموزان!E7&amp;" "&amp;دانش‌آموزان!F7)</f>
        <v>حسين السعداني</v>
      </c>
      <c r="F35" s="34">
        <f>IF(دانش‌آموزان!I7="","",دانش‌آموزان!I7)</f>
        <v>801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>
        <f>IF(دانش‌آموزان!C7="","",دانش‌آموزان!C7)</f>
        <v>94100017036</v>
      </c>
      <c r="E36" s="55" t="str">
        <f>IF(دانش‌آموزان!E7="","",دانش‌آموزان!E7&amp;" "&amp;دانش‌آموزان!F7)</f>
        <v>حسين السعداني</v>
      </c>
      <c r="F36" s="34">
        <f>IF(دانش‌آموزان!I7="","",دانش‌آموزان!I7)</f>
        <v>801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>
        <f>IF(دانش‌آموزان!C7="","",دانش‌آموزان!C7)</f>
        <v>94100017036</v>
      </c>
      <c r="E37" s="55" t="str">
        <f>IF(دانش‌آموزان!E7="","",دانش‌آموزان!E7&amp;" "&amp;دانش‌آموزان!F7)</f>
        <v>حسين السعداني</v>
      </c>
      <c r="F37" s="34">
        <f>IF(دانش‌آموزان!I7="","",دانش‌آموزان!I7)</f>
        <v>801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>
        <f>IF(دانش‌آموزان!C7="","",دانش‌آموزان!C7)</f>
        <v>94100017036</v>
      </c>
      <c r="E38" s="55" t="str">
        <f>IF(دانش‌آموزان!E7="","",دانش‌آموزان!E7&amp;" "&amp;دانش‌آموزان!F7)</f>
        <v>حسين السعداني</v>
      </c>
      <c r="F38" s="34">
        <f>IF(دانش‌آموزان!I7="","",دانش‌آموزان!I7)</f>
        <v>801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>
        <f>IF(دانش‌آموزان!C7="","",دانش‌آموزان!C7)</f>
        <v>94100017036</v>
      </c>
      <c r="E39" s="55" t="str">
        <f>IF(دانش‌آموزان!E7="","",دانش‌آموزان!E7&amp;" "&amp;دانش‌آموزان!F7)</f>
        <v>حسين السعداني</v>
      </c>
      <c r="F39" s="34">
        <f>IF(دانش‌آموزان!I7="","",دانش‌آموزان!I7)</f>
        <v>801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>
        <f>IF(دانش‌آموزان!C7="","",دانش‌آموزان!C7)</f>
        <v>94100017036</v>
      </c>
      <c r="E40" s="55" t="str">
        <f>IF(دانش‌آموزان!E7="","",دانش‌آموزان!E7&amp;" "&amp;دانش‌آموزان!F7)</f>
        <v>حسين السعداني</v>
      </c>
      <c r="F40" s="34">
        <f>IF(دانش‌آموزان!I7="","",دانش‌آموزان!I7)</f>
        <v>801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0970971788</v>
      </c>
      <c r="E41" s="55" t="str">
        <f>IF(دانش‌آموزان!E8="","",دانش‌آموزان!E8&amp;" "&amp;دانش‌آموزان!F8)</f>
        <v>جواد ثقفي</v>
      </c>
      <c r="F41" s="34">
        <f>IF(دانش‌آموزان!I8="","",دانش‌آموزان!I8)</f>
        <v>801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0970971788</v>
      </c>
      <c r="E42" s="55" t="str">
        <f>IF(دانش‌آموزان!E8="","",دانش‌آموزان!E8&amp;" "&amp;دانش‌آموزان!F8)</f>
        <v>جواد ثقفي</v>
      </c>
      <c r="F42" s="34">
        <f>IF(دانش‌آموزان!I8="","",دانش‌آموزان!I8)</f>
        <v>801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5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0970971788</v>
      </c>
      <c r="E43" s="55" t="str">
        <f>IF(دانش‌آموزان!E8="","",دانش‌آموزان!E8&amp;" "&amp;دانش‌آموزان!F8)</f>
        <v>جواد ثقفي</v>
      </c>
      <c r="F43" s="34">
        <f>IF(دانش‌آموزان!I8="","",دانش‌آموزان!I8)</f>
        <v>801</v>
      </c>
      <c r="G43" s="73">
        <v>19.260000000000002</v>
      </c>
      <c r="H43" s="20" t="s">
        <v>371</v>
      </c>
      <c r="I43" s="20">
        <v>4</v>
      </c>
      <c r="J43" s="20">
        <v>5</v>
      </c>
      <c r="K43" s="20">
        <v>5</v>
      </c>
      <c r="L43" s="20">
        <v>5</v>
      </c>
      <c r="M43" s="20">
        <v>5</v>
      </c>
      <c r="N43" s="20">
        <v>5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5</v>
      </c>
      <c r="U43" s="20">
        <v>5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 t="s">
        <v>371</v>
      </c>
      <c r="AE43" s="20" t="s">
        <v>371</v>
      </c>
      <c r="AF43" s="20" t="s">
        <v>371</v>
      </c>
      <c r="AG43" s="20" t="s">
        <v>371</v>
      </c>
      <c r="AH43" s="20" t="s">
        <v>371</v>
      </c>
      <c r="AI43" s="20" t="s">
        <v>371</v>
      </c>
      <c r="AJ43" s="20">
        <v>5</v>
      </c>
      <c r="AK43" s="20">
        <v>5</v>
      </c>
      <c r="AL43" s="20">
        <v>5</v>
      </c>
      <c r="AM43" s="20">
        <v>5</v>
      </c>
      <c r="AN43" s="20">
        <v>5</v>
      </c>
      <c r="AO43" s="20">
        <v>5</v>
      </c>
      <c r="AP43" s="20">
        <v>5</v>
      </c>
      <c r="AQ43" s="20" t="s">
        <v>371</v>
      </c>
      <c r="AR43" s="20" t="s">
        <v>371</v>
      </c>
      <c r="AS43" s="20" t="s">
        <v>371</v>
      </c>
      <c r="AT43" s="20" t="s">
        <v>371</v>
      </c>
      <c r="AU43" s="20" t="s">
        <v>371</v>
      </c>
      <c r="AV43" s="20" t="s">
        <v>371</v>
      </c>
      <c r="AW43" s="20" t="s">
        <v>371</v>
      </c>
      <c r="AX43" s="20" t="s">
        <v>371</v>
      </c>
      <c r="AY43" s="20" t="s">
        <v>371</v>
      </c>
      <c r="AZ43" s="20" t="s">
        <v>371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27.57714285714286</v>
      </c>
      <c r="CD43" s="38">
        <f t="shared" si="1"/>
        <v>20</v>
      </c>
      <c r="CE43" s="38">
        <f t="shared" si="2"/>
        <v>20</v>
      </c>
      <c r="CF43" s="38">
        <f t="shared" si="3"/>
        <v>20</v>
      </c>
      <c r="CG43" s="38">
        <f t="shared" si="4"/>
        <v>20</v>
      </c>
      <c r="CH43" s="38" t="str">
        <f t="shared" si="5"/>
        <v/>
      </c>
      <c r="CI43" s="38">
        <f t="shared" si="6"/>
        <v>20</v>
      </c>
      <c r="CJ43" s="38" t="str">
        <f t="shared" si="7"/>
        <v/>
      </c>
      <c r="CK43" s="38" t="str">
        <f t="shared" si="8"/>
        <v/>
      </c>
      <c r="CL43" s="38" t="str">
        <f>IF(C43="","",IF(COUNT(G43:AZ43)&lt;46,"",SUMPRODUCT(CC43:CK43,'تنظیمات وزن‌دهی'!$C$5:$C$13)/100))</f>
        <v/>
      </c>
      <c r="CM43" s="38" t="str">
        <f t="shared" si="9"/>
        <v>موقت - اطلاعات ناقص</v>
      </c>
      <c r="CN43" s="38">
        <v>3</v>
      </c>
      <c r="CO43" s="28">
        <f t="shared" si="10"/>
        <v>0.63043478260869568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0970971788</v>
      </c>
      <c r="E44" s="55" t="str">
        <f>IF(دانش‌آموزان!E8="","",دانش‌آموزان!E8&amp;" "&amp;دانش‌آموزان!F8)</f>
        <v>جواد ثقفي</v>
      </c>
      <c r="F44" s="34">
        <f>IF(دانش‌آموزان!I8="","",دانش‌آموزان!I8)</f>
        <v>801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0970971788</v>
      </c>
      <c r="E45" s="55" t="str">
        <f>IF(دانش‌آموزان!E8="","",دانش‌آموزان!E8&amp;" "&amp;دانش‌آموزان!F8)</f>
        <v>جواد ثقفي</v>
      </c>
      <c r="F45" s="34">
        <f>IF(دانش‌آموزان!I8="","",دانش‌آموزان!I8)</f>
        <v>801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0970971788</v>
      </c>
      <c r="E46" s="55" t="str">
        <f>IF(دانش‌آموزان!E8="","",دانش‌آموزان!E8&amp;" "&amp;دانش‌آموزان!F8)</f>
        <v>جواد ثقفي</v>
      </c>
      <c r="F46" s="34">
        <f>IF(دانش‌آموزان!I8="","",دانش‌آموزان!I8)</f>
        <v>801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0970971788</v>
      </c>
      <c r="E47" s="55" t="str">
        <f>IF(دانش‌آموزان!E8="","",دانش‌آموزان!E8&amp;" "&amp;دانش‌آموزان!F8)</f>
        <v>جواد ثقفي</v>
      </c>
      <c r="F47" s="34">
        <f>IF(دانش‌آموزان!I8="","",دانش‌آموزان!I8)</f>
        <v>801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0970971788</v>
      </c>
      <c r="E48" s="55" t="str">
        <f>IF(دانش‌آموزان!E8="","",دانش‌آموزان!E8&amp;" "&amp;دانش‌آموزان!F8)</f>
        <v>جواد ثقفي</v>
      </c>
      <c r="F48" s="34">
        <f>IF(دانش‌آموزان!I8="","",دانش‌آموزان!I8)</f>
        <v>801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0970971788</v>
      </c>
      <c r="E49" s="55" t="str">
        <f>IF(دانش‌آموزان!E8="","",دانش‌آموزان!E8&amp;" "&amp;دانش‌آموزان!F8)</f>
        <v>جواد ثقفي</v>
      </c>
      <c r="F49" s="34">
        <f>IF(دانش‌آموزان!I8="","",دانش‌آموزان!I8)</f>
        <v>801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0970971788</v>
      </c>
      <c r="E50" s="55" t="str">
        <f>IF(دانش‌آموزان!E8="","",دانش‌آموزان!E8&amp;" "&amp;دانش‌آموزان!F8)</f>
        <v>جواد ثقفي</v>
      </c>
      <c r="F50" s="34">
        <f>IF(دانش‌آموزان!I8="","",دانش‌آموزان!I8)</f>
        <v>801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0970971788</v>
      </c>
      <c r="E51" s="55" t="str">
        <f>IF(دانش‌آموزان!E8="","",دانش‌آموزان!E8&amp;" "&amp;دانش‌آموزان!F8)</f>
        <v>جواد ثقفي</v>
      </c>
      <c r="F51" s="34">
        <f>IF(دانش‌آموزان!I8="","",دانش‌آموزان!I8)</f>
        <v>801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0970971788</v>
      </c>
      <c r="E52" s="55" t="str">
        <f>IF(دانش‌آموزان!E8="","",دانش‌آموزان!E8&amp;" "&amp;دانش‌آموزان!F8)</f>
        <v>جواد ثقفي</v>
      </c>
      <c r="F52" s="34">
        <f>IF(دانش‌آموزان!I8="","",دانش‌آموزان!I8)</f>
        <v>801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0980728177</v>
      </c>
      <c r="E53" s="55" t="str">
        <f>IF(دانش‌آموزان!E9="","",دانش‌آموزان!E9&amp;" "&amp;دانش‌آموزان!F9)</f>
        <v>سيدمهديار جوادي</v>
      </c>
      <c r="F53" s="34">
        <f>IF(دانش‌آموزان!I9="","",دانش‌آموزان!I9)</f>
        <v>801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0980728177</v>
      </c>
      <c r="E54" s="55" t="str">
        <f>IF(دانش‌آموزان!E9="","",دانش‌آموزان!E9&amp;" "&amp;دانش‌آموزان!F9)</f>
        <v>سيدمهديار جوادي</v>
      </c>
      <c r="F54" s="34">
        <f>IF(دانش‌آموزان!I9="","",دانش‌آموزان!I9)</f>
        <v>801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5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0980728177</v>
      </c>
      <c r="E55" s="55" t="str">
        <f>IF(دانش‌آموزان!E9="","",دانش‌آموزان!E9&amp;" "&amp;دانش‌آموزان!F9)</f>
        <v>سيدمهديار جوادي</v>
      </c>
      <c r="F55" s="34">
        <f>IF(دانش‌آموزان!I9="","",دانش‌آموزان!I9)</f>
        <v>801</v>
      </c>
      <c r="G55" s="74">
        <v>19.38</v>
      </c>
      <c r="H55" s="105">
        <v>-7.379999999999999</v>
      </c>
      <c r="I55" s="20">
        <v>5</v>
      </c>
      <c r="J55" s="20">
        <v>5</v>
      </c>
      <c r="K55" s="20">
        <v>5</v>
      </c>
      <c r="L55" s="20">
        <v>5</v>
      </c>
      <c r="M55" s="20">
        <v>5</v>
      </c>
      <c r="N55" s="20">
        <v>5</v>
      </c>
      <c r="O55" s="20">
        <v>5</v>
      </c>
      <c r="P55" s="20">
        <v>5</v>
      </c>
      <c r="Q55" s="20">
        <v>5</v>
      </c>
      <c r="R55" s="20">
        <v>5</v>
      </c>
      <c r="S55" s="20">
        <v>5</v>
      </c>
      <c r="T55" s="20">
        <v>5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 t="s">
        <v>371</v>
      </c>
      <c r="AE55" s="20" t="s">
        <v>371</v>
      </c>
      <c r="AF55" s="20" t="s">
        <v>371</v>
      </c>
      <c r="AG55" s="20" t="s">
        <v>371</v>
      </c>
      <c r="AH55" s="20" t="s">
        <v>371</v>
      </c>
      <c r="AI55" s="20" t="s">
        <v>371</v>
      </c>
      <c r="AJ55" s="20">
        <v>5</v>
      </c>
      <c r="AK55" s="20">
        <v>5</v>
      </c>
      <c r="AL55" s="20">
        <v>5</v>
      </c>
      <c r="AM55" s="20">
        <v>5</v>
      </c>
      <c r="AN55" s="20">
        <v>5</v>
      </c>
      <c r="AO55" s="20">
        <v>5</v>
      </c>
      <c r="AP55" s="20">
        <v>5</v>
      </c>
      <c r="AQ55" s="20" t="s">
        <v>371</v>
      </c>
      <c r="AR55" s="20" t="s">
        <v>371</v>
      </c>
      <c r="AS55" s="20" t="s">
        <v>371</v>
      </c>
      <c r="AT55" s="20" t="s">
        <v>371</v>
      </c>
      <c r="AU55" s="20" t="s">
        <v>371</v>
      </c>
      <c r="AV55" s="20" t="s">
        <v>371</v>
      </c>
      <c r="AW55" s="20" t="s">
        <v>371</v>
      </c>
      <c r="AX55" s="20" t="s">
        <v>371</v>
      </c>
      <c r="AY55" s="20" t="s">
        <v>371</v>
      </c>
      <c r="AZ55" s="20" t="s">
        <v>371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21</v>
      </c>
      <c r="CD55" s="38">
        <f t="shared" si="1"/>
        <v>20</v>
      </c>
      <c r="CE55" s="38">
        <f t="shared" si="2"/>
        <v>20</v>
      </c>
      <c r="CF55" s="38">
        <f t="shared" si="3"/>
        <v>20</v>
      </c>
      <c r="CG55" s="38">
        <f t="shared" si="4"/>
        <v>20</v>
      </c>
      <c r="CH55" s="38" t="str">
        <f t="shared" si="5"/>
        <v/>
      </c>
      <c r="CI55" s="38">
        <f t="shared" si="6"/>
        <v>20</v>
      </c>
      <c r="CJ55" s="38" t="str">
        <f t="shared" si="7"/>
        <v/>
      </c>
      <c r="CK55" s="38" t="str">
        <f t="shared" si="8"/>
        <v/>
      </c>
      <c r="CL55" s="38" t="str">
        <f>IF(C55="","",IF(COUNT(G55:AZ55)&lt;46,"",SUMPRODUCT(CC55:CK55,'تنظیمات وزن‌دهی'!$C$5:$C$13)/100))</f>
        <v/>
      </c>
      <c r="CM55" s="38" t="str">
        <f t="shared" si="9"/>
        <v>موقت - اطلاعات ناقص</v>
      </c>
      <c r="CN55" s="38">
        <v>3</v>
      </c>
      <c r="CO55" s="28">
        <f t="shared" si="10"/>
        <v>0.65217391304347827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0980728177</v>
      </c>
      <c r="E56" s="55" t="str">
        <f>IF(دانش‌آموزان!E9="","",دانش‌آموزان!E9&amp;" "&amp;دانش‌آموزان!F9)</f>
        <v>سيدمهديار جوادي</v>
      </c>
      <c r="F56" s="34">
        <f>IF(دانش‌آموزان!I9="","",دانش‌آموزان!I9)</f>
        <v>801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0980728177</v>
      </c>
      <c r="E57" s="55" t="str">
        <f>IF(دانش‌آموزان!E9="","",دانش‌آموزان!E9&amp;" "&amp;دانش‌آموزان!F9)</f>
        <v>سيدمهديار جوادي</v>
      </c>
      <c r="F57" s="34">
        <f>IF(دانش‌آموزان!I9="","",دانش‌آموزان!I9)</f>
        <v>801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0980728177</v>
      </c>
      <c r="E58" s="55" t="str">
        <f>IF(دانش‌آموزان!E9="","",دانش‌آموزان!E9&amp;" "&amp;دانش‌آموزان!F9)</f>
        <v>سيدمهديار جوادي</v>
      </c>
      <c r="F58" s="34">
        <f>IF(دانش‌آموزان!I9="","",دانش‌آموزان!I9)</f>
        <v>801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0980728177</v>
      </c>
      <c r="E59" s="55" t="str">
        <f>IF(دانش‌آموزان!E9="","",دانش‌آموزان!E9&amp;" "&amp;دانش‌آموزان!F9)</f>
        <v>سيدمهديار جوادي</v>
      </c>
      <c r="F59" s="34">
        <f>IF(دانش‌آموزان!I9="","",دانش‌آموزان!I9)</f>
        <v>801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0980728177</v>
      </c>
      <c r="E60" s="55" t="str">
        <f>IF(دانش‌آموزان!E9="","",دانش‌آموزان!E9&amp;" "&amp;دانش‌آموزان!F9)</f>
        <v>سيدمهديار جوادي</v>
      </c>
      <c r="F60" s="34">
        <f>IF(دانش‌آموزان!I9="","",دانش‌آموزان!I9)</f>
        <v>801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0980728177</v>
      </c>
      <c r="E61" s="55" t="str">
        <f>IF(دانش‌آموزان!E9="","",دانش‌آموزان!E9&amp;" "&amp;دانش‌آموزان!F9)</f>
        <v>سيدمهديار جوادي</v>
      </c>
      <c r="F61" s="34">
        <f>IF(دانش‌آموزان!I9="","",دانش‌آموزان!I9)</f>
        <v>801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0980728177</v>
      </c>
      <c r="E62" s="55" t="str">
        <f>IF(دانش‌آموزان!E9="","",دانش‌آموزان!E9&amp;" "&amp;دانش‌آموزان!F9)</f>
        <v>سيدمهديار جوادي</v>
      </c>
      <c r="F62" s="34">
        <f>IF(دانش‌آموزان!I9="","",دانش‌آموزان!I9)</f>
        <v>801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0980728177</v>
      </c>
      <c r="E63" s="55" t="str">
        <f>IF(دانش‌آموزان!E9="","",دانش‌آموزان!E9&amp;" "&amp;دانش‌آموزان!F9)</f>
        <v>سيدمهديار جوادي</v>
      </c>
      <c r="F63" s="34">
        <f>IF(دانش‌آموزان!I9="","",دانش‌آموزان!I9)</f>
        <v>801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0980728177</v>
      </c>
      <c r="E64" s="55" t="str">
        <f>IF(دانش‌آموزان!E9="","",دانش‌آموزان!E9&amp;" "&amp;دانش‌آموزان!F9)</f>
        <v>سيدمهديار جوادي</v>
      </c>
      <c r="F64" s="34">
        <f>IF(دانش‌آموزان!I9="","",دانش‌آموزان!I9)</f>
        <v>801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0960526307</v>
      </c>
      <c r="E65" s="55" t="str">
        <f>IF(دانش‌آموزان!E10="","",دانش‌آموزان!E10&amp;" "&amp;دانش‌آموزان!F10)</f>
        <v>آيدين چرخكار</v>
      </c>
      <c r="F65" s="34">
        <f>IF(دانش‌آموزان!I10="","",دانش‌آموزان!I10)</f>
        <v>801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0960526307</v>
      </c>
      <c r="E66" s="55" t="str">
        <f>IF(دانش‌آموزان!E10="","",دانش‌آموزان!E10&amp;" "&amp;دانش‌آموزان!F10)</f>
        <v>آيدين چرخكار</v>
      </c>
      <c r="F66" s="34">
        <f>IF(دانش‌آموزان!I10="","",دانش‌آموزان!I10)</f>
        <v>801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5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0960526307</v>
      </c>
      <c r="E67" s="55" t="str">
        <f>IF(دانش‌آموزان!E10="","",دانش‌آموزان!E10&amp;" "&amp;دانش‌آموزان!F10)</f>
        <v>آيدين چرخكار</v>
      </c>
      <c r="F67" s="34">
        <f>IF(دانش‌آموزان!I10="","",دانش‌آموزان!I10)</f>
        <v>801</v>
      </c>
      <c r="G67" s="75">
        <v>19.850000000000001</v>
      </c>
      <c r="H67" s="20">
        <v>-7.8500000000000014</v>
      </c>
      <c r="I67" s="20">
        <v>4</v>
      </c>
      <c r="J67" s="20">
        <v>5</v>
      </c>
      <c r="K67" s="20">
        <v>5</v>
      </c>
      <c r="L67" s="20">
        <v>5</v>
      </c>
      <c r="M67" s="20">
        <v>5</v>
      </c>
      <c r="N67" s="20">
        <v>5</v>
      </c>
      <c r="O67" s="20">
        <v>5</v>
      </c>
      <c r="P67" s="20">
        <v>5</v>
      </c>
      <c r="Q67" s="20">
        <v>5</v>
      </c>
      <c r="R67" s="20">
        <v>5</v>
      </c>
      <c r="S67" s="20">
        <v>5</v>
      </c>
      <c r="T67" s="20">
        <v>5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 t="s">
        <v>371</v>
      </c>
      <c r="AE67" s="20" t="s">
        <v>371</v>
      </c>
      <c r="AF67" s="20" t="s">
        <v>371</v>
      </c>
      <c r="AG67" s="20" t="s">
        <v>371</v>
      </c>
      <c r="AH67" s="20" t="s">
        <v>371</v>
      </c>
      <c r="AI67" s="20" t="s">
        <v>371</v>
      </c>
      <c r="AJ67" s="20">
        <v>5</v>
      </c>
      <c r="AK67" s="20">
        <v>5</v>
      </c>
      <c r="AL67" s="20">
        <v>5</v>
      </c>
      <c r="AM67" s="20">
        <v>5</v>
      </c>
      <c r="AN67" s="20">
        <v>5</v>
      </c>
      <c r="AO67" s="20">
        <v>5</v>
      </c>
      <c r="AP67" s="20">
        <v>5</v>
      </c>
      <c r="AQ67" s="20" t="s">
        <v>371</v>
      </c>
      <c r="AR67" s="20" t="s">
        <v>371</v>
      </c>
      <c r="AS67" s="20" t="s">
        <v>371</v>
      </c>
      <c r="AT67" s="20" t="s">
        <v>371</v>
      </c>
      <c r="AU67" s="20" t="s">
        <v>371</v>
      </c>
      <c r="AV67" s="20" t="s">
        <v>371</v>
      </c>
      <c r="AW67" s="20" t="s">
        <v>371</v>
      </c>
      <c r="AX67" s="20" t="s">
        <v>371</v>
      </c>
      <c r="AY67" s="20" t="s">
        <v>371</v>
      </c>
      <c r="AZ67" s="20" t="s">
        <v>371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20.5</v>
      </c>
      <c r="CD67" s="38">
        <f t="shared" si="1"/>
        <v>20</v>
      </c>
      <c r="CE67" s="38">
        <f t="shared" si="2"/>
        <v>20</v>
      </c>
      <c r="CF67" s="38">
        <f t="shared" si="3"/>
        <v>20</v>
      </c>
      <c r="CG67" s="38">
        <f t="shared" si="4"/>
        <v>20</v>
      </c>
      <c r="CH67" s="38" t="str">
        <f t="shared" si="5"/>
        <v/>
      </c>
      <c r="CI67" s="38">
        <f t="shared" si="6"/>
        <v>20</v>
      </c>
      <c r="CJ67" s="38" t="str">
        <f t="shared" si="7"/>
        <v/>
      </c>
      <c r="CK67" s="38" t="str">
        <f t="shared" si="8"/>
        <v/>
      </c>
      <c r="CL67" s="38" t="str">
        <f>IF(C67="","",IF(COUNT(G67:AZ67)&lt;46,"",SUMPRODUCT(CC67:CK67,'تنظیمات وزن‌دهی'!$C$5:$C$13)/100))</f>
        <v/>
      </c>
      <c r="CM67" s="38" t="str">
        <f t="shared" si="9"/>
        <v>موقت - اطلاعات ناقص</v>
      </c>
      <c r="CN67" s="38">
        <v>3</v>
      </c>
      <c r="CO67" s="28">
        <f t="shared" si="10"/>
        <v>0.65217391304347827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0960526307</v>
      </c>
      <c r="E68" s="55" t="str">
        <f>IF(دانش‌آموزان!E10="","",دانش‌آموزان!E10&amp;" "&amp;دانش‌آموزان!F10)</f>
        <v>آيدين چرخكار</v>
      </c>
      <c r="F68" s="34">
        <f>IF(دانش‌آموزان!I10="","",دانش‌آموزان!I10)</f>
        <v>801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0960526307</v>
      </c>
      <c r="E69" s="55" t="str">
        <f>IF(دانش‌آموزان!E10="","",دانش‌آموزان!E10&amp;" "&amp;دانش‌آموزان!F10)</f>
        <v>آيدين چرخكار</v>
      </c>
      <c r="F69" s="34">
        <f>IF(دانش‌آموزان!I10="","",دانش‌آموزان!I10)</f>
        <v>801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0960526307</v>
      </c>
      <c r="E70" s="55" t="str">
        <f>IF(دانش‌آموزان!E10="","",دانش‌آموزان!E10&amp;" "&amp;دانش‌آموزان!F10)</f>
        <v>آيدين چرخكار</v>
      </c>
      <c r="F70" s="34">
        <f>IF(دانش‌آموزان!I10="","",دانش‌آموزان!I10)</f>
        <v>801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0960526307</v>
      </c>
      <c r="E71" s="55" t="str">
        <f>IF(دانش‌آموزان!E10="","",دانش‌آموزان!E10&amp;" "&amp;دانش‌آموزان!F10)</f>
        <v>آيدين چرخكار</v>
      </c>
      <c r="F71" s="34">
        <f>IF(دانش‌آموزان!I10="","",دانش‌آموزان!I10)</f>
        <v>801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0960526307</v>
      </c>
      <c r="E72" s="55" t="str">
        <f>IF(دانش‌آموزان!E10="","",دانش‌آموزان!E10&amp;" "&amp;دانش‌آموزان!F10)</f>
        <v>آيدين چرخكار</v>
      </c>
      <c r="F72" s="34">
        <f>IF(دانش‌آموزان!I10="","",دانش‌آموزان!I10)</f>
        <v>801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0960526307</v>
      </c>
      <c r="E73" s="55" t="str">
        <f>IF(دانش‌آموزان!E10="","",دانش‌آموزان!E10&amp;" "&amp;دانش‌آموزان!F10)</f>
        <v>آيدين چرخكار</v>
      </c>
      <c r="F73" s="34">
        <f>IF(دانش‌آموزان!I10="","",دانش‌آموزان!I10)</f>
        <v>801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0960526307</v>
      </c>
      <c r="E74" s="55" t="str">
        <f>IF(دانش‌آموزان!E10="","",دانش‌آموزان!E10&amp;" "&amp;دانش‌آموزان!F10)</f>
        <v>آيدين چرخكار</v>
      </c>
      <c r="F74" s="34">
        <f>IF(دانش‌آموزان!I10="","",دانش‌آموزان!I10)</f>
        <v>801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0960526307</v>
      </c>
      <c r="E75" s="55" t="str">
        <f>IF(دانش‌آموزان!E10="","",دانش‌آموزان!E10&amp;" "&amp;دانش‌آموزان!F10)</f>
        <v>آيدين چرخكار</v>
      </c>
      <c r="F75" s="34">
        <f>IF(دانش‌آموزان!I10="","",دانش‌آموزان!I10)</f>
        <v>801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0960526307</v>
      </c>
      <c r="E76" s="55" t="str">
        <f>IF(دانش‌آموزان!E10="","",دانش‌آموزان!E10&amp;" "&amp;دانش‌آموزان!F10)</f>
        <v>آيدين چرخكار</v>
      </c>
      <c r="F76" s="34">
        <f>IF(دانش‌آموزان!I10="","",دانش‌آموزان!I10)</f>
        <v>801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0960565329</v>
      </c>
      <c r="E77" s="55" t="str">
        <f>IF(دانش‌آموزان!E11="","",دانش‌آموزان!E11&amp;" "&amp;دانش‌آموزان!F11)</f>
        <v>محمدطاها حشمتي</v>
      </c>
      <c r="F77" s="34">
        <f>IF(دانش‌آموزان!I11="","",دانش‌آموزان!I11)</f>
        <v>801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0960565329</v>
      </c>
      <c r="E78" s="55" t="str">
        <f>IF(دانش‌آموزان!E11="","",دانش‌آموزان!E11&amp;" "&amp;دانش‌آموزان!F11)</f>
        <v>محمدطاها حشمتي</v>
      </c>
      <c r="F78" s="34">
        <f>IF(دانش‌آموزان!I11="","",دانش‌آموزان!I11)</f>
        <v>801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5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0960565329</v>
      </c>
      <c r="E79" s="55" t="str">
        <f>IF(دانش‌آموزان!E11="","",دانش‌آموزان!E11&amp;" "&amp;دانش‌آموزان!F11)</f>
        <v>محمدطاها حشمتي</v>
      </c>
      <c r="F79" s="34">
        <f>IF(دانش‌آموزان!I11="","",دانش‌آموزان!I11)</f>
        <v>801</v>
      </c>
      <c r="G79" s="76">
        <v>19.190000000000001</v>
      </c>
      <c r="H79" s="20">
        <v>-10.190000000000001</v>
      </c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5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5</v>
      </c>
      <c r="U79" s="20">
        <v>5</v>
      </c>
      <c r="V79" s="20">
        <v>5</v>
      </c>
      <c r="W79" s="20">
        <v>5</v>
      </c>
      <c r="X79" s="20">
        <v>5</v>
      </c>
      <c r="Y79" s="20">
        <v>5</v>
      </c>
      <c r="Z79" s="20">
        <v>5</v>
      </c>
      <c r="AA79" s="20">
        <v>5</v>
      </c>
      <c r="AB79" s="20">
        <v>5</v>
      </c>
      <c r="AC79" s="20">
        <v>5</v>
      </c>
      <c r="AD79" s="20" t="s">
        <v>371</v>
      </c>
      <c r="AE79" s="20" t="s">
        <v>371</v>
      </c>
      <c r="AF79" s="20" t="s">
        <v>371</v>
      </c>
      <c r="AG79" s="20" t="s">
        <v>371</v>
      </c>
      <c r="AH79" s="20" t="s">
        <v>371</v>
      </c>
      <c r="AI79" s="20" t="s">
        <v>371</v>
      </c>
      <c r="AJ79" s="20">
        <v>5</v>
      </c>
      <c r="AK79" s="20">
        <v>5</v>
      </c>
      <c r="AL79" s="20">
        <v>5</v>
      </c>
      <c r="AM79" s="20">
        <v>5</v>
      </c>
      <c r="AN79" s="20">
        <v>5</v>
      </c>
      <c r="AO79" s="20">
        <v>5</v>
      </c>
      <c r="AP79" s="20">
        <v>5</v>
      </c>
      <c r="AQ79" s="20" t="s">
        <v>371</v>
      </c>
      <c r="AR79" s="20" t="s">
        <v>371</v>
      </c>
      <c r="AS79" s="20" t="s">
        <v>371</v>
      </c>
      <c r="AT79" s="20" t="s">
        <v>371</v>
      </c>
      <c r="AU79" s="20" t="s">
        <v>371</v>
      </c>
      <c r="AV79" s="20" t="s">
        <v>371</v>
      </c>
      <c r="AW79" s="20" t="s">
        <v>371</v>
      </c>
      <c r="AX79" s="20" t="s">
        <v>371</v>
      </c>
      <c r="AY79" s="20" t="s">
        <v>371</v>
      </c>
      <c r="AZ79" s="20" t="s">
        <v>371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19.5</v>
      </c>
      <c r="CD79" s="38">
        <f t="shared" si="12"/>
        <v>20</v>
      </c>
      <c r="CE79" s="38">
        <f t="shared" si="13"/>
        <v>20</v>
      </c>
      <c r="CF79" s="38">
        <f t="shared" si="14"/>
        <v>20</v>
      </c>
      <c r="CG79" s="38">
        <f t="shared" si="15"/>
        <v>20</v>
      </c>
      <c r="CH79" s="38" t="str">
        <f t="shared" si="16"/>
        <v/>
      </c>
      <c r="CI79" s="38">
        <f t="shared" si="17"/>
        <v>20</v>
      </c>
      <c r="CJ79" s="38" t="str">
        <f t="shared" si="18"/>
        <v/>
      </c>
      <c r="CK79" s="38" t="str">
        <f t="shared" si="19"/>
        <v/>
      </c>
      <c r="CL79" s="38" t="str">
        <f>IF(C79="","",IF(COUNT(G79:AZ79)&lt;46,"",SUMPRODUCT(CC79:CK79,'تنظیمات وزن‌دهی'!$C$5:$C$13)/100))</f>
        <v/>
      </c>
      <c r="CM79" s="38" t="str">
        <f t="shared" si="20"/>
        <v>موقت - اطلاعات ناقص</v>
      </c>
      <c r="CN79" s="38">
        <v>3</v>
      </c>
      <c r="CO79" s="28">
        <f t="shared" si="21"/>
        <v>0.65217391304347827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0960565329</v>
      </c>
      <c r="E80" s="55" t="str">
        <f>IF(دانش‌آموزان!E11="","",دانش‌آموزان!E11&amp;" "&amp;دانش‌آموزان!F11)</f>
        <v>محمدطاها حشمتي</v>
      </c>
      <c r="F80" s="34">
        <f>IF(دانش‌آموزان!I11="","",دانش‌آموزان!I11)</f>
        <v>801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0960565329</v>
      </c>
      <c r="E81" s="55" t="str">
        <f>IF(دانش‌آموزان!E11="","",دانش‌آموزان!E11&amp;" "&amp;دانش‌آموزان!F11)</f>
        <v>محمدطاها حشمتي</v>
      </c>
      <c r="F81" s="34">
        <f>IF(دانش‌آموزان!I11="","",دانش‌آموزان!I11)</f>
        <v>801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0960565329</v>
      </c>
      <c r="E82" s="55" t="str">
        <f>IF(دانش‌آموزان!E11="","",دانش‌آموزان!E11&amp;" "&amp;دانش‌آموزان!F11)</f>
        <v>محمدطاها حشمتي</v>
      </c>
      <c r="F82" s="34">
        <f>IF(دانش‌آموزان!I11="","",دانش‌آموزان!I11)</f>
        <v>801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0960565329</v>
      </c>
      <c r="E83" s="55" t="str">
        <f>IF(دانش‌آموزان!E11="","",دانش‌آموزان!E11&amp;" "&amp;دانش‌آموزان!F11)</f>
        <v>محمدطاها حشمتي</v>
      </c>
      <c r="F83" s="34">
        <f>IF(دانش‌آموزان!I11="","",دانش‌آموزان!I11)</f>
        <v>801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0960565329</v>
      </c>
      <c r="E84" s="55" t="str">
        <f>IF(دانش‌آموزان!E11="","",دانش‌آموزان!E11&amp;" "&amp;دانش‌آموزان!F11)</f>
        <v>محمدطاها حشمتي</v>
      </c>
      <c r="F84" s="34">
        <f>IF(دانش‌آموزان!I11="","",دانش‌آموزان!I11)</f>
        <v>801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0960565329</v>
      </c>
      <c r="E85" s="55" t="str">
        <f>IF(دانش‌آموزان!E11="","",دانش‌آموزان!E11&amp;" "&amp;دانش‌آموزان!F11)</f>
        <v>محمدطاها حشمتي</v>
      </c>
      <c r="F85" s="34">
        <f>IF(دانش‌آموزان!I11="","",دانش‌آموزان!I11)</f>
        <v>801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0960565329</v>
      </c>
      <c r="E86" s="55" t="str">
        <f>IF(دانش‌آموزان!E11="","",دانش‌آموزان!E11&amp;" "&amp;دانش‌آموزان!F11)</f>
        <v>محمدطاها حشمتي</v>
      </c>
      <c r="F86" s="34">
        <f>IF(دانش‌آموزان!I11="","",دانش‌آموزان!I11)</f>
        <v>801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0960565329</v>
      </c>
      <c r="E87" s="55" t="str">
        <f>IF(دانش‌آموزان!E11="","",دانش‌آموزان!E11&amp;" "&amp;دانش‌آموزان!F11)</f>
        <v>محمدطاها حشمتي</v>
      </c>
      <c r="F87" s="34">
        <f>IF(دانش‌آموزان!I11="","",دانش‌آموزان!I11)</f>
        <v>801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0960565329</v>
      </c>
      <c r="E88" s="55" t="str">
        <f>IF(دانش‌آموزان!E11="","",دانش‌آموزان!E11&amp;" "&amp;دانش‌آموزان!F11)</f>
        <v>محمدطاها حشمتي</v>
      </c>
      <c r="F88" s="34">
        <f>IF(دانش‌آموزان!I11="","",دانش‌آموزان!I11)</f>
        <v>801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0960592393</v>
      </c>
      <c r="E89" s="55" t="str">
        <f>IF(دانش‌آموزان!E12="","",دانش‌آموزان!E12&amp;" "&amp;دانش‌آموزان!F12)</f>
        <v>مهديار حيدرزاده</v>
      </c>
      <c r="F89" s="34">
        <f>IF(دانش‌آموزان!I12="","",دانش‌آموزان!I12)</f>
        <v>801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0960592393</v>
      </c>
      <c r="E90" s="55" t="str">
        <f>IF(دانش‌آموزان!E12="","",دانش‌آموزان!E12&amp;" "&amp;دانش‌آموزان!F12)</f>
        <v>مهديار حيدرزاده</v>
      </c>
      <c r="F90" s="34">
        <f>IF(دانش‌آموزان!I12="","",دانش‌آموزان!I12)</f>
        <v>801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5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0960592393</v>
      </c>
      <c r="E91" s="55" t="str">
        <f>IF(دانش‌آموزان!E12="","",دانش‌آموزان!E12&amp;" "&amp;دانش‌آموزان!F12)</f>
        <v>مهديار حيدرزاده</v>
      </c>
      <c r="F91" s="34">
        <f>IF(دانش‌آموزان!I12="","",دانش‌آموزان!I12)</f>
        <v>801</v>
      </c>
      <c r="G91" s="77">
        <v>18.52</v>
      </c>
      <c r="H91" s="20">
        <v>-10.52</v>
      </c>
      <c r="I91" s="20">
        <v>4</v>
      </c>
      <c r="J91" s="20">
        <v>5</v>
      </c>
      <c r="K91" s="20">
        <v>5</v>
      </c>
      <c r="L91" s="20">
        <v>5</v>
      </c>
      <c r="M91" s="20">
        <v>5</v>
      </c>
      <c r="N91" s="20">
        <v>5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5</v>
      </c>
      <c r="U91" s="20">
        <v>5</v>
      </c>
      <c r="V91" s="20">
        <v>5</v>
      </c>
      <c r="W91" s="20">
        <v>5</v>
      </c>
      <c r="X91" s="20">
        <v>5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 t="s">
        <v>371</v>
      </c>
      <c r="AE91" s="20" t="s">
        <v>371</v>
      </c>
      <c r="AF91" s="20" t="s">
        <v>371</v>
      </c>
      <c r="AG91" s="20" t="s">
        <v>371</v>
      </c>
      <c r="AH91" s="20" t="s">
        <v>371</v>
      </c>
      <c r="AI91" s="20" t="s">
        <v>371</v>
      </c>
      <c r="AJ91" s="20">
        <v>5</v>
      </c>
      <c r="AK91" s="20">
        <v>5</v>
      </c>
      <c r="AL91" s="20">
        <v>5</v>
      </c>
      <c r="AM91" s="20">
        <v>5</v>
      </c>
      <c r="AN91" s="20">
        <v>5</v>
      </c>
      <c r="AO91" s="20">
        <v>5</v>
      </c>
      <c r="AP91" s="20">
        <v>5</v>
      </c>
      <c r="AQ91" s="20" t="s">
        <v>371</v>
      </c>
      <c r="AR91" s="20" t="s">
        <v>371</v>
      </c>
      <c r="AS91" s="20" t="s">
        <v>371</v>
      </c>
      <c r="AT91" s="20" t="s">
        <v>371</v>
      </c>
      <c r="AU91" s="20" t="s">
        <v>371</v>
      </c>
      <c r="AV91" s="20" t="s">
        <v>371</v>
      </c>
      <c r="AW91" s="20" t="s">
        <v>371</v>
      </c>
      <c r="AX91" s="20" t="s">
        <v>371</v>
      </c>
      <c r="AY91" s="20" t="s">
        <v>371</v>
      </c>
      <c r="AZ91" s="20" t="s">
        <v>371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18.5</v>
      </c>
      <c r="CD91" s="38">
        <f t="shared" si="12"/>
        <v>20</v>
      </c>
      <c r="CE91" s="38">
        <f t="shared" si="13"/>
        <v>20</v>
      </c>
      <c r="CF91" s="38">
        <f t="shared" si="14"/>
        <v>20</v>
      </c>
      <c r="CG91" s="38">
        <f t="shared" si="15"/>
        <v>20</v>
      </c>
      <c r="CH91" s="38" t="str">
        <f t="shared" si="16"/>
        <v/>
      </c>
      <c r="CI91" s="38">
        <f t="shared" si="17"/>
        <v>20</v>
      </c>
      <c r="CJ91" s="38" t="str">
        <f t="shared" si="18"/>
        <v/>
      </c>
      <c r="CK91" s="38" t="str">
        <f t="shared" si="19"/>
        <v/>
      </c>
      <c r="CL91" s="38" t="str">
        <f>IF(C91="","",IF(COUNT(G91:AZ91)&lt;46,"",SUMPRODUCT(CC91:CK91,'تنظیمات وزن‌دهی'!$C$5:$C$13)/100))</f>
        <v/>
      </c>
      <c r="CM91" s="38" t="str">
        <f t="shared" si="20"/>
        <v>موقت - اطلاعات ناقص</v>
      </c>
      <c r="CN91" s="38">
        <v>3</v>
      </c>
      <c r="CO91" s="28">
        <f t="shared" si="21"/>
        <v>0.65217391304347827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0960592393</v>
      </c>
      <c r="E92" s="55" t="str">
        <f>IF(دانش‌آموزان!E12="","",دانش‌آموزان!E12&amp;" "&amp;دانش‌آموزان!F12)</f>
        <v>مهديار حيدرزاده</v>
      </c>
      <c r="F92" s="34">
        <f>IF(دانش‌آموزان!I12="","",دانش‌آموزان!I12)</f>
        <v>801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0960592393</v>
      </c>
      <c r="E93" s="55" t="str">
        <f>IF(دانش‌آموزان!E12="","",دانش‌آموزان!E12&amp;" "&amp;دانش‌آموزان!F12)</f>
        <v>مهديار حيدرزاده</v>
      </c>
      <c r="F93" s="34">
        <f>IF(دانش‌آموزان!I12="","",دانش‌آموزان!I12)</f>
        <v>801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0960592393</v>
      </c>
      <c r="E94" s="55" t="str">
        <f>IF(دانش‌آموزان!E12="","",دانش‌آموزان!E12&amp;" "&amp;دانش‌آموزان!F12)</f>
        <v>مهديار حيدرزاده</v>
      </c>
      <c r="F94" s="34">
        <f>IF(دانش‌آموزان!I12="","",دانش‌آموزان!I12)</f>
        <v>801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0960592393</v>
      </c>
      <c r="E95" s="55" t="str">
        <f>IF(دانش‌آموزان!E12="","",دانش‌آموزان!E12&amp;" "&amp;دانش‌آموزان!F12)</f>
        <v>مهديار حيدرزاده</v>
      </c>
      <c r="F95" s="34">
        <f>IF(دانش‌آموزان!I12="","",دانش‌آموزان!I12)</f>
        <v>801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0960592393</v>
      </c>
      <c r="E96" s="55" t="str">
        <f>IF(دانش‌آموزان!E12="","",دانش‌آموزان!E12&amp;" "&amp;دانش‌آموزان!F12)</f>
        <v>مهديار حيدرزاده</v>
      </c>
      <c r="F96" s="34">
        <f>IF(دانش‌آموزان!I12="","",دانش‌آموزان!I12)</f>
        <v>801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0960592393</v>
      </c>
      <c r="E97" s="55" t="str">
        <f>IF(دانش‌آموزان!E12="","",دانش‌آموزان!E12&amp;" "&amp;دانش‌آموزان!F12)</f>
        <v>مهديار حيدرزاده</v>
      </c>
      <c r="F97" s="34">
        <f>IF(دانش‌آموزان!I12="","",دانش‌آموزان!I12)</f>
        <v>801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0960592393</v>
      </c>
      <c r="E98" s="55" t="str">
        <f>IF(دانش‌آموزان!E12="","",دانش‌آموزان!E12&amp;" "&amp;دانش‌آموزان!F12)</f>
        <v>مهديار حيدرزاده</v>
      </c>
      <c r="F98" s="34">
        <f>IF(دانش‌آموزان!I12="","",دانش‌آموزان!I12)</f>
        <v>801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0960592393</v>
      </c>
      <c r="E99" s="55" t="str">
        <f>IF(دانش‌آموزان!E12="","",دانش‌آموزان!E12&amp;" "&amp;دانش‌آموزان!F12)</f>
        <v>مهديار حيدرزاده</v>
      </c>
      <c r="F99" s="34">
        <f>IF(دانش‌آموزان!I12="","",دانش‌آموزان!I12)</f>
        <v>801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0960592393</v>
      </c>
      <c r="E100" s="55" t="str">
        <f>IF(دانش‌آموزان!E12="","",دانش‌آموزان!E12&amp;" "&amp;دانش‌آموزان!F12)</f>
        <v>مهديار حيدرزاده</v>
      </c>
      <c r="F100" s="34">
        <f>IF(دانش‌آموزان!I12="","",دانش‌آموزان!I12)</f>
        <v>801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0980638951</v>
      </c>
      <c r="E101" s="55" t="str">
        <f>IF(دانش‌آموزان!E13="","",دانش‌آموزان!E13&amp;" "&amp;دانش‌آموزان!F13)</f>
        <v>اميرحسين دائي صراف</v>
      </c>
      <c r="F101" s="34">
        <f>IF(دانش‌آموزان!I13="","",دانش‌آموزان!I13)</f>
        <v>801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0980638951</v>
      </c>
      <c r="E102" s="55" t="str">
        <f>IF(دانش‌آموزان!E13="","",دانش‌آموزان!E13&amp;" "&amp;دانش‌آموزان!F13)</f>
        <v>اميرحسين دائي صراف</v>
      </c>
      <c r="F102" s="34">
        <f>IF(دانش‌آموزان!I13="","",دانش‌آموزان!I13)</f>
        <v>801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5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0980638951</v>
      </c>
      <c r="E103" s="55" t="str">
        <f>IF(دانش‌آموزان!E13="","",دانش‌آموزان!E13&amp;" "&amp;دانش‌آموزان!F13)</f>
        <v>اميرحسين دائي صراف</v>
      </c>
      <c r="F103" s="34">
        <f>IF(دانش‌آموزان!I13="","",دانش‌آموزان!I13)</f>
        <v>801</v>
      </c>
      <c r="G103" s="78">
        <v>19.829999999999998</v>
      </c>
      <c r="H103" s="20" t="s">
        <v>371</v>
      </c>
      <c r="I103" s="20">
        <v>4</v>
      </c>
      <c r="J103" s="20">
        <v>5</v>
      </c>
      <c r="K103" s="20">
        <v>5</v>
      </c>
      <c r="L103" s="20">
        <v>5</v>
      </c>
      <c r="M103" s="20">
        <v>5</v>
      </c>
      <c r="N103" s="20">
        <v>5</v>
      </c>
      <c r="O103" s="20">
        <v>5</v>
      </c>
      <c r="P103" s="20">
        <v>5</v>
      </c>
      <c r="Q103" s="20">
        <v>5</v>
      </c>
      <c r="R103" s="20">
        <v>5</v>
      </c>
      <c r="S103" s="20">
        <v>5</v>
      </c>
      <c r="T103" s="20">
        <v>5</v>
      </c>
      <c r="U103" s="20">
        <v>5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27.90285714285714</v>
      </c>
      <c r="CD103" s="38">
        <f t="shared" si="12"/>
        <v>20</v>
      </c>
      <c r="CE103" s="38">
        <f t="shared" si="13"/>
        <v>20</v>
      </c>
      <c r="CF103" s="38">
        <f t="shared" si="14"/>
        <v>20</v>
      </c>
      <c r="CG103" s="38">
        <f t="shared" si="15"/>
        <v>20</v>
      </c>
      <c r="CH103" s="38" t="str">
        <f t="shared" si="16"/>
        <v/>
      </c>
      <c r="CI103" s="38" t="str">
        <f t="shared" si="17"/>
        <v/>
      </c>
      <c r="CJ103" s="38" t="str">
        <f t="shared" si="18"/>
        <v/>
      </c>
      <c r="CK103" s="38" t="str">
        <f t="shared" si="19"/>
        <v/>
      </c>
      <c r="CL103" s="38" t="str">
        <f>IF(C103="","",IF(COUNT(G103:AZ103)&lt;46,"",SUMPRODUCT(CC103:CK103,'تنظیمات وزن‌دهی'!$C$5:$C$13)/100))</f>
        <v/>
      </c>
      <c r="CM103" s="38" t="str">
        <f t="shared" si="20"/>
        <v>موقت - اطلاعات ناقص</v>
      </c>
      <c r="CN103" s="38">
        <v>3</v>
      </c>
      <c r="CO103" s="28">
        <f t="shared" si="21"/>
        <v>0.47826086956521741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0980638951</v>
      </c>
      <c r="E104" s="55" t="str">
        <f>IF(دانش‌آموزان!E13="","",دانش‌آموزان!E13&amp;" "&amp;دانش‌آموزان!F13)</f>
        <v>اميرحسين دائي صراف</v>
      </c>
      <c r="F104" s="34">
        <f>IF(دانش‌آموزان!I13="","",دانش‌آموزان!I13)</f>
        <v>801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0980638951</v>
      </c>
      <c r="E105" s="55" t="str">
        <f>IF(دانش‌آموزان!E13="","",دانش‌آموزان!E13&amp;" "&amp;دانش‌آموزان!F13)</f>
        <v>اميرحسين دائي صراف</v>
      </c>
      <c r="F105" s="34">
        <f>IF(دانش‌آموزان!I13="","",دانش‌آموزان!I13)</f>
        <v>801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0980638951</v>
      </c>
      <c r="E106" s="55" t="str">
        <f>IF(دانش‌آموزان!E13="","",دانش‌آموزان!E13&amp;" "&amp;دانش‌آموزان!F13)</f>
        <v>اميرحسين دائي صراف</v>
      </c>
      <c r="F106" s="34">
        <f>IF(دانش‌آموزان!I13="","",دانش‌آموزان!I13)</f>
        <v>801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0980638951</v>
      </c>
      <c r="E107" s="55" t="str">
        <f>IF(دانش‌آموزان!E13="","",دانش‌آموزان!E13&amp;" "&amp;دانش‌آموزان!F13)</f>
        <v>اميرحسين دائي صراف</v>
      </c>
      <c r="F107" s="34">
        <f>IF(دانش‌آموزان!I13="","",دانش‌آموزان!I13)</f>
        <v>801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0980638951</v>
      </c>
      <c r="E108" s="55" t="str">
        <f>IF(دانش‌آموزان!E13="","",دانش‌آموزان!E13&amp;" "&amp;دانش‌آموزان!F13)</f>
        <v>اميرحسين دائي صراف</v>
      </c>
      <c r="F108" s="34">
        <f>IF(دانش‌آموزان!I13="","",دانش‌آموزان!I13)</f>
        <v>801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0980638951</v>
      </c>
      <c r="E109" s="55" t="str">
        <f>IF(دانش‌آموزان!E13="","",دانش‌آموزان!E13&amp;" "&amp;دانش‌آموزان!F13)</f>
        <v>اميرحسين دائي صراف</v>
      </c>
      <c r="F109" s="34">
        <f>IF(دانش‌آموزان!I13="","",دانش‌آموزان!I13)</f>
        <v>801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0980638951</v>
      </c>
      <c r="E110" s="55" t="str">
        <f>IF(دانش‌آموزان!E13="","",دانش‌آموزان!E13&amp;" "&amp;دانش‌آموزان!F13)</f>
        <v>اميرحسين دائي صراف</v>
      </c>
      <c r="F110" s="34">
        <f>IF(دانش‌آموزان!I13="","",دانش‌آموزان!I13)</f>
        <v>801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0980638951</v>
      </c>
      <c r="E111" s="55" t="str">
        <f>IF(دانش‌آموزان!E13="","",دانش‌آموزان!E13&amp;" "&amp;دانش‌آموزان!F13)</f>
        <v>اميرحسين دائي صراف</v>
      </c>
      <c r="F111" s="34">
        <f>IF(دانش‌آموزان!I13="","",دانش‌آموزان!I13)</f>
        <v>801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0980638951</v>
      </c>
      <c r="E112" s="55" t="str">
        <f>IF(دانش‌آموزان!E13="","",دانش‌آموزان!E13&amp;" "&amp;دانش‌آموزان!F13)</f>
        <v>اميرحسين دائي صراف</v>
      </c>
      <c r="F112" s="34">
        <f>IF(دانش‌آموزان!I13="","",دانش‌آموزان!I13)</f>
        <v>801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0960493670</v>
      </c>
      <c r="E113" s="55" t="str">
        <f>IF(دانش‌آموزان!E14="","",دانش‌آموزان!E14&amp;" "&amp;دانش‌آموزان!F14)</f>
        <v>حامد روحي</v>
      </c>
      <c r="F113" s="34">
        <f>IF(دانش‌آموزان!I14="","",دانش‌آموزان!I14)</f>
        <v>801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0960493670</v>
      </c>
      <c r="E114" s="55" t="str">
        <f>IF(دانش‌آموزان!E14="","",دانش‌آموزان!E14&amp;" "&amp;دانش‌آموزان!F14)</f>
        <v>حامد روحي</v>
      </c>
      <c r="F114" s="34">
        <f>IF(دانش‌آموزان!I14="","",دانش‌آموزان!I14)</f>
        <v>801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5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0960493670</v>
      </c>
      <c r="E115" s="55" t="str">
        <f>IF(دانش‌آموزان!E14="","",دانش‌آموزان!E14&amp;" "&amp;دانش‌آموزان!F14)</f>
        <v>حامد روحي</v>
      </c>
      <c r="F115" s="34">
        <f>IF(دانش‌آموزان!I14="","",دانش‌آموزان!I14)</f>
        <v>801</v>
      </c>
      <c r="G115" s="79">
        <v>19.899999999999999</v>
      </c>
      <c r="H115" s="20" t="s">
        <v>371</v>
      </c>
      <c r="I115" s="20">
        <v>4</v>
      </c>
      <c r="J115" s="20">
        <v>5</v>
      </c>
      <c r="K115" s="20">
        <v>5</v>
      </c>
      <c r="L115" s="20">
        <v>5</v>
      </c>
      <c r="M115" s="20">
        <v>5</v>
      </c>
      <c r="N115" s="20">
        <v>5</v>
      </c>
      <c r="O115" s="20">
        <v>5</v>
      </c>
      <c r="P115" s="20">
        <v>5</v>
      </c>
      <c r="Q115" s="20">
        <v>5</v>
      </c>
      <c r="R115" s="20">
        <v>5</v>
      </c>
      <c r="S115" s="20">
        <v>5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 t="s">
        <v>371</v>
      </c>
      <c r="AE115" s="20" t="s">
        <v>371</v>
      </c>
      <c r="AF115" s="20" t="s">
        <v>371</v>
      </c>
      <c r="AG115" s="20" t="s">
        <v>371</v>
      </c>
      <c r="AH115" s="20" t="s">
        <v>371</v>
      </c>
      <c r="AI115" s="20" t="s">
        <v>371</v>
      </c>
      <c r="AJ115" s="20">
        <v>5</v>
      </c>
      <c r="AK115" s="20">
        <v>5</v>
      </c>
      <c r="AL115" s="20">
        <v>5</v>
      </c>
      <c r="AM115" s="20">
        <v>5</v>
      </c>
      <c r="AN115" s="20">
        <v>5</v>
      </c>
      <c r="AO115" s="20">
        <v>5</v>
      </c>
      <c r="AP115" s="20">
        <v>5</v>
      </c>
      <c r="AQ115" s="20" t="s">
        <v>371</v>
      </c>
      <c r="AR115" s="20" t="s">
        <v>371</v>
      </c>
      <c r="AS115" s="20" t="s">
        <v>371</v>
      </c>
      <c r="AT115" s="20" t="s">
        <v>371</v>
      </c>
      <c r="AU115" s="20" t="s">
        <v>371</v>
      </c>
      <c r="AV115" s="20" t="s">
        <v>371</v>
      </c>
      <c r="AW115" s="20" t="s">
        <v>371</v>
      </c>
      <c r="AX115" s="20" t="s">
        <v>371</v>
      </c>
      <c r="AY115" s="20" t="s">
        <v>371</v>
      </c>
      <c r="AZ115" s="20" t="s">
        <v>371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27.942857142857143</v>
      </c>
      <c r="CD115" s="38">
        <f t="shared" si="12"/>
        <v>20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 t="str">
        <f t="shared" si="16"/>
        <v/>
      </c>
      <c r="CI115" s="38">
        <f t="shared" si="17"/>
        <v>20</v>
      </c>
      <c r="CJ115" s="38" t="str">
        <f t="shared" si="18"/>
        <v/>
      </c>
      <c r="CK115" s="38" t="str">
        <f t="shared" si="19"/>
        <v/>
      </c>
      <c r="CL115" s="38" t="str">
        <f>IF(C115="","",IF(COUNT(G115:AZ115)&lt;46,"",SUMPRODUCT(CC115:CK115,'تنظیمات وزن‌دهی'!$C$5:$C$13)/100))</f>
        <v/>
      </c>
      <c r="CM115" s="38" t="str">
        <f t="shared" si="20"/>
        <v>موقت - اطلاعات ناقص</v>
      </c>
      <c r="CN115" s="38">
        <v>3</v>
      </c>
      <c r="CO115" s="28">
        <f t="shared" si="21"/>
        <v>0.63043478260869568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0960493670</v>
      </c>
      <c r="E116" s="55" t="str">
        <f>IF(دانش‌آموزان!E14="","",دانش‌آموزان!E14&amp;" "&amp;دانش‌آموزان!F14)</f>
        <v>حامد روحي</v>
      </c>
      <c r="F116" s="34">
        <f>IF(دانش‌آموزان!I14="","",دانش‌آموزان!I14)</f>
        <v>801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0960493670</v>
      </c>
      <c r="E117" s="55" t="str">
        <f>IF(دانش‌آموزان!E14="","",دانش‌آموزان!E14&amp;" "&amp;دانش‌آموزان!F14)</f>
        <v>حامد روحي</v>
      </c>
      <c r="F117" s="34">
        <f>IF(دانش‌آموزان!I14="","",دانش‌آموزان!I14)</f>
        <v>801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0960493670</v>
      </c>
      <c r="E118" s="55" t="str">
        <f>IF(دانش‌آموزان!E14="","",دانش‌آموزان!E14&amp;" "&amp;دانش‌آموزان!F14)</f>
        <v>حامد روحي</v>
      </c>
      <c r="F118" s="34">
        <f>IF(دانش‌آموزان!I14="","",دانش‌آموزان!I14)</f>
        <v>801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0960493670</v>
      </c>
      <c r="E119" s="55" t="str">
        <f>IF(دانش‌آموزان!E14="","",دانش‌آموزان!E14&amp;" "&amp;دانش‌آموزان!F14)</f>
        <v>حامد روحي</v>
      </c>
      <c r="F119" s="34">
        <f>IF(دانش‌آموزان!I14="","",دانش‌آموزان!I14)</f>
        <v>801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0960493670</v>
      </c>
      <c r="E120" s="55" t="str">
        <f>IF(دانش‌آموزان!E14="","",دانش‌آموزان!E14&amp;" "&amp;دانش‌آموزان!F14)</f>
        <v>حامد روحي</v>
      </c>
      <c r="F120" s="34">
        <f>IF(دانش‌آموزان!I14="","",دانش‌آموزان!I14)</f>
        <v>801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0960493670</v>
      </c>
      <c r="E121" s="55" t="str">
        <f>IF(دانش‌آموزان!E14="","",دانش‌آموزان!E14&amp;" "&amp;دانش‌آموزان!F14)</f>
        <v>حامد روحي</v>
      </c>
      <c r="F121" s="34">
        <f>IF(دانش‌آموزان!I14="","",دانش‌آموزان!I14)</f>
        <v>801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0960493670</v>
      </c>
      <c r="E122" s="55" t="str">
        <f>IF(دانش‌آموزان!E14="","",دانش‌آموزان!E14&amp;" "&amp;دانش‌آموزان!F14)</f>
        <v>حامد روحي</v>
      </c>
      <c r="F122" s="34">
        <f>IF(دانش‌آموزان!I14="","",دانش‌آموزان!I14)</f>
        <v>801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0960493670</v>
      </c>
      <c r="E123" s="55" t="str">
        <f>IF(دانش‌آموزان!E14="","",دانش‌آموزان!E14&amp;" "&amp;دانش‌آموزان!F14)</f>
        <v>حامد روحي</v>
      </c>
      <c r="F123" s="34">
        <f>IF(دانش‌آموزان!I14="","",دانش‌آموزان!I14)</f>
        <v>801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0960493670</v>
      </c>
      <c r="E124" s="55" t="str">
        <f>IF(دانش‌آموزان!E14="","",دانش‌آموزان!E14&amp;" "&amp;دانش‌آموزان!F14)</f>
        <v>حامد روحي</v>
      </c>
      <c r="F124" s="34">
        <f>IF(دانش‌آموزان!I14="","",دانش‌آموزان!I14)</f>
        <v>801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0252128788</v>
      </c>
      <c r="E125" s="55" t="str">
        <f>IF(دانش‌آموزان!E15="","",دانش‌آموزان!E15&amp;" "&amp;دانش‌آموزان!F15)</f>
        <v>مبين زمانزاده دربان</v>
      </c>
      <c r="F125" s="34">
        <f>IF(دانش‌آموزان!I15="","",دانش‌آموزان!I15)</f>
        <v>801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0252128788</v>
      </c>
      <c r="E126" s="55" t="str">
        <f>IF(دانش‌آموزان!E15="","",دانش‌آموزان!E15&amp;" "&amp;دانش‌آموزان!F15)</f>
        <v>مبين زمانزاده دربان</v>
      </c>
      <c r="F126" s="34">
        <f>IF(دانش‌آموزان!I15="","",دانش‌آموزان!I15)</f>
        <v>801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5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0252128788</v>
      </c>
      <c r="E127" s="55" t="str">
        <f>IF(دانش‌آموزان!E15="","",دانش‌آموزان!E15&amp;" "&amp;دانش‌آموزان!F15)</f>
        <v>مبين زمانزاده دربان</v>
      </c>
      <c r="F127" s="34">
        <f>IF(دانش‌آموزان!I15="","",دانش‌آموزان!I15)</f>
        <v>801</v>
      </c>
      <c r="G127" s="80">
        <v>19.760000000000002</v>
      </c>
      <c r="H127" s="20">
        <v>-8.7600000000000016</v>
      </c>
      <c r="I127" s="20">
        <v>4</v>
      </c>
      <c r="J127" s="20">
        <v>5</v>
      </c>
      <c r="K127" s="20">
        <v>5</v>
      </c>
      <c r="L127" s="20">
        <v>5</v>
      </c>
      <c r="M127" s="20">
        <v>5</v>
      </c>
      <c r="N127" s="20">
        <v>5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 t="s">
        <v>371</v>
      </c>
      <c r="AE127" s="20" t="s">
        <v>371</v>
      </c>
      <c r="AF127" s="20" t="s">
        <v>371</v>
      </c>
      <c r="AG127" s="20" t="s">
        <v>371</v>
      </c>
      <c r="AH127" s="20" t="s">
        <v>371</v>
      </c>
      <c r="AI127" s="20" t="s">
        <v>371</v>
      </c>
      <c r="AJ127" s="20">
        <v>5</v>
      </c>
      <c r="AK127" s="20">
        <v>5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 t="s">
        <v>371</v>
      </c>
      <c r="AR127" s="20" t="s">
        <v>371</v>
      </c>
      <c r="AS127" s="20" t="s">
        <v>371</v>
      </c>
      <c r="AT127" s="20" t="s">
        <v>371</v>
      </c>
      <c r="AU127" s="20" t="s">
        <v>371</v>
      </c>
      <c r="AV127" s="20" t="s">
        <v>371</v>
      </c>
      <c r="AW127" s="20" t="s">
        <v>371</v>
      </c>
      <c r="AX127" s="20" t="s">
        <v>371</v>
      </c>
      <c r="AY127" s="20" t="s">
        <v>371</v>
      </c>
      <c r="AZ127" s="20" t="s">
        <v>371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20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20</v>
      </c>
      <c r="CH127" s="38" t="str">
        <f t="shared" si="16"/>
        <v/>
      </c>
      <c r="CI127" s="38">
        <f t="shared" si="17"/>
        <v>20</v>
      </c>
      <c r="CJ127" s="38" t="str">
        <f t="shared" si="18"/>
        <v/>
      </c>
      <c r="CK127" s="38" t="str">
        <f t="shared" si="19"/>
        <v/>
      </c>
      <c r="CL127" s="38" t="str">
        <f>IF(C127="","",IF(COUNT(G127:AZ127)&lt;46,"",SUMPRODUCT(CC127:CK127,'تنظیمات وزن‌دهی'!$C$5:$C$13)/100))</f>
        <v/>
      </c>
      <c r="CM127" s="38" t="str">
        <f t="shared" si="20"/>
        <v>موقت - اطلاعات ناقص</v>
      </c>
      <c r="CN127" s="38">
        <v>3</v>
      </c>
      <c r="CO127" s="28">
        <f t="shared" si="21"/>
        <v>0.65217391304347827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0252128788</v>
      </c>
      <c r="E128" s="55" t="str">
        <f>IF(دانش‌آموزان!E15="","",دانش‌آموزان!E15&amp;" "&amp;دانش‌آموزان!F15)</f>
        <v>مبين زمانزاده دربان</v>
      </c>
      <c r="F128" s="34">
        <f>IF(دانش‌آموزان!I15="","",دانش‌آموزان!I15)</f>
        <v>801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0252128788</v>
      </c>
      <c r="E129" s="55" t="str">
        <f>IF(دانش‌آموزان!E15="","",دانش‌آموزان!E15&amp;" "&amp;دانش‌آموزان!F15)</f>
        <v>مبين زمانزاده دربان</v>
      </c>
      <c r="F129" s="34">
        <f>IF(دانش‌آموزان!I15="","",دانش‌آموزان!I15)</f>
        <v>801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0252128788</v>
      </c>
      <c r="E130" s="55" t="str">
        <f>IF(دانش‌آموزان!E15="","",دانش‌آموزان!E15&amp;" "&amp;دانش‌آموزان!F15)</f>
        <v>مبين زمانزاده دربان</v>
      </c>
      <c r="F130" s="34">
        <f>IF(دانش‌آموزان!I15="","",دانش‌آموزان!I15)</f>
        <v>801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0252128788</v>
      </c>
      <c r="E131" s="55" t="str">
        <f>IF(دانش‌آموزان!E15="","",دانش‌آموزان!E15&amp;" "&amp;دانش‌آموزان!F15)</f>
        <v>مبين زمانزاده دربان</v>
      </c>
      <c r="F131" s="34">
        <f>IF(دانش‌آموزان!I15="","",دانش‌آموزان!I15)</f>
        <v>801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0252128788</v>
      </c>
      <c r="E132" s="55" t="str">
        <f>IF(دانش‌آموزان!E15="","",دانش‌آموزان!E15&amp;" "&amp;دانش‌آموزان!F15)</f>
        <v>مبين زمانزاده دربان</v>
      </c>
      <c r="F132" s="34">
        <f>IF(دانش‌آموزان!I15="","",دانش‌آموزان!I15)</f>
        <v>801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0252128788</v>
      </c>
      <c r="E133" s="55" t="str">
        <f>IF(دانش‌آموزان!E15="","",دانش‌آموزان!E15&amp;" "&amp;دانش‌آموزان!F15)</f>
        <v>مبين زمانزاده دربان</v>
      </c>
      <c r="F133" s="34">
        <f>IF(دانش‌آموزان!I15="","",دانش‌آموزان!I15)</f>
        <v>801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0252128788</v>
      </c>
      <c r="E134" s="55" t="str">
        <f>IF(دانش‌آموزان!E15="","",دانش‌آموزان!E15&amp;" "&amp;دانش‌آموزان!F15)</f>
        <v>مبين زمانزاده دربان</v>
      </c>
      <c r="F134" s="34">
        <f>IF(دانش‌آموزان!I15="","",دانش‌آموزان!I15)</f>
        <v>801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0252128788</v>
      </c>
      <c r="E135" s="55" t="str">
        <f>IF(دانش‌آموزان!E15="","",دانش‌آموزان!E15&amp;" "&amp;دانش‌آموزان!F15)</f>
        <v>مبين زمانزاده دربان</v>
      </c>
      <c r="F135" s="34">
        <f>IF(دانش‌آموزان!I15="","",دانش‌آموزان!I15)</f>
        <v>801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0252128788</v>
      </c>
      <c r="E136" s="55" t="str">
        <f>IF(دانش‌آموزان!E15="","",دانش‌آموزان!E15&amp;" "&amp;دانش‌آموزان!F15)</f>
        <v>مبين زمانزاده دربان</v>
      </c>
      <c r="F136" s="34">
        <f>IF(دانش‌آموزان!I15="","",دانش‌آموزان!I15)</f>
        <v>801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0980597838</v>
      </c>
      <c r="E137" s="55" t="str">
        <f>IF(دانش‌آموزان!E16="","",دانش‌آموزان!E16&amp;" "&amp;دانش‌آموزان!F16)</f>
        <v>كوروش سالاري هدكي</v>
      </c>
      <c r="F137" s="34">
        <f>IF(دانش‌آموزان!I16="","",دانش‌آموزان!I16)</f>
        <v>801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0980597838</v>
      </c>
      <c r="E138" s="55" t="str">
        <f>IF(دانش‌آموزان!E16="","",دانش‌آموزان!E16&amp;" "&amp;دانش‌آموزان!F16)</f>
        <v>كوروش سالاري هدكي</v>
      </c>
      <c r="F138" s="34">
        <f>IF(دانش‌آموزان!I16="","",دانش‌آموزان!I16)</f>
        <v>801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5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0980597838</v>
      </c>
      <c r="E139" s="55" t="str">
        <f>IF(دانش‌آموزان!E16="","",دانش‌آموزان!E16&amp;" "&amp;دانش‌آموزان!F16)</f>
        <v>كوروش سالاري هدكي</v>
      </c>
      <c r="F139" s="34">
        <f>IF(دانش‌آموزان!I16="","",دانش‌آموزان!I16)</f>
        <v>801</v>
      </c>
      <c r="G139" s="81">
        <v>19.190000000000001</v>
      </c>
      <c r="H139" s="20">
        <v>-7.1900000000000013</v>
      </c>
      <c r="I139" s="20">
        <v>5</v>
      </c>
      <c r="J139" s="20">
        <v>5</v>
      </c>
      <c r="K139" s="20">
        <v>5</v>
      </c>
      <c r="L139" s="20">
        <v>5</v>
      </c>
      <c r="M139" s="20">
        <v>5</v>
      </c>
      <c r="N139" s="20">
        <v>5</v>
      </c>
      <c r="O139" s="20">
        <v>5</v>
      </c>
      <c r="P139" s="20">
        <v>5</v>
      </c>
      <c r="Q139" s="20">
        <v>5</v>
      </c>
      <c r="R139" s="20">
        <v>5</v>
      </c>
      <c r="S139" s="20">
        <v>5</v>
      </c>
      <c r="T139" s="20">
        <v>5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 t="s">
        <v>371</v>
      </c>
      <c r="AE139" s="20" t="s">
        <v>371</v>
      </c>
      <c r="AF139" s="20" t="s">
        <v>371</v>
      </c>
      <c r="AG139" s="20" t="s">
        <v>371</v>
      </c>
      <c r="AH139" s="20" t="s">
        <v>371</v>
      </c>
      <c r="AI139" s="20" t="s">
        <v>371</v>
      </c>
      <c r="AJ139" s="20">
        <v>5</v>
      </c>
      <c r="AK139" s="20">
        <v>5</v>
      </c>
      <c r="AL139" s="20">
        <v>5</v>
      </c>
      <c r="AM139" s="20">
        <v>5</v>
      </c>
      <c r="AN139" s="20">
        <v>5</v>
      </c>
      <c r="AO139" s="20">
        <v>5</v>
      </c>
      <c r="AP139" s="20">
        <v>5</v>
      </c>
      <c r="AQ139" s="20" t="s">
        <v>371</v>
      </c>
      <c r="AR139" s="20" t="s">
        <v>371</v>
      </c>
      <c r="AS139" s="20" t="s">
        <v>371</v>
      </c>
      <c r="AT139" s="20" t="s">
        <v>371</v>
      </c>
      <c r="AU139" s="20" t="s">
        <v>371</v>
      </c>
      <c r="AV139" s="20" t="s">
        <v>371</v>
      </c>
      <c r="AW139" s="20" t="s">
        <v>371</v>
      </c>
      <c r="AX139" s="20" t="s">
        <v>371</v>
      </c>
      <c r="AY139" s="20" t="s">
        <v>371</v>
      </c>
      <c r="AZ139" s="20" t="s">
        <v>371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21</v>
      </c>
      <c r="CD139" s="38">
        <f t="shared" si="23"/>
        <v>20</v>
      </c>
      <c r="CE139" s="38">
        <f t="shared" si="24"/>
        <v>20</v>
      </c>
      <c r="CF139" s="38">
        <f t="shared" si="25"/>
        <v>20</v>
      </c>
      <c r="CG139" s="38">
        <f t="shared" si="26"/>
        <v>20</v>
      </c>
      <c r="CH139" s="38" t="str">
        <f t="shared" si="27"/>
        <v/>
      </c>
      <c r="CI139" s="38">
        <f t="shared" si="28"/>
        <v>20</v>
      </c>
      <c r="CJ139" s="38" t="str">
        <f t="shared" si="29"/>
        <v/>
      </c>
      <c r="CK139" s="38" t="str">
        <f t="shared" si="30"/>
        <v/>
      </c>
      <c r="CL139" s="38" t="str">
        <f>IF(C139="","",IF(COUNT(G139:AZ139)&lt;46,"",SUMPRODUCT(CC139:CK139,'تنظیمات وزن‌دهی'!$C$5:$C$13)/100))</f>
        <v/>
      </c>
      <c r="CM139" s="38" t="str">
        <f t="shared" si="31"/>
        <v>موقت - اطلاعات ناقص</v>
      </c>
      <c r="CN139" s="38">
        <v>3</v>
      </c>
      <c r="CO139" s="28">
        <f t="shared" si="32"/>
        <v>0.65217391304347827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0980597838</v>
      </c>
      <c r="E140" s="55" t="str">
        <f>IF(دانش‌آموزان!E16="","",دانش‌آموزان!E16&amp;" "&amp;دانش‌آموزان!F16)</f>
        <v>كوروش سالاري هدكي</v>
      </c>
      <c r="F140" s="34">
        <f>IF(دانش‌آموزان!I16="","",دانش‌آموزان!I16)</f>
        <v>801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0980597838</v>
      </c>
      <c r="E141" s="55" t="str">
        <f>IF(دانش‌آموزان!E16="","",دانش‌آموزان!E16&amp;" "&amp;دانش‌آموزان!F16)</f>
        <v>كوروش سالاري هدكي</v>
      </c>
      <c r="F141" s="34">
        <f>IF(دانش‌آموزان!I16="","",دانش‌آموزان!I16)</f>
        <v>801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0980597838</v>
      </c>
      <c r="E142" s="55" t="str">
        <f>IF(دانش‌آموزان!E16="","",دانش‌آموزان!E16&amp;" "&amp;دانش‌آموزان!F16)</f>
        <v>كوروش سالاري هدكي</v>
      </c>
      <c r="F142" s="34">
        <f>IF(دانش‌آموزان!I16="","",دانش‌آموزان!I16)</f>
        <v>801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0980597838</v>
      </c>
      <c r="E143" s="55" t="str">
        <f>IF(دانش‌آموزان!E16="","",دانش‌آموزان!E16&amp;" "&amp;دانش‌آموزان!F16)</f>
        <v>كوروش سالاري هدكي</v>
      </c>
      <c r="F143" s="34">
        <f>IF(دانش‌آموزان!I16="","",دانش‌آموزان!I16)</f>
        <v>801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0980597838</v>
      </c>
      <c r="E144" s="55" t="str">
        <f>IF(دانش‌آموزان!E16="","",دانش‌آموزان!E16&amp;" "&amp;دانش‌آموزان!F16)</f>
        <v>كوروش سالاري هدكي</v>
      </c>
      <c r="F144" s="34">
        <f>IF(دانش‌آموزان!I16="","",دانش‌آموزان!I16)</f>
        <v>801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0980597838</v>
      </c>
      <c r="E145" s="55" t="str">
        <f>IF(دانش‌آموزان!E16="","",دانش‌آموزان!E16&amp;" "&amp;دانش‌آموزان!F16)</f>
        <v>كوروش سالاري هدكي</v>
      </c>
      <c r="F145" s="34">
        <f>IF(دانش‌آموزان!I16="","",دانش‌آموزان!I16)</f>
        <v>801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0980597838</v>
      </c>
      <c r="E146" s="55" t="str">
        <f>IF(دانش‌آموزان!E16="","",دانش‌آموزان!E16&amp;" "&amp;دانش‌آموزان!F16)</f>
        <v>كوروش سالاري هدكي</v>
      </c>
      <c r="F146" s="34">
        <f>IF(دانش‌آموزان!I16="","",دانش‌آموزان!I16)</f>
        <v>801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0980597838</v>
      </c>
      <c r="E147" s="55" t="str">
        <f>IF(دانش‌آموزان!E16="","",دانش‌آموزان!E16&amp;" "&amp;دانش‌آموزان!F16)</f>
        <v>كوروش سالاري هدكي</v>
      </c>
      <c r="F147" s="34">
        <f>IF(دانش‌آموزان!I16="","",دانش‌آموزان!I16)</f>
        <v>801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0980597838</v>
      </c>
      <c r="E148" s="55" t="str">
        <f>IF(دانش‌آموزان!E16="","",دانش‌آموزان!E16&amp;" "&amp;دانش‌آموزان!F16)</f>
        <v>كوروش سالاري هدكي</v>
      </c>
      <c r="F148" s="34">
        <f>IF(دانش‌آموزان!I16="","",دانش‌آموزان!I16)</f>
        <v>801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0960491090</v>
      </c>
      <c r="E149" s="55" t="str">
        <f>IF(دانش‌آموزان!E17="","",دانش‌آموزان!E17&amp;" "&amp;دانش‌آموزان!F17)</f>
        <v>پوريا شوشتري</v>
      </c>
      <c r="F149" s="34">
        <f>IF(دانش‌آموزان!I17="","",دانش‌آموزان!I17)</f>
        <v>801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0960491090</v>
      </c>
      <c r="E150" s="55" t="str">
        <f>IF(دانش‌آموزان!E17="","",دانش‌آموزان!E17&amp;" "&amp;دانش‌آموزان!F17)</f>
        <v>پوريا شوشتري</v>
      </c>
      <c r="F150" s="34">
        <f>IF(دانش‌آموزان!I17="","",دانش‌آموزان!I17)</f>
        <v>801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5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0960491090</v>
      </c>
      <c r="E151" s="55" t="str">
        <f>IF(دانش‌آموزان!E17="","",دانش‌آموزان!E17&amp;" "&amp;دانش‌آموزان!F17)</f>
        <v>پوريا شوشتري</v>
      </c>
      <c r="F151" s="34">
        <f>IF(دانش‌آموزان!I17="","",دانش‌آموزان!I17)</f>
        <v>801</v>
      </c>
      <c r="G151" s="82">
        <v>19.78</v>
      </c>
      <c r="H151" s="20">
        <v>-6.7800000000000011</v>
      </c>
      <c r="I151" s="20">
        <v>5</v>
      </c>
      <c r="J151" s="20">
        <v>5</v>
      </c>
      <c r="K151" s="20">
        <v>5</v>
      </c>
      <c r="L151" s="20">
        <v>5</v>
      </c>
      <c r="M151" s="20">
        <v>5</v>
      </c>
      <c r="N151" s="20">
        <v>5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5</v>
      </c>
      <c r="U151" s="20">
        <v>5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 t="s">
        <v>371</v>
      </c>
      <c r="AE151" s="20" t="s">
        <v>371</v>
      </c>
      <c r="AF151" s="20" t="s">
        <v>371</v>
      </c>
      <c r="AG151" s="20" t="s">
        <v>371</v>
      </c>
      <c r="AH151" s="20" t="s">
        <v>371</v>
      </c>
      <c r="AI151" s="20" t="s">
        <v>371</v>
      </c>
      <c r="AJ151" s="20">
        <v>5</v>
      </c>
      <c r="AK151" s="20">
        <v>5</v>
      </c>
      <c r="AL151" s="20">
        <v>5</v>
      </c>
      <c r="AM151" s="20">
        <v>5</v>
      </c>
      <c r="AN151" s="20">
        <v>5</v>
      </c>
      <c r="AO151" s="20">
        <v>5</v>
      </c>
      <c r="AP151" s="20">
        <v>5</v>
      </c>
      <c r="AQ151" s="20" t="s">
        <v>371</v>
      </c>
      <c r="AR151" s="20" t="s">
        <v>371</v>
      </c>
      <c r="AS151" s="20" t="s">
        <v>371</v>
      </c>
      <c r="AT151" s="20" t="s">
        <v>371</v>
      </c>
      <c r="AU151" s="20" t="s">
        <v>371</v>
      </c>
      <c r="AV151" s="20" t="s">
        <v>371</v>
      </c>
      <c r="AW151" s="20" t="s">
        <v>371</v>
      </c>
      <c r="AX151" s="20" t="s">
        <v>371</v>
      </c>
      <c r="AY151" s="20" t="s">
        <v>371</v>
      </c>
      <c r="AZ151" s="20" t="s">
        <v>371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21.5</v>
      </c>
      <c r="CD151" s="38">
        <f t="shared" si="23"/>
        <v>20</v>
      </c>
      <c r="CE151" s="38">
        <f t="shared" si="24"/>
        <v>20</v>
      </c>
      <c r="CF151" s="38">
        <f t="shared" si="25"/>
        <v>20</v>
      </c>
      <c r="CG151" s="38">
        <f t="shared" si="26"/>
        <v>20</v>
      </c>
      <c r="CH151" s="38" t="str">
        <f t="shared" si="27"/>
        <v/>
      </c>
      <c r="CI151" s="38">
        <f t="shared" si="28"/>
        <v>20</v>
      </c>
      <c r="CJ151" s="38" t="str">
        <f t="shared" si="29"/>
        <v/>
      </c>
      <c r="CK151" s="38" t="str">
        <f t="shared" si="30"/>
        <v/>
      </c>
      <c r="CL151" s="38" t="str">
        <f>IF(C151="","",IF(COUNT(G151:AZ151)&lt;46,"",SUMPRODUCT(CC151:CK151,'تنظیمات وزن‌دهی'!$C$5:$C$13)/100))</f>
        <v/>
      </c>
      <c r="CM151" s="38" t="str">
        <f t="shared" si="31"/>
        <v>موقت - اطلاعات ناقص</v>
      </c>
      <c r="CN151" s="38">
        <v>3</v>
      </c>
      <c r="CO151" s="28">
        <f t="shared" si="32"/>
        <v>0.65217391304347827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0960491090</v>
      </c>
      <c r="E152" s="55" t="str">
        <f>IF(دانش‌آموزان!E17="","",دانش‌آموزان!E17&amp;" "&amp;دانش‌آموزان!F17)</f>
        <v>پوريا شوشتري</v>
      </c>
      <c r="F152" s="34">
        <f>IF(دانش‌آموزان!I17="","",دانش‌آموزان!I17)</f>
        <v>801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0960491090</v>
      </c>
      <c r="E153" s="55" t="str">
        <f>IF(دانش‌آموزان!E17="","",دانش‌آموزان!E17&amp;" "&amp;دانش‌آموزان!F17)</f>
        <v>پوريا شوشتري</v>
      </c>
      <c r="F153" s="34">
        <f>IF(دانش‌آموزان!I17="","",دانش‌آموزان!I17)</f>
        <v>801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0960491090</v>
      </c>
      <c r="E154" s="55" t="str">
        <f>IF(دانش‌آموزان!E17="","",دانش‌آموزان!E17&amp;" "&amp;دانش‌آموزان!F17)</f>
        <v>پوريا شوشتري</v>
      </c>
      <c r="F154" s="34">
        <f>IF(دانش‌آموزان!I17="","",دانش‌آموزان!I17)</f>
        <v>801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0960491090</v>
      </c>
      <c r="E155" s="55" t="str">
        <f>IF(دانش‌آموزان!E17="","",دانش‌آموزان!E17&amp;" "&amp;دانش‌آموزان!F17)</f>
        <v>پوريا شوشتري</v>
      </c>
      <c r="F155" s="34">
        <f>IF(دانش‌آموزان!I17="","",دانش‌آموزان!I17)</f>
        <v>801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0960491090</v>
      </c>
      <c r="E156" s="55" t="str">
        <f>IF(دانش‌آموزان!E17="","",دانش‌آموزان!E17&amp;" "&amp;دانش‌آموزان!F17)</f>
        <v>پوريا شوشتري</v>
      </c>
      <c r="F156" s="34">
        <f>IF(دانش‌آموزان!I17="","",دانش‌آموزان!I17)</f>
        <v>801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0960491090</v>
      </c>
      <c r="E157" s="55" t="str">
        <f>IF(دانش‌آموزان!E17="","",دانش‌آموزان!E17&amp;" "&amp;دانش‌آموزان!F17)</f>
        <v>پوريا شوشتري</v>
      </c>
      <c r="F157" s="34">
        <f>IF(دانش‌آموزان!I17="","",دانش‌آموزان!I17)</f>
        <v>801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0960491090</v>
      </c>
      <c r="E158" s="55" t="str">
        <f>IF(دانش‌آموزان!E17="","",دانش‌آموزان!E17&amp;" "&amp;دانش‌آموزان!F17)</f>
        <v>پوريا شوشتري</v>
      </c>
      <c r="F158" s="34">
        <f>IF(دانش‌آموزان!I17="","",دانش‌آموزان!I17)</f>
        <v>801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0960491090</v>
      </c>
      <c r="E159" s="55" t="str">
        <f>IF(دانش‌آموزان!E17="","",دانش‌آموزان!E17&amp;" "&amp;دانش‌آموزان!F17)</f>
        <v>پوريا شوشتري</v>
      </c>
      <c r="F159" s="34">
        <f>IF(دانش‌آموزان!I17="","",دانش‌آموزان!I17)</f>
        <v>801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0960491090</v>
      </c>
      <c r="E160" s="55" t="str">
        <f>IF(دانش‌آموزان!E17="","",دانش‌آموزان!E17&amp;" "&amp;دانش‌آموزان!F17)</f>
        <v>پوريا شوشتري</v>
      </c>
      <c r="F160" s="34">
        <f>IF(دانش‌آموزان!I17="","",دانش‌آموزان!I17)</f>
        <v>801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0960555821</v>
      </c>
      <c r="E161" s="55" t="str">
        <f>IF(دانش‌آموزان!E18="","",دانش‌آموزان!E18&amp;" "&amp;دانش‌آموزان!F18)</f>
        <v>ياسين صادقي تازه كندي</v>
      </c>
      <c r="F161" s="34">
        <f>IF(دانش‌آموزان!I18="","",دانش‌آموزان!I18)</f>
        <v>801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0960555821</v>
      </c>
      <c r="E162" s="55" t="str">
        <f>IF(دانش‌آموزان!E18="","",دانش‌آموزان!E18&amp;" "&amp;دانش‌آموزان!F18)</f>
        <v>ياسين صادقي تازه كندي</v>
      </c>
      <c r="F162" s="34">
        <f>IF(دانش‌آموزان!I18="","",دانش‌آموزان!I18)</f>
        <v>801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5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0960555821</v>
      </c>
      <c r="E163" s="55" t="str">
        <f>IF(دانش‌آموزان!E18="","",دانش‌آموزان!E18&amp;" "&amp;دانش‌آموزان!F18)</f>
        <v>ياسين صادقي تازه كندي</v>
      </c>
      <c r="F163" s="34">
        <f>IF(دانش‌آموزان!I18="","",دانش‌آموزان!I18)</f>
        <v>801</v>
      </c>
      <c r="G163" s="83">
        <v>19.71</v>
      </c>
      <c r="H163" s="20">
        <v>-7.7100000000000009</v>
      </c>
      <c r="I163" s="20">
        <v>5</v>
      </c>
      <c r="J163" s="20">
        <v>5</v>
      </c>
      <c r="K163" s="20">
        <v>5</v>
      </c>
      <c r="L163" s="20">
        <v>5</v>
      </c>
      <c r="M163" s="20">
        <v>5</v>
      </c>
      <c r="N163" s="20">
        <v>5</v>
      </c>
      <c r="O163" s="20">
        <v>5</v>
      </c>
      <c r="P163" s="20">
        <v>5</v>
      </c>
      <c r="Q163" s="20">
        <v>5</v>
      </c>
      <c r="R163" s="20">
        <v>5</v>
      </c>
      <c r="S163" s="20">
        <v>5</v>
      </c>
      <c r="T163" s="20">
        <v>5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 t="s">
        <v>371</v>
      </c>
      <c r="AE163" s="20" t="s">
        <v>371</v>
      </c>
      <c r="AF163" s="20" t="s">
        <v>371</v>
      </c>
      <c r="AG163" s="20" t="s">
        <v>371</v>
      </c>
      <c r="AH163" s="20" t="s">
        <v>371</v>
      </c>
      <c r="AI163" s="20" t="s">
        <v>371</v>
      </c>
      <c r="AJ163" s="20">
        <v>5</v>
      </c>
      <c r="AK163" s="20">
        <v>5</v>
      </c>
      <c r="AL163" s="20">
        <v>5</v>
      </c>
      <c r="AM163" s="20">
        <v>5</v>
      </c>
      <c r="AN163" s="20">
        <v>5</v>
      </c>
      <c r="AO163" s="20">
        <v>5</v>
      </c>
      <c r="AP163" s="20">
        <v>5</v>
      </c>
      <c r="AQ163" s="20" t="s">
        <v>371</v>
      </c>
      <c r="AR163" s="20" t="s">
        <v>371</v>
      </c>
      <c r="AS163" s="20" t="s">
        <v>371</v>
      </c>
      <c r="AT163" s="20" t="s">
        <v>371</v>
      </c>
      <c r="AU163" s="20" t="s">
        <v>371</v>
      </c>
      <c r="AV163" s="20" t="s">
        <v>371</v>
      </c>
      <c r="AW163" s="20" t="s">
        <v>371</v>
      </c>
      <c r="AX163" s="20" t="s">
        <v>371</v>
      </c>
      <c r="AY163" s="20" t="s">
        <v>371</v>
      </c>
      <c r="AZ163" s="20" t="s">
        <v>371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21</v>
      </c>
      <c r="CD163" s="38">
        <f t="shared" si="23"/>
        <v>20</v>
      </c>
      <c r="CE163" s="38">
        <f t="shared" si="24"/>
        <v>20</v>
      </c>
      <c r="CF163" s="38">
        <f t="shared" si="25"/>
        <v>20</v>
      </c>
      <c r="CG163" s="38">
        <f t="shared" si="26"/>
        <v>20</v>
      </c>
      <c r="CH163" s="38" t="str">
        <f t="shared" si="27"/>
        <v/>
      </c>
      <c r="CI163" s="38">
        <f t="shared" si="28"/>
        <v>20</v>
      </c>
      <c r="CJ163" s="38" t="str">
        <f t="shared" si="29"/>
        <v/>
      </c>
      <c r="CK163" s="38" t="str">
        <f t="shared" si="30"/>
        <v/>
      </c>
      <c r="CL163" s="38" t="str">
        <f>IF(C163="","",IF(COUNT(G163:AZ163)&lt;46,"",SUMPRODUCT(CC163:CK163,'تنظیمات وزن‌دهی'!$C$5:$C$13)/100))</f>
        <v/>
      </c>
      <c r="CM163" s="38" t="str">
        <f t="shared" si="31"/>
        <v>موقت - اطلاعات ناقص</v>
      </c>
      <c r="CN163" s="38">
        <v>3</v>
      </c>
      <c r="CO163" s="28">
        <f t="shared" si="32"/>
        <v>0.65217391304347827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0960555821</v>
      </c>
      <c r="E164" s="55" t="str">
        <f>IF(دانش‌آموزان!E18="","",دانش‌آموزان!E18&amp;" "&amp;دانش‌آموزان!F18)</f>
        <v>ياسين صادقي تازه كندي</v>
      </c>
      <c r="F164" s="34">
        <f>IF(دانش‌آموزان!I18="","",دانش‌آموزان!I18)</f>
        <v>801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0960555821</v>
      </c>
      <c r="E165" s="55" t="str">
        <f>IF(دانش‌آموزان!E18="","",دانش‌آموزان!E18&amp;" "&amp;دانش‌آموزان!F18)</f>
        <v>ياسين صادقي تازه كندي</v>
      </c>
      <c r="F165" s="34">
        <f>IF(دانش‌آموزان!I18="","",دانش‌آموزان!I18)</f>
        <v>801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0960555821</v>
      </c>
      <c r="E166" s="55" t="str">
        <f>IF(دانش‌آموزان!E18="","",دانش‌آموزان!E18&amp;" "&amp;دانش‌آموزان!F18)</f>
        <v>ياسين صادقي تازه كندي</v>
      </c>
      <c r="F166" s="34">
        <f>IF(دانش‌آموزان!I18="","",دانش‌آموزان!I18)</f>
        <v>801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0960555821</v>
      </c>
      <c r="E167" s="55" t="str">
        <f>IF(دانش‌آموزان!E18="","",دانش‌آموزان!E18&amp;" "&amp;دانش‌آموزان!F18)</f>
        <v>ياسين صادقي تازه كندي</v>
      </c>
      <c r="F167" s="34">
        <f>IF(دانش‌آموزان!I18="","",دانش‌آموزان!I18)</f>
        <v>801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0960555821</v>
      </c>
      <c r="E168" s="55" t="str">
        <f>IF(دانش‌آموزان!E18="","",دانش‌آموزان!E18&amp;" "&amp;دانش‌آموزان!F18)</f>
        <v>ياسين صادقي تازه كندي</v>
      </c>
      <c r="F168" s="34">
        <f>IF(دانش‌آموزان!I18="","",دانش‌آموزان!I18)</f>
        <v>801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0960555821</v>
      </c>
      <c r="E169" s="55" t="str">
        <f>IF(دانش‌آموزان!E18="","",دانش‌آموزان!E18&amp;" "&amp;دانش‌آموزان!F18)</f>
        <v>ياسين صادقي تازه كندي</v>
      </c>
      <c r="F169" s="34">
        <f>IF(دانش‌آموزان!I18="","",دانش‌آموزان!I18)</f>
        <v>801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0960555821</v>
      </c>
      <c r="E170" s="55" t="str">
        <f>IF(دانش‌آموزان!E18="","",دانش‌آموزان!E18&amp;" "&amp;دانش‌آموزان!F18)</f>
        <v>ياسين صادقي تازه كندي</v>
      </c>
      <c r="F170" s="34">
        <f>IF(دانش‌آموزان!I18="","",دانش‌آموزان!I18)</f>
        <v>801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0960555821</v>
      </c>
      <c r="E171" s="55" t="str">
        <f>IF(دانش‌آموزان!E18="","",دانش‌آموزان!E18&amp;" "&amp;دانش‌آموزان!F18)</f>
        <v>ياسين صادقي تازه كندي</v>
      </c>
      <c r="F171" s="34">
        <f>IF(دانش‌آموزان!I18="","",دانش‌آموزان!I18)</f>
        <v>801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0960555821</v>
      </c>
      <c r="E172" s="55" t="str">
        <f>IF(دانش‌آموزان!E18="","",دانش‌آموزان!E18&amp;" "&amp;دانش‌آموزان!F18)</f>
        <v>ياسين صادقي تازه كندي</v>
      </c>
      <c r="F172" s="34">
        <f>IF(دانش‌آموزان!I18="","",دانش‌آموزان!I18)</f>
        <v>801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0960501711</v>
      </c>
      <c r="E173" s="55" t="str">
        <f>IF(دانش‌آموزان!E19="","",دانش‌آموزان!E19&amp;" "&amp;دانش‌آموزان!F19)</f>
        <v>امير حسين ضيافتي محرابي</v>
      </c>
      <c r="F173" s="34">
        <f>IF(دانش‌آموزان!I19="","",دانش‌آموزان!I19)</f>
        <v>801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0960501711</v>
      </c>
      <c r="E174" s="55" t="str">
        <f>IF(دانش‌آموزان!E19="","",دانش‌آموزان!E19&amp;" "&amp;دانش‌آموزان!F19)</f>
        <v>امير حسين ضيافتي محرابي</v>
      </c>
      <c r="F174" s="34">
        <f>IF(دانش‌آموزان!I19="","",دانش‌آموزان!I19)</f>
        <v>801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5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0960501711</v>
      </c>
      <c r="E175" s="55" t="str">
        <f>IF(دانش‌آموزان!E19="","",دانش‌آموزان!E19&amp;" "&amp;دانش‌آموزان!F19)</f>
        <v>امير حسين ضيافتي محرابي</v>
      </c>
      <c r="F175" s="34">
        <f>IF(دانش‌آموزان!I19="","",دانش‌آموزان!I19)</f>
        <v>801</v>
      </c>
      <c r="G175" s="84">
        <v>19.78</v>
      </c>
      <c r="H175" s="20" t="s">
        <v>371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 t="s">
        <v>371</v>
      </c>
      <c r="AE175" s="20" t="s">
        <v>371</v>
      </c>
      <c r="AF175" s="20" t="s">
        <v>371</v>
      </c>
      <c r="AG175" s="20" t="s">
        <v>371</v>
      </c>
      <c r="AH175" s="20" t="s">
        <v>371</v>
      </c>
      <c r="AI175" s="20" t="s">
        <v>371</v>
      </c>
      <c r="AJ175" s="20">
        <v>5</v>
      </c>
      <c r="AK175" s="20">
        <v>5</v>
      </c>
      <c r="AL175" s="20">
        <v>5</v>
      </c>
      <c r="AM175" s="20">
        <v>5</v>
      </c>
      <c r="AN175" s="20">
        <v>5</v>
      </c>
      <c r="AO175" s="20">
        <v>5</v>
      </c>
      <c r="AP175" s="20">
        <v>5</v>
      </c>
      <c r="AQ175" s="20" t="s">
        <v>371</v>
      </c>
      <c r="AR175" s="20" t="s">
        <v>371</v>
      </c>
      <c r="AS175" s="20" t="s">
        <v>371</v>
      </c>
      <c r="AT175" s="20" t="s">
        <v>371</v>
      </c>
      <c r="AU175" s="20" t="s">
        <v>371</v>
      </c>
      <c r="AV175" s="20" t="s">
        <v>371</v>
      </c>
      <c r="AW175" s="20" t="s">
        <v>371</v>
      </c>
      <c r="AX175" s="20" t="s">
        <v>371</v>
      </c>
      <c r="AY175" s="20" t="s">
        <v>371</v>
      </c>
      <c r="AZ175" s="20" t="s">
        <v>371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79.12</v>
      </c>
      <c r="CD175" s="38" t="str">
        <f t="shared" si="23"/>
        <v/>
      </c>
      <c r="CE175" s="38" t="str">
        <f t="shared" si="24"/>
        <v/>
      </c>
      <c r="CF175" s="38" t="str">
        <f t="shared" si="25"/>
        <v/>
      </c>
      <c r="CG175" s="38" t="str">
        <f t="shared" si="26"/>
        <v/>
      </c>
      <c r="CH175" s="38" t="str">
        <f t="shared" si="27"/>
        <v/>
      </c>
      <c r="CI175" s="38">
        <f t="shared" si="28"/>
        <v>20</v>
      </c>
      <c r="CJ175" s="38" t="str">
        <f t="shared" si="29"/>
        <v/>
      </c>
      <c r="CK175" s="38" t="str">
        <f t="shared" si="30"/>
        <v/>
      </c>
      <c r="CL175" s="38" t="str">
        <f>IF(C175="","",IF(COUNT(G175:AZ175)&lt;46,"",SUMPRODUCT(CC175:CK175,'تنظیمات وزن‌دهی'!$C$5:$C$13)/100))</f>
        <v/>
      </c>
      <c r="CM175" s="38" t="str">
        <f t="shared" si="31"/>
        <v>موقت - اطلاعات ناقص</v>
      </c>
      <c r="CN175" s="38">
        <v>3</v>
      </c>
      <c r="CO175" s="28">
        <f t="shared" si="32"/>
        <v>0.17391304347826086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0960501711</v>
      </c>
      <c r="E176" s="55" t="str">
        <f>IF(دانش‌آموزان!E19="","",دانش‌آموزان!E19&amp;" "&amp;دانش‌آموزان!F19)</f>
        <v>امير حسين ضيافتي محرابي</v>
      </c>
      <c r="F176" s="34">
        <f>IF(دانش‌آموزان!I19="","",دانش‌آموزان!I19)</f>
        <v>801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0960501711</v>
      </c>
      <c r="E177" s="55" t="str">
        <f>IF(دانش‌آموزان!E19="","",دانش‌آموزان!E19&amp;" "&amp;دانش‌آموزان!F19)</f>
        <v>امير حسين ضيافتي محرابي</v>
      </c>
      <c r="F177" s="34">
        <f>IF(دانش‌آموزان!I19="","",دانش‌آموزان!I19)</f>
        <v>801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0960501711</v>
      </c>
      <c r="E178" s="55" t="str">
        <f>IF(دانش‌آموزان!E19="","",دانش‌آموزان!E19&amp;" "&amp;دانش‌آموزان!F19)</f>
        <v>امير حسين ضيافتي محرابي</v>
      </c>
      <c r="F178" s="34">
        <f>IF(دانش‌آموزان!I19="","",دانش‌آموزان!I19)</f>
        <v>801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0960501711</v>
      </c>
      <c r="E179" s="55" t="str">
        <f>IF(دانش‌آموزان!E19="","",دانش‌آموزان!E19&amp;" "&amp;دانش‌آموزان!F19)</f>
        <v>امير حسين ضيافتي محرابي</v>
      </c>
      <c r="F179" s="34">
        <f>IF(دانش‌آموزان!I19="","",دانش‌آموزان!I19)</f>
        <v>801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0960501711</v>
      </c>
      <c r="E180" s="55" t="str">
        <f>IF(دانش‌آموزان!E19="","",دانش‌آموزان!E19&amp;" "&amp;دانش‌آموزان!F19)</f>
        <v>امير حسين ضيافتي محرابي</v>
      </c>
      <c r="F180" s="34">
        <f>IF(دانش‌آموزان!I19="","",دانش‌آموزان!I19)</f>
        <v>801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0960501711</v>
      </c>
      <c r="E181" s="55" t="str">
        <f>IF(دانش‌آموزان!E19="","",دانش‌آموزان!E19&amp;" "&amp;دانش‌آموزان!F19)</f>
        <v>امير حسين ضيافتي محرابي</v>
      </c>
      <c r="F181" s="34">
        <f>IF(دانش‌آموزان!I19="","",دانش‌آموزان!I19)</f>
        <v>801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0960501711</v>
      </c>
      <c r="E182" s="55" t="str">
        <f>IF(دانش‌آموزان!E19="","",دانش‌آموزان!E19&amp;" "&amp;دانش‌آموزان!F19)</f>
        <v>امير حسين ضيافتي محرابي</v>
      </c>
      <c r="F182" s="34">
        <f>IF(دانش‌آموزان!I19="","",دانش‌آموزان!I19)</f>
        <v>801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0960501711</v>
      </c>
      <c r="E183" s="55" t="str">
        <f>IF(دانش‌آموزان!E19="","",دانش‌آموزان!E19&amp;" "&amp;دانش‌آموزان!F19)</f>
        <v>امير حسين ضيافتي محرابي</v>
      </c>
      <c r="F183" s="34">
        <f>IF(دانش‌آموزان!I19="","",دانش‌آموزان!I19)</f>
        <v>801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0960501711</v>
      </c>
      <c r="E184" s="55" t="str">
        <f>IF(دانش‌آموزان!E19="","",دانش‌آموزان!E19&amp;" "&amp;دانش‌آموزان!F19)</f>
        <v>امير حسين ضيافتي محرابي</v>
      </c>
      <c r="F184" s="34">
        <f>IF(دانش‌آموزان!I19="","",دانش‌آموزان!I19)</f>
        <v>801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0960632591</v>
      </c>
      <c r="E185" s="55" t="str">
        <f>IF(دانش‌آموزان!E20="","",دانش‌آموزان!E20&amp;" "&amp;دانش‌آموزان!F20)</f>
        <v>اميررضا عبدالهي خوشمردان</v>
      </c>
      <c r="F185" s="34">
        <f>IF(دانش‌آموزان!I20="","",دانش‌آموزان!I20)</f>
        <v>801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0960632591</v>
      </c>
      <c r="E186" s="55" t="str">
        <f>IF(دانش‌آموزان!E20="","",دانش‌آموزان!E20&amp;" "&amp;دانش‌آموزان!F20)</f>
        <v>اميررضا عبدالهي خوشمردان</v>
      </c>
      <c r="F186" s="34">
        <f>IF(دانش‌آموزان!I20="","",دانش‌آموزان!I20)</f>
        <v>801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5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0960632591</v>
      </c>
      <c r="E187" s="55" t="str">
        <f>IF(دانش‌آموزان!E20="","",دانش‌آموزان!E20&amp;" "&amp;دانش‌آموزان!F20)</f>
        <v>اميررضا عبدالهي خوشمردان</v>
      </c>
      <c r="F187" s="34">
        <f>IF(دانش‌آموزان!I20="","",دانش‌آموزان!I20)</f>
        <v>801</v>
      </c>
      <c r="G187" s="85">
        <v>19.260000000000002</v>
      </c>
      <c r="H187" s="20">
        <v>-7.2600000000000016</v>
      </c>
      <c r="I187" s="20">
        <v>5</v>
      </c>
      <c r="J187" s="20">
        <v>5</v>
      </c>
      <c r="K187" s="20">
        <v>5</v>
      </c>
      <c r="L187" s="20">
        <v>5</v>
      </c>
      <c r="M187" s="20">
        <v>5</v>
      </c>
      <c r="N187" s="20">
        <v>5</v>
      </c>
      <c r="O187" s="20">
        <v>5</v>
      </c>
      <c r="P187" s="20">
        <v>5</v>
      </c>
      <c r="Q187" s="20">
        <v>5</v>
      </c>
      <c r="R187" s="20">
        <v>5</v>
      </c>
      <c r="S187" s="20">
        <v>5</v>
      </c>
      <c r="T187" s="20">
        <v>5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5</v>
      </c>
      <c r="AB187" s="20">
        <v>5</v>
      </c>
      <c r="AC187" s="20">
        <v>5</v>
      </c>
      <c r="AD187" s="20" t="s">
        <v>371</v>
      </c>
      <c r="AE187" s="20" t="s">
        <v>371</v>
      </c>
      <c r="AF187" s="20" t="s">
        <v>371</v>
      </c>
      <c r="AG187" s="20" t="s">
        <v>371</v>
      </c>
      <c r="AH187" s="20" t="s">
        <v>371</v>
      </c>
      <c r="AI187" s="20" t="s">
        <v>371</v>
      </c>
      <c r="AJ187" s="20">
        <v>5</v>
      </c>
      <c r="AK187" s="20">
        <v>5</v>
      </c>
      <c r="AL187" s="20">
        <v>5</v>
      </c>
      <c r="AM187" s="20">
        <v>5</v>
      </c>
      <c r="AN187" s="20">
        <v>5</v>
      </c>
      <c r="AO187" s="20">
        <v>5</v>
      </c>
      <c r="AP187" s="20">
        <v>5</v>
      </c>
      <c r="AQ187" s="20" t="s">
        <v>371</v>
      </c>
      <c r="AR187" s="20" t="s">
        <v>371</v>
      </c>
      <c r="AS187" s="20" t="s">
        <v>371</v>
      </c>
      <c r="AT187" s="20" t="s">
        <v>371</v>
      </c>
      <c r="AU187" s="20" t="s">
        <v>371</v>
      </c>
      <c r="AV187" s="20" t="s">
        <v>371</v>
      </c>
      <c r="AW187" s="20" t="s">
        <v>371</v>
      </c>
      <c r="AX187" s="20" t="s">
        <v>371</v>
      </c>
      <c r="AY187" s="20" t="s">
        <v>371</v>
      </c>
      <c r="AZ187" s="20" t="s">
        <v>371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21</v>
      </c>
      <c r="CD187" s="38">
        <f t="shared" si="23"/>
        <v>20</v>
      </c>
      <c r="CE187" s="38">
        <f t="shared" si="24"/>
        <v>20</v>
      </c>
      <c r="CF187" s="38">
        <f t="shared" si="25"/>
        <v>20</v>
      </c>
      <c r="CG187" s="38">
        <f t="shared" si="26"/>
        <v>20</v>
      </c>
      <c r="CH187" s="38" t="str">
        <f t="shared" si="27"/>
        <v/>
      </c>
      <c r="CI187" s="38">
        <f t="shared" si="28"/>
        <v>20</v>
      </c>
      <c r="CJ187" s="38" t="str">
        <f t="shared" si="29"/>
        <v/>
      </c>
      <c r="CK187" s="38" t="str">
        <f t="shared" si="30"/>
        <v/>
      </c>
      <c r="CL187" s="38" t="str">
        <f>IF(C187="","",IF(COUNT(G187:AZ187)&lt;46,"",SUMPRODUCT(CC187:CK187,'تنظیمات وزن‌دهی'!$C$5:$C$13)/100))</f>
        <v/>
      </c>
      <c r="CM187" s="38" t="str">
        <f t="shared" si="31"/>
        <v>موقت - اطلاعات ناقص</v>
      </c>
      <c r="CN187" s="38">
        <v>3</v>
      </c>
      <c r="CO187" s="28">
        <f t="shared" si="32"/>
        <v>0.65217391304347827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0960632591</v>
      </c>
      <c r="E188" s="55" t="str">
        <f>IF(دانش‌آموزان!E20="","",دانش‌آموزان!E20&amp;" "&amp;دانش‌آموزان!F20)</f>
        <v>اميررضا عبدالهي خوشمردان</v>
      </c>
      <c r="F188" s="34">
        <f>IF(دانش‌آموزان!I20="","",دانش‌آموزان!I20)</f>
        <v>801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0960632591</v>
      </c>
      <c r="E189" s="55" t="str">
        <f>IF(دانش‌آموزان!E20="","",دانش‌آموزان!E20&amp;" "&amp;دانش‌آموزان!F20)</f>
        <v>اميررضا عبدالهي خوشمردان</v>
      </c>
      <c r="F189" s="34">
        <f>IF(دانش‌آموزان!I20="","",دانش‌آموزان!I20)</f>
        <v>801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0960632591</v>
      </c>
      <c r="E190" s="55" t="str">
        <f>IF(دانش‌آموزان!E20="","",دانش‌آموزان!E20&amp;" "&amp;دانش‌آموزان!F20)</f>
        <v>اميررضا عبدالهي خوشمردان</v>
      </c>
      <c r="F190" s="34">
        <f>IF(دانش‌آموزان!I20="","",دانش‌آموزان!I20)</f>
        <v>801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0960632591</v>
      </c>
      <c r="E191" s="55" t="str">
        <f>IF(دانش‌آموزان!E20="","",دانش‌آموزان!E20&amp;" "&amp;دانش‌آموزان!F20)</f>
        <v>اميررضا عبدالهي خوشمردان</v>
      </c>
      <c r="F191" s="34">
        <f>IF(دانش‌آموزان!I20="","",دانش‌آموزان!I20)</f>
        <v>801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0960632591</v>
      </c>
      <c r="E192" s="55" t="str">
        <f>IF(دانش‌آموزان!E20="","",دانش‌آموزان!E20&amp;" "&amp;دانش‌آموزان!F20)</f>
        <v>اميررضا عبدالهي خوشمردان</v>
      </c>
      <c r="F192" s="34">
        <f>IF(دانش‌آموزان!I20="","",دانش‌آموزان!I20)</f>
        <v>801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0960632591</v>
      </c>
      <c r="E193" s="55" t="str">
        <f>IF(دانش‌آموزان!E20="","",دانش‌آموزان!E20&amp;" "&amp;دانش‌آموزان!F20)</f>
        <v>اميررضا عبدالهي خوشمردان</v>
      </c>
      <c r="F193" s="34">
        <f>IF(دانش‌آموزان!I20="","",دانش‌آموزان!I20)</f>
        <v>801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0960632591</v>
      </c>
      <c r="E194" s="55" t="str">
        <f>IF(دانش‌آموزان!E20="","",دانش‌آموزان!E20&amp;" "&amp;دانش‌آموزان!F20)</f>
        <v>اميررضا عبدالهي خوشمردان</v>
      </c>
      <c r="F194" s="34">
        <f>IF(دانش‌آموزان!I20="","",دانش‌آموزان!I20)</f>
        <v>801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0960632591</v>
      </c>
      <c r="E195" s="55" t="str">
        <f>IF(دانش‌آموزان!E20="","",دانش‌آموزان!E20&amp;" "&amp;دانش‌آموزان!F20)</f>
        <v>اميررضا عبدالهي خوشمردان</v>
      </c>
      <c r="F195" s="34">
        <f>IF(دانش‌آموزان!I20="","",دانش‌آموزان!I20)</f>
        <v>801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0960632591</v>
      </c>
      <c r="E196" s="55" t="str">
        <f>IF(دانش‌آموزان!E20="","",دانش‌آموزان!E20&amp;" "&amp;دانش‌آموزان!F20)</f>
        <v>اميررضا عبدالهي خوشمردان</v>
      </c>
      <c r="F196" s="34">
        <f>IF(دانش‌آموزان!I20="","",دانش‌آموزان!I20)</f>
        <v>801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0960505350</v>
      </c>
      <c r="E197" s="55" t="str">
        <f>IF(دانش‌آموزان!E21="","",دانش‌آموزان!E21&amp;" "&amp;دانش‌آموزان!F21)</f>
        <v>كيان عرفانيان امدادي</v>
      </c>
      <c r="F197" s="34">
        <f>IF(دانش‌آموزان!I21="","",دانش‌آموزان!I21)</f>
        <v>801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0960505350</v>
      </c>
      <c r="E198" s="55" t="str">
        <f>IF(دانش‌آموزان!E21="","",دانش‌آموزان!E21&amp;" "&amp;دانش‌آموزان!F21)</f>
        <v>كيان عرفانيان امدادي</v>
      </c>
      <c r="F198" s="34">
        <f>IF(دانش‌آموزان!I21="","",دانش‌آموزان!I21)</f>
        <v>801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5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0960505350</v>
      </c>
      <c r="E199" s="55" t="str">
        <f>IF(دانش‌آموزان!E21="","",دانش‌آموزان!E21&amp;" "&amp;دانش‌آموزان!F21)</f>
        <v>كيان عرفانيان امدادي</v>
      </c>
      <c r="F199" s="34">
        <f>IF(دانش‌آموزان!I21="","",دانش‌آموزان!I21)</f>
        <v>801</v>
      </c>
      <c r="G199" s="86">
        <v>18.920000000000002</v>
      </c>
      <c r="H199" s="20">
        <v>-7.9200000000000017</v>
      </c>
      <c r="I199" s="20">
        <v>3</v>
      </c>
      <c r="J199" s="20">
        <v>5</v>
      </c>
      <c r="K199" s="20">
        <v>5</v>
      </c>
      <c r="L199" s="20">
        <v>5</v>
      </c>
      <c r="M199" s="20">
        <v>5</v>
      </c>
      <c r="N199" s="20">
        <v>5</v>
      </c>
      <c r="O199" s="20">
        <v>5</v>
      </c>
      <c r="P199" s="20">
        <v>5</v>
      </c>
      <c r="Q199" s="20">
        <v>5</v>
      </c>
      <c r="R199" s="20">
        <v>5</v>
      </c>
      <c r="S199" s="20">
        <v>5</v>
      </c>
      <c r="T199" s="20">
        <v>5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 t="s">
        <v>371</v>
      </c>
      <c r="AE199" s="20" t="s">
        <v>371</v>
      </c>
      <c r="AF199" s="20" t="s">
        <v>371</v>
      </c>
      <c r="AG199" s="20" t="s">
        <v>371</v>
      </c>
      <c r="AH199" s="20" t="s">
        <v>371</v>
      </c>
      <c r="AI199" s="20" t="s">
        <v>371</v>
      </c>
      <c r="AJ199" s="20">
        <v>5</v>
      </c>
      <c r="AK199" s="20">
        <v>5</v>
      </c>
      <c r="AL199" s="20">
        <v>5</v>
      </c>
      <c r="AM199" s="20">
        <v>5</v>
      </c>
      <c r="AN199" s="20">
        <v>5</v>
      </c>
      <c r="AO199" s="20">
        <v>5</v>
      </c>
      <c r="AP199" s="20">
        <v>5</v>
      </c>
      <c r="AQ199" s="20" t="s">
        <v>371</v>
      </c>
      <c r="AR199" s="20" t="s">
        <v>371</v>
      </c>
      <c r="AS199" s="20" t="s">
        <v>371</v>
      </c>
      <c r="AT199" s="20" t="s">
        <v>371</v>
      </c>
      <c r="AU199" s="20" t="s">
        <v>371</v>
      </c>
      <c r="AV199" s="20" t="s">
        <v>371</v>
      </c>
      <c r="AW199" s="20" t="s">
        <v>371</v>
      </c>
      <c r="AX199" s="20" t="s">
        <v>371</v>
      </c>
      <c r="AY199" s="20" t="s">
        <v>371</v>
      </c>
      <c r="AZ199" s="20" t="s">
        <v>371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19.5</v>
      </c>
      <c r="CD199" s="38">
        <f t="shared" si="34"/>
        <v>20</v>
      </c>
      <c r="CE199" s="38">
        <f t="shared" si="35"/>
        <v>20</v>
      </c>
      <c r="CF199" s="38">
        <f t="shared" si="36"/>
        <v>20</v>
      </c>
      <c r="CG199" s="38">
        <f t="shared" si="37"/>
        <v>20</v>
      </c>
      <c r="CH199" s="38" t="str">
        <f t="shared" si="38"/>
        <v/>
      </c>
      <c r="CI199" s="38">
        <f t="shared" si="39"/>
        <v>20</v>
      </c>
      <c r="CJ199" s="38" t="str">
        <f t="shared" si="40"/>
        <v/>
      </c>
      <c r="CK199" s="38" t="str">
        <f t="shared" si="41"/>
        <v/>
      </c>
      <c r="CL199" s="38" t="str">
        <f>IF(C199="","",IF(COUNT(G199:AZ199)&lt;46,"",SUMPRODUCT(CC199:CK199,'تنظیمات وزن‌دهی'!$C$5:$C$13)/100))</f>
        <v/>
      </c>
      <c r="CM199" s="38" t="str">
        <f t="shared" si="42"/>
        <v>موقت - اطلاعات ناقص</v>
      </c>
      <c r="CN199" s="38">
        <v>3</v>
      </c>
      <c r="CO199" s="28">
        <f t="shared" si="43"/>
        <v>0.65217391304347827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0960505350</v>
      </c>
      <c r="E200" s="55" t="str">
        <f>IF(دانش‌آموزان!E21="","",دانش‌آموزان!E21&amp;" "&amp;دانش‌آموزان!F21)</f>
        <v>كيان عرفانيان امدادي</v>
      </c>
      <c r="F200" s="34">
        <f>IF(دانش‌آموزان!I21="","",دانش‌آموزان!I21)</f>
        <v>801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0960505350</v>
      </c>
      <c r="E201" s="55" t="str">
        <f>IF(دانش‌آموزان!E21="","",دانش‌آموزان!E21&amp;" "&amp;دانش‌آموزان!F21)</f>
        <v>كيان عرفانيان امدادي</v>
      </c>
      <c r="F201" s="34">
        <f>IF(دانش‌آموزان!I21="","",دانش‌آموزان!I21)</f>
        <v>801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0960505350</v>
      </c>
      <c r="E202" s="55" t="str">
        <f>IF(دانش‌آموزان!E21="","",دانش‌آموزان!E21&amp;" "&amp;دانش‌آموزان!F21)</f>
        <v>كيان عرفانيان امدادي</v>
      </c>
      <c r="F202" s="34">
        <f>IF(دانش‌آموزان!I21="","",دانش‌آموزان!I21)</f>
        <v>801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0960505350</v>
      </c>
      <c r="E203" s="55" t="str">
        <f>IF(دانش‌آموزان!E21="","",دانش‌آموزان!E21&amp;" "&amp;دانش‌آموزان!F21)</f>
        <v>كيان عرفانيان امدادي</v>
      </c>
      <c r="F203" s="34">
        <f>IF(دانش‌آموزان!I21="","",دانش‌آموزان!I21)</f>
        <v>801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0960505350</v>
      </c>
      <c r="E204" s="55" t="str">
        <f>IF(دانش‌آموزان!E21="","",دانش‌آموزان!E21&amp;" "&amp;دانش‌آموزان!F21)</f>
        <v>كيان عرفانيان امدادي</v>
      </c>
      <c r="F204" s="34">
        <f>IF(دانش‌آموزان!I21="","",دانش‌آموزان!I21)</f>
        <v>801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0960505350</v>
      </c>
      <c r="E205" s="55" t="str">
        <f>IF(دانش‌آموزان!E21="","",دانش‌آموزان!E21&amp;" "&amp;دانش‌آموزان!F21)</f>
        <v>كيان عرفانيان امدادي</v>
      </c>
      <c r="F205" s="34">
        <f>IF(دانش‌آموزان!I21="","",دانش‌آموزان!I21)</f>
        <v>801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0960505350</v>
      </c>
      <c r="E206" s="55" t="str">
        <f>IF(دانش‌آموزان!E21="","",دانش‌آموزان!E21&amp;" "&amp;دانش‌آموزان!F21)</f>
        <v>كيان عرفانيان امدادي</v>
      </c>
      <c r="F206" s="34">
        <f>IF(دانش‌آموزان!I21="","",دانش‌آموزان!I21)</f>
        <v>801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0960505350</v>
      </c>
      <c r="E207" s="55" t="str">
        <f>IF(دانش‌آموزان!E21="","",دانش‌آموزان!E21&amp;" "&amp;دانش‌آموزان!F21)</f>
        <v>كيان عرفانيان امدادي</v>
      </c>
      <c r="F207" s="34">
        <f>IF(دانش‌آموزان!I21="","",دانش‌آموزان!I21)</f>
        <v>801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0960505350</v>
      </c>
      <c r="E208" s="55" t="str">
        <f>IF(دانش‌آموزان!E21="","",دانش‌آموزان!E21&amp;" "&amp;دانش‌آموزان!F21)</f>
        <v>كيان عرفانيان امدادي</v>
      </c>
      <c r="F208" s="34">
        <f>IF(دانش‌آموزان!I21="","",دانش‌آموزان!I21)</f>
        <v>801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4712679727</v>
      </c>
      <c r="E209" s="55" t="str">
        <f>IF(دانش‌آموزان!E22="","",دانش‌آموزان!E22&amp;" "&amp;دانش‌آموزان!F22)</f>
        <v>مهدي عضدالملكي</v>
      </c>
      <c r="F209" s="34">
        <f>IF(دانش‌آموزان!I22="","",دانش‌آموزان!I22)</f>
        <v>801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4712679727</v>
      </c>
      <c r="E210" s="55" t="str">
        <f>IF(دانش‌آموزان!E22="","",دانش‌آموزان!E22&amp;" "&amp;دانش‌آموزان!F22)</f>
        <v>مهدي عضدالملكي</v>
      </c>
      <c r="F210" s="34">
        <f>IF(دانش‌آموزان!I22="","",دانش‌آموزان!I22)</f>
        <v>801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5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4712679727</v>
      </c>
      <c r="E211" s="55" t="str">
        <f>IF(دانش‌آموزان!E22="","",دانش‌آموزان!E22&amp;" "&amp;دانش‌آموزان!F22)</f>
        <v>مهدي عضدالملكي</v>
      </c>
      <c r="F211" s="34">
        <f>IF(دانش‌آموزان!I22="","",دانش‌آموزان!I22)</f>
        <v>801</v>
      </c>
      <c r="G211" s="87">
        <v>19.350000000000001</v>
      </c>
      <c r="H211" s="20">
        <v>-10.350000000000001</v>
      </c>
      <c r="I211" s="20">
        <v>3</v>
      </c>
      <c r="J211" s="20">
        <v>5</v>
      </c>
      <c r="K211" s="20">
        <v>5</v>
      </c>
      <c r="L211" s="20">
        <v>5</v>
      </c>
      <c r="M211" s="20">
        <v>5</v>
      </c>
      <c r="N211" s="20">
        <v>5</v>
      </c>
      <c r="O211" s="20">
        <v>5</v>
      </c>
      <c r="P211" s="20">
        <v>5</v>
      </c>
      <c r="Q211" s="20">
        <v>5</v>
      </c>
      <c r="R211" s="20">
        <v>5</v>
      </c>
      <c r="S211" s="20">
        <v>5</v>
      </c>
      <c r="T211" s="20">
        <v>5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 t="s">
        <v>371</v>
      </c>
      <c r="AE211" s="20" t="s">
        <v>371</v>
      </c>
      <c r="AF211" s="20" t="s">
        <v>371</v>
      </c>
      <c r="AG211" s="20" t="s">
        <v>371</v>
      </c>
      <c r="AH211" s="20" t="s">
        <v>371</v>
      </c>
      <c r="AI211" s="20" t="s">
        <v>371</v>
      </c>
      <c r="AJ211" s="20">
        <v>5</v>
      </c>
      <c r="AK211" s="20">
        <v>5</v>
      </c>
      <c r="AL211" s="20">
        <v>5</v>
      </c>
      <c r="AM211" s="20">
        <v>5</v>
      </c>
      <c r="AN211" s="20">
        <v>5</v>
      </c>
      <c r="AO211" s="20">
        <v>5</v>
      </c>
      <c r="AP211" s="20">
        <v>5</v>
      </c>
      <c r="AQ211" s="20" t="s">
        <v>371</v>
      </c>
      <c r="AR211" s="20" t="s">
        <v>371</v>
      </c>
      <c r="AS211" s="20" t="s">
        <v>371</v>
      </c>
      <c r="AT211" s="20" t="s">
        <v>371</v>
      </c>
      <c r="AU211" s="20" t="s">
        <v>371</v>
      </c>
      <c r="AV211" s="20" t="s">
        <v>371</v>
      </c>
      <c r="AW211" s="20" t="s">
        <v>371</v>
      </c>
      <c r="AX211" s="20" t="s">
        <v>371</v>
      </c>
      <c r="AY211" s="20" t="s">
        <v>371</v>
      </c>
      <c r="AZ211" s="20" t="s">
        <v>371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18.5</v>
      </c>
      <c r="CD211" s="38">
        <f t="shared" si="34"/>
        <v>20</v>
      </c>
      <c r="CE211" s="38">
        <f t="shared" si="35"/>
        <v>20</v>
      </c>
      <c r="CF211" s="38">
        <f t="shared" si="36"/>
        <v>20</v>
      </c>
      <c r="CG211" s="38">
        <f t="shared" si="37"/>
        <v>20</v>
      </c>
      <c r="CH211" s="38" t="str">
        <f t="shared" si="38"/>
        <v/>
      </c>
      <c r="CI211" s="38">
        <f t="shared" si="39"/>
        <v>20</v>
      </c>
      <c r="CJ211" s="38" t="str">
        <f t="shared" si="40"/>
        <v/>
      </c>
      <c r="CK211" s="38" t="str">
        <f t="shared" si="41"/>
        <v/>
      </c>
      <c r="CL211" s="38" t="str">
        <f>IF(C211="","",IF(COUNT(G211:AZ211)&lt;46,"",SUMPRODUCT(CC211:CK211,'تنظیمات وزن‌دهی'!$C$5:$C$13)/100))</f>
        <v/>
      </c>
      <c r="CM211" s="38" t="str">
        <f t="shared" si="42"/>
        <v>موقت - اطلاعات ناقص</v>
      </c>
      <c r="CN211" s="38">
        <v>3</v>
      </c>
      <c r="CO211" s="28">
        <f t="shared" si="43"/>
        <v>0.65217391304347827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4712679727</v>
      </c>
      <c r="E212" s="55" t="str">
        <f>IF(دانش‌آموزان!E22="","",دانش‌آموزان!E22&amp;" "&amp;دانش‌آموزان!F22)</f>
        <v>مهدي عضدالملكي</v>
      </c>
      <c r="F212" s="34">
        <f>IF(دانش‌آموزان!I22="","",دانش‌آموزان!I22)</f>
        <v>801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4712679727</v>
      </c>
      <c r="E213" s="55" t="str">
        <f>IF(دانش‌آموزان!E22="","",دانش‌آموزان!E22&amp;" "&amp;دانش‌آموزان!F22)</f>
        <v>مهدي عضدالملكي</v>
      </c>
      <c r="F213" s="34">
        <f>IF(دانش‌آموزان!I22="","",دانش‌آموزان!I22)</f>
        <v>801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4712679727</v>
      </c>
      <c r="E214" s="55" t="str">
        <f>IF(دانش‌آموزان!E22="","",دانش‌آموزان!E22&amp;" "&amp;دانش‌آموزان!F22)</f>
        <v>مهدي عضدالملكي</v>
      </c>
      <c r="F214" s="34">
        <f>IF(دانش‌آموزان!I22="","",دانش‌آموزان!I22)</f>
        <v>801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4712679727</v>
      </c>
      <c r="E215" s="55" t="str">
        <f>IF(دانش‌آموزان!E22="","",دانش‌آموزان!E22&amp;" "&amp;دانش‌آموزان!F22)</f>
        <v>مهدي عضدالملكي</v>
      </c>
      <c r="F215" s="34">
        <f>IF(دانش‌آموزان!I22="","",دانش‌آموزان!I22)</f>
        <v>801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4712679727</v>
      </c>
      <c r="E216" s="55" t="str">
        <f>IF(دانش‌آموزان!E22="","",دانش‌آموزان!E22&amp;" "&amp;دانش‌آموزان!F22)</f>
        <v>مهدي عضدالملكي</v>
      </c>
      <c r="F216" s="34">
        <f>IF(دانش‌آموزان!I22="","",دانش‌آموزان!I22)</f>
        <v>801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4712679727</v>
      </c>
      <c r="E217" s="55" t="str">
        <f>IF(دانش‌آموزان!E22="","",دانش‌آموزان!E22&amp;" "&amp;دانش‌آموزان!F22)</f>
        <v>مهدي عضدالملكي</v>
      </c>
      <c r="F217" s="34">
        <f>IF(دانش‌آموزان!I22="","",دانش‌آموزان!I22)</f>
        <v>801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4712679727</v>
      </c>
      <c r="E218" s="55" t="str">
        <f>IF(دانش‌آموزان!E22="","",دانش‌آموزان!E22&amp;" "&amp;دانش‌آموزان!F22)</f>
        <v>مهدي عضدالملكي</v>
      </c>
      <c r="F218" s="34">
        <f>IF(دانش‌آموزان!I22="","",دانش‌آموزان!I22)</f>
        <v>801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4712679727</v>
      </c>
      <c r="E219" s="55" t="str">
        <f>IF(دانش‌آموزان!E22="","",دانش‌آموزان!E22&amp;" "&amp;دانش‌آموزان!F22)</f>
        <v>مهدي عضدالملكي</v>
      </c>
      <c r="F219" s="34">
        <f>IF(دانش‌آموزان!I22="","",دانش‌آموزان!I22)</f>
        <v>801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4712679727</v>
      </c>
      <c r="E220" s="55" t="str">
        <f>IF(دانش‌آموزان!E22="","",دانش‌آموزان!E22&amp;" "&amp;دانش‌آموزان!F22)</f>
        <v>مهدي عضدالملكي</v>
      </c>
      <c r="F220" s="34">
        <f>IF(دانش‌آموزان!I22="","",دانش‌آموزان!I22)</f>
        <v>801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0960494790</v>
      </c>
      <c r="E221" s="55" t="str">
        <f>IF(دانش‌آموزان!E23="","",دانش‌آموزان!E23&amp;" "&amp;دانش‌آموزان!F23)</f>
        <v>ايمان عظيمي</v>
      </c>
      <c r="F221" s="34">
        <f>IF(دانش‌آموزان!I23="","",دانش‌آموزان!I23)</f>
        <v>801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0960494790</v>
      </c>
      <c r="E222" s="55" t="str">
        <f>IF(دانش‌آموزان!E23="","",دانش‌آموزان!E23&amp;" "&amp;دانش‌آموزان!F23)</f>
        <v>ايمان عظيمي</v>
      </c>
      <c r="F222" s="34">
        <f>IF(دانش‌آموزان!I23="","",دانش‌آموزان!I23)</f>
        <v>801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5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0960494790</v>
      </c>
      <c r="E223" s="55" t="str">
        <f>IF(دانش‌آموزان!E23="","",دانش‌آموزان!E23&amp;" "&amp;دانش‌آموزان!F23)</f>
        <v>ايمان عظيمي</v>
      </c>
      <c r="F223" s="34">
        <f>IF(دانش‌آموزان!I23="","",دانش‌آموزان!I23)</f>
        <v>801</v>
      </c>
      <c r="G223" s="88">
        <v>19.73</v>
      </c>
      <c r="H223" s="20" t="s">
        <v>371</v>
      </c>
      <c r="I223" s="20">
        <v>3</v>
      </c>
      <c r="J223" s="20">
        <v>5</v>
      </c>
      <c r="K223" s="20">
        <v>5</v>
      </c>
      <c r="L223" s="20">
        <v>5</v>
      </c>
      <c r="M223" s="20">
        <v>5</v>
      </c>
      <c r="N223" s="20">
        <v>5</v>
      </c>
      <c r="O223" s="20">
        <v>5</v>
      </c>
      <c r="P223" s="20">
        <v>5</v>
      </c>
      <c r="Q223" s="20">
        <v>5</v>
      </c>
      <c r="R223" s="20">
        <v>5</v>
      </c>
      <c r="S223" s="20">
        <v>5</v>
      </c>
      <c r="T223" s="20">
        <v>5</v>
      </c>
      <c r="U223" s="20">
        <v>5</v>
      </c>
      <c r="V223" s="20">
        <v>5</v>
      </c>
      <c r="W223" s="20">
        <v>5</v>
      </c>
      <c r="X223" s="20">
        <v>5</v>
      </c>
      <c r="Y223" s="20">
        <v>5</v>
      </c>
      <c r="Z223" s="20">
        <v>5</v>
      </c>
      <c r="AA223" s="20">
        <v>5</v>
      </c>
      <c r="AB223" s="20">
        <v>5</v>
      </c>
      <c r="AC223" s="20">
        <v>5</v>
      </c>
      <c r="AD223" s="20" t="s">
        <v>371</v>
      </c>
      <c r="AE223" s="20" t="s">
        <v>371</v>
      </c>
      <c r="AF223" s="20" t="s">
        <v>371</v>
      </c>
      <c r="AG223" s="20" t="s">
        <v>371</v>
      </c>
      <c r="AH223" s="20" t="s">
        <v>371</v>
      </c>
      <c r="AI223" s="20" t="s">
        <v>371</v>
      </c>
      <c r="AJ223" s="20">
        <v>5</v>
      </c>
      <c r="AK223" s="20">
        <v>5</v>
      </c>
      <c r="AL223" s="20">
        <v>5</v>
      </c>
      <c r="AM223" s="20">
        <v>5</v>
      </c>
      <c r="AN223" s="20">
        <v>5</v>
      </c>
      <c r="AO223" s="20">
        <v>5</v>
      </c>
      <c r="AP223" s="20">
        <v>5</v>
      </c>
      <c r="AQ223" s="20" t="s">
        <v>371</v>
      </c>
      <c r="AR223" s="20" t="s">
        <v>371</v>
      </c>
      <c r="AS223" s="20" t="s">
        <v>371</v>
      </c>
      <c r="AT223" s="20" t="s">
        <v>371</v>
      </c>
      <c r="AU223" s="20" t="s">
        <v>371</v>
      </c>
      <c r="AV223" s="20" t="s">
        <v>371</v>
      </c>
      <c r="AW223" s="20" t="s">
        <v>371</v>
      </c>
      <c r="AX223" s="20" t="s">
        <v>371</v>
      </c>
      <c r="AY223" s="20" t="s">
        <v>371</v>
      </c>
      <c r="AZ223" s="20" t="s">
        <v>371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27.274285714285718</v>
      </c>
      <c r="CD223" s="38">
        <f t="shared" si="34"/>
        <v>20</v>
      </c>
      <c r="CE223" s="38">
        <f t="shared" si="35"/>
        <v>20</v>
      </c>
      <c r="CF223" s="38">
        <f t="shared" si="36"/>
        <v>20</v>
      </c>
      <c r="CG223" s="38">
        <f t="shared" si="37"/>
        <v>20</v>
      </c>
      <c r="CH223" s="38" t="str">
        <f t="shared" si="38"/>
        <v/>
      </c>
      <c r="CI223" s="38">
        <f t="shared" si="39"/>
        <v>20</v>
      </c>
      <c r="CJ223" s="38" t="str">
        <f t="shared" si="40"/>
        <v/>
      </c>
      <c r="CK223" s="38" t="str">
        <f t="shared" si="41"/>
        <v/>
      </c>
      <c r="CL223" s="38" t="str">
        <f>IF(C223="","",IF(COUNT(G223:AZ223)&lt;46,"",SUMPRODUCT(CC223:CK223,'تنظیمات وزن‌دهی'!$C$5:$C$13)/100))</f>
        <v/>
      </c>
      <c r="CM223" s="38" t="str">
        <f t="shared" si="42"/>
        <v>موقت - اطلاعات ناقص</v>
      </c>
      <c r="CN223" s="38">
        <v>3</v>
      </c>
      <c r="CO223" s="28">
        <f t="shared" si="43"/>
        <v>0.63043478260869568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0960494790</v>
      </c>
      <c r="E224" s="55" t="str">
        <f>IF(دانش‌آموزان!E23="","",دانش‌آموزان!E23&amp;" "&amp;دانش‌آموزان!F23)</f>
        <v>ايمان عظيمي</v>
      </c>
      <c r="F224" s="34">
        <f>IF(دانش‌آموزان!I23="","",دانش‌آموزان!I23)</f>
        <v>801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0960494790</v>
      </c>
      <c r="E225" s="55" t="str">
        <f>IF(دانش‌آموزان!E23="","",دانش‌آموزان!E23&amp;" "&amp;دانش‌آموزان!F23)</f>
        <v>ايمان عظيمي</v>
      </c>
      <c r="F225" s="34">
        <f>IF(دانش‌آموزان!I23="","",دانش‌آموزان!I23)</f>
        <v>801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0960494790</v>
      </c>
      <c r="E226" s="55" t="str">
        <f>IF(دانش‌آموزان!E23="","",دانش‌آموزان!E23&amp;" "&amp;دانش‌آموزان!F23)</f>
        <v>ايمان عظيمي</v>
      </c>
      <c r="F226" s="34">
        <f>IF(دانش‌آموزان!I23="","",دانش‌آموزان!I23)</f>
        <v>801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0960494790</v>
      </c>
      <c r="E227" s="55" t="str">
        <f>IF(دانش‌آموزان!E23="","",دانش‌آموزان!E23&amp;" "&amp;دانش‌آموزان!F23)</f>
        <v>ايمان عظيمي</v>
      </c>
      <c r="F227" s="34">
        <f>IF(دانش‌آموزان!I23="","",دانش‌آموزان!I23)</f>
        <v>801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0960494790</v>
      </c>
      <c r="E228" s="55" t="str">
        <f>IF(دانش‌آموزان!E23="","",دانش‌آموزان!E23&amp;" "&amp;دانش‌آموزان!F23)</f>
        <v>ايمان عظيمي</v>
      </c>
      <c r="F228" s="34">
        <f>IF(دانش‌آموزان!I23="","",دانش‌آموزان!I23)</f>
        <v>801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0960494790</v>
      </c>
      <c r="E229" s="55" t="str">
        <f>IF(دانش‌آموزان!E23="","",دانش‌آموزان!E23&amp;" "&amp;دانش‌آموزان!F23)</f>
        <v>ايمان عظيمي</v>
      </c>
      <c r="F229" s="34">
        <f>IF(دانش‌آموزان!I23="","",دانش‌آموزان!I23)</f>
        <v>801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0960494790</v>
      </c>
      <c r="E230" s="55" t="str">
        <f>IF(دانش‌آموزان!E23="","",دانش‌آموزان!E23&amp;" "&amp;دانش‌آموزان!F23)</f>
        <v>ايمان عظيمي</v>
      </c>
      <c r="F230" s="34">
        <f>IF(دانش‌آموزان!I23="","",دانش‌آموزان!I23)</f>
        <v>801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0960494790</v>
      </c>
      <c r="E231" s="55" t="str">
        <f>IF(دانش‌آموزان!E23="","",دانش‌آموزان!E23&amp;" "&amp;دانش‌آموزان!F23)</f>
        <v>ايمان عظيمي</v>
      </c>
      <c r="F231" s="34">
        <f>IF(دانش‌آموزان!I23="","",دانش‌آموزان!I23)</f>
        <v>801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0960494790</v>
      </c>
      <c r="E232" s="55" t="str">
        <f>IF(دانش‌آموزان!E23="","",دانش‌آموزان!E23&amp;" "&amp;دانش‌آموزان!F23)</f>
        <v>ايمان عظيمي</v>
      </c>
      <c r="F232" s="34">
        <f>IF(دانش‌آموزان!I23="","",دانش‌آموزان!I23)</f>
        <v>801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0960469958</v>
      </c>
      <c r="E233" s="55" t="str">
        <f>IF(دانش‌آموزان!E24="","",دانش‌آموزان!E24&amp;" "&amp;دانش‌آموزان!F24)</f>
        <v>اميدرضا علي آبادي</v>
      </c>
      <c r="F233" s="34">
        <f>IF(دانش‌آموزان!I24="","",دانش‌آموزان!I24)</f>
        <v>801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0960469958</v>
      </c>
      <c r="E234" s="55" t="str">
        <f>IF(دانش‌آموزان!E24="","",دانش‌آموزان!E24&amp;" "&amp;دانش‌آموزان!F24)</f>
        <v>اميدرضا علي آبادي</v>
      </c>
      <c r="F234" s="34">
        <f>IF(دانش‌آموزان!I24="","",دانش‌آموزان!I24)</f>
        <v>801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5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0960469958</v>
      </c>
      <c r="E235" s="55" t="str">
        <f>IF(دانش‌آموزان!E24="","",دانش‌آموزان!E24&amp;" "&amp;دانش‌آموزان!F24)</f>
        <v>اميدرضا علي آبادي</v>
      </c>
      <c r="F235" s="34">
        <f>IF(دانش‌آموزان!I24="","",دانش‌آموزان!I24)</f>
        <v>801</v>
      </c>
      <c r="G235" s="89" t="s">
        <v>370</v>
      </c>
      <c r="H235" s="20">
        <v>-2</v>
      </c>
      <c r="I235" s="20">
        <v>5</v>
      </c>
      <c r="J235" s="20">
        <v>5</v>
      </c>
      <c r="K235" s="20">
        <v>5</v>
      </c>
      <c r="L235" s="20">
        <v>5</v>
      </c>
      <c r="M235" s="20">
        <v>5</v>
      </c>
      <c r="N235" s="20">
        <v>5</v>
      </c>
      <c r="O235" s="20">
        <v>5</v>
      </c>
      <c r="P235" s="20">
        <v>5</v>
      </c>
      <c r="Q235" s="20">
        <v>5</v>
      </c>
      <c r="R235" s="20">
        <v>5</v>
      </c>
      <c r="S235" s="20">
        <v>5</v>
      </c>
      <c r="T235" s="20">
        <v>5</v>
      </c>
      <c r="U235" s="20">
        <v>5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 t="s">
        <v>371</v>
      </c>
      <c r="AE235" s="20" t="s">
        <v>371</v>
      </c>
      <c r="AF235" s="20" t="s">
        <v>371</v>
      </c>
      <c r="AG235" s="20" t="s">
        <v>371</v>
      </c>
      <c r="AH235" s="20" t="s">
        <v>371</v>
      </c>
      <c r="AI235" s="20" t="s">
        <v>371</v>
      </c>
      <c r="AJ235" s="20">
        <v>5</v>
      </c>
      <c r="AK235" s="20">
        <v>5</v>
      </c>
      <c r="AL235" s="20">
        <v>5</v>
      </c>
      <c r="AM235" s="20">
        <v>5</v>
      </c>
      <c r="AN235" s="20">
        <v>5</v>
      </c>
      <c r="AO235" s="20">
        <v>5</v>
      </c>
      <c r="AP235" s="20">
        <v>5</v>
      </c>
      <c r="AQ235" s="20" t="s">
        <v>371</v>
      </c>
      <c r="AR235" s="20" t="s">
        <v>371</v>
      </c>
      <c r="AS235" s="20" t="s">
        <v>371</v>
      </c>
      <c r="AT235" s="20" t="s">
        <v>371</v>
      </c>
      <c r="AU235" s="20" t="s">
        <v>371</v>
      </c>
      <c r="AV235" s="20" t="s">
        <v>371</v>
      </c>
      <c r="AW235" s="20" t="s">
        <v>371</v>
      </c>
      <c r="AX235" s="20" t="s">
        <v>371</v>
      </c>
      <c r="AY235" s="20" t="s">
        <v>371</v>
      </c>
      <c r="AZ235" s="20" t="s">
        <v>371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16</v>
      </c>
      <c r="CD235" s="38">
        <f t="shared" si="34"/>
        <v>20</v>
      </c>
      <c r="CE235" s="38">
        <f t="shared" si="35"/>
        <v>20</v>
      </c>
      <c r="CF235" s="38">
        <f t="shared" si="36"/>
        <v>20</v>
      </c>
      <c r="CG235" s="38">
        <f t="shared" si="37"/>
        <v>20</v>
      </c>
      <c r="CH235" s="38" t="str">
        <f t="shared" si="38"/>
        <v/>
      </c>
      <c r="CI235" s="38">
        <f t="shared" si="39"/>
        <v>20</v>
      </c>
      <c r="CJ235" s="38" t="str">
        <f t="shared" si="40"/>
        <v/>
      </c>
      <c r="CK235" s="38" t="str">
        <f t="shared" si="41"/>
        <v/>
      </c>
      <c r="CL235" s="38" t="str">
        <f>IF(C235="","",IF(COUNT(G235:AZ235)&lt;46,"",SUMPRODUCT(CC235:CK235,'تنظیمات وزن‌دهی'!$C$5:$C$13)/100))</f>
        <v/>
      </c>
      <c r="CM235" s="38" t="str">
        <f t="shared" si="42"/>
        <v>موقت - اطلاعات ناقص</v>
      </c>
      <c r="CN235" s="38">
        <v>3</v>
      </c>
      <c r="CO235" s="28">
        <f t="shared" si="43"/>
        <v>0.63043478260869568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0960469958</v>
      </c>
      <c r="E236" s="55" t="str">
        <f>IF(دانش‌آموزان!E24="","",دانش‌آموزان!E24&amp;" "&amp;دانش‌آموزان!F24)</f>
        <v>اميدرضا علي آبادي</v>
      </c>
      <c r="F236" s="34">
        <f>IF(دانش‌آموزان!I24="","",دانش‌آموزان!I24)</f>
        <v>801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0960469958</v>
      </c>
      <c r="E237" s="55" t="str">
        <f>IF(دانش‌آموزان!E24="","",دانش‌آموزان!E24&amp;" "&amp;دانش‌آموزان!F24)</f>
        <v>اميدرضا علي آبادي</v>
      </c>
      <c r="F237" s="34">
        <f>IF(دانش‌آموزان!I24="","",دانش‌آموزان!I24)</f>
        <v>801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0960469958</v>
      </c>
      <c r="E238" s="55" t="str">
        <f>IF(دانش‌آموزان!E24="","",دانش‌آموزان!E24&amp;" "&amp;دانش‌آموزان!F24)</f>
        <v>اميدرضا علي آبادي</v>
      </c>
      <c r="F238" s="34">
        <f>IF(دانش‌آموزان!I24="","",دانش‌آموزان!I24)</f>
        <v>801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0960469958</v>
      </c>
      <c r="E239" s="55" t="str">
        <f>IF(دانش‌آموزان!E24="","",دانش‌آموزان!E24&amp;" "&amp;دانش‌آموزان!F24)</f>
        <v>اميدرضا علي آبادي</v>
      </c>
      <c r="F239" s="34">
        <f>IF(دانش‌آموزان!I24="","",دانش‌آموزان!I24)</f>
        <v>801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0960469958</v>
      </c>
      <c r="E240" s="55" t="str">
        <f>IF(دانش‌آموزان!E24="","",دانش‌آموزان!E24&amp;" "&amp;دانش‌آموزان!F24)</f>
        <v>اميدرضا علي آبادي</v>
      </c>
      <c r="F240" s="34">
        <f>IF(دانش‌آموزان!I24="","",دانش‌آموزان!I24)</f>
        <v>801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0960469958</v>
      </c>
      <c r="E241" s="55" t="str">
        <f>IF(دانش‌آموزان!E24="","",دانش‌آموزان!E24&amp;" "&amp;دانش‌آموزان!F24)</f>
        <v>اميدرضا علي آبادي</v>
      </c>
      <c r="F241" s="34">
        <f>IF(دانش‌آموزان!I24="","",دانش‌آموزان!I24)</f>
        <v>801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0960469958</v>
      </c>
      <c r="E242" s="55" t="str">
        <f>IF(دانش‌آموزان!E24="","",دانش‌آموزان!E24&amp;" "&amp;دانش‌آموزان!F24)</f>
        <v>اميدرضا علي آبادي</v>
      </c>
      <c r="F242" s="34">
        <f>IF(دانش‌آموزان!I24="","",دانش‌آموزان!I24)</f>
        <v>801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0960469958</v>
      </c>
      <c r="E243" s="55" t="str">
        <f>IF(دانش‌آموزان!E24="","",دانش‌آموزان!E24&amp;" "&amp;دانش‌آموزان!F24)</f>
        <v>اميدرضا علي آبادي</v>
      </c>
      <c r="F243" s="34">
        <f>IF(دانش‌آموزان!I24="","",دانش‌آموزان!I24)</f>
        <v>801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0960469958</v>
      </c>
      <c r="E244" s="55" t="str">
        <f>IF(دانش‌آموزان!E24="","",دانش‌آموزان!E24&amp;" "&amp;دانش‌آموزان!F24)</f>
        <v>اميدرضا علي آبادي</v>
      </c>
      <c r="F244" s="34">
        <f>IF(دانش‌آموزان!I24="","",دانش‌آموزان!I24)</f>
        <v>801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0960646825</v>
      </c>
      <c r="E245" s="55" t="str">
        <f>IF(دانش‌آموزان!E25="","",دانش‌آموزان!E25&amp;" "&amp;دانش‌آموزان!F25)</f>
        <v>محمد ماهان علينقي زاده طبسي</v>
      </c>
      <c r="F245" s="34">
        <f>IF(دانش‌آموزان!I25="","",دانش‌آموزان!I25)</f>
        <v>801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0960646825</v>
      </c>
      <c r="E246" s="55" t="str">
        <f>IF(دانش‌آموزان!E25="","",دانش‌آموزان!E25&amp;" "&amp;دانش‌آموزان!F25)</f>
        <v>محمد ماهان علينقي زاده طبسي</v>
      </c>
      <c r="F246" s="34">
        <f>IF(دانش‌آموزان!I25="","",دانش‌آموزان!I25)</f>
        <v>801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5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0960646825</v>
      </c>
      <c r="E247" s="55" t="str">
        <f>IF(دانش‌آموزان!E25="","",دانش‌آموزان!E25&amp;" "&amp;دانش‌آموزان!F25)</f>
        <v>محمد ماهان علينقي زاده طبسي</v>
      </c>
      <c r="F247" s="34">
        <f>IF(دانش‌آموزان!I25="","",دانش‌آموزان!I25)</f>
        <v>801</v>
      </c>
      <c r="G247" s="90">
        <v>18.829999999999998</v>
      </c>
      <c r="H247" s="20" t="s">
        <v>371</v>
      </c>
      <c r="I247" s="20">
        <v>5</v>
      </c>
      <c r="J247" s="20">
        <v>5</v>
      </c>
      <c r="K247" s="20">
        <v>5</v>
      </c>
      <c r="L247" s="20">
        <v>5</v>
      </c>
      <c r="M247" s="20">
        <v>5</v>
      </c>
      <c r="N247" s="20">
        <v>5</v>
      </c>
      <c r="O247" s="20">
        <v>5</v>
      </c>
      <c r="P247" s="20">
        <v>5</v>
      </c>
      <c r="Q247" s="20">
        <v>5</v>
      </c>
      <c r="R247" s="20">
        <v>5</v>
      </c>
      <c r="S247" s="20">
        <v>5</v>
      </c>
      <c r="T247" s="20">
        <v>5</v>
      </c>
      <c r="U247" s="20">
        <v>5</v>
      </c>
      <c r="V247" s="20">
        <v>5</v>
      </c>
      <c r="W247" s="20">
        <v>5</v>
      </c>
      <c r="X247" s="20">
        <v>5</v>
      </c>
      <c r="Y247" s="20">
        <v>5</v>
      </c>
      <c r="Z247" s="20">
        <v>5</v>
      </c>
      <c r="AA247" s="20">
        <v>5</v>
      </c>
      <c r="AB247" s="20">
        <v>5</v>
      </c>
      <c r="AC247" s="20">
        <v>5</v>
      </c>
      <c r="AD247" s="20" t="s">
        <v>371</v>
      </c>
      <c r="AE247" s="20" t="s">
        <v>371</v>
      </c>
      <c r="AF247" s="20" t="s">
        <v>371</v>
      </c>
      <c r="AG247" s="20" t="s">
        <v>371</v>
      </c>
      <c r="AH247" s="20" t="s">
        <v>371</v>
      </c>
      <c r="AI247" s="20" t="s">
        <v>371</v>
      </c>
      <c r="AJ247" s="20">
        <v>5</v>
      </c>
      <c r="AK247" s="20">
        <v>5</v>
      </c>
      <c r="AL247" s="20">
        <v>5</v>
      </c>
      <c r="AM247" s="20">
        <v>5</v>
      </c>
      <c r="AN247" s="20">
        <v>5</v>
      </c>
      <c r="AO247" s="20">
        <v>5</v>
      </c>
      <c r="AP247" s="20">
        <v>5</v>
      </c>
      <c r="AQ247" s="20" t="s">
        <v>371</v>
      </c>
      <c r="AR247" s="20" t="s">
        <v>371</v>
      </c>
      <c r="AS247" s="20" t="s">
        <v>371</v>
      </c>
      <c r="AT247" s="20" t="s">
        <v>371</v>
      </c>
      <c r="AU247" s="20" t="s">
        <v>371</v>
      </c>
      <c r="AV247" s="20" t="s">
        <v>371</v>
      </c>
      <c r="AW247" s="20" t="s">
        <v>371</v>
      </c>
      <c r="AX247" s="20" t="s">
        <v>371</v>
      </c>
      <c r="AY247" s="20" t="s">
        <v>371</v>
      </c>
      <c r="AZ247" s="20" t="s">
        <v>371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27.90285714285714</v>
      </c>
      <c r="CD247" s="38">
        <f t="shared" si="34"/>
        <v>20</v>
      </c>
      <c r="CE247" s="38">
        <f t="shared" si="35"/>
        <v>20</v>
      </c>
      <c r="CF247" s="38">
        <f t="shared" si="36"/>
        <v>20</v>
      </c>
      <c r="CG247" s="38">
        <f t="shared" si="37"/>
        <v>20</v>
      </c>
      <c r="CH247" s="38" t="str">
        <f t="shared" si="38"/>
        <v/>
      </c>
      <c r="CI247" s="38">
        <f t="shared" si="39"/>
        <v>20</v>
      </c>
      <c r="CJ247" s="38" t="str">
        <f t="shared" si="40"/>
        <v/>
      </c>
      <c r="CK247" s="38" t="str">
        <f t="shared" si="41"/>
        <v/>
      </c>
      <c r="CL247" s="38" t="str">
        <f>IF(C247="","",IF(COUNT(G247:AZ247)&lt;46,"",SUMPRODUCT(CC247:CK247,'تنظیمات وزن‌دهی'!$C$5:$C$13)/100))</f>
        <v/>
      </c>
      <c r="CM247" s="38" t="str">
        <f t="shared" si="42"/>
        <v>موقت - اطلاعات ناقص</v>
      </c>
      <c r="CN247" s="38">
        <v>3</v>
      </c>
      <c r="CO247" s="28">
        <f t="shared" si="43"/>
        <v>0.63043478260869568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0960646825</v>
      </c>
      <c r="E248" s="55" t="str">
        <f>IF(دانش‌آموزان!E25="","",دانش‌آموزان!E25&amp;" "&amp;دانش‌آموزان!F25)</f>
        <v>محمد ماهان علينقي زاده طبسي</v>
      </c>
      <c r="F248" s="34">
        <f>IF(دانش‌آموزان!I25="","",دانش‌آموزان!I25)</f>
        <v>801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0960646825</v>
      </c>
      <c r="E249" s="55" t="str">
        <f>IF(دانش‌آموزان!E25="","",دانش‌آموزان!E25&amp;" "&amp;دانش‌آموزان!F25)</f>
        <v>محمد ماهان علينقي زاده طبسي</v>
      </c>
      <c r="F249" s="34">
        <f>IF(دانش‌آموزان!I25="","",دانش‌آموزان!I25)</f>
        <v>801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0960646825</v>
      </c>
      <c r="E250" s="55" t="str">
        <f>IF(دانش‌آموزان!E25="","",دانش‌آموزان!E25&amp;" "&amp;دانش‌آموزان!F25)</f>
        <v>محمد ماهان علينقي زاده طبسي</v>
      </c>
      <c r="F250" s="34">
        <f>IF(دانش‌آموزان!I25="","",دانش‌آموزان!I25)</f>
        <v>801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0960646825</v>
      </c>
      <c r="E251" s="55" t="str">
        <f>IF(دانش‌آموزان!E25="","",دانش‌آموزان!E25&amp;" "&amp;دانش‌آموزان!F25)</f>
        <v>محمد ماهان علينقي زاده طبسي</v>
      </c>
      <c r="F251" s="34">
        <f>IF(دانش‌آموزان!I25="","",دانش‌آموزان!I25)</f>
        <v>801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0960646825</v>
      </c>
      <c r="E252" s="55" t="str">
        <f>IF(دانش‌آموزان!E25="","",دانش‌آموزان!E25&amp;" "&amp;دانش‌آموزان!F25)</f>
        <v>محمد ماهان علينقي زاده طبسي</v>
      </c>
      <c r="F252" s="34">
        <f>IF(دانش‌آموزان!I25="","",دانش‌آموزان!I25)</f>
        <v>801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0960646825</v>
      </c>
      <c r="E253" s="55" t="str">
        <f>IF(دانش‌آموزان!E25="","",دانش‌آموزان!E25&amp;" "&amp;دانش‌آموزان!F25)</f>
        <v>محمد ماهان علينقي زاده طبسي</v>
      </c>
      <c r="F253" s="34">
        <f>IF(دانش‌آموزان!I25="","",دانش‌آموزان!I25)</f>
        <v>801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0960646825</v>
      </c>
      <c r="E254" s="55" t="str">
        <f>IF(دانش‌آموزان!E25="","",دانش‌آموزان!E25&amp;" "&amp;دانش‌آموزان!F25)</f>
        <v>محمد ماهان علينقي زاده طبسي</v>
      </c>
      <c r="F254" s="34">
        <f>IF(دانش‌آموزان!I25="","",دانش‌آموزان!I25)</f>
        <v>801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0960646825</v>
      </c>
      <c r="E255" s="55" t="str">
        <f>IF(دانش‌آموزان!E25="","",دانش‌آموزان!E25&amp;" "&amp;دانش‌آموزان!F25)</f>
        <v>محمد ماهان علينقي زاده طبسي</v>
      </c>
      <c r="F255" s="34">
        <f>IF(دانش‌آموزان!I25="","",دانش‌آموزان!I25)</f>
        <v>801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0960646825</v>
      </c>
      <c r="E256" s="55" t="str">
        <f>IF(دانش‌آموزان!E25="","",دانش‌آموزان!E25&amp;" "&amp;دانش‌آموزان!F25)</f>
        <v>محمد ماهان علينقي زاده طبسي</v>
      </c>
      <c r="F256" s="34">
        <f>IF(دانش‌آموزان!I25="","",دانش‌آموزان!I25)</f>
        <v>801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0980524954</v>
      </c>
      <c r="E257" s="55" t="str">
        <f>IF(دانش‌آموزان!E26="","",دانش‌آموزان!E26&amp;" "&amp;دانش‌آموزان!F26)</f>
        <v>اميرعلي فدايي</v>
      </c>
      <c r="F257" s="34">
        <f>IF(دانش‌آموزان!I26="","",دانش‌آموزان!I26)</f>
        <v>801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0980524954</v>
      </c>
      <c r="E258" s="55" t="str">
        <f>IF(دانش‌آموزان!E26="","",دانش‌آموزان!E26&amp;" "&amp;دانش‌آموزان!F26)</f>
        <v>اميرعلي فدايي</v>
      </c>
      <c r="F258" s="34">
        <f>IF(دانش‌آموزان!I26="","",دانش‌آموزان!I26)</f>
        <v>801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5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0980524954</v>
      </c>
      <c r="E259" s="55" t="str">
        <f>IF(دانش‌آموزان!E26="","",دانش‌آموزان!E26&amp;" "&amp;دانش‌آموزان!F26)</f>
        <v>اميرعلي فدايي</v>
      </c>
      <c r="F259" s="34">
        <f>IF(دانش‌آموزان!I26="","",دانش‌آموزان!I26)</f>
        <v>801</v>
      </c>
      <c r="G259" s="91">
        <v>19.04</v>
      </c>
      <c r="H259" s="20">
        <v>-3.0399999999999991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5</v>
      </c>
      <c r="O259" s="20">
        <v>5</v>
      </c>
      <c r="P259" s="20">
        <v>5</v>
      </c>
      <c r="Q259" s="20">
        <v>5</v>
      </c>
      <c r="R259" s="20">
        <v>5</v>
      </c>
      <c r="S259" s="20">
        <v>5</v>
      </c>
      <c r="T259" s="20">
        <v>5</v>
      </c>
      <c r="U259" s="20">
        <v>5</v>
      </c>
      <c r="V259" s="20">
        <v>5</v>
      </c>
      <c r="W259" s="20">
        <v>5</v>
      </c>
      <c r="X259" s="20">
        <v>5</v>
      </c>
      <c r="Y259" s="20">
        <v>5</v>
      </c>
      <c r="Z259" s="20">
        <v>5</v>
      </c>
      <c r="AA259" s="20">
        <v>5</v>
      </c>
      <c r="AB259" s="20">
        <v>5</v>
      </c>
      <c r="AC259" s="20">
        <v>5</v>
      </c>
      <c r="AD259" s="20" t="s">
        <v>371</v>
      </c>
      <c r="AE259" s="20" t="s">
        <v>371</v>
      </c>
      <c r="AF259" s="20" t="s">
        <v>371</v>
      </c>
      <c r="AG259" s="20" t="s">
        <v>371</v>
      </c>
      <c r="AH259" s="20" t="s">
        <v>371</v>
      </c>
      <c r="AI259" s="20" t="s">
        <v>371</v>
      </c>
      <c r="AJ259" s="20">
        <v>5</v>
      </c>
      <c r="AK259" s="20">
        <v>5</v>
      </c>
      <c r="AL259" s="20">
        <v>5</v>
      </c>
      <c r="AM259" s="20">
        <v>5</v>
      </c>
      <c r="AN259" s="20">
        <v>5</v>
      </c>
      <c r="AO259" s="20">
        <v>5</v>
      </c>
      <c r="AP259" s="20">
        <v>5</v>
      </c>
      <c r="AQ259" s="20" t="s">
        <v>371</v>
      </c>
      <c r="AR259" s="20" t="s">
        <v>371</v>
      </c>
      <c r="AS259" s="20" t="s">
        <v>371</v>
      </c>
      <c r="AT259" s="20" t="s">
        <v>371</v>
      </c>
      <c r="AU259" s="20" t="s">
        <v>371</v>
      </c>
      <c r="AV259" s="20" t="s">
        <v>371</v>
      </c>
      <c r="AW259" s="20" t="s">
        <v>371</v>
      </c>
      <c r="AX259" s="20" t="s">
        <v>371</v>
      </c>
      <c r="AY259" s="20" t="s">
        <v>371</v>
      </c>
      <c r="AZ259" s="20" t="s">
        <v>371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23</v>
      </c>
      <c r="CD259" s="38">
        <f t="shared" si="34"/>
        <v>20</v>
      </c>
      <c r="CE259" s="38">
        <f t="shared" si="35"/>
        <v>20</v>
      </c>
      <c r="CF259" s="38">
        <f t="shared" si="36"/>
        <v>20</v>
      </c>
      <c r="CG259" s="38">
        <f t="shared" si="37"/>
        <v>20</v>
      </c>
      <c r="CH259" s="38" t="str">
        <f t="shared" si="38"/>
        <v/>
      </c>
      <c r="CI259" s="38">
        <f t="shared" si="39"/>
        <v>20</v>
      </c>
      <c r="CJ259" s="38" t="str">
        <f t="shared" si="40"/>
        <v/>
      </c>
      <c r="CK259" s="38" t="str">
        <f t="shared" si="41"/>
        <v/>
      </c>
      <c r="CL259" s="38" t="str">
        <f>IF(C259="","",IF(COUNT(G259:AZ259)&lt;46,"",SUMPRODUCT(CC259:CK259,'تنظیمات وزن‌دهی'!$C$5:$C$13)/100))</f>
        <v/>
      </c>
      <c r="CM259" s="38" t="str">
        <f t="shared" si="42"/>
        <v>موقت - اطلاعات ناقص</v>
      </c>
      <c r="CN259" s="38">
        <v>3</v>
      </c>
      <c r="CO259" s="28">
        <f t="shared" si="43"/>
        <v>0.65217391304347827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0980524954</v>
      </c>
      <c r="E260" s="55" t="str">
        <f>IF(دانش‌آموزان!E26="","",دانش‌آموزان!E26&amp;" "&amp;دانش‌آموزان!F26)</f>
        <v>اميرعلي فدايي</v>
      </c>
      <c r="F260" s="34">
        <f>IF(دانش‌آموزان!I26="","",دانش‌آموزان!I26)</f>
        <v>801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0980524954</v>
      </c>
      <c r="E261" s="55" t="str">
        <f>IF(دانش‌آموزان!E26="","",دانش‌آموزان!E26&amp;" "&amp;دانش‌آموزان!F26)</f>
        <v>اميرعلي فدايي</v>
      </c>
      <c r="F261" s="34">
        <f>IF(دانش‌آموزان!I26="","",دانش‌آموزان!I26)</f>
        <v>801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0980524954</v>
      </c>
      <c r="E262" s="55" t="str">
        <f>IF(دانش‌آموزان!E26="","",دانش‌آموزان!E26&amp;" "&amp;دانش‌آموزان!F26)</f>
        <v>اميرعلي فدايي</v>
      </c>
      <c r="F262" s="34">
        <f>IF(دانش‌آموزان!I26="","",دانش‌آموزان!I26)</f>
        <v>801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0980524954</v>
      </c>
      <c r="E263" s="55" t="str">
        <f>IF(دانش‌آموزان!E26="","",دانش‌آموزان!E26&amp;" "&amp;دانش‌آموزان!F26)</f>
        <v>اميرعلي فدايي</v>
      </c>
      <c r="F263" s="34">
        <f>IF(دانش‌آموزان!I26="","",دانش‌آموزان!I26)</f>
        <v>801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0980524954</v>
      </c>
      <c r="E264" s="55" t="str">
        <f>IF(دانش‌آموزان!E26="","",دانش‌آموزان!E26&amp;" "&amp;دانش‌آموزان!F26)</f>
        <v>اميرعلي فدايي</v>
      </c>
      <c r="F264" s="34">
        <f>IF(دانش‌آموزان!I26="","",دانش‌آموزان!I26)</f>
        <v>801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0980524954</v>
      </c>
      <c r="E265" s="55" t="str">
        <f>IF(دانش‌آموزان!E26="","",دانش‌آموزان!E26&amp;" "&amp;دانش‌آموزان!F26)</f>
        <v>اميرعلي فدايي</v>
      </c>
      <c r="F265" s="34">
        <f>IF(دانش‌آموزان!I26="","",دانش‌آموزان!I26)</f>
        <v>801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0980524954</v>
      </c>
      <c r="E266" s="55" t="str">
        <f>IF(دانش‌آموزان!E26="","",دانش‌آموزان!E26&amp;" "&amp;دانش‌آموزان!F26)</f>
        <v>اميرعلي فدايي</v>
      </c>
      <c r="F266" s="34">
        <f>IF(دانش‌آموزان!I26="","",دانش‌آموزان!I26)</f>
        <v>801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0980524954</v>
      </c>
      <c r="E267" s="55" t="str">
        <f>IF(دانش‌آموزان!E26="","",دانش‌آموزان!E26&amp;" "&amp;دانش‌آموزان!F26)</f>
        <v>اميرعلي فدايي</v>
      </c>
      <c r="F267" s="34">
        <f>IF(دانش‌آموزان!I26="","",دانش‌آموزان!I26)</f>
        <v>801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0980524954</v>
      </c>
      <c r="E268" s="55" t="str">
        <f>IF(دانش‌آموزان!E26="","",دانش‌آموزان!E26&amp;" "&amp;دانش‌آموزان!F26)</f>
        <v>اميرعلي فدايي</v>
      </c>
      <c r="F268" s="34">
        <f>IF(دانش‌آموزان!I26="","",دانش‌آموزان!I26)</f>
        <v>801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0960447040</v>
      </c>
      <c r="E269" s="55" t="str">
        <f>IF(دانش‌آموزان!E27="","",دانش‌آموزان!E27&amp;" "&amp;دانش‌آموزان!F27)</f>
        <v>اميرعلي فرقاني طرقي</v>
      </c>
      <c r="F269" s="34">
        <f>IF(دانش‌آموزان!I27="","",دانش‌آموزان!I27)</f>
        <v>801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0960447040</v>
      </c>
      <c r="E270" s="55" t="str">
        <f>IF(دانش‌آموزان!E27="","",دانش‌آموزان!E27&amp;" "&amp;دانش‌آموزان!F27)</f>
        <v>اميرعلي فرقاني طرقي</v>
      </c>
      <c r="F270" s="34">
        <f>IF(دانش‌آموزان!I27="","",دانش‌آموزان!I27)</f>
        <v>801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5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0960447040</v>
      </c>
      <c r="E271" s="55" t="str">
        <f>IF(دانش‌آموزان!E27="","",دانش‌آموزان!E27&amp;" "&amp;دانش‌آموزان!F27)</f>
        <v>اميرعلي فرقاني طرقي</v>
      </c>
      <c r="F271" s="34">
        <f>IF(دانش‌آموزان!I27="","",دانش‌آموزان!I27)</f>
        <v>801</v>
      </c>
      <c r="G271" s="92">
        <v>19.5</v>
      </c>
      <c r="H271" s="20">
        <v>-6.5</v>
      </c>
      <c r="I271" s="20">
        <v>5</v>
      </c>
      <c r="J271" s="20">
        <v>5</v>
      </c>
      <c r="K271" s="20">
        <v>5</v>
      </c>
      <c r="L271" s="20">
        <v>5</v>
      </c>
      <c r="M271" s="20">
        <v>5</v>
      </c>
      <c r="N271" s="20">
        <v>5</v>
      </c>
      <c r="O271" s="20">
        <v>5</v>
      </c>
      <c r="P271" s="20">
        <v>5</v>
      </c>
      <c r="Q271" s="20">
        <v>5</v>
      </c>
      <c r="R271" s="20">
        <v>5</v>
      </c>
      <c r="S271" s="20">
        <v>5</v>
      </c>
      <c r="T271" s="20">
        <v>5</v>
      </c>
      <c r="U271" s="20">
        <v>5</v>
      </c>
      <c r="V271" s="20">
        <v>5</v>
      </c>
      <c r="W271" s="20">
        <v>5</v>
      </c>
      <c r="X271" s="20">
        <v>5</v>
      </c>
      <c r="Y271" s="20">
        <v>5</v>
      </c>
      <c r="Z271" s="20">
        <v>5</v>
      </c>
      <c r="AA271" s="20">
        <v>5</v>
      </c>
      <c r="AB271" s="20">
        <v>5</v>
      </c>
      <c r="AC271" s="20">
        <v>5</v>
      </c>
      <c r="AD271" s="20" t="s">
        <v>371</v>
      </c>
      <c r="AE271" s="20" t="s">
        <v>371</v>
      </c>
      <c r="AF271" s="20" t="s">
        <v>371</v>
      </c>
      <c r="AG271" s="20" t="s">
        <v>371</v>
      </c>
      <c r="AH271" s="20" t="s">
        <v>371</v>
      </c>
      <c r="AI271" s="20" t="s">
        <v>371</v>
      </c>
      <c r="AJ271" s="20">
        <v>5</v>
      </c>
      <c r="AK271" s="20">
        <v>5</v>
      </c>
      <c r="AL271" s="20">
        <v>5</v>
      </c>
      <c r="AM271" s="20">
        <v>5</v>
      </c>
      <c r="AN271" s="20">
        <v>5</v>
      </c>
      <c r="AO271" s="20">
        <v>5</v>
      </c>
      <c r="AP271" s="20">
        <v>5</v>
      </c>
      <c r="AQ271" s="20" t="s">
        <v>371</v>
      </c>
      <c r="AR271" s="20" t="s">
        <v>371</v>
      </c>
      <c r="AS271" s="20" t="s">
        <v>371</v>
      </c>
      <c r="AT271" s="20" t="s">
        <v>371</v>
      </c>
      <c r="AU271" s="20" t="s">
        <v>371</v>
      </c>
      <c r="AV271" s="20" t="s">
        <v>371</v>
      </c>
      <c r="AW271" s="20" t="s">
        <v>371</v>
      </c>
      <c r="AX271" s="20" t="s">
        <v>371</v>
      </c>
      <c r="AY271" s="20" t="s">
        <v>371</v>
      </c>
      <c r="AZ271" s="20" t="s">
        <v>371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21.5</v>
      </c>
      <c r="CD271" s="38">
        <f t="shared" si="45"/>
        <v>20</v>
      </c>
      <c r="CE271" s="38">
        <f t="shared" si="46"/>
        <v>20</v>
      </c>
      <c r="CF271" s="38">
        <f t="shared" si="47"/>
        <v>20</v>
      </c>
      <c r="CG271" s="38">
        <f t="shared" si="48"/>
        <v>20</v>
      </c>
      <c r="CH271" s="38" t="str">
        <f t="shared" si="49"/>
        <v/>
      </c>
      <c r="CI271" s="38">
        <f t="shared" si="50"/>
        <v>20</v>
      </c>
      <c r="CJ271" s="38" t="str">
        <f t="shared" si="51"/>
        <v/>
      </c>
      <c r="CK271" s="38" t="str">
        <f t="shared" si="52"/>
        <v/>
      </c>
      <c r="CL271" s="38" t="str">
        <f>IF(C271="","",IF(COUNT(G271:AZ271)&lt;46,"",SUMPRODUCT(CC271:CK271,'تنظیمات وزن‌دهی'!$C$5:$C$13)/100))</f>
        <v/>
      </c>
      <c r="CM271" s="38" t="str">
        <f t="shared" si="53"/>
        <v>موقت - اطلاعات ناقص</v>
      </c>
      <c r="CN271" s="38">
        <v>3</v>
      </c>
      <c r="CO271" s="28">
        <f t="shared" si="54"/>
        <v>0.65217391304347827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0960447040</v>
      </c>
      <c r="E272" s="55" t="str">
        <f>IF(دانش‌آموزان!E27="","",دانش‌آموزان!E27&amp;" "&amp;دانش‌آموزان!F27)</f>
        <v>اميرعلي فرقاني طرقي</v>
      </c>
      <c r="F272" s="34">
        <f>IF(دانش‌آموزان!I27="","",دانش‌آموزان!I27)</f>
        <v>801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0960447040</v>
      </c>
      <c r="E273" s="55" t="str">
        <f>IF(دانش‌آموزان!E27="","",دانش‌آموزان!E27&amp;" "&amp;دانش‌آموزان!F27)</f>
        <v>اميرعلي فرقاني طرقي</v>
      </c>
      <c r="F273" s="34">
        <f>IF(دانش‌آموزان!I27="","",دانش‌آموزان!I27)</f>
        <v>801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0960447040</v>
      </c>
      <c r="E274" s="55" t="str">
        <f>IF(دانش‌آموزان!E27="","",دانش‌آموزان!E27&amp;" "&amp;دانش‌آموزان!F27)</f>
        <v>اميرعلي فرقاني طرقي</v>
      </c>
      <c r="F274" s="34">
        <f>IF(دانش‌آموزان!I27="","",دانش‌آموزان!I27)</f>
        <v>801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0960447040</v>
      </c>
      <c r="E275" s="55" t="str">
        <f>IF(دانش‌آموزان!E27="","",دانش‌آموزان!E27&amp;" "&amp;دانش‌آموزان!F27)</f>
        <v>اميرعلي فرقاني طرقي</v>
      </c>
      <c r="F275" s="34">
        <f>IF(دانش‌آموزان!I27="","",دانش‌آموزان!I27)</f>
        <v>801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0960447040</v>
      </c>
      <c r="E276" s="55" t="str">
        <f>IF(دانش‌آموزان!E27="","",دانش‌آموزان!E27&amp;" "&amp;دانش‌آموزان!F27)</f>
        <v>اميرعلي فرقاني طرقي</v>
      </c>
      <c r="F276" s="34">
        <f>IF(دانش‌آموزان!I27="","",دانش‌آموزان!I27)</f>
        <v>801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0960447040</v>
      </c>
      <c r="E277" s="55" t="str">
        <f>IF(دانش‌آموزان!E27="","",دانش‌آموزان!E27&amp;" "&amp;دانش‌آموزان!F27)</f>
        <v>اميرعلي فرقاني طرقي</v>
      </c>
      <c r="F277" s="34">
        <f>IF(دانش‌آموزان!I27="","",دانش‌آموزان!I27)</f>
        <v>801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0960447040</v>
      </c>
      <c r="E278" s="55" t="str">
        <f>IF(دانش‌آموزان!E27="","",دانش‌آموزان!E27&amp;" "&amp;دانش‌آموزان!F27)</f>
        <v>اميرعلي فرقاني طرقي</v>
      </c>
      <c r="F278" s="34">
        <f>IF(دانش‌آموزان!I27="","",دانش‌آموزان!I27)</f>
        <v>801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0960447040</v>
      </c>
      <c r="E279" s="55" t="str">
        <f>IF(دانش‌آموزان!E27="","",دانش‌آموزان!E27&amp;" "&amp;دانش‌آموزان!F27)</f>
        <v>اميرعلي فرقاني طرقي</v>
      </c>
      <c r="F279" s="34">
        <f>IF(دانش‌آموزان!I27="","",دانش‌آموزان!I27)</f>
        <v>801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0960447040</v>
      </c>
      <c r="E280" s="55" t="str">
        <f>IF(دانش‌آموزان!E27="","",دانش‌آموزان!E27&amp;" "&amp;دانش‌آموزان!F27)</f>
        <v>اميرعلي فرقاني طرقي</v>
      </c>
      <c r="F280" s="34">
        <f>IF(دانش‌آموزان!I27="","",دانش‌آموزان!I27)</f>
        <v>801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0970859112</v>
      </c>
      <c r="E281" s="55" t="str">
        <f>IF(دانش‌آموزان!E28="","",دانش‌آموزان!E28&amp;" "&amp;دانش‌آموزان!F28)</f>
        <v>امير علي قايني</v>
      </c>
      <c r="F281" s="34">
        <f>IF(دانش‌آموزان!I28="","",دانش‌آموزان!I28)</f>
        <v>801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0970859112</v>
      </c>
      <c r="E282" s="55" t="str">
        <f>IF(دانش‌آموزان!E28="","",دانش‌آموزان!E28&amp;" "&amp;دانش‌آموزان!F28)</f>
        <v>امير علي قايني</v>
      </c>
      <c r="F282" s="34">
        <f>IF(دانش‌آموزان!I28="","",دانش‌آموزان!I28)</f>
        <v>801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5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0970859112</v>
      </c>
      <c r="E283" s="55" t="str">
        <f>IF(دانش‌آموزان!E28="","",دانش‌آموزان!E28&amp;" "&amp;دانش‌آموزان!F28)</f>
        <v>امير علي قايني</v>
      </c>
      <c r="F283" s="34">
        <f>IF(دانش‌آموزان!I28="","",دانش‌آموزان!I28)</f>
        <v>801</v>
      </c>
      <c r="G283" s="93">
        <v>19.04</v>
      </c>
      <c r="H283" s="20">
        <v>-8.0399999999999991</v>
      </c>
      <c r="I283" s="20">
        <v>4</v>
      </c>
      <c r="J283" s="20">
        <v>5</v>
      </c>
      <c r="K283" s="20">
        <v>5</v>
      </c>
      <c r="L283" s="20">
        <v>5</v>
      </c>
      <c r="M283" s="20">
        <v>5</v>
      </c>
      <c r="N283" s="20">
        <v>5</v>
      </c>
      <c r="O283" s="20">
        <v>5</v>
      </c>
      <c r="P283" s="20">
        <v>5</v>
      </c>
      <c r="Q283" s="20">
        <v>5</v>
      </c>
      <c r="R283" s="20">
        <v>5</v>
      </c>
      <c r="S283" s="20">
        <v>5</v>
      </c>
      <c r="T283" s="20">
        <v>5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 t="s">
        <v>371</v>
      </c>
      <c r="AE283" s="20" t="s">
        <v>371</v>
      </c>
      <c r="AF283" s="20" t="s">
        <v>371</v>
      </c>
      <c r="AG283" s="20" t="s">
        <v>371</v>
      </c>
      <c r="AH283" s="20" t="s">
        <v>371</v>
      </c>
      <c r="AI283" s="20" t="s">
        <v>371</v>
      </c>
      <c r="AJ283" s="20">
        <v>5</v>
      </c>
      <c r="AK283" s="20">
        <v>5</v>
      </c>
      <c r="AL283" s="20">
        <v>5</v>
      </c>
      <c r="AM283" s="20">
        <v>5</v>
      </c>
      <c r="AN283" s="20">
        <v>5</v>
      </c>
      <c r="AO283" s="20">
        <v>5</v>
      </c>
      <c r="AP283" s="20">
        <v>5</v>
      </c>
      <c r="AQ283" s="20" t="s">
        <v>371</v>
      </c>
      <c r="AR283" s="20" t="s">
        <v>371</v>
      </c>
      <c r="AS283" s="20" t="s">
        <v>371</v>
      </c>
      <c r="AT283" s="20" t="s">
        <v>371</v>
      </c>
      <c r="AU283" s="20" t="s">
        <v>371</v>
      </c>
      <c r="AV283" s="20" t="s">
        <v>371</v>
      </c>
      <c r="AW283" s="20" t="s">
        <v>371</v>
      </c>
      <c r="AX283" s="20" t="s">
        <v>371</v>
      </c>
      <c r="AY283" s="20" t="s">
        <v>371</v>
      </c>
      <c r="AZ283" s="20" t="s">
        <v>371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20</v>
      </c>
      <c r="CD283" s="38">
        <f t="shared" si="45"/>
        <v>20</v>
      </c>
      <c r="CE283" s="38">
        <f t="shared" si="46"/>
        <v>20</v>
      </c>
      <c r="CF283" s="38">
        <f t="shared" si="47"/>
        <v>20</v>
      </c>
      <c r="CG283" s="38">
        <f t="shared" si="48"/>
        <v>20</v>
      </c>
      <c r="CH283" s="38" t="str">
        <f t="shared" si="49"/>
        <v/>
      </c>
      <c r="CI283" s="38">
        <f t="shared" si="50"/>
        <v>20</v>
      </c>
      <c r="CJ283" s="38" t="str">
        <f t="shared" si="51"/>
        <v/>
      </c>
      <c r="CK283" s="38" t="str">
        <f t="shared" si="52"/>
        <v/>
      </c>
      <c r="CL283" s="38" t="str">
        <f>IF(C283="","",IF(COUNT(G283:AZ283)&lt;46,"",SUMPRODUCT(CC283:CK283,'تنظیمات وزن‌دهی'!$C$5:$C$13)/100))</f>
        <v/>
      </c>
      <c r="CM283" s="38" t="str">
        <f t="shared" si="53"/>
        <v>موقت - اطلاعات ناقص</v>
      </c>
      <c r="CN283" s="38">
        <v>3</v>
      </c>
      <c r="CO283" s="28">
        <f t="shared" si="54"/>
        <v>0.65217391304347827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0970859112</v>
      </c>
      <c r="E284" s="55" t="str">
        <f>IF(دانش‌آموزان!E28="","",دانش‌آموزان!E28&amp;" "&amp;دانش‌آموزان!F28)</f>
        <v>امير علي قايني</v>
      </c>
      <c r="F284" s="34">
        <f>IF(دانش‌آموزان!I28="","",دانش‌آموزان!I28)</f>
        <v>801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0970859112</v>
      </c>
      <c r="E285" s="55" t="str">
        <f>IF(دانش‌آموزان!E28="","",دانش‌آموزان!E28&amp;" "&amp;دانش‌آموزان!F28)</f>
        <v>امير علي قايني</v>
      </c>
      <c r="F285" s="34">
        <f>IF(دانش‌آموزان!I28="","",دانش‌آموزان!I28)</f>
        <v>801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0970859112</v>
      </c>
      <c r="E286" s="55" t="str">
        <f>IF(دانش‌آموزان!E28="","",دانش‌آموزان!E28&amp;" "&amp;دانش‌آموزان!F28)</f>
        <v>امير علي قايني</v>
      </c>
      <c r="F286" s="34">
        <f>IF(دانش‌آموزان!I28="","",دانش‌آموزان!I28)</f>
        <v>801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0970859112</v>
      </c>
      <c r="E287" s="55" t="str">
        <f>IF(دانش‌آموزان!E28="","",دانش‌آموزان!E28&amp;" "&amp;دانش‌آموزان!F28)</f>
        <v>امير علي قايني</v>
      </c>
      <c r="F287" s="34">
        <f>IF(دانش‌آموزان!I28="","",دانش‌آموزان!I28)</f>
        <v>801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0970859112</v>
      </c>
      <c r="E288" s="55" t="str">
        <f>IF(دانش‌آموزان!E28="","",دانش‌آموزان!E28&amp;" "&amp;دانش‌آموزان!F28)</f>
        <v>امير علي قايني</v>
      </c>
      <c r="F288" s="34">
        <f>IF(دانش‌آموزان!I28="","",دانش‌آموزان!I28)</f>
        <v>801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0970859112</v>
      </c>
      <c r="E289" s="55" t="str">
        <f>IF(دانش‌آموزان!E28="","",دانش‌آموزان!E28&amp;" "&amp;دانش‌آموزان!F28)</f>
        <v>امير علي قايني</v>
      </c>
      <c r="F289" s="34">
        <f>IF(دانش‌آموزان!I28="","",دانش‌آموزان!I28)</f>
        <v>801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0970859112</v>
      </c>
      <c r="E290" s="55" t="str">
        <f>IF(دانش‌آموزان!E28="","",دانش‌آموزان!E28&amp;" "&amp;دانش‌آموزان!F28)</f>
        <v>امير علي قايني</v>
      </c>
      <c r="F290" s="34">
        <f>IF(دانش‌آموزان!I28="","",دانش‌آموزان!I28)</f>
        <v>801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0970859112</v>
      </c>
      <c r="E291" s="55" t="str">
        <f>IF(دانش‌آموزان!E28="","",دانش‌آموزان!E28&amp;" "&amp;دانش‌آموزان!F28)</f>
        <v>امير علي قايني</v>
      </c>
      <c r="F291" s="34">
        <f>IF(دانش‌آموزان!I28="","",دانش‌آموزان!I28)</f>
        <v>801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0970859112</v>
      </c>
      <c r="E292" s="55" t="str">
        <f>IF(دانش‌آموزان!E28="","",دانش‌آموزان!E28&amp;" "&amp;دانش‌آموزان!F28)</f>
        <v>امير علي قايني</v>
      </c>
      <c r="F292" s="34">
        <f>IF(دانش‌آموزان!I28="","",دانش‌آموزان!I28)</f>
        <v>801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0960650040</v>
      </c>
      <c r="E293" s="55" t="str">
        <f>IF(دانش‌آموزان!E29="","",دانش‌آموزان!E29&amp;" "&amp;دانش‌آموزان!F29)</f>
        <v>محمد حسين قنبري</v>
      </c>
      <c r="F293" s="34">
        <f>IF(دانش‌آموزان!I29="","",دانش‌آموزان!I29)</f>
        <v>801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0960650040</v>
      </c>
      <c r="E294" s="55" t="str">
        <f>IF(دانش‌آموزان!E29="","",دانش‌آموزان!E29&amp;" "&amp;دانش‌آموزان!F29)</f>
        <v>محمد حسين قنبري</v>
      </c>
      <c r="F294" s="34">
        <f>IF(دانش‌آموزان!I29="","",دانش‌آموزان!I29)</f>
        <v>801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5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0960650040</v>
      </c>
      <c r="E295" s="55" t="str">
        <f>IF(دانش‌آموزان!E29="","",دانش‌آموزان!E29&amp;" "&amp;دانش‌آموزان!F29)</f>
        <v>محمد حسين قنبري</v>
      </c>
      <c r="F295" s="34">
        <f>IF(دانش‌آموزان!I29="","",دانش‌آموزان!I29)</f>
        <v>801</v>
      </c>
      <c r="G295" s="94">
        <v>18.61</v>
      </c>
      <c r="H295" s="20">
        <v>-10.61</v>
      </c>
      <c r="I295" s="20">
        <v>4</v>
      </c>
      <c r="J295" s="20">
        <v>5</v>
      </c>
      <c r="K295" s="20">
        <v>5</v>
      </c>
      <c r="L295" s="20">
        <v>5</v>
      </c>
      <c r="M295" s="20">
        <v>5</v>
      </c>
      <c r="N295" s="20">
        <v>5</v>
      </c>
      <c r="O295" s="20">
        <v>5</v>
      </c>
      <c r="P295" s="20">
        <v>5</v>
      </c>
      <c r="Q295" s="20">
        <v>5</v>
      </c>
      <c r="R295" s="20">
        <v>5</v>
      </c>
      <c r="S295" s="20">
        <v>5</v>
      </c>
      <c r="T295" s="20">
        <v>5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 t="s">
        <v>371</v>
      </c>
      <c r="AE295" s="20" t="s">
        <v>371</v>
      </c>
      <c r="AF295" s="20" t="s">
        <v>371</v>
      </c>
      <c r="AG295" s="20" t="s">
        <v>371</v>
      </c>
      <c r="AH295" s="20" t="s">
        <v>371</v>
      </c>
      <c r="AI295" s="20" t="s">
        <v>371</v>
      </c>
      <c r="AJ295" s="20">
        <v>5</v>
      </c>
      <c r="AK295" s="20">
        <v>5</v>
      </c>
      <c r="AL295" s="20">
        <v>5</v>
      </c>
      <c r="AM295" s="20">
        <v>5</v>
      </c>
      <c r="AN295" s="20">
        <v>5</v>
      </c>
      <c r="AO295" s="20">
        <v>5</v>
      </c>
      <c r="AP295" s="20">
        <v>5</v>
      </c>
      <c r="AQ295" s="20" t="s">
        <v>371</v>
      </c>
      <c r="AR295" s="20" t="s">
        <v>371</v>
      </c>
      <c r="AS295" s="20" t="s">
        <v>371</v>
      </c>
      <c r="AT295" s="20" t="s">
        <v>371</v>
      </c>
      <c r="AU295" s="20" t="s">
        <v>371</v>
      </c>
      <c r="AV295" s="20" t="s">
        <v>371</v>
      </c>
      <c r="AW295" s="20" t="s">
        <v>371</v>
      </c>
      <c r="AX295" s="20" t="s">
        <v>371</v>
      </c>
      <c r="AY295" s="20" t="s">
        <v>371</v>
      </c>
      <c r="AZ295" s="20" t="s">
        <v>371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18.5</v>
      </c>
      <c r="CD295" s="38">
        <f t="shared" si="45"/>
        <v>20</v>
      </c>
      <c r="CE295" s="38">
        <f t="shared" si="46"/>
        <v>20</v>
      </c>
      <c r="CF295" s="38">
        <f t="shared" si="47"/>
        <v>20</v>
      </c>
      <c r="CG295" s="38">
        <f t="shared" si="48"/>
        <v>20</v>
      </c>
      <c r="CH295" s="38" t="str">
        <f t="shared" si="49"/>
        <v/>
      </c>
      <c r="CI295" s="38">
        <f t="shared" si="50"/>
        <v>20</v>
      </c>
      <c r="CJ295" s="38" t="str">
        <f t="shared" si="51"/>
        <v/>
      </c>
      <c r="CK295" s="38" t="str">
        <f t="shared" si="52"/>
        <v/>
      </c>
      <c r="CL295" s="38" t="str">
        <f>IF(C295="","",IF(COUNT(G295:AZ295)&lt;46,"",SUMPRODUCT(CC295:CK295,'تنظیمات وزن‌دهی'!$C$5:$C$13)/100))</f>
        <v/>
      </c>
      <c r="CM295" s="38" t="str">
        <f t="shared" si="53"/>
        <v>موقت - اطلاعات ناقص</v>
      </c>
      <c r="CN295" s="38">
        <v>3</v>
      </c>
      <c r="CO295" s="28">
        <f t="shared" si="54"/>
        <v>0.65217391304347827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0960650040</v>
      </c>
      <c r="E296" s="55" t="str">
        <f>IF(دانش‌آموزان!E29="","",دانش‌آموزان!E29&amp;" "&amp;دانش‌آموزان!F29)</f>
        <v>محمد حسين قنبري</v>
      </c>
      <c r="F296" s="34">
        <f>IF(دانش‌آموزان!I29="","",دانش‌آموزان!I29)</f>
        <v>801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0960650040</v>
      </c>
      <c r="E297" s="55" t="str">
        <f>IF(دانش‌آموزان!E29="","",دانش‌آموزان!E29&amp;" "&amp;دانش‌آموزان!F29)</f>
        <v>محمد حسين قنبري</v>
      </c>
      <c r="F297" s="34">
        <f>IF(دانش‌آموزان!I29="","",دانش‌آموزان!I29)</f>
        <v>801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0960650040</v>
      </c>
      <c r="E298" s="55" t="str">
        <f>IF(دانش‌آموزان!E29="","",دانش‌آموزان!E29&amp;" "&amp;دانش‌آموزان!F29)</f>
        <v>محمد حسين قنبري</v>
      </c>
      <c r="F298" s="34">
        <f>IF(دانش‌آموزان!I29="","",دانش‌آموزان!I29)</f>
        <v>801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0960650040</v>
      </c>
      <c r="E299" s="55" t="str">
        <f>IF(دانش‌آموزان!E29="","",دانش‌آموزان!E29&amp;" "&amp;دانش‌آموزان!F29)</f>
        <v>محمد حسين قنبري</v>
      </c>
      <c r="F299" s="34">
        <f>IF(دانش‌آموزان!I29="","",دانش‌آموزان!I29)</f>
        <v>801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0960650040</v>
      </c>
      <c r="E300" s="55" t="str">
        <f>IF(دانش‌آموزان!E29="","",دانش‌آموزان!E29&amp;" "&amp;دانش‌آموزان!F29)</f>
        <v>محمد حسين قنبري</v>
      </c>
      <c r="F300" s="34">
        <f>IF(دانش‌آموزان!I29="","",دانش‌آموزان!I29)</f>
        <v>801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0960650040</v>
      </c>
      <c r="E301" s="55" t="str">
        <f>IF(دانش‌آموزان!E29="","",دانش‌آموزان!E29&amp;" "&amp;دانش‌آموزان!F29)</f>
        <v>محمد حسين قنبري</v>
      </c>
      <c r="F301" s="34">
        <f>IF(دانش‌آموزان!I29="","",دانش‌آموزان!I29)</f>
        <v>801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0960650040</v>
      </c>
      <c r="E302" s="55" t="str">
        <f>IF(دانش‌آموزان!E29="","",دانش‌آموزان!E29&amp;" "&amp;دانش‌آموزان!F29)</f>
        <v>محمد حسين قنبري</v>
      </c>
      <c r="F302" s="34">
        <f>IF(دانش‌آموزان!I29="","",دانش‌آموزان!I29)</f>
        <v>801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0960650040</v>
      </c>
      <c r="E303" s="55" t="str">
        <f>IF(دانش‌آموزان!E29="","",دانش‌آموزان!E29&amp;" "&amp;دانش‌آموزان!F29)</f>
        <v>محمد حسين قنبري</v>
      </c>
      <c r="F303" s="34">
        <f>IF(دانش‌آموزان!I29="","",دانش‌آموزان!I29)</f>
        <v>801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0960650040</v>
      </c>
      <c r="E304" s="55" t="str">
        <f>IF(دانش‌آموزان!E29="","",دانش‌آموزان!E29&amp;" "&amp;دانش‌آموزان!F29)</f>
        <v>محمد حسين قنبري</v>
      </c>
      <c r="F304" s="34">
        <f>IF(دانش‌آموزان!I29="","",دانش‌آموزان!I29)</f>
        <v>801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0960581286</v>
      </c>
      <c r="E305" s="55" t="str">
        <f>IF(دانش‌آموزان!E30="","",دانش‌آموزان!E30&amp;" "&amp;دانش‌آموزان!F30)</f>
        <v>پاكان قوي پيكر</v>
      </c>
      <c r="F305" s="34">
        <f>IF(دانش‌آموزان!I30="","",دانش‌آموزان!I30)</f>
        <v>801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0960581286</v>
      </c>
      <c r="E306" s="55" t="str">
        <f>IF(دانش‌آموزان!E30="","",دانش‌آموزان!E30&amp;" "&amp;دانش‌آموزان!F30)</f>
        <v>پاكان قوي پيكر</v>
      </c>
      <c r="F306" s="34">
        <f>IF(دانش‌آموزان!I30="","",دانش‌آموزان!I30)</f>
        <v>801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5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0960581286</v>
      </c>
      <c r="E307" s="55" t="str">
        <f>IF(دانش‌آموزان!E30="","",دانش‌آموزان!E30&amp;" "&amp;دانش‌آموزان!F30)</f>
        <v>پاكان قوي پيكر</v>
      </c>
      <c r="F307" s="34">
        <f>IF(دانش‌آموزان!I30="","",دانش‌آموزان!I30)</f>
        <v>801</v>
      </c>
      <c r="G307" s="95">
        <v>18.61</v>
      </c>
      <c r="H307" s="20">
        <v>-8.61</v>
      </c>
      <c r="I307" s="20">
        <v>3</v>
      </c>
      <c r="J307" s="20">
        <v>5</v>
      </c>
      <c r="K307" s="20">
        <v>5</v>
      </c>
      <c r="L307" s="20">
        <v>5</v>
      </c>
      <c r="M307" s="20">
        <v>5</v>
      </c>
      <c r="N307" s="20">
        <v>5</v>
      </c>
      <c r="O307" s="20">
        <v>5</v>
      </c>
      <c r="P307" s="20">
        <v>5</v>
      </c>
      <c r="Q307" s="20">
        <v>5</v>
      </c>
      <c r="R307" s="20">
        <v>5</v>
      </c>
      <c r="S307" s="20">
        <v>5</v>
      </c>
      <c r="T307" s="20">
        <v>5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5</v>
      </c>
      <c r="AB307" s="20">
        <v>5</v>
      </c>
      <c r="AC307" s="20">
        <v>5</v>
      </c>
      <c r="AD307" s="20" t="s">
        <v>371</v>
      </c>
      <c r="AE307" s="20" t="s">
        <v>371</v>
      </c>
      <c r="AF307" s="20" t="s">
        <v>371</v>
      </c>
      <c r="AG307" s="20" t="s">
        <v>371</v>
      </c>
      <c r="AH307" s="20" t="s">
        <v>371</v>
      </c>
      <c r="AI307" s="20" t="s">
        <v>371</v>
      </c>
      <c r="AJ307" s="20">
        <v>5</v>
      </c>
      <c r="AK307" s="20">
        <v>5</v>
      </c>
      <c r="AL307" s="20">
        <v>5</v>
      </c>
      <c r="AM307" s="20">
        <v>5</v>
      </c>
      <c r="AN307" s="20">
        <v>5</v>
      </c>
      <c r="AO307" s="20">
        <v>5</v>
      </c>
      <c r="AP307" s="20">
        <v>5</v>
      </c>
      <c r="AQ307" s="20" t="s">
        <v>371</v>
      </c>
      <c r="AR307" s="20" t="s">
        <v>371</v>
      </c>
      <c r="AS307" s="20" t="s">
        <v>371</v>
      </c>
      <c r="AT307" s="20" t="s">
        <v>371</v>
      </c>
      <c r="AU307" s="20" t="s">
        <v>371</v>
      </c>
      <c r="AV307" s="20" t="s">
        <v>371</v>
      </c>
      <c r="AW307" s="20" t="s">
        <v>371</v>
      </c>
      <c r="AX307" s="20" t="s">
        <v>371</v>
      </c>
      <c r="AY307" s="20" t="s">
        <v>371</v>
      </c>
      <c r="AZ307" s="20" t="s">
        <v>371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19</v>
      </c>
      <c r="CD307" s="38">
        <f t="shared" si="45"/>
        <v>20</v>
      </c>
      <c r="CE307" s="38">
        <f t="shared" si="46"/>
        <v>20</v>
      </c>
      <c r="CF307" s="38">
        <f t="shared" si="47"/>
        <v>20</v>
      </c>
      <c r="CG307" s="38">
        <f t="shared" si="48"/>
        <v>20</v>
      </c>
      <c r="CH307" s="38" t="str">
        <f t="shared" si="49"/>
        <v/>
      </c>
      <c r="CI307" s="38">
        <f t="shared" si="50"/>
        <v>20</v>
      </c>
      <c r="CJ307" s="38" t="str">
        <f t="shared" si="51"/>
        <v/>
      </c>
      <c r="CK307" s="38" t="str">
        <f t="shared" si="52"/>
        <v/>
      </c>
      <c r="CL307" s="38" t="str">
        <f>IF(C307="","",IF(COUNT(G307:AZ307)&lt;46,"",SUMPRODUCT(CC307:CK307,'تنظیمات وزن‌دهی'!$C$5:$C$13)/100))</f>
        <v/>
      </c>
      <c r="CM307" s="38" t="str">
        <f t="shared" si="53"/>
        <v>موقت - اطلاعات ناقص</v>
      </c>
      <c r="CN307" s="38">
        <v>3</v>
      </c>
      <c r="CO307" s="28">
        <f t="shared" si="54"/>
        <v>0.65217391304347827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0960581286</v>
      </c>
      <c r="E308" s="55" t="str">
        <f>IF(دانش‌آموزان!E30="","",دانش‌آموزان!E30&amp;" "&amp;دانش‌آموزان!F30)</f>
        <v>پاكان قوي پيكر</v>
      </c>
      <c r="F308" s="34">
        <f>IF(دانش‌آموزان!I30="","",دانش‌آموزان!I30)</f>
        <v>801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0960581286</v>
      </c>
      <c r="E309" s="55" t="str">
        <f>IF(دانش‌آموزان!E30="","",دانش‌آموزان!E30&amp;" "&amp;دانش‌آموزان!F30)</f>
        <v>پاكان قوي پيكر</v>
      </c>
      <c r="F309" s="34">
        <f>IF(دانش‌آموزان!I30="","",دانش‌آموزان!I30)</f>
        <v>801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0960581286</v>
      </c>
      <c r="E310" s="55" t="str">
        <f>IF(دانش‌آموزان!E30="","",دانش‌آموزان!E30&amp;" "&amp;دانش‌آموزان!F30)</f>
        <v>پاكان قوي پيكر</v>
      </c>
      <c r="F310" s="34">
        <f>IF(دانش‌آموزان!I30="","",دانش‌آموزان!I30)</f>
        <v>801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0960581286</v>
      </c>
      <c r="E311" s="55" t="str">
        <f>IF(دانش‌آموزان!E30="","",دانش‌آموزان!E30&amp;" "&amp;دانش‌آموزان!F30)</f>
        <v>پاكان قوي پيكر</v>
      </c>
      <c r="F311" s="34">
        <f>IF(دانش‌آموزان!I30="","",دانش‌آموزان!I30)</f>
        <v>801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0960581286</v>
      </c>
      <c r="E312" s="55" t="str">
        <f>IF(دانش‌آموزان!E30="","",دانش‌آموزان!E30&amp;" "&amp;دانش‌آموزان!F30)</f>
        <v>پاكان قوي پيكر</v>
      </c>
      <c r="F312" s="34">
        <f>IF(دانش‌آموزان!I30="","",دانش‌آموزان!I30)</f>
        <v>801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0960581286</v>
      </c>
      <c r="E313" s="55" t="str">
        <f>IF(دانش‌آموزان!E30="","",دانش‌آموزان!E30&amp;" "&amp;دانش‌آموزان!F30)</f>
        <v>پاكان قوي پيكر</v>
      </c>
      <c r="F313" s="34">
        <f>IF(دانش‌آموزان!I30="","",دانش‌آموزان!I30)</f>
        <v>801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0960581286</v>
      </c>
      <c r="E314" s="55" t="str">
        <f>IF(دانش‌آموزان!E30="","",دانش‌آموزان!E30&amp;" "&amp;دانش‌آموزان!F30)</f>
        <v>پاكان قوي پيكر</v>
      </c>
      <c r="F314" s="34">
        <f>IF(دانش‌آموزان!I30="","",دانش‌آموزان!I30)</f>
        <v>801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0960581286</v>
      </c>
      <c r="E315" s="55" t="str">
        <f>IF(دانش‌آموزان!E30="","",دانش‌آموزان!E30&amp;" "&amp;دانش‌آموزان!F30)</f>
        <v>پاكان قوي پيكر</v>
      </c>
      <c r="F315" s="34">
        <f>IF(دانش‌آموزان!I30="","",دانش‌آموزان!I30)</f>
        <v>801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0960581286</v>
      </c>
      <c r="E316" s="55" t="str">
        <f>IF(دانش‌آموزان!E30="","",دانش‌آموزان!E30&amp;" "&amp;دانش‌آموزان!F30)</f>
        <v>پاكان قوي پيكر</v>
      </c>
      <c r="F316" s="34">
        <f>IF(دانش‌آموزان!I30="","",دانش‌آموزان!I30)</f>
        <v>801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0960607544</v>
      </c>
      <c r="E317" s="55" t="str">
        <f>IF(دانش‌آموزان!E31="","",دانش‌آموزان!E31&amp;" "&amp;دانش‌آموزان!F31)</f>
        <v>مهرداد كاظمي بنهنگي</v>
      </c>
      <c r="F317" s="34">
        <f>IF(دانش‌آموزان!I31="","",دانش‌آموزان!I31)</f>
        <v>801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0960607544</v>
      </c>
      <c r="E318" s="55" t="str">
        <f>IF(دانش‌آموزان!E31="","",دانش‌آموزان!E31&amp;" "&amp;دانش‌آموزان!F31)</f>
        <v>مهرداد كاظمي بنهنگي</v>
      </c>
      <c r="F318" s="34">
        <f>IF(دانش‌آموزان!I31="","",دانش‌آموزان!I31)</f>
        <v>801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5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0960607544</v>
      </c>
      <c r="E319" s="55" t="str">
        <f>IF(دانش‌آموزان!E31="","",دانش‌آموزان!E31&amp;" "&amp;دانش‌آموزان!F31)</f>
        <v>مهرداد كاظمي بنهنگي</v>
      </c>
      <c r="F319" s="34">
        <f>IF(دانش‌آموزان!I31="","",دانش‌آموزان!I31)</f>
        <v>801</v>
      </c>
      <c r="G319" s="96">
        <v>19.5</v>
      </c>
      <c r="H319" s="20">
        <v>-6.5</v>
      </c>
      <c r="I319" s="20">
        <v>4</v>
      </c>
      <c r="J319" s="20">
        <v>5</v>
      </c>
      <c r="K319" s="20">
        <v>5</v>
      </c>
      <c r="L319" s="20">
        <v>5</v>
      </c>
      <c r="M319" s="20">
        <v>5</v>
      </c>
      <c r="N319" s="20">
        <v>5</v>
      </c>
      <c r="O319" s="20">
        <v>5</v>
      </c>
      <c r="P319" s="20">
        <v>5</v>
      </c>
      <c r="Q319" s="20">
        <v>5</v>
      </c>
      <c r="R319" s="20">
        <v>5</v>
      </c>
      <c r="S319" s="20">
        <v>5</v>
      </c>
      <c r="T319" s="20">
        <v>5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 t="s">
        <v>371</v>
      </c>
      <c r="AE319" s="20" t="s">
        <v>371</v>
      </c>
      <c r="AF319" s="20" t="s">
        <v>371</v>
      </c>
      <c r="AG319" s="20" t="s">
        <v>371</v>
      </c>
      <c r="AH319" s="20" t="s">
        <v>371</v>
      </c>
      <c r="AI319" s="20" t="s">
        <v>371</v>
      </c>
      <c r="AJ319" s="20">
        <v>5</v>
      </c>
      <c r="AK319" s="20">
        <v>5</v>
      </c>
      <c r="AL319" s="20">
        <v>5</v>
      </c>
      <c r="AM319" s="20">
        <v>5</v>
      </c>
      <c r="AN319" s="20">
        <v>5</v>
      </c>
      <c r="AO319" s="20">
        <v>5</v>
      </c>
      <c r="AP319" s="20">
        <v>5</v>
      </c>
      <c r="AQ319" s="20" t="s">
        <v>371</v>
      </c>
      <c r="AR319" s="20" t="s">
        <v>371</v>
      </c>
      <c r="AS319" s="20" t="s">
        <v>371</v>
      </c>
      <c r="AT319" s="20" t="s">
        <v>371</v>
      </c>
      <c r="AU319" s="20" t="s">
        <v>371</v>
      </c>
      <c r="AV319" s="20" t="s">
        <v>371</v>
      </c>
      <c r="AW319" s="20" t="s">
        <v>371</v>
      </c>
      <c r="AX319" s="20" t="s">
        <v>371</v>
      </c>
      <c r="AY319" s="20" t="s">
        <v>371</v>
      </c>
      <c r="AZ319" s="20" t="s">
        <v>371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21</v>
      </c>
      <c r="CD319" s="38">
        <f t="shared" si="45"/>
        <v>20</v>
      </c>
      <c r="CE319" s="38">
        <f t="shared" si="46"/>
        <v>20</v>
      </c>
      <c r="CF319" s="38">
        <f t="shared" si="47"/>
        <v>20</v>
      </c>
      <c r="CG319" s="38">
        <f t="shared" si="48"/>
        <v>20</v>
      </c>
      <c r="CH319" s="38" t="str">
        <f t="shared" si="49"/>
        <v/>
      </c>
      <c r="CI319" s="38">
        <f t="shared" si="50"/>
        <v>20</v>
      </c>
      <c r="CJ319" s="38" t="str">
        <f t="shared" si="51"/>
        <v/>
      </c>
      <c r="CK319" s="38" t="str">
        <f t="shared" si="52"/>
        <v/>
      </c>
      <c r="CL319" s="38" t="str">
        <f>IF(C319="","",IF(COUNT(G319:AZ319)&lt;46,"",SUMPRODUCT(CC319:CK319,'تنظیمات وزن‌دهی'!$C$5:$C$13)/100))</f>
        <v/>
      </c>
      <c r="CM319" s="38" t="str">
        <f t="shared" si="53"/>
        <v>موقت - اطلاعات ناقص</v>
      </c>
      <c r="CN319" s="38">
        <v>3</v>
      </c>
      <c r="CO319" s="28">
        <f t="shared" si="54"/>
        <v>0.65217391304347827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0960607544</v>
      </c>
      <c r="E320" s="55" t="str">
        <f>IF(دانش‌آموزان!E31="","",دانش‌آموزان!E31&amp;" "&amp;دانش‌آموزان!F31)</f>
        <v>مهرداد كاظمي بنهنگي</v>
      </c>
      <c r="F320" s="34">
        <f>IF(دانش‌آموزان!I31="","",دانش‌آموزان!I31)</f>
        <v>801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0960607544</v>
      </c>
      <c r="E321" s="55" t="str">
        <f>IF(دانش‌آموزان!E31="","",دانش‌آموزان!E31&amp;" "&amp;دانش‌آموزان!F31)</f>
        <v>مهرداد كاظمي بنهنگي</v>
      </c>
      <c r="F321" s="34">
        <f>IF(دانش‌آموزان!I31="","",دانش‌آموزان!I31)</f>
        <v>801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0960607544</v>
      </c>
      <c r="E322" s="55" t="str">
        <f>IF(دانش‌آموزان!E31="","",دانش‌آموزان!E31&amp;" "&amp;دانش‌آموزان!F31)</f>
        <v>مهرداد كاظمي بنهنگي</v>
      </c>
      <c r="F322" s="34">
        <f>IF(دانش‌آموزان!I31="","",دانش‌آموزان!I31)</f>
        <v>801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0960607544</v>
      </c>
      <c r="E323" s="55" t="str">
        <f>IF(دانش‌آموزان!E31="","",دانش‌آموزان!E31&amp;" "&amp;دانش‌آموزان!F31)</f>
        <v>مهرداد كاظمي بنهنگي</v>
      </c>
      <c r="F323" s="34">
        <f>IF(دانش‌آموزان!I31="","",دانش‌آموزان!I31)</f>
        <v>801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0960607544</v>
      </c>
      <c r="E324" s="55" t="str">
        <f>IF(دانش‌آموزان!E31="","",دانش‌آموزان!E31&amp;" "&amp;دانش‌آموزان!F31)</f>
        <v>مهرداد كاظمي بنهنگي</v>
      </c>
      <c r="F324" s="34">
        <f>IF(دانش‌آموزان!I31="","",دانش‌آموزان!I31)</f>
        <v>801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0960607544</v>
      </c>
      <c r="E325" s="55" t="str">
        <f>IF(دانش‌آموزان!E31="","",دانش‌آموزان!E31&amp;" "&amp;دانش‌آموزان!F31)</f>
        <v>مهرداد كاظمي بنهنگي</v>
      </c>
      <c r="F325" s="34">
        <f>IF(دانش‌آموزان!I31="","",دانش‌آموزان!I31)</f>
        <v>801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0960607544</v>
      </c>
      <c r="E326" s="55" t="str">
        <f>IF(دانش‌آموزان!E31="","",دانش‌آموزان!E31&amp;" "&amp;دانش‌آموزان!F31)</f>
        <v>مهرداد كاظمي بنهنگي</v>
      </c>
      <c r="F326" s="34">
        <f>IF(دانش‌آموزان!I31="","",دانش‌آموزان!I31)</f>
        <v>801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0960607544</v>
      </c>
      <c r="E327" s="55" t="str">
        <f>IF(دانش‌آموزان!E31="","",دانش‌آموزان!E31&amp;" "&amp;دانش‌آموزان!F31)</f>
        <v>مهرداد كاظمي بنهنگي</v>
      </c>
      <c r="F327" s="34">
        <f>IF(دانش‌آموزان!I31="","",دانش‌آموزان!I31)</f>
        <v>801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0960607544</v>
      </c>
      <c r="E328" s="55" t="str">
        <f>IF(دانش‌آموزان!E31="","",دانش‌آموزان!E31&amp;" "&amp;دانش‌آموزان!F31)</f>
        <v>مهرداد كاظمي بنهنگي</v>
      </c>
      <c r="F328" s="34">
        <f>IF(دانش‌آموزان!I31="","",دانش‌آموزان!I31)</f>
        <v>801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0980615364</v>
      </c>
      <c r="E329" s="55" t="str">
        <f>IF(دانش‌آموزان!E32="","",دانش‌آموزان!E32&amp;" "&amp;دانش‌آموزان!F32)</f>
        <v>شايان كوهجاني گوجي</v>
      </c>
      <c r="F329" s="34">
        <f>IF(دانش‌آموزان!I32="","",دانش‌آموزان!I32)</f>
        <v>801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0980615364</v>
      </c>
      <c r="E330" s="55" t="str">
        <f>IF(دانش‌آموزان!E32="","",دانش‌آموزان!E32&amp;" "&amp;دانش‌آموزان!F32)</f>
        <v>شايان كوهجاني گوجي</v>
      </c>
      <c r="F330" s="34">
        <f>IF(دانش‌آموزان!I32="","",دانش‌آموزان!I32)</f>
        <v>801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5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0980615364</v>
      </c>
      <c r="E331" s="55" t="str">
        <f>IF(دانش‌آموزان!E32="","",دانش‌آموزان!E32&amp;" "&amp;دانش‌آموزان!F32)</f>
        <v>شايان كوهجاني گوجي</v>
      </c>
      <c r="F331" s="34">
        <f>IF(دانش‌آموزان!I32="","",دانش‌آموزان!I32)</f>
        <v>801</v>
      </c>
      <c r="G331" s="97">
        <v>19.690000000000001</v>
      </c>
      <c r="H331" s="20">
        <v>-3.6900000000000013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5</v>
      </c>
      <c r="O331" s="20">
        <v>5</v>
      </c>
      <c r="P331" s="20">
        <v>5</v>
      </c>
      <c r="Q331" s="20">
        <v>5</v>
      </c>
      <c r="R331" s="20">
        <v>5</v>
      </c>
      <c r="S331" s="20">
        <v>5</v>
      </c>
      <c r="T331" s="20">
        <v>5</v>
      </c>
      <c r="U331" s="20">
        <v>5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 t="s">
        <v>371</v>
      </c>
      <c r="AE331" s="20" t="s">
        <v>371</v>
      </c>
      <c r="AF331" s="20" t="s">
        <v>371</v>
      </c>
      <c r="AG331" s="20" t="s">
        <v>371</v>
      </c>
      <c r="AH331" s="20" t="s">
        <v>371</v>
      </c>
      <c r="AI331" s="20" t="s">
        <v>371</v>
      </c>
      <c r="AJ331" s="20">
        <v>5</v>
      </c>
      <c r="AK331" s="20">
        <v>5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 t="s">
        <v>371</v>
      </c>
      <c r="AR331" s="20" t="s">
        <v>371</v>
      </c>
      <c r="AS331" s="20" t="s">
        <v>371</v>
      </c>
      <c r="AT331" s="20" t="s">
        <v>371</v>
      </c>
      <c r="AU331" s="20" t="s">
        <v>371</v>
      </c>
      <c r="AV331" s="20" t="s">
        <v>371</v>
      </c>
      <c r="AW331" s="20" t="s">
        <v>371</v>
      </c>
      <c r="AX331" s="20" t="s">
        <v>371</v>
      </c>
      <c r="AY331" s="20" t="s">
        <v>371</v>
      </c>
      <c r="AZ331" s="20" t="s">
        <v>371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23</v>
      </c>
      <c r="CD331" s="38">
        <f t="shared" si="56"/>
        <v>20</v>
      </c>
      <c r="CE331" s="38">
        <f t="shared" si="57"/>
        <v>20</v>
      </c>
      <c r="CF331" s="38">
        <f t="shared" si="58"/>
        <v>20</v>
      </c>
      <c r="CG331" s="38">
        <f t="shared" si="59"/>
        <v>20</v>
      </c>
      <c r="CH331" s="38" t="str">
        <f t="shared" si="60"/>
        <v/>
      </c>
      <c r="CI331" s="38">
        <f t="shared" si="61"/>
        <v>20</v>
      </c>
      <c r="CJ331" s="38" t="str">
        <f t="shared" si="62"/>
        <v/>
      </c>
      <c r="CK331" s="38" t="str">
        <f t="shared" si="63"/>
        <v/>
      </c>
      <c r="CL331" s="38" t="str">
        <f>IF(C331="","",IF(COUNT(G331:AZ331)&lt;46,"",SUMPRODUCT(CC331:CK331,'تنظیمات وزن‌دهی'!$C$5:$C$13)/100))</f>
        <v/>
      </c>
      <c r="CM331" s="38" t="str">
        <f t="shared" si="64"/>
        <v>موقت - اطلاعات ناقص</v>
      </c>
      <c r="CN331" s="38">
        <v>3</v>
      </c>
      <c r="CO331" s="28">
        <f t="shared" si="65"/>
        <v>0.65217391304347827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0980615364</v>
      </c>
      <c r="E332" s="55" t="str">
        <f>IF(دانش‌آموزان!E32="","",دانش‌آموزان!E32&amp;" "&amp;دانش‌آموزان!F32)</f>
        <v>شايان كوهجاني گوجي</v>
      </c>
      <c r="F332" s="34">
        <f>IF(دانش‌آموزان!I32="","",دانش‌آموزان!I32)</f>
        <v>801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0980615364</v>
      </c>
      <c r="E333" s="55" t="str">
        <f>IF(دانش‌آموزان!E32="","",دانش‌آموزان!E32&amp;" "&amp;دانش‌آموزان!F32)</f>
        <v>شايان كوهجاني گوجي</v>
      </c>
      <c r="F333" s="34">
        <f>IF(دانش‌آموزان!I32="","",دانش‌آموزان!I32)</f>
        <v>801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0980615364</v>
      </c>
      <c r="E334" s="55" t="str">
        <f>IF(دانش‌آموزان!E32="","",دانش‌آموزان!E32&amp;" "&amp;دانش‌آموزان!F32)</f>
        <v>شايان كوهجاني گوجي</v>
      </c>
      <c r="F334" s="34">
        <f>IF(دانش‌آموزان!I32="","",دانش‌آموزان!I32)</f>
        <v>801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0980615364</v>
      </c>
      <c r="E335" s="55" t="str">
        <f>IF(دانش‌آموزان!E32="","",دانش‌آموزان!E32&amp;" "&amp;دانش‌آموزان!F32)</f>
        <v>شايان كوهجاني گوجي</v>
      </c>
      <c r="F335" s="34">
        <f>IF(دانش‌آموزان!I32="","",دانش‌آموزان!I32)</f>
        <v>801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0980615364</v>
      </c>
      <c r="E336" s="55" t="str">
        <f>IF(دانش‌آموزان!E32="","",دانش‌آموزان!E32&amp;" "&amp;دانش‌آموزان!F32)</f>
        <v>شايان كوهجاني گوجي</v>
      </c>
      <c r="F336" s="34">
        <f>IF(دانش‌آموزان!I32="","",دانش‌آموزان!I32)</f>
        <v>801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0980615364</v>
      </c>
      <c r="E337" s="55" t="str">
        <f>IF(دانش‌آموزان!E32="","",دانش‌آموزان!E32&amp;" "&amp;دانش‌آموزان!F32)</f>
        <v>شايان كوهجاني گوجي</v>
      </c>
      <c r="F337" s="34">
        <f>IF(دانش‌آموزان!I32="","",دانش‌آموزان!I32)</f>
        <v>801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0980615364</v>
      </c>
      <c r="E338" s="55" t="str">
        <f>IF(دانش‌آموزان!E32="","",دانش‌آموزان!E32&amp;" "&amp;دانش‌آموزان!F32)</f>
        <v>شايان كوهجاني گوجي</v>
      </c>
      <c r="F338" s="34">
        <f>IF(دانش‌آموزان!I32="","",دانش‌آموزان!I32)</f>
        <v>801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0980615364</v>
      </c>
      <c r="E339" s="55" t="str">
        <f>IF(دانش‌آموزان!E32="","",دانش‌آموزان!E32&amp;" "&amp;دانش‌آموزان!F32)</f>
        <v>شايان كوهجاني گوجي</v>
      </c>
      <c r="F339" s="34">
        <f>IF(دانش‌آموزان!I32="","",دانش‌آموزان!I32)</f>
        <v>801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0980615364</v>
      </c>
      <c r="E340" s="55" t="str">
        <f>IF(دانش‌آموزان!E32="","",دانش‌آموزان!E32&amp;" "&amp;دانش‌آموزان!F32)</f>
        <v>شايان كوهجاني گوجي</v>
      </c>
      <c r="F340" s="34">
        <f>IF(دانش‌آموزان!I32="","",دانش‌آموزان!I32)</f>
        <v>801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0970840314</v>
      </c>
      <c r="E341" s="55" t="str">
        <f>IF(دانش‌آموزان!E33="","",دانش‌آموزان!E33&amp;" "&amp;دانش‌آموزان!F33)</f>
        <v>سام محبتي</v>
      </c>
      <c r="F341" s="34">
        <f>IF(دانش‌آموزان!I33="","",دانش‌آموزان!I33)</f>
        <v>801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0970840314</v>
      </c>
      <c r="E342" s="55" t="str">
        <f>IF(دانش‌آموزان!E33="","",دانش‌آموزان!E33&amp;" "&amp;دانش‌آموزان!F33)</f>
        <v>سام محبتي</v>
      </c>
      <c r="F342" s="34">
        <f>IF(دانش‌آموزان!I33="","",دانش‌آموزان!I33)</f>
        <v>801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5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0970840314</v>
      </c>
      <c r="E343" s="55" t="str">
        <f>IF(دانش‌آموزان!E33="","",دانش‌آموزان!E33&amp;" "&amp;دانش‌آموزان!F33)</f>
        <v>سام محبتي</v>
      </c>
      <c r="F343" s="34">
        <f>IF(دانش‌آموزان!I33="","",دانش‌آموزان!I33)</f>
        <v>801</v>
      </c>
      <c r="G343" s="98">
        <v>18.95</v>
      </c>
      <c r="H343" s="20">
        <v>-8.9499999999999993</v>
      </c>
      <c r="I343" s="20">
        <v>5</v>
      </c>
      <c r="J343" s="20">
        <v>5</v>
      </c>
      <c r="K343" s="20">
        <v>5</v>
      </c>
      <c r="L343" s="20">
        <v>5</v>
      </c>
      <c r="M343" s="20">
        <v>5</v>
      </c>
      <c r="N343" s="20">
        <v>5</v>
      </c>
      <c r="O343" s="20">
        <v>5</v>
      </c>
      <c r="P343" s="20">
        <v>5</v>
      </c>
      <c r="Q343" s="20">
        <v>5</v>
      </c>
      <c r="R343" s="20">
        <v>5</v>
      </c>
      <c r="S343" s="20">
        <v>5</v>
      </c>
      <c r="T343" s="20">
        <v>5</v>
      </c>
      <c r="U343" s="20">
        <v>5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5</v>
      </c>
      <c r="AB343" s="20">
        <v>5</v>
      </c>
      <c r="AC343" s="20">
        <v>5</v>
      </c>
      <c r="AD343" s="20" t="s">
        <v>371</v>
      </c>
      <c r="AE343" s="20" t="s">
        <v>371</v>
      </c>
      <c r="AF343" s="20" t="s">
        <v>371</v>
      </c>
      <c r="AG343" s="20" t="s">
        <v>371</v>
      </c>
      <c r="AH343" s="20" t="s">
        <v>371</v>
      </c>
      <c r="AI343" s="20" t="s">
        <v>371</v>
      </c>
      <c r="AJ343" s="20">
        <v>5</v>
      </c>
      <c r="AK343" s="20">
        <v>5</v>
      </c>
      <c r="AL343" s="20">
        <v>5</v>
      </c>
      <c r="AM343" s="20">
        <v>5</v>
      </c>
      <c r="AN343" s="20">
        <v>5</v>
      </c>
      <c r="AO343" s="20">
        <v>5</v>
      </c>
      <c r="AP343" s="20">
        <v>5</v>
      </c>
      <c r="AQ343" s="20" t="s">
        <v>371</v>
      </c>
      <c r="AR343" s="20" t="s">
        <v>371</v>
      </c>
      <c r="AS343" s="20" t="s">
        <v>371</v>
      </c>
      <c r="AT343" s="20" t="s">
        <v>371</v>
      </c>
      <c r="AU343" s="20" t="s">
        <v>371</v>
      </c>
      <c r="AV343" s="20" t="s">
        <v>371</v>
      </c>
      <c r="AW343" s="20" t="s">
        <v>371</v>
      </c>
      <c r="AX343" s="20" t="s">
        <v>371</v>
      </c>
      <c r="AY343" s="20" t="s">
        <v>371</v>
      </c>
      <c r="AZ343" s="20" t="s">
        <v>371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20</v>
      </c>
      <c r="CD343" s="38">
        <f t="shared" si="56"/>
        <v>20</v>
      </c>
      <c r="CE343" s="38">
        <f t="shared" si="57"/>
        <v>20</v>
      </c>
      <c r="CF343" s="38">
        <f t="shared" si="58"/>
        <v>20</v>
      </c>
      <c r="CG343" s="38">
        <f t="shared" si="59"/>
        <v>20</v>
      </c>
      <c r="CH343" s="38" t="str">
        <f t="shared" si="60"/>
        <v/>
      </c>
      <c r="CI343" s="38">
        <f t="shared" si="61"/>
        <v>20</v>
      </c>
      <c r="CJ343" s="38" t="str">
        <f t="shared" si="62"/>
        <v/>
      </c>
      <c r="CK343" s="38" t="str">
        <f t="shared" si="63"/>
        <v/>
      </c>
      <c r="CL343" s="38" t="str">
        <f>IF(C343="","",IF(COUNT(G343:AZ343)&lt;46,"",SUMPRODUCT(CC343:CK343,'تنظیمات وزن‌دهی'!$C$5:$C$13)/100))</f>
        <v/>
      </c>
      <c r="CM343" s="38" t="str">
        <f t="shared" si="64"/>
        <v>موقت - اطلاعات ناقص</v>
      </c>
      <c r="CN343" s="38">
        <v>3</v>
      </c>
      <c r="CO343" s="28">
        <f t="shared" si="65"/>
        <v>0.65217391304347827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0970840314</v>
      </c>
      <c r="E344" s="55" t="str">
        <f>IF(دانش‌آموزان!E33="","",دانش‌آموزان!E33&amp;" "&amp;دانش‌آموزان!F33)</f>
        <v>سام محبتي</v>
      </c>
      <c r="F344" s="34">
        <f>IF(دانش‌آموزان!I33="","",دانش‌آموزان!I33)</f>
        <v>801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0970840314</v>
      </c>
      <c r="E345" s="55" t="str">
        <f>IF(دانش‌آموزان!E33="","",دانش‌آموزان!E33&amp;" "&amp;دانش‌آموزان!F33)</f>
        <v>سام محبتي</v>
      </c>
      <c r="F345" s="34">
        <f>IF(دانش‌آموزان!I33="","",دانش‌آموزان!I33)</f>
        <v>801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0970840314</v>
      </c>
      <c r="E346" s="55" t="str">
        <f>IF(دانش‌آموزان!E33="","",دانش‌آموزان!E33&amp;" "&amp;دانش‌آموزان!F33)</f>
        <v>سام محبتي</v>
      </c>
      <c r="F346" s="34">
        <f>IF(دانش‌آموزان!I33="","",دانش‌آموزان!I33)</f>
        <v>801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0970840314</v>
      </c>
      <c r="E347" s="55" t="str">
        <f>IF(دانش‌آموزان!E33="","",دانش‌آموزان!E33&amp;" "&amp;دانش‌آموزان!F33)</f>
        <v>سام محبتي</v>
      </c>
      <c r="F347" s="34">
        <f>IF(دانش‌آموزان!I33="","",دانش‌آموزان!I33)</f>
        <v>801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0970840314</v>
      </c>
      <c r="E348" s="55" t="str">
        <f>IF(دانش‌آموزان!E33="","",دانش‌آموزان!E33&amp;" "&amp;دانش‌آموزان!F33)</f>
        <v>سام محبتي</v>
      </c>
      <c r="F348" s="34">
        <f>IF(دانش‌آموزان!I33="","",دانش‌آموزان!I33)</f>
        <v>801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0970840314</v>
      </c>
      <c r="E349" s="55" t="str">
        <f>IF(دانش‌آموزان!E33="","",دانش‌آموزان!E33&amp;" "&amp;دانش‌آموزان!F33)</f>
        <v>سام محبتي</v>
      </c>
      <c r="F349" s="34">
        <f>IF(دانش‌آموزان!I33="","",دانش‌آموزان!I33)</f>
        <v>801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0970840314</v>
      </c>
      <c r="E350" s="55" t="str">
        <f>IF(دانش‌آموزان!E33="","",دانش‌آموزان!E33&amp;" "&amp;دانش‌آموزان!F33)</f>
        <v>سام محبتي</v>
      </c>
      <c r="F350" s="34">
        <f>IF(دانش‌آموزان!I33="","",دانش‌آموزان!I33)</f>
        <v>801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0970840314</v>
      </c>
      <c r="E351" s="55" t="str">
        <f>IF(دانش‌آموزان!E33="","",دانش‌آموزان!E33&amp;" "&amp;دانش‌آموزان!F33)</f>
        <v>سام محبتي</v>
      </c>
      <c r="F351" s="34">
        <f>IF(دانش‌آموزان!I33="","",دانش‌آموزان!I33)</f>
        <v>801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0970840314</v>
      </c>
      <c r="E352" s="55" t="str">
        <f>IF(دانش‌آموزان!E33="","",دانش‌آموزان!E33&amp;" "&amp;دانش‌آموزان!F33)</f>
        <v>سام محبتي</v>
      </c>
      <c r="F352" s="34">
        <f>IF(دانش‌آموزان!I33="","",دانش‌آموزان!I33)</f>
        <v>801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0960571604</v>
      </c>
      <c r="E353" s="55" t="str">
        <f>IF(دانش‌آموزان!E34="","",دانش‌آموزان!E34&amp;" "&amp;دانش‌آموزان!F34)</f>
        <v>اميرعلي ميرنژاد</v>
      </c>
      <c r="F353" s="34">
        <f>IF(دانش‌آموزان!I34="","",دانش‌آموزان!I34)</f>
        <v>801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0960571604</v>
      </c>
      <c r="E354" s="55" t="str">
        <f>IF(دانش‌آموزان!E34="","",دانش‌آموزان!E34&amp;" "&amp;دانش‌آموزان!F34)</f>
        <v>اميرعلي ميرنژاد</v>
      </c>
      <c r="F354" s="34">
        <f>IF(دانش‌آموزان!I34="","",دانش‌آموزان!I34)</f>
        <v>801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5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0960571604</v>
      </c>
      <c r="E355" s="55" t="str">
        <f>IF(دانش‌آموزان!E34="","",دانش‌آموزان!E34&amp;" "&amp;دانش‌آموزان!F34)</f>
        <v>اميرعلي ميرنژاد</v>
      </c>
      <c r="F355" s="34">
        <f>IF(دانش‌آموزان!I34="","",دانش‌آموزان!I34)</f>
        <v>801</v>
      </c>
      <c r="G355" s="99">
        <v>19.88</v>
      </c>
      <c r="H355" s="20">
        <v>-6.879999999999999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5</v>
      </c>
      <c r="O355" s="20">
        <v>5</v>
      </c>
      <c r="P355" s="20">
        <v>5</v>
      </c>
      <c r="Q355" s="20">
        <v>5</v>
      </c>
      <c r="R355" s="20">
        <v>5</v>
      </c>
      <c r="S355" s="20">
        <v>5</v>
      </c>
      <c r="T355" s="20">
        <v>5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 t="s">
        <v>371</v>
      </c>
      <c r="AE355" s="20" t="s">
        <v>371</v>
      </c>
      <c r="AF355" s="20" t="s">
        <v>371</v>
      </c>
      <c r="AG355" s="20" t="s">
        <v>371</v>
      </c>
      <c r="AH355" s="20" t="s">
        <v>371</v>
      </c>
      <c r="AI355" s="20" t="s">
        <v>371</v>
      </c>
      <c r="AJ355" s="20">
        <v>5</v>
      </c>
      <c r="AK355" s="20">
        <v>5</v>
      </c>
      <c r="AL355" s="20">
        <v>5</v>
      </c>
      <c r="AM355" s="20">
        <v>5</v>
      </c>
      <c r="AN355" s="20">
        <v>5</v>
      </c>
      <c r="AO355" s="20">
        <v>5</v>
      </c>
      <c r="AP355" s="20">
        <v>5</v>
      </c>
      <c r="AQ355" s="20" t="s">
        <v>371</v>
      </c>
      <c r="AR355" s="20" t="s">
        <v>371</v>
      </c>
      <c r="AS355" s="20" t="s">
        <v>371</v>
      </c>
      <c r="AT355" s="20" t="s">
        <v>371</v>
      </c>
      <c r="AU355" s="20" t="s">
        <v>371</v>
      </c>
      <c r="AV355" s="20" t="s">
        <v>371</v>
      </c>
      <c r="AW355" s="20" t="s">
        <v>371</v>
      </c>
      <c r="AX355" s="20" t="s">
        <v>371</v>
      </c>
      <c r="AY355" s="20" t="s">
        <v>371</v>
      </c>
      <c r="AZ355" s="20" t="s">
        <v>371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21.5</v>
      </c>
      <c r="CD355" s="38">
        <f t="shared" si="56"/>
        <v>20</v>
      </c>
      <c r="CE355" s="38">
        <f t="shared" si="57"/>
        <v>20</v>
      </c>
      <c r="CF355" s="38">
        <f t="shared" si="58"/>
        <v>20</v>
      </c>
      <c r="CG355" s="38">
        <f t="shared" si="59"/>
        <v>20</v>
      </c>
      <c r="CH355" s="38" t="str">
        <f t="shared" si="60"/>
        <v/>
      </c>
      <c r="CI355" s="38">
        <f t="shared" si="61"/>
        <v>20</v>
      </c>
      <c r="CJ355" s="38" t="str">
        <f t="shared" si="62"/>
        <v/>
      </c>
      <c r="CK355" s="38" t="str">
        <f t="shared" si="63"/>
        <v/>
      </c>
      <c r="CL355" s="38" t="str">
        <f>IF(C355="","",IF(COUNT(G355:AZ355)&lt;46,"",SUMPRODUCT(CC355:CK355,'تنظیمات وزن‌دهی'!$C$5:$C$13)/100))</f>
        <v/>
      </c>
      <c r="CM355" s="38" t="str">
        <f t="shared" si="64"/>
        <v>موقت - اطلاعات ناقص</v>
      </c>
      <c r="CN355" s="38">
        <v>3</v>
      </c>
      <c r="CO355" s="28">
        <f t="shared" si="65"/>
        <v>0.65217391304347827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0960571604</v>
      </c>
      <c r="E356" s="55" t="str">
        <f>IF(دانش‌آموزان!E34="","",دانش‌آموزان!E34&amp;" "&amp;دانش‌آموزان!F34)</f>
        <v>اميرعلي ميرنژاد</v>
      </c>
      <c r="F356" s="34">
        <f>IF(دانش‌آموزان!I34="","",دانش‌آموزان!I34)</f>
        <v>801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0960571604</v>
      </c>
      <c r="E357" s="55" t="str">
        <f>IF(دانش‌آموزان!E34="","",دانش‌آموزان!E34&amp;" "&amp;دانش‌آموزان!F34)</f>
        <v>اميرعلي ميرنژاد</v>
      </c>
      <c r="F357" s="34">
        <f>IF(دانش‌آموزان!I34="","",دانش‌آموزان!I34)</f>
        <v>801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0960571604</v>
      </c>
      <c r="E358" s="55" t="str">
        <f>IF(دانش‌آموزان!E34="","",دانش‌آموزان!E34&amp;" "&amp;دانش‌آموزان!F34)</f>
        <v>اميرعلي ميرنژاد</v>
      </c>
      <c r="F358" s="34">
        <f>IF(دانش‌آموزان!I34="","",دانش‌آموزان!I34)</f>
        <v>801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0960571604</v>
      </c>
      <c r="E359" s="55" t="str">
        <f>IF(دانش‌آموزان!E34="","",دانش‌آموزان!E34&amp;" "&amp;دانش‌آموزان!F34)</f>
        <v>اميرعلي ميرنژاد</v>
      </c>
      <c r="F359" s="34">
        <f>IF(دانش‌آموزان!I34="","",دانش‌آموزان!I34)</f>
        <v>801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0960571604</v>
      </c>
      <c r="E360" s="55" t="str">
        <f>IF(دانش‌آموزان!E34="","",دانش‌آموزان!E34&amp;" "&amp;دانش‌آموزان!F34)</f>
        <v>اميرعلي ميرنژاد</v>
      </c>
      <c r="F360" s="34">
        <f>IF(دانش‌آموزان!I34="","",دانش‌آموزان!I34)</f>
        <v>801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0960571604</v>
      </c>
      <c r="E361" s="55" t="str">
        <f>IF(دانش‌آموزان!E34="","",دانش‌آموزان!E34&amp;" "&amp;دانش‌آموزان!F34)</f>
        <v>اميرعلي ميرنژاد</v>
      </c>
      <c r="F361" s="34">
        <f>IF(دانش‌آموزان!I34="","",دانش‌آموزان!I34)</f>
        <v>801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0960571604</v>
      </c>
      <c r="E362" s="55" t="str">
        <f>IF(دانش‌آموزان!E34="","",دانش‌آموزان!E34&amp;" "&amp;دانش‌آموزان!F34)</f>
        <v>اميرعلي ميرنژاد</v>
      </c>
      <c r="F362" s="34">
        <f>IF(دانش‌آموزان!I34="","",دانش‌آموزان!I34)</f>
        <v>801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0960571604</v>
      </c>
      <c r="E363" s="55" t="str">
        <f>IF(دانش‌آموزان!E34="","",دانش‌آموزان!E34&amp;" "&amp;دانش‌آموزان!F34)</f>
        <v>اميرعلي ميرنژاد</v>
      </c>
      <c r="F363" s="34">
        <f>IF(دانش‌آموزان!I34="","",دانش‌آموزان!I34)</f>
        <v>801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0960571604</v>
      </c>
      <c r="E364" s="55" t="str">
        <f>IF(دانش‌آموزان!E34="","",دانش‌آموزان!E34&amp;" "&amp;دانش‌آموزان!F34)</f>
        <v>اميرعلي ميرنژاد</v>
      </c>
      <c r="F364" s="34">
        <f>IF(دانش‌آموزان!I34="","",دانش‌آموزان!I34)</f>
        <v>801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 t="str">
        <f>IF(دانش‌آموزان!C35="","",دانش‌آموزان!C35)</f>
        <v>0960562141</v>
      </c>
      <c r="E365" s="55" t="str">
        <f>IF(دانش‌آموزان!E35="","",دانش‌آموزان!E35&amp;" "&amp;دانش‌آموزان!F35)</f>
        <v>مهدي نادمي</v>
      </c>
      <c r="F365" s="34">
        <f>IF(دانش‌آموزان!I35="","",دانش‌آموزان!I35)</f>
        <v>801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 t="str">
        <f>IF(دانش‌آموزان!C35="","",دانش‌آموزان!C35)</f>
        <v>0960562141</v>
      </c>
      <c r="E366" s="55" t="str">
        <f>IF(دانش‌آموزان!E35="","",دانش‌آموزان!E35&amp;" "&amp;دانش‌آموزان!F35)</f>
        <v>مهدي نادمي</v>
      </c>
      <c r="F366" s="34">
        <f>IF(دانش‌آموزان!I35="","",دانش‌آموزان!I35)</f>
        <v>801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 ht="15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 t="str">
        <f>IF(دانش‌آموزان!C35="","",دانش‌آموزان!C35)</f>
        <v>0960562141</v>
      </c>
      <c r="E367" s="55" t="str">
        <f>IF(دانش‌آموزان!E35="","",دانش‌آموزان!E35&amp;" "&amp;دانش‌آموزان!F35)</f>
        <v>مهدي نادمي</v>
      </c>
      <c r="F367" s="34">
        <f>IF(دانش‌آموزان!I35="","",دانش‌آموزان!I35)</f>
        <v>801</v>
      </c>
      <c r="G367" s="100">
        <v>19.95</v>
      </c>
      <c r="H367" s="20">
        <v>-4.9499999999999993</v>
      </c>
      <c r="I367" s="20">
        <v>4</v>
      </c>
      <c r="J367" s="20">
        <v>5</v>
      </c>
      <c r="K367" s="20">
        <v>5</v>
      </c>
      <c r="L367" s="20">
        <v>5</v>
      </c>
      <c r="M367" s="20">
        <v>5</v>
      </c>
      <c r="N367" s="20">
        <v>5</v>
      </c>
      <c r="O367" s="20">
        <v>5</v>
      </c>
      <c r="P367" s="20">
        <v>5</v>
      </c>
      <c r="Q367" s="20">
        <v>5</v>
      </c>
      <c r="R367" s="20">
        <v>5</v>
      </c>
      <c r="S367" s="20">
        <v>5</v>
      </c>
      <c r="T367" s="20">
        <v>5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 t="s">
        <v>371</v>
      </c>
      <c r="AE367" s="20" t="s">
        <v>371</v>
      </c>
      <c r="AF367" s="20" t="s">
        <v>371</v>
      </c>
      <c r="AG367" s="20" t="s">
        <v>371</v>
      </c>
      <c r="AH367" s="20" t="s">
        <v>371</v>
      </c>
      <c r="AI367" s="20" t="s">
        <v>371</v>
      </c>
      <c r="AJ367" s="20">
        <v>5</v>
      </c>
      <c r="AK367" s="20">
        <v>5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 t="s">
        <v>371</v>
      </c>
      <c r="AR367" s="20" t="s">
        <v>371</v>
      </c>
      <c r="AS367" s="20" t="s">
        <v>371</v>
      </c>
      <c r="AT367" s="20" t="s">
        <v>371</v>
      </c>
      <c r="AU367" s="20" t="s">
        <v>371</v>
      </c>
      <c r="AV367" s="20" t="s">
        <v>371</v>
      </c>
      <c r="AW367" s="20" t="s">
        <v>371</v>
      </c>
      <c r="AX367" s="20" t="s">
        <v>371</v>
      </c>
      <c r="AY367" s="20" t="s">
        <v>371</v>
      </c>
      <c r="AZ367" s="20" t="s">
        <v>371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22</v>
      </c>
      <c r="CD367" s="38">
        <f t="shared" si="56"/>
        <v>20</v>
      </c>
      <c r="CE367" s="38">
        <f t="shared" si="57"/>
        <v>20</v>
      </c>
      <c r="CF367" s="38">
        <f t="shared" si="58"/>
        <v>20</v>
      </c>
      <c r="CG367" s="38">
        <f t="shared" si="59"/>
        <v>20</v>
      </c>
      <c r="CH367" s="38" t="str">
        <f t="shared" si="60"/>
        <v/>
      </c>
      <c r="CI367" s="38">
        <f t="shared" si="61"/>
        <v>20</v>
      </c>
      <c r="CJ367" s="38" t="str">
        <f t="shared" si="62"/>
        <v/>
      </c>
      <c r="CK367" s="38" t="str">
        <f t="shared" si="63"/>
        <v/>
      </c>
      <c r="CL367" s="38" t="str">
        <f>IF(C367="","",IF(COUNT(G367:AZ367)&lt;46,"",SUMPRODUCT(CC367:CK367,'تنظیمات وزن‌دهی'!$C$5:$C$13)/100))</f>
        <v/>
      </c>
      <c r="CM367" s="38" t="str">
        <f t="shared" si="64"/>
        <v>موقت - اطلاعات ناقص</v>
      </c>
      <c r="CN367" s="38">
        <v>3</v>
      </c>
      <c r="CO367" s="28">
        <f t="shared" si="65"/>
        <v>0.65217391304347827</v>
      </c>
      <c r="CP367" s="58"/>
    </row>
    <row r="368" spans="1:94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 t="str">
        <f>IF(دانش‌آموزان!C35="","",دانش‌آموزان!C35)</f>
        <v>0960562141</v>
      </c>
      <c r="E368" s="55" t="str">
        <f>IF(دانش‌آموزان!E35="","",دانش‌آموزان!E35&amp;" "&amp;دانش‌آموزان!F35)</f>
        <v>مهدي نادمي</v>
      </c>
      <c r="F368" s="34">
        <f>IF(دانش‌آموزان!I35="","",دانش‌آموزان!I35)</f>
        <v>801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 t="str">
        <f>IF(دانش‌آموزان!C35="","",دانش‌آموزان!C35)</f>
        <v>0960562141</v>
      </c>
      <c r="E369" s="55" t="str">
        <f>IF(دانش‌آموزان!E35="","",دانش‌آموزان!E35&amp;" "&amp;دانش‌آموزان!F35)</f>
        <v>مهدي نادمي</v>
      </c>
      <c r="F369" s="34">
        <f>IF(دانش‌آموزان!I35="","",دانش‌آموزان!I35)</f>
        <v>801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 t="str">
        <f>IF(دانش‌آموزان!C35="","",دانش‌آموزان!C35)</f>
        <v>0960562141</v>
      </c>
      <c r="E370" s="55" t="str">
        <f>IF(دانش‌آموزان!E35="","",دانش‌آموزان!E35&amp;" "&amp;دانش‌آموزان!F35)</f>
        <v>مهدي نادمي</v>
      </c>
      <c r="F370" s="34">
        <f>IF(دانش‌آموزان!I35="","",دانش‌آموزان!I35)</f>
        <v>801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 t="str">
        <f>IF(دانش‌آموزان!C35="","",دانش‌آموزان!C35)</f>
        <v>0960562141</v>
      </c>
      <c r="E371" s="55" t="str">
        <f>IF(دانش‌آموزان!E35="","",دانش‌آموزان!E35&amp;" "&amp;دانش‌آموزان!F35)</f>
        <v>مهدي نادمي</v>
      </c>
      <c r="F371" s="34">
        <f>IF(دانش‌آموزان!I35="","",دانش‌آموزان!I35)</f>
        <v>801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 t="str">
        <f>IF(دانش‌آموزان!C35="","",دانش‌آموزان!C35)</f>
        <v>0960562141</v>
      </c>
      <c r="E372" s="55" t="str">
        <f>IF(دانش‌آموزان!E35="","",دانش‌آموزان!E35&amp;" "&amp;دانش‌آموزان!F35)</f>
        <v>مهدي نادمي</v>
      </c>
      <c r="F372" s="34">
        <f>IF(دانش‌آموزان!I35="","",دانش‌آموزان!I35)</f>
        <v>801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 t="str">
        <f>IF(دانش‌آموزان!C35="","",دانش‌آموزان!C35)</f>
        <v>0960562141</v>
      </c>
      <c r="E373" s="55" t="str">
        <f>IF(دانش‌آموزان!E35="","",دانش‌آموزان!E35&amp;" "&amp;دانش‌آموزان!F35)</f>
        <v>مهدي نادمي</v>
      </c>
      <c r="F373" s="34">
        <f>IF(دانش‌آموزان!I35="","",دانش‌آموزان!I35)</f>
        <v>801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 t="str">
        <f>IF(دانش‌آموزان!C35="","",دانش‌آموزان!C35)</f>
        <v>0960562141</v>
      </c>
      <c r="E374" s="55" t="str">
        <f>IF(دانش‌آموزان!E35="","",دانش‌آموزان!E35&amp;" "&amp;دانش‌آموزان!F35)</f>
        <v>مهدي نادمي</v>
      </c>
      <c r="F374" s="34">
        <f>IF(دانش‌آموزان!I35="","",دانش‌آموزان!I35)</f>
        <v>801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 t="str">
        <f>IF(دانش‌آموزان!C35="","",دانش‌آموزان!C35)</f>
        <v>0960562141</v>
      </c>
      <c r="E375" s="55" t="str">
        <f>IF(دانش‌آموزان!E35="","",دانش‌آموزان!E35&amp;" "&amp;دانش‌آموزان!F35)</f>
        <v>مهدي نادمي</v>
      </c>
      <c r="F375" s="34">
        <f>IF(دانش‌آموزان!I35="","",دانش‌آموزان!I35)</f>
        <v>801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 t="str">
        <f>IF(دانش‌آموزان!C35="","",دانش‌آموزان!C35)</f>
        <v>0960562141</v>
      </c>
      <c r="E376" s="55" t="str">
        <f>IF(دانش‌آموزان!E35="","",دانش‌آموزان!E35&amp;" "&amp;دانش‌آموزان!F35)</f>
        <v>مهدي نادمي</v>
      </c>
      <c r="F376" s="34">
        <f>IF(دانش‌آموزان!I35="","",دانش‌آموزان!I35)</f>
        <v>801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 t="str">
        <f>IF(دانش‌آموزان!C36="","",دانش‌آموزان!C36)</f>
        <v>0960545182</v>
      </c>
      <c r="E377" s="55" t="str">
        <f>IF(دانش‌آموزان!E36="","",دانش‌آموزان!E36&amp;" "&amp;دانش‌آموزان!F36)</f>
        <v>عليرضا نجاتي ساربان</v>
      </c>
      <c r="F377" s="34">
        <f>IF(دانش‌آموزان!I36="","",دانش‌آموزان!I36)</f>
        <v>801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 t="str">
        <f>IF(دانش‌آموزان!C36="","",دانش‌آموزان!C36)</f>
        <v>0960545182</v>
      </c>
      <c r="E378" s="55" t="str">
        <f>IF(دانش‌آموزان!E36="","",دانش‌آموزان!E36&amp;" "&amp;دانش‌آموزان!F36)</f>
        <v>عليرضا نجاتي ساربان</v>
      </c>
      <c r="F378" s="34">
        <f>IF(دانش‌آموزان!I36="","",دانش‌آموزان!I36)</f>
        <v>801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5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 t="str">
        <f>IF(دانش‌آموزان!C36="","",دانش‌آموزان!C36)</f>
        <v>0960545182</v>
      </c>
      <c r="E379" s="55" t="str">
        <f>IF(دانش‌آموزان!E36="","",دانش‌آموزان!E36&amp;" "&amp;دانش‌آموزان!F36)</f>
        <v>عليرضا نجاتي ساربان</v>
      </c>
      <c r="F379" s="34">
        <f>IF(دانش‌آموزان!I36="","",دانش‌آموزان!I36)</f>
        <v>801</v>
      </c>
      <c r="G379" s="101">
        <v>19.5</v>
      </c>
      <c r="H379" s="20">
        <v>-8.5</v>
      </c>
      <c r="I379" s="20">
        <v>4</v>
      </c>
      <c r="J379" s="20">
        <v>5</v>
      </c>
      <c r="K379" s="20">
        <v>5</v>
      </c>
      <c r="L379" s="20">
        <v>5</v>
      </c>
      <c r="M379" s="20">
        <v>5</v>
      </c>
      <c r="N379" s="20">
        <v>5</v>
      </c>
      <c r="O379" s="20">
        <v>5</v>
      </c>
      <c r="P379" s="20">
        <v>5</v>
      </c>
      <c r="Q379" s="20">
        <v>5</v>
      </c>
      <c r="R379" s="20">
        <v>5</v>
      </c>
      <c r="S379" s="20">
        <v>5</v>
      </c>
      <c r="T379" s="20">
        <v>5</v>
      </c>
      <c r="U379" s="20">
        <v>5</v>
      </c>
      <c r="V379" s="20">
        <v>5</v>
      </c>
      <c r="W379" s="20">
        <v>5</v>
      </c>
      <c r="X379" s="20">
        <v>5</v>
      </c>
      <c r="Y379" s="20">
        <v>5</v>
      </c>
      <c r="Z379" s="20">
        <v>5</v>
      </c>
      <c r="AA379" s="20">
        <v>5</v>
      </c>
      <c r="AB379" s="20">
        <v>5</v>
      </c>
      <c r="AC379" s="20">
        <v>5</v>
      </c>
      <c r="AD379" s="20" t="s">
        <v>371</v>
      </c>
      <c r="AE379" s="20" t="s">
        <v>371</v>
      </c>
      <c r="AF379" s="20" t="s">
        <v>371</v>
      </c>
      <c r="AG379" s="20" t="s">
        <v>371</v>
      </c>
      <c r="AH379" s="20" t="s">
        <v>371</v>
      </c>
      <c r="AI379" s="20" t="s">
        <v>371</v>
      </c>
      <c r="AJ379" s="20">
        <v>5</v>
      </c>
      <c r="AK379" s="20">
        <v>5</v>
      </c>
      <c r="AL379" s="20">
        <v>5</v>
      </c>
      <c r="AM379" s="20">
        <v>5</v>
      </c>
      <c r="AN379" s="20">
        <v>5</v>
      </c>
      <c r="AO379" s="20">
        <v>5</v>
      </c>
      <c r="AP379" s="20">
        <v>5</v>
      </c>
      <c r="AQ379" s="20" t="s">
        <v>371</v>
      </c>
      <c r="AR379" s="20" t="s">
        <v>371</v>
      </c>
      <c r="AS379" s="20" t="s">
        <v>371</v>
      </c>
      <c r="AT379" s="20" t="s">
        <v>371</v>
      </c>
      <c r="AU379" s="20" t="s">
        <v>371</v>
      </c>
      <c r="AV379" s="20" t="s">
        <v>371</v>
      </c>
      <c r="AW379" s="20" t="s">
        <v>371</v>
      </c>
      <c r="AX379" s="20" t="s">
        <v>371</v>
      </c>
      <c r="AY379" s="20" t="s">
        <v>371</v>
      </c>
      <c r="AZ379" s="20" t="s">
        <v>371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20</v>
      </c>
      <c r="CD379" s="38">
        <f t="shared" si="56"/>
        <v>20</v>
      </c>
      <c r="CE379" s="38">
        <f t="shared" si="57"/>
        <v>20</v>
      </c>
      <c r="CF379" s="38">
        <f t="shared" si="58"/>
        <v>20</v>
      </c>
      <c r="CG379" s="38">
        <f t="shared" si="59"/>
        <v>20</v>
      </c>
      <c r="CH379" s="38" t="str">
        <f t="shared" si="60"/>
        <v/>
      </c>
      <c r="CI379" s="38">
        <f t="shared" si="61"/>
        <v>20</v>
      </c>
      <c r="CJ379" s="38" t="str">
        <f t="shared" si="62"/>
        <v/>
      </c>
      <c r="CK379" s="38" t="str">
        <f t="shared" si="63"/>
        <v/>
      </c>
      <c r="CL379" s="38" t="str">
        <f>IF(C379="","",IF(COUNT(G379:AZ379)&lt;46,"",SUMPRODUCT(CC379:CK379,'تنظیمات وزن‌دهی'!$C$5:$C$13)/100))</f>
        <v/>
      </c>
      <c r="CM379" s="38" t="str">
        <f t="shared" si="64"/>
        <v>موقت - اطلاعات ناقص</v>
      </c>
      <c r="CN379" s="38">
        <v>3</v>
      </c>
      <c r="CO379" s="28">
        <f t="shared" si="65"/>
        <v>0.65217391304347827</v>
      </c>
      <c r="CP379" s="58"/>
    </row>
    <row r="380" spans="1:94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 t="str">
        <f>IF(دانش‌آموزان!C36="","",دانش‌آموزان!C36)</f>
        <v>0960545182</v>
      </c>
      <c r="E380" s="55" t="str">
        <f>IF(دانش‌آموزان!E36="","",دانش‌آموزان!E36&amp;" "&amp;دانش‌آموزان!F36)</f>
        <v>عليرضا نجاتي ساربان</v>
      </c>
      <c r="F380" s="34">
        <f>IF(دانش‌آموزان!I36="","",دانش‌آموزان!I36)</f>
        <v>801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 t="str">
        <f>IF(دانش‌آموزان!C36="","",دانش‌آموزان!C36)</f>
        <v>0960545182</v>
      </c>
      <c r="E381" s="55" t="str">
        <f>IF(دانش‌آموزان!E36="","",دانش‌آموزان!E36&amp;" "&amp;دانش‌آموزان!F36)</f>
        <v>عليرضا نجاتي ساربان</v>
      </c>
      <c r="F381" s="34">
        <f>IF(دانش‌آموزان!I36="","",دانش‌آموزان!I36)</f>
        <v>801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 t="str">
        <f>IF(دانش‌آموزان!C36="","",دانش‌آموزان!C36)</f>
        <v>0960545182</v>
      </c>
      <c r="E382" s="55" t="str">
        <f>IF(دانش‌آموزان!E36="","",دانش‌آموزان!E36&amp;" "&amp;دانش‌آموزان!F36)</f>
        <v>عليرضا نجاتي ساربان</v>
      </c>
      <c r="F382" s="34">
        <f>IF(دانش‌آموزان!I36="","",دانش‌آموزان!I36)</f>
        <v>801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 t="str">
        <f>IF(دانش‌آموزان!C36="","",دانش‌آموزان!C36)</f>
        <v>0960545182</v>
      </c>
      <c r="E383" s="55" t="str">
        <f>IF(دانش‌آموزان!E36="","",دانش‌آموزان!E36&amp;" "&amp;دانش‌آموزان!F36)</f>
        <v>عليرضا نجاتي ساربان</v>
      </c>
      <c r="F383" s="34">
        <f>IF(دانش‌آموزان!I36="","",دانش‌آموزان!I36)</f>
        <v>801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 t="str">
        <f>IF(دانش‌آموزان!C36="","",دانش‌آموزان!C36)</f>
        <v>0960545182</v>
      </c>
      <c r="E384" s="55" t="str">
        <f>IF(دانش‌آموزان!E36="","",دانش‌آموزان!E36&amp;" "&amp;دانش‌آموزان!F36)</f>
        <v>عليرضا نجاتي ساربان</v>
      </c>
      <c r="F384" s="34">
        <f>IF(دانش‌آموزان!I36="","",دانش‌آموزان!I36)</f>
        <v>801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 t="str">
        <f>IF(دانش‌آموزان!C36="","",دانش‌آموزان!C36)</f>
        <v>0960545182</v>
      </c>
      <c r="E385" s="55" t="str">
        <f>IF(دانش‌آموزان!E36="","",دانش‌آموزان!E36&amp;" "&amp;دانش‌آموزان!F36)</f>
        <v>عليرضا نجاتي ساربان</v>
      </c>
      <c r="F385" s="34">
        <f>IF(دانش‌آموزان!I36="","",دانش‌آموزان!I36)</f>
        <v>801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 t="str">
        <f>IF(دانش‌آموزان!C36="","",دانش‌آموزان!C36)</f>
        <v>0960545182</v>
      </c>
      <c r="E386" s="55" t="str">
        <f>IF(دانش‌آموزان!E36="","",دانش‌آموزان!E36&amp;" "&amp;دانش‌آموزان!F36)</f>
        <v>عليرضا نجاتي ساربان</v>
      </c>
      <c r="F386" s="34">
        <f>IF(دانش‌آموزان!I36="","",دانش‌آموزان!I36)</f>
        <v>801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 t="str">
        <f>IF(دانش‌آموزان!C36="","",دانش‌آموزان!C36)</f>
        <v>0960545182</v>
      </c>
      <c r="E387" s="55" t="str">
        <f>IF(دانش‌آموزان!E36="","",دانش‌آموزان!E36&amp;" "&amp;دانش‌آموزان!F36)</f>
        <v>عليرضا نجاتي ساربان</v>
      </c>
      <c r="F387" s="34">
        <f>IF(دانش‌آموزان!I36="","",دانش‌آموزان!I36)</f>
        <v>801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 t="str">
        <f>IF(دانش‌آموزان!C36="","",دانش‌آموزان!C36)</f>
        <v>0960545182</v>
      </c>
      <c r="E388" s="55" t="str">
        <f>IF(دانش‌آموزان!E36="","",دانش‌آموزان!E36&amp;" "&amp;دانش‌آموزان!F36)</f>
        <v>عليرضا نجاتي ساربان</v>
      </c>
      <c r="F388" s="34">
        <f>IF(دانش‌آموزان!I36="","",دانش‌آموزان!I36)</f>
        <v>801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idden="1">
      <c r="A389" s="33">
        <v>385</v>
      </c>
      <c r="B389" s="55" t="s">
        <v>183</v>
      </c>
      <c r="C389" s="55">
        <f>IF(دانش‌آموزان!E37="","",دانش‌آموزان!B37)</f>
        <v>33</v>
      </c>
      <c r="D389" s="55" t="str">
        <f>IF(دانش‌آموزان!C37="","",دانش‌آموزان!C37)</f>
        <v>0970867603</v>
      </c>
      <c r="E389" s="55" t="str">
        <f>IF(دانش‌آموزان!E37="","",دانش‌آموزان!E37&amp;" "&amp;دانش‌آموزان!F37)</f>
        <v>سبحان نشاط يزدي</v>
      </c>
      <c r="F389" s="34">
        <f>IF(دانش‌آموزان!I37="","",دانش‌آموزان!I37)</f>
        <v>801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>
        <f t="shared" ref="CO389:CO452" si="76">IF(C389="","",COUNT(G389:AZ389)/46)</f>
        <v>0</v>
      </c>
      <c r="CP389" s="58"/>
    </row>
    <row r="390" spans="1:94" hidden="1">
      <c r="A390" s="33">
        <v>386</v>
      </c>
      <c r="B390" s="55" t="s">
        <v>184</v>
      </c>
      <c r="C390" s="55">
        <f>IF(دانش‌آموزان!E37="","",دانش‌آموزان!B37)</f>
        <v>33</v>
      </c>
      <c r="D390" s="55" t="str">
        <f>IF(دانش‌آموزان!C37="","",دانش‌آموزان!C37)</f>
        <v>0970867603</v>
      </c>
      <c r="E390" s="55" t="str">
        <f>IF(دانش‌آموزان!E37="","",دانش‌آموزان!E37&amp;" "&amp;دانش‌آموزان!F37)</f>
        <v>سبحان نشاط يزدي</v>
      </c>
      <c r="F390" s="34">
        <f>IF(دانش‌آموزان!I37="","",دانش‌آموزان!I37)</f>
        <v>801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 ht="15">
      <c r="A391" s="33">
        <v>387</v>
      </c>
      <c r="B391" s="55" t="s">
        <v>185</v>
      </c>
      <c r="C391" s="55">
        <f>IF(دانش‌آموزان!E37="","",دانش‌آموزان!B37)</f>
        <v>33</v>
      </c>
      <c r="D391" s="55" t="str">
        <f>IF(دانش‌آموزان!C37="","",دانش‌آموزان!C37)</f>
        <v>0970867603</v>
      </c>
      <c r="E391" s="55" t="str">
        <f>IF(دانش‌آموزان!E37="","",دانش‌آموزان!E37&amp;" "&amp;دانش‌آموزان!F37)</f>
        <v>سبحان نشاط يزدي</v>
      </c>
      <c r="F391" s="34">
        <f>IF(دانش‌آموزان!I37="","",دانش‌آموزان!I37)</f>
        <v>801</v>
      </c>
      <c r="G391" s="102">
        <v>18.760000000000002</v>
      </c>
      <c r="H391" s="20" t="s">
        <v>371</v>
      </c>
      <c r="I391" s="20">
        <v>4</v>
      </c>
      <c r="J391" s="20">
        <v>5</v>
      </c>
      <c r="K391" s="20">
        <v>5</v>
      </c>
      <c r="L391" s="20">
        <v>5</v>
      </c>
      <c r="M391" s="20">
        <v>5</v>
      </c>
      <c r="N391" s="20">
        <v>5</v>
      </c>
      <c r="O391" s="20">
        <v>5</v>
      </c>
      <c r="P391" s="20">
        <v>5</v>
      </c>
      <c r="Q391" s="20">
        <v>5</v>
      </c>
      <c r="R391" s="20">
        <v>5</v>
      </c>
      <c r="S391" s="20">
        <v>5</v>
      </c>
      <c r="T391" s="20">
        <v>5</v>
      </c>
      <c r="U391" s="20">
        <v>5</v>
      </c>
      <c r="V391" s="20">
        <v>5</v>
      </c>
      <c r="W391" s="20">
        <v>5</v>
      </c>
      <c r="X391" s="20">
        <v>5</v>
      </c>
      <c r="Y391" s="20">
        <v>5</v>
      </c>
      <c r="Z391" s="20">
        <v>5</v>
      </c>
      <c r="AA391" s="20">
        <v>5</v>
      </c>
      <c r="AB391" s="20">
        <v>5</v>
      </c>
      <c r="AC391" s="20">
        <v>5</v>
      </c>
      <c r="AD391" s="20" t="s">
        <v>371</v>
      </c>
      <c r="AE391" s="20" t="s">
        <v>371</v>
      </c>
      <c r="AF391" s="20" t="s">
        <v>371</v>
      </c>
      <c r="AG391" s="20" t="s">
        <v>371</v>
      </c>
      <c r="AH391" s="20" t="s">
        <v>371</v>
      </c>
      <c r="AI391" s="20" t="s">
        <v>371</v>
      </c>
      <c r="AJ391" s="20">
        <v>5</v>
      </c>
      <c r="AK391" s="20">
        <v>5</v>
      </c>
      <c r="AL391" s="20">
        <v>5</v>
      </c>
      <c r="AM391" s="20">
        <v>5</v>
      </c>
      <c r="AN391" s="20">
        <v>5</v>
      </c>
      <c r="AO391" s="20">
        <v>5</v>
      </c>
      <c r="AP391" s="20">
        <v>5</v>
      </c>
      <c r="AQ391" s="20" t="s">
        <v>371</v>
      </c>
      <c r="AR391" s="20" t="s">
        <v>371</v>
      </c>
      <c r="AS391" s="20" t="s">
        <v>371</v>
      </c>
      <c r="AT391" s="20" t="s">
        <v>371</v>
      </c>
      <c r="AU391" s="20" t="s">
        <v>371</v>
      </c>
      <c r="AV391" s="20" t="s">
        <v>371</v>
      </c>
      <c r="AW391" s="20" t="s">
        <v>371</v>
      </c>
      <c r="AX391" s="20" t="s">
        <v>371</v>
      </c>
      <c r="AY391" s="20" t="s">
        <v>371</v>
      </c>
      <c r="AZ391" s="20" t="s">
        <v>371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>
        <f t="shared" si="66"/>
        <v>27.291428571428575</v>
      </c>
      <c r="CD391" s="38">
        <f t="shared" si="67"/>
        <v>20</v>
      </c>
      <c r="CE391" s="38">
        <f t="shared" si="68"/>
        <v>20</v>
      </c>
      <c r="CF391" s="38">
        <f t="shared" si="69"/>
        <v>20</v>
      </c>
      <c r="CG391" s="38">
        <f t="shared" si="70"/>
        <v>20</v>
      </c>
      <c r="CH391" s="38" t="str">
        <f t="shared" si="71"/>
        <v/>
      </c>
      <c r="CI391" s="38">
        <f t="shared" si="72"/>
        <v>20</v>
      </c>
      <c r="CJ391" s="38" t="str">
        <f t="shared" si="73"/>
        <v/>
      </c>
      <c r="CK391" s="38" t="str">
        <f t="shared" si="74"/>
        <v/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>موقت - اطلاعات ناقص</v>
      </c>
      <c r="CN391" s="38">
        <v>3</v>
      </c>
      <c r="CO391" s="28">
        <f t="shared" si="76"/>
        <v>0.63043478260869568</v>
      </c>
      <c r="CP391" s="58"/>
    </row>
    <row r="392" spans="1:94" hidden="1">
      <c r="A392" s="33">
        <v>388</v>
      </c>
      <c r="B392" s="55" t="s">
        <v>186</v>
      </c>
      <c r="C392" s="55">
        <f>IF(دانش‌آموزان!E37="","",دانش‌آموزان!B37)</f>
        <v>33</v>
      </c>
      <c r="D392" s="55" t="str">
        <f>IF(دانش‌آموزان!C37="","",دانش‌آموزان!C37)</f>
        <v>0970867603</v>
      </c>
      <c r="E392" s="55" t="str">
        <f>IF(دانش‌آموزان!E37="","",دانش‌آموزان!E37&amp;" "&amp;دانش‌آموزان!F37)</f>
        <v>سبحان نشاط يزدي</v>
      </c>
      <c r="F392" s="34">
        <f>IF(دانش‌آموزان!I37="","",دانش‌آموزان!I37)</f>
        <v>801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 hidden="1">
      <c r="A393" s="33">
        <v>389</v>
      </c>
      <c r="B393" s="55" t="s">
        <v>187</v>
      </c>
      <c r="C393" s="55">
        <f>IF(دانش‌آموزان!E37="","",دانش‌آموزان!B37)</f>
        <v>33</v>
      </c>
      <c r="D393" s="55" t="str">
        <f>IF(دانش‌آموزان!C37="","",دانش‌آموزان!C37)</f>
        <v>0970867603</v>
      </c>
      <c r="E393" s="55" t="str">
        <f>IF(دانش‌آموزان!E37="","",دانش‌آموزان!E37&amp;" "&amp;دانش‌آموزان!F37)</f>
        <v>سبحان نشاط يزدي</v>
      </c>
      <c r="F393" s="34">
        <f>IF(دانش‌آموزان!I37="","",دانش‌آموزان!I37)</f>
        <v>801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 hidden="1">
      <c r="A394" s="33">
        <v>390</v>
      </c>
      <c r="B394" s="55" t="s">
        <v>188</v>
      </c>
      <c r="C394" s="55">
        <f>IF(دانش‌آموزان!E37="","",دانش‌آموزان!B37)</f>
        <v>33</v>
      </c>
      <c r="D394" s="55" t="str">
        <f>IF(دانش‌آموزان!C37="","",دانش‌آموزان!C37)</f>
        <v>0970867603</v>
      </c>
      <c r="E394" s="55" t="str">
        <f>IF(دانش‌آموزان!E37="","",دانش‌آموزان!E37&amp;" "&amp;دانش‌آموزان!F37)</f>
        <v>سبحان نشاط يزدي</v>
      </c>
      <c r="F394" s="34">
        <f>IF(دانش‌آموزان!I37="","",دانش‌آموزان!I37)</f>
        <v>801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 hidden="1">
      <c r="A395" s="33">
        <v>391</v>
      </c>
      <c r="B395" s="55" t="s">
        <v>189</v>
      </c>
      <c r="C395" s="55">
        <f>IF(دانش‌آموزان!E37="","",دانش‌آموزان!B37)</f>
        <v>33</v>
      </c>
      <c r="D395" s="55" t="str">
        <f>IF(دانش‌آموزان!C37="","",دانش‌آموزان!C37)</f>
        <v>0970867603</v>
      </c>
      <c r="E395" s="55" t="str">
        <f>IF(دانش‌آموزان!E37="","",دانش‌آموزان!E37&amp;" "&amp;دانش‌آموزان!F37)</f>
        <v>سبحان نشاط يزدي</v>
      </c>
      <c r="F395" s="34">
        <f>IF(دانش‌آموزان!I37="","",دانش‌آموزان!I37)</f>
        <v>801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 hidden="1">
      <c r="A396" s="33">
        <v>392</v>
      </c>
      <c r="B396" s="55" t="s">
        <v>190</v>
      </c>
      <c r="C396" s="55">
        <f>IF(دانش‌آموزان!E37="","",دانش‌آموزان!B37)</f>
        <v>33</v>
      </c>
      <c r="D396" s="55" t="str">
        <f>IF(دانش‌آموزان!C37="","",دانش‌آموزان!C37)</f>
        <v>0970867603</v>
      </c>
      <c r="E396" s="55" t="str">
        <f>IF(دانش‌آموزان!E37="","",دانش‌آموزان!E37&amp;" "&amp;دانش‌آموزان!F37)</f>
        <v>سبحان نشاط يزدي</v>
      </c>
      <c r="F396" s="34">
        <f>IF(دانش‌آموزان!I37="","",دانش‌آموزان!I37)</f>
        <v>801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 hidden="1">
      <c r="A397" s="33">
        <v>393</v>
      </c>
      <c r="B397" s="55" t="s">
        <v>191</v>
      </c>
      <c r="C397" s="55">
        <f>IF(دانش‌آموزان!E37="","",دانش‌آموزان!B37)</f>
        <v>33</v>
      </c>
      <c r="D397" s="55" t="str">
        <f>IF(دانش‌آموزان!C37="","",دانش‌آموزان!C37)</f>
        <v>0970867603</v>
      </c>
      <c r="E397" s="55" t="str">
        <f>IF(دانش‌آموزان!E37="","",دانش‌آموزان!E37&amp;" "&amp;دانش‌آموزان!F37)</f>
        <v>سبحان نشاط يزدي</v>
      </c>
      <c r="F397" s="34">
        <f>IF(دانش‌آموزان!I37="","",دانش‌آموزان!I37)</f>
        <v>801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 hidden="1">
      <c r="A398" s="33">
        <v>394</v>
      </c>
      <c r="B398" s="55" t="s">
        <v>192</v>
      </c>
      <c r="C398" s="55">
        <f>IF(دانش‌آموزان!E37="","",دانش‌آموزان!B37)</f>
        <v>33</v>
      </c>
      <c r="D398" s="55" t="str">
        <f>IF(دانش‌آموزان!C37="","",دانش‌آموزان!C37)</f>
        <v>0970867603</v>
      </c>
      <c r="E398" s="55" t="str">
        <f>IF(دانش‌آموزان!E37="","",دانش‌آموزان!E37&amp;" "&amp;دانش‌آموزان!F37)</f>
        <v>سبحان نشاط يزدي</v>
      </c>
      <c r="F398" s="34">
        <f>IF(دانش‌آموزان!I37="","",دانش‌آموزان!I37)</f>
        <v>801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 hidden="1">
      <c r="A399" s="33">
        <v>395</v>
      </c>
      <c r="B399" s="55" t="s">
        <v>193</v>
      </c>
      <c r="C399" s="55">
        <f>IF(دانش‌آموزان!E37="","",دانش‌آموزان!B37)</f>
        <v>33</v>
      </c>
      <c r="D399" s="55" t="str">
        <f>IF(دانش‌آموزان!C37="","",دانش‌آموزان!C37)</f>
        <v>0970867603</v>
      </c>
      <c r="E399" s="55" t="str">
        <f>IF(دانش‌آموزان!E37="","",دانش‌آموزان!E37&amp;" "&amp;دانش‌آموزان!F37)</f>
        <v>سبحان نشاط يزدي</v>
      </c>
      <c r="F399" s="34">
        <f>IF(دانش‌آموزان!I37="","",دانش‌آموزان!I37)</f>
        <v>801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 hidden="1">
      <c r="A400" s="33">
        <v>396</v>
      </c>
      <c r="B400" s="55" t="s">
        <v>194</v>
      </c>
      <c r="C400" s="55">
        <f>IF(دانش‌آموزان!E37="","",دانش‌آموزان!B37)</f>
        <v>33</v>
      </c>
      <c r="D400" s="55" t="str">
        <f>IF(دانش‌آموزان!C37="","",دانش‌آموزان!C37)</f>
        <v>0970867603</v>
      </c>
      <c r="E400" s="55" t="str">
        <f>IF(دانش‌آموزان!E37="","",دانش‌آموزان!E37&amp;" "&amp;دانش‌آموزان!F37)</f>
        <v>سبحان نشاط يزدي</v>
      </c>
      <c r="F400" s="34">
        <f>IF(دانش‌آموزان!I37="","",دانش‌آموزان!I37)</f>
        <v>801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 hidden="1">
      <c r="A401" s="33">
        <v>397</v>
      </c>
      <c r="B401" s="55" t="s">
        <v>183</v>
      </c>
      <c r="C401" s="55">
        <f>IF(دانش‌آموزان!E38="","",دانش‌آموزان!B38)</f>
        <v>34</v>
      </c>
      <c r="D401" s="55" t="str">
        <f>IF(دانش‌آموزان!C38="","",دانش‌آموزان!C38)</f>
        <v>0980566126</v>
      </c>
      <c r="E401" s="55" t="str">
        <f>IF(دانش‌آموزان!E38="","",دانش‌آموزان!E38&amp;" "&amp;دانش‌آموزان!F38)</f>
        <v>امير حسين واقعي</v>
      </c>
      <c r="F401" s="34">
        <f>IF(دانش‌آموزان!I38="","",دانش‌آموزان!I38)</f>
        <v>801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idden="1">
      <c r="A402" s="33">
        <v>398</v>
      </c>
      <c r="B402" s="55" t="s">
        <v>184</v>
      </c>
      <c r="C402" s="55">
        <f>IF(دانش‌آموزان!E38="","",دانش‌آموزان!B38)</f>
        <v>34</v>
      </c>
      <c r="D402" s="55" t="str">
        <f>IF(دانش‌آموزان!C38="","",دانش‌آموزان!C38)</f>
        <v>0980566126</v>
      </c>
      <c r="E402" s="55" t="str">
        <f>IF(دانش‌آموزان!E38="","",دانش‌آموزان!E38&amp;" "&amp;دانش‌آموزان!F38)</f>
        <v>امير حسين واقعي</v>
      </c>
      <c r="F402" s="34">
        <f>IF(دانش‌آموزان!I38="","",دانش‌آموزان!I38)</f>
        <v>801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 ht="15">
      <c r="A403" s="33">
        <v>399</v>
      </c>
      <c r="B403" s="55" t="s">
        <v>185</v>
      </c>
      <c r="C403" s="55">
        <f>IF(دانش‌آموزان!E38="","",دانش‌آموزان!B38)</f>
        <v>34</v>
      </c>
      <c r="D403" s="55" t="str">
        <f>IF(دانش‌آموزان!C38="","",دانش‌آموزان!C38)</f>
        <v>0980566126</v>
      </c>
      <c r="E403" s="55" t="str">
        <f>IF(دانش‌آموزان!E38="","",دانش‌آموزان!E38&amp;" "&amp;دانش‌آموزان!F38)</f>
        <v>امير حسين واقعي</v>
      </c>
      <c r="F403" s="34">
        <f>IF(دانش‌آموزان!I38="","",دانش‌آموزان!I38)</f>
        <v>801</v>
      </c>
      <c r="G403" s="103">
        <v>19.95</v>
      </c>
      <c r="H403" s="20">
        <v>-6.9499999999999993</v>
      </c>
      <c r="I403" s="20">
        <v>5</v>
      </c>
      <c r="J403" s="20">
        <v>5</v>
      </c>
      <c r="K403" s="20">
        <v>5</v>
      </c>
      <c r="L403" s="20">
        <v>5</v>
      </c>
      <c r="M403" s="20">
        <v>5</v>
      </c>
      <c r="N403" s="20">
        <v>5</v>
      </c>
      <c r="O403" s="20">
        <v>5</v>
      </c>
      <c r="P403" s="20">
        <v>5</v>
      </c>
      <c r="Q403" s="20">
        <v>5</v>
      </c>
      <c r="R403" s="20">
        <v>5</v>
      </c>
      <c r="S403" s="20">
        <v>5</v>
      </c>
      <c r="T403" s="20">
        <v>5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 t="s">
        <v>371</v>
      </c>
      <c r="AE403" s="20" t="s">
        <v>371</v>
      </c>
      <c r="AF403" s="20" t="s">
        <v>371</v>
      </c>
      <c r="AG403" s="20" t="s">
        <v>371</v>
      </c>
      <c r="AH403" s="20" t="s">
        <v>371</v>
      </c>
      <c r="AI403" s="20" t="s">
        <v>371</v>
      </c>
      <c r="AJ403" s="20">
        <v>5</v>
      </c>
      <c r="AK403" s="20">
        <v>5</v>
      </c>
      <c r="AL403" s="20">
        <v>5</v>
      </c>
      <c r="AM403" s="20">
        <v>5</v>
      </c>
      <c r="AN403" s="20">
        <v>5</v>
      </c>
      <c r="AO403" s="20">
        <v>5</v>
      </c>
      <c r="AP403" s="20">
        <v>5</v>
      </c>
      <c r="AQ403" s="20" t="s">
        <v>371</v>
      </c>
      <c r="AR403" s="20" t="s">
        <v>371</v>
      </c>
      <c r="AS403" s="20" t="s">
        <v>371</v>
      </c>
      <c r="AT403" s="20" t="s">
        <v>371</v>
      </c>
      <c r="AU403" s="20" t="s">
        <v>371</v>
      </c>
      <c r="AV403" s="20" t="s">
        <v>371</v>
      </c>
      <c r="AW403" s="20" t="s">
        <v>371</v>
      </c>
      <c r="AX403" s="20" t="s">
        <v>371</v>
      </c>
      <c r="AY403" s="20" t="s">
        <v>371</v>
      </c>
      <c r="AZ403" s="20" t="s">
        <v>371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 t="shared" si="66"/>
        <v>21.5</v>
      </c>
      <c r="CD403" s="38">
        <f t="shared" si="67"/>
        <v>20</v>
      </c>
      <c r="CE403" s="38">
        <f t="shared" si="68"/>
        <v>20</v>
      </c>
      <c r="CF403" s="38">
        <f t="shared" si="69"/>
        <v>20</v>
      </c>
      <c r="CG403" s="38">
        <f t="shared" si="70"/>
        <v>20</v>
      </c>
      <c r="CH403" s="38" t="str">
        <f t="shared" si="71"/>
        <v/>
      </c>
      <c r="CI403" s="38">
        <f t="shared" si="72"/>
        <v>20</v>
      </c>
      <c r="CJ403" s="38" t="str">
        <f t="shared" si="73"/>
        <v/>
      </c>
      <c r="CK403" s="38" t="str">
        <f t="shared" si="74"/>
        <v/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>موقت - اطلاعات ناقص</v>
      </c>
      <c r="CN403" s="38">
        <v>3</v>
      </c>
      <c r="CO403" s="28">
        <f t="shared" si="76"/>
        <v>0.65217391304347827</v>
      </c>
      <c r="CP403" s="58"/>
    </row>
    <row r="404" spans="1:94" hidden="1">
      <c r="A404" s="33">
        <v>400</v>
      </c>
      <c r="B404" s="55" t="s">
        <v>186</v>
      </c>
      <c r="C404" s="55">
        <f>IF(دانش‌آموزان!E38="","",دانش‌آموزان!B38)</f>
        <v>34</v>
      </c>
      <c r="D404" s="55" t="str">
        <f>IF(دانش‌آموزان!C38="","",دانش‌آموزان!C38)</f>
        <v>0980566126</v>
      </c>
      <c r="E404" s="55" t="str">
        <f>IF(دانش‌آموزان!E38="","",دانش‌آموزان!E38&amp;" "&amp;دانش‌آموزان!F38)</f>
        <v>امير حسين واقعي</v>
      </c>
      <c r="F404" s="34">
        <f>IF(دانش‌آموزان!I38="","",دانش‌آموزان!I38)</f>
        <v>801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idden="1">
      <c r="A405" s="33">
        <v>401</v>
      </c>
      <c r="B405" s="55" t="s">
        <v>187</v>
      </c>
      <c r="C405" s="55">
        <f>IF(دانش‌آموزان!E38="","",دانش‌آموزان!B38)</f>
        <v>34</v>
      </c>
      <c r="D405" s="55" t="str">
        <f>IF(دانش‌آموزان!C38="","",دانش‌آموزان!C38)</f>
        <v>0980566126</v>
      </c>
      <c r="E405" s="55" t="str">
        <f>IF(دانش‌آموزان!E38="","",دانش‌آموزان!E38&amp;" "&amp;دانش‌آموزان!F38)</f>
        <v>امير حسين واقعي</v>
      </c>
      <c r="F405" s="34">
        <f>IF(دانش‌آموزان!I38="","",دانش‌آموزان!I38)</f>
        <v>801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idden="1">
      <c r="A406" s="33">
        <v>402</v>
      </c>
      <c r="B406" s="55" t="s">
        <v>188</v>
      </c>
      <c r="C406" s="55">
        <f>IF(دانش‌آموزان!E38="","",دانش‌آموزان!B38)</f>
        <v>34</v>
      </c>
      <c r="D406" s="55" t="str">
        <f>IF(دانش‌آموزان!C38="","",دانش‌آموزان!C38)</f>
        <v>0980566126</v>
      </c>
      <c r="E406" s="55" t="str">
        <f>IF(دانش‌آموزان!E38="","",دانش‌آموزان!E38&amp;" "&amp;دانش‌آموزان!F38)</f>
        <v>امير حسين واقعي</v>
      </c>
      <c r="F406" s="34">
        <f>IF(دانش‌آموزان!I38="","",دانش‌آموزان!I38)</f>
        <v>801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idden="1">
      <c r="A407" s="33">
        <v>403</v>
      </c>
      <c r="B407" s="55" t="s">
        <v>189</v>
      </c>
      <c r="C407" s="55">
        <f>IF(دانش‌آموزان!E38="","",دانش‌آموزان!B38)</f>
        <v>34</v>
      </c>
      <c r="D407" s="55" t="str">
        <f>IF(دانش‌آموزان!C38="","",دانش‌آموزان!C38)</f>
        <v>0980566126</v>
      </c>
      <c r="E407" s="55" t="str">
        <f>IF(دانش‌آموزان!E38="","",دانش‌آموزان!E38&amp;" "&amp;دانش‌آموزان!F38)</f>
        <v>امير حسين واقعي</v>
      </c>
      <c r="F407" s="34">
        <f>IF(دانش‌آموزان!I38="","",دانش‌آموزان!I38)</f>
        <v>801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idden="1">
      <c r="A408" s="33">
        <v>404</v>
      </c>
      <c r="B408" s="55" t="s">
        <v>190</v>
      </c>
      <c r="C408" s="55">
        <f>IF(دانش‌آموزان!E38="","",دانش‌آموزان!B38)</f>
        <v>34</v>
      </c>
      <c r="D408" s="55" t="str">
        <f>IF(دانش‌آموزان!C38="","",دانش‌آموزان!C38)</f>
        <v>0980566126</v>
      </c>
      <c r="E408" s="55" t="str">
        <f>IF(دانش‌آموزان!E38="","",دانش‌آموزان!E38&amp;" "&amp;دانش‌آموزان!F38)</f>
        <v>امير حسين واقعي</v>
      </c>
      <c r="F408" s="34">
        <f>IF(دانش‌آموزان!I38="","",دانش‌آموزان!I38)</f>
        <v>801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idden="1">
      <c r="A409" s="33">
        <v>405</v>
      </c>
      <c r="B409" s="55" t="s">
        <v>191</v>
      </c>
      <c r="C409" s="55">
        <f>IF(دانش‌آموزان!E38="","",دانش‌آموزان!B38)</f>
        <v>34</v>
      </c>
      <c r="D409" s="55" t="str">
        <f>IF(دانش‌آموزان!C38="","",دانش‌آموزان!C38)</f>
        <v>0980566126</v>
      </c>
      <c r="E409" s="55" t="str">
        <f>IF(دانش‌آموزان!E38="","",دانش‌آموزان!E38&amp;" "&amp;دانش‌آموزان!F38)</f>
        <v>امير حسين واقعي</v>
      </c>
      <c r="F409" s="34">
        <f>IF(دانش‌آموزان!I38="","",دانش‌آموزان!I38)</f>
        <v>801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idden="1">
      <c r="A410" s="33">
        <v>406</v>
      </c>
      <c r="B410" s="55" t="s">
        <v>192</v>
      </c>
      <c r="C410" s="55">
        <f>IF(دانش‌آموزان!E38="","",دانش‌آموزان!B38)</f>
        <v>34</v>
      </c>
      <c r="D410" s="55" t="str">
        <f>IF(دانش‌آموزان!C38="","",دانش‌آموزان!C38)</f>
        <v>0980566126</v>
      </c>
      <c r="E410" s="55" t="str">
        <f>IF(دانش‌آموزان!E38="","",دانش‌آموزان!E38&amp;" "&amp;دانش‌آموزان!F38)</f>
        <v>امير حسين واقعي</v>
      </c>
      <c r="F410" s="34">
        <f>IF(دانش‌آموزان!I38="","",دانش‌آموزان!I38)</f>
        <v>801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idden="1">
      <c r="A411" s="33">
        <v>407</v>
      </c>
      <c r="B411" s="55" t="s">
        <v>193</v>
      </c>
      <c r="C411" s="55">
        <f>IF(دانش‌آموزان!E38="","",دانش‌آموزان!B38)</f>
        <v>34</v>
      </c>
      <c r="D411" s="55" t="str">
        <f>IF(دانش‌آموزان!C38="","",دانش‌آموزان!C38)</f>
        <v>0980566126</v>
      </c>
      <c r="E411" s="55" t="str">
        <f>IF(دانش‌آموزان!E38="","",دانش‌آموزان!E38&amp;" "&amp;دانش‌آموزان!F38)</f>
        <v>امير حسين واقعي</v>
      </c>
      <c r="F411" s="34">
        <f>IF(دانش‌آموزان!I38="","",دانش‌آموزان!I38)</f>
        <v>801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idden="1">
      <c r="A412" s="33">
        <v>408</v>
      </c>
      <c r="B412" s="55" t="s">
        <v>194</v>
      </c>
      <c r="C412" s="55">
        <f>IF(دانش‌آموزان!E38="","",دانش‌آموزان!B38)</f>
        <v>34</v>
      </c>
      <c r="D412" s="55" t="str">
        <f>IF(دانش‌آموزان!C38="","",دانش‌آموزان!C38)</f>
        <v>0980566126</v>
      </c>
      <c r="E412" s="55" t="str">
        <f>IF(دانش‌آموزان!E38="","",دانش‌آموزان!E38&amp;" "&amp;دانش‌آموزان!F38)</f>
        <v>امير حسين واقعي</v>
      </c>
      <c r="F412" s="34">
        <f>IF(دانش‌آموزان!I38="","",دانش‌آموزان!I38)</f>
        <v>801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idden="1">
      <c r="A413" s="33">
        <v>409</v>
      </c>
      <c r="B413" s="55" t="s">
        <v>183</v>
      </c>
      <c r="C413" s="55">
        <f>IF(دانش‌آموزان!E39="","",دانش‌آموزان!B39)</f>
        <v>35</v>
      </c>
      <c r="D413" s="55" t="str">
        <f>IF(دانش‌آموزان!C39="","",دانش‌آموزان!C39)</f>
        <v>0970862415</v>
      </c>
      <c r="E413" s="55" t="str">
        <f>IF(دانش‌آموزان!E39="","",دانش‌آموزان!E39&amp;" "&amp;دانش‌آموزان!F39)</f>
        <v>اميرعلي هاشمي</v>
      </c>
      <c r="F413" s="34">
        <f>IF(دانش‌آموزان!I39="","",دانش‌آموزان!I39)</f>
        <v>801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idden="1">
      <c r="A414" s="33">
        <v>410</v>
      </c>
      <c r="B414" s="55" t="s">
        <v>184</v>
      </c>
      <c r="C414" s="55">
        <f>IF(دانش‌آموزان!E39="","",دانش‌آموزان!B39)</f>
        <v>35</v>
      </c>
      <c r="D414" s="55" t="str">
        <f>IF(دانش‌آموزان!C39="","",دانش‌آموزان!C39)</f>
        <v>0970862415</v>
      </c>
      <c r="E414" s="55" t="str">
        <f>IF(دانش‌آموزان!E39="","",دانش‌آموزان!E39&amp;" "&amp;دانش‌آموزان!F39)</f>
        <v>اميرعلي هاشمي</v>
      </c>
      <c r="F414" s="34">
        <f>IF(دانش‌آموزان!I39="","",دانش‌آموزان!I39)</f>
        <v>801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 ht="15">
      <c r="A415" s="33">
        <v>411</v>
      </c>
      <c r="B415" s="55" t="s">
        <v>185</v>
      </c>
      <c r="C415" s="55">
        <f>IF(دانش‌آموزان!E39="","",دانش‌آموزان!B39)</f>
        <v>35</v>
      </c>
      <c r="D415" s="55" t="str">
        <f>IF(دانش‌آموزان!C39="","",دانش‌آموزان!C39)</f>
        <v>0970862415</v>
      </c>
      <c r="E415" s="55" t="str">
        <f>IF(دانش‌آموزان!E39="","",دانش‌آموزان!E39&amp;" "&amp;دانش‌آموزان!F39)</f>
        <v>اميرعلي هاشمي</v>
      </c>
      <c r="F415" s="34">
        <f>IF(دانش‌آموزان!I39="","",دانش‌آموزان!I39)</f>
        <v>801</v>
      </c>
      <c r="G415" s="104">
        <v>19.350000000000001</v>
      </c>
      <c r="H415" s="20" t="s">
        <v>371</v>
      </c>
      <c r="I415" s="20">
        <v>5</v>
      </c>
      <c r="J415" s="20">
        <v>5</v>
      </c>
      <c r="K415" s="20">
        <v>5</v>
      </c>
      <c r="L415" s="20">
        <v>5</v>
      </c>
      <c r="M415" s="20">
        <v>5</v>
      </c>
      <c r="N415" s="20">
        <v>5</v>
      </c>
      <c r="O415" s="20">
        <v>5</v>
      </c>
      <c r="P415" s="20">
        <v>5</v>
      </c>
      <c r="Q415" s="20">
        <v>5</v>
      </c>
      <c r="R415" s="20">
        <v>5</v>
      </c>
      <c r="S415" s="20">
        <v>5</v>
      </c>
      <c r="T415" s="20">
        <v>5</v>
      </c>
      <c r="U415" s="20">
        <v>5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5</v>
      </c>
      <c r="AB415" s="20">
        <v>5</v>
      </c>
      <c r="AC415" s="20">
        <v>5</v>
      </c>
      <c r="AD415" s="20" t="s">
        <v>371</v>
      </c>
      <c r="AE415" s="20" t="s">
        <v>371</v>
      </c>
      <c r="AF415" s="20" t="s">
        <v>371</v>
      </c>
      <c r="AG415" s="20" t="s">
        <v>371</v>
      </c>
      <c r="AH415" s="20" t="s">
        <v>371</v>
      </c>
      <c r="AI415" s="20" t="s">
        <v>371</v>
      </c>
      <c r="AJ415" s="20">
        <v>5</v>
      </c>
      <c r="AK415" s="20">
        <v>5</v>
      </c>
      <c r="AL415" s="20">
        <v>5</v>
      </c>
      <c r="AM415" s="20">
        <v>5</v>
      </c>
      <c r="AN415" s="20">
        <v>5</v>
      </c>
      <c r="AO415" s="20">
        <v>5</v>
      </c>
      <c r="AP415" s="20">
        <v>5</v>
      </c>
      <c r="AQ415" s="20" t="s">
        <v>371</v>
      </c>
      <c r="AR415" s="20" t="s">
        <v>371</v>
      </c>
      <c r="AS415" s="20" t="s">
        <v>371</v>
      </c>
      <c r="AT415" s="20" t="s">
        <v>371</v>
      </c>
      <c r="AU415" s="20" t="s">
        <v>371</v>
      </c>
      <c r="AV415" s="20" t="s">
        <v>371</v>
      </c>
      <c r="AW415" s="20" t="s">
        <v>371</v>
      </c>
      <c r="AX415" s="20" t="s">
        <v>371</v>
      </c>
      <c r="AY415" s="20" t="s">
        <v>371</v>
      </c>
      <c r="AZ415" s="20" t="s">
        <v>371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28.2</v>
      </c>
      <c r="CD415" s="38">
        <f t="shared" si="67"/>
        <v>20</v>
      </c>
      <c r="CE415" s="38">
        <f t="shared" si="68"/>
        <v>20</v>
      </c>
      <c r="CF415" s="38">
        <f t="shared" si="69"/>
        <v>20</v>
      </c>
      <c r="CG415" s="38">
        <f t="shared" si="70"/>
        <v>20</v>
      </c>
      <c r="CH415" s="38" t="str">
        <f t="shared" si="71"/>
        <v/>
      </c>
      <c r="CI415" s="38">
        <f t="shared" si="72"/>
        <v>20</v>
      </c>
      <c r="CJ415" s="38" t="str">
        <f t="shared" si="73"/>
        <v/>
      </c>
      <c r="CK415" s="38" t="str">
        <f t="shared" si="74"/>
        <v/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>موقت - اطلاعات ناقص</v>
      </c>
      <c r="CN415" s="38">
        <v>3</v>
      </c>
      <c r="CO415" s="28">
        <f t="shared" si="76"/>
        <v>0.63043478260869568</v>
      </c>
      <c r="CP415" s="58"/>
    </row>
    <row r="416" spans="1:94" hidden="1">
      <c r="A416" s="33">
        <v>412</v>
      </c>
      <c r="B416" s="55" t="s">
        <v>186</v>
      </c>
      <c r="C416" s="55">
        <f>IF(دانش‌آموزان!E39="","",دانش‌آموزان!B39)</f>
        <v>35</v>
      </c>
      <c r="D416" s="55" t="str">
        <f>IF(دانش‌آموزان!C39="","",دانش‌آموزان!C39)</f>
        <v>0970862415</v>
      </c>
      <c r="E416" s="55" t="str">
        <f>IF(دانش‌آموزان!E39="","",دانش‌آموزان!E39&amp;" "&amp;دانش‌آموزان!F39)</f>
        <v>اميرعلي هاشمي</v>
      </c>
      <c r="F416" s="34">
        <f>IF(دانش‌آموزان!I39="","",دانش‌آموزان!I39)</f>
        <v>801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idden="1">
      <c r="A417" s="33">
        <v>413</v>
      </c>
      <c r="B417" s="55" t="s">
        <v>187</v>
      </c>
      <c r="C417" s="55">
        <f>IF(دانش‌آموزان!E39="","",دانش‌آموزان!B39)</f>
        <v>35</v>
      </c>
      <c r="D417" s="55" t="str">
        <f>IF(دانش‌آموزان!C39="","",دانش‌آموزان!C39)</f>
        <v>0970862415</v>
      </c>
      <c r="E417" s="55" t="str">
        <f>IF(دانش‌آموزان!E39="","",دانش‌آموزان!E39&amp;" "&amp;دانش‌آموزان!F39)</f>
        <v>اميرعلي هاشمي</v>
      </c>
      <c r="F417" s="34">
        <f>IF(دانش‌آموزان!I39="","",دانش‌آموزان!I39)</f>
        <v>801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idden="1">
      <c r="A418" s="33">
        <v>414</v>
      </c>
      <c r="B418" s="55" t="s">
        <v>188</v>
      </c>
      <c r="C418" s="55">
        <f>IF(دانش‌آموزان!E39="","",دانش‌آموزان!B39)</f>
        <v>35</v>
      </c>
      <c r="D418" s="55" t="str">
        <f>IF(دانش‌آموزان!C39="","",دانش‌آموزان!C39)</f>
        <v>0970862415</v>
      </c>
      <c r="E418" s="55" t="str">
        <f>IF(دانش‌آموزان!E39="","",دانش‌آموزان!E39&amp;" "&amp;دانش‌آموزان!F39)</f>
        <v>اميرعلي هاشمي</v>
      </c>
      <c r="F418" s="34">
        <f>IF(دانش‌آموزان!I39="","",دانش‌آموزان!I39)</f>
        <v>801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idden="1">
      <c r="A419" s="33">
        <v>415</v>
      </c>
      <c r="B419" s="55" t="s">
        <v>189</v>
      </c>
      <c r="C419" s="55">
        <f>IF(دانش‌آموزان!E39="","",دانش‌آموزان!B39)</f>
        <v>35</v>
      </c>
      <c r="D419" s="55" t="str">
        <f>IF(دانش‌آموزان!C39="","",دانش‌آموزان!C39)</f>
        <v>0970862415</v>
      </c>
      <c r="E419" s="55" t="str">
        <f>IF(دانش‌آموزان!E39="","",دانش‌آموزان!E39&amp;" "&amp;دانش‌آموزان!F39)</f>
        <v>اميرعلي هاشمي</v>
      </c>
      <c r="F419" s="34">
        <f>IF(دانش‌آموزان!I39="","",دانش‌آموزان!I39)</f>
        <v>801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idden="1">
      <c r="A420" s="33">
        <v>416</v>
      </c>
      <c r="B420" s="55" t="s">
        <v>190</v>
      </c>
      <c r="C420" s="55">
        <f>IF(دانش‌آموزان!E39="","",دانش‌آموزان!B39)</f>
        <v>35</v>
      </c>
      <c r="D420" s="55" t="str">
        <f>IF(دانش‌آموزان!C39="","",دانش‌آموزان!C39)</f>
        <v>0970862415</v>
      </c>
      <c r="E420" s="55" t="str">
        <f>IF(دانش‌آموزان!E39="","",دانش‌آموزان!E39&amp;" "&amp;دانش‌آموزان!F39)</f>
        <v>اميرعلي هاشمي</v>
      </c>
      <c r="F420" s="34">
        <f>IF(دانش‌آموزان!I39="","",دانش‌آموزان!I39)</f>
        <v>801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idden="1">
      <c r="A421" s="33">
        <v>417</v>
      </c>
      <c r="B421" s="55" t="s">
        <v>191</v>
      </c>
      <c r="C421" s="55">
        <f>IF(دانش‌آموزان!E39="","",دانش‌آموزان!B39)</f>
        <v>35</v>
      </c>
      <c r="D421" s="55" t="str">
        <f>IF(دانش‌آموزان!C39="","",دانش‌آموزان!C39)</f>
        <v>0970862415</v>
      </c>
      <c r="E421" s="55" t="str">
        <f>IF(دانش‌آموزان!E39="","",دانش‌آموزان!E39&amp;" "&amp;دانش‌آموزان!F39)</f>
        <v>اميرعلي هاشمي</v>
      </c>
      <c r="F421" s="34">
        <f>IF(دانش‌آموزان!I39="","",دانش‌آموزان!I39)</f>
        <v>801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idden="1">
      <c r="A422" s="33">
        <v>418</v>
      </c>
      <c r="B422" s="55" t="s">
        <v>192</v>
      </c>
      <c r="C422" s="55">
        <f>IF(دانش‌آموزان!E39="","",دانش‌آموزان!B39)</f>
        <v>35</v>
      </c>
      <c r="D422" s="55" t="str">
        <f>IF(دانش‌آموزان!C39="","",دانش‌آموزان!C39)</f>
        <v>0970862415</v>
      </c>
      <c r="E422" s="55" t="str">
        <f>IF(دانش‌آموزان!E39="","",دانش‌آموزان!E39&amp;" "&amp;دانش‌آموزان!F39)</f>
        <v>اميرعلي هاشمي</v>
      </c>
      <c r="F422" s="34">
        <f>IF(دانش‌آموزان!I39="","",دانش‌آموزان!I39)</f>
        <v>801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idden="1">
      <c r="A423" s="33">
        <v>419</v>
      </c>
      <c r="B423" s="55" t="s">
        <v>193</v>
      </c>
      <c r="C423" s="55">
        <f>IF(دانش‌آموزان!E39="","",دانش‌آموزان!B39)</f>
        <v>35</v>
      </c>
      <c r="D423" s="55" t="str">
        <f>IF(دانش‌آموزان!C39="","",دانش‌آموزان!C39)</f>
        <v>0970862415</v>
      </c>
      <c r="E423" s="55" t="str">
        <f>IF(دانش‌آموزان!E39="","",دانش‌آموزان!E39&amp;" "&amp;دانش‌آموزان!F39)</f>
        <v>اميرعلي هاشمي</v>
      </c>
      <c r="F423" s="34">
        <f>IF(دانش‌آموزان!I39="","",دانش‌آموزان!I39)</f>
        <v>801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idden="1">
      <c r="A424" s="33">
        <v>420</v>
      </c>
      <c r="B424" s="55" t="s">
        <v>194</v>
      </c>
      <c r="C424" s="55">
        <f>IF(دانش‌آموزان!E39="","",دانش‌آموزان!B39)</f>
        <v>35</v>
      </c>
      <c r="D424" s="55" t="str">
        <f>IF(دانش‌آموزان!C39="","",دانش‌آموزان!C39)</f>
        <v>0970862415</v>
      </c>
      <c r="E424" s="55" t="str">
        <f>IF(دانش‌آموزان!E39="","",دانش‌آموزان!E39&amp;" "&amp;دانش‌آموزان!F39)</f>
        <v>اميرعلي هاشمي</v>
      </c>
      <c r="F424" s="34">
        <f>IF(دانش‌آموزان!I39="","",دانش‌آموزان!I39)</f>
        <v>801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idden="1">
      <c r="A425" s="33">
        <v>421</v>
      </c>
      <c r="B425" s="55" t="s">
        <v>183</v>
      </c>
      <c r="C425" s="55">
        <f>IF(دانش‌آموزان!E40="","",دانش‌آموزان!B40)</f>
        <v>36</v>
      </c>
      <c r="D425" s="55" t="str">
        <f>IF(دانش‌آموزان!C40="","",دانش‌آموزان!C40)</f>
        <v>0960543211</v>
      </c>
      <c r="E425" s="55" t="str">
        <f>IF(دانش‌آموزان!E40="","",دانش‌آموزان!E40&amp;" "&amp;دانش‌آموزان!F40)</f>
        <v>كيارش اتحادي نيا</v>
      </c>
      <c r="F425" s="34">
        <f>IF(دانش‌آموزان!I40="","",دانش‌آموزان!I40)</f>
        <v>802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idden="1">
      <c r="A426" s="33">
        <v>422</v>
      </c>
      <c r="B426" s="55" t="s">
        <v>184</v>
      </c>
      <c r="C426" s="55">
        <f>IF(دانش‌آموزان!E40="","",دانش‌آموزان!B40)</f>
        <v>36</v>
      </c>
      <c r="D426" s="55" t="str">
        <f>IF(دانش‌آموزان!C40="","",دانش‌آموزان!C40)</f>
        <v>0960543211</v>
      </c>
      <c r="E426" s="55" t="str">
        <f>IF(دانش‌آموزان!E40="","",دانش‌آموزان!E40&amp;" "&amp;دانش‌آموزان!F40)</f>
        <v>كيارش اتحادي نيا</v>
      </c>
      <c r="F426" s="34">
        <f>IF(دانش‌آموزان!I40="","",دانش‌آموزان!I40)</f>
        <v>802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>
      <c r="A427" s="33">
        <v>423</v>
      </c>
      <c r="B427" s="55" t="s">
        <v>185</v>
      </c>
      <c r="C427" s="55">
        <f>IF(دانش‌آموزان!E40="","",دانش‌آموزان!B40)</f>
        <v>36</v>
      </c>
      <c r="D427" s="55" t="str">
        <f>IF(دانش‌آموزان!C40="","",دانش‌آموزان!C40)</f>
        <v>0960543211</v>
      </c>
      <c r="E427" s="55" t="str">
        <f>IF(دانش‌آموزان!E40="","",دانش‌آموزان!E40&amp;" "&amp;دانش‌آموزان!F40)</f>
        <v>كيارش اتحادي نيا</v>
      </c>
      <c r="F427" s="34">
        <f>IF(دانش‌آموزان!I40="","",دانش‌آموزان!I40)</f>
        <v>802</v>
      </c>
      <c r="G427" s="19">
        <v>19.920000000000002</v>
      </c>
      <c r="H427" s="20">
        <v>-3.9200000000000017</v>
      </c>
      <c r="I427" s="20">
        <v>5</v>
      </c>
      <c r="J427" s="20">
        <v>5</v>
      </c>
      <c r="K427" s="20">
        <v>5</v>
      </c>
      <c r="L427" s="20">
        <v>5</v>
      </c>
      <c r="M427" s="20">
        <v>5</v>
      </c>
      <c r="N427" s="20">
        <v>5</v>
      </c>
      <c r="O427" s="20">
        <v>5</v>
      </c>
      <c r="P427" s="20">
        <v>5</v>
      </c>
      <c r="Q427" s="20">
        <v>5</v>
      </c>
      <c r="R427" s="20">
        <v>5</v>
      </c>
      <c r="S427" s="20">
        <v>5</v>
      </c>
      <c r="T427" s="20">
        <v>5</v>
      </c>
      <c r="U427" s="20">
        <v>5</v>
      </c>
      <c r="V427" s="20">
        <v>5</v>
      </c>
      <c r="W427" s="20">
        <v>5</v>
      </c>
      <c r="X427" s="20">
        <v>5</v>
      </c>
      <c r="Y427" s="20">
        <v>5</v>
      </c>
      <c r="Z427" s="20">
        <v>5</v>
      </c>
      <c r="AA427" s="20">
        <v>5</v>
      </c>
      <c r="AB427" s="20">
        <v>5</v>
      </c>
      <c r="AC427" s="20">
        <v>5</v>
      </c>
      <c r="AD427" s="20" t="s">
        <v>371</v>
      </c>
      <c r="AE427" s="20" t="s">
        <v>371</v>
      </c>
      <c r="AF427" s="20" t="s">
        <v>371</v>
      </c>
      <c r="AG427" s="20" t="s">
        <v>371</v>
      </c>
      <c r="AH427" s="20" t="s">
        <v>371</v>
      </c>
      <c r="AI427" s="20" t="s">
        <v>371</v>
      </c>
      <c r="AJ427" s="20">
        <v>5</v>
      </c>
      <c r="AK427" s="20">
        <v>5</v>
      </c>
      <c r="AL427" s="20">
        <v>5</v>
      </c>
      <c r="AM427" s="20">
        <v>5</v>
      </c>
      <c r="AN427" s="20">
        <v>5</v>
      </c>
      <c r="AO427" s="20">
        <v>5</v>
      </c>
      <c r="AP427" s="20">
        <v>5</v>
      </c>
      <c r="AQ427" s="20" t="s">
        <v>371</v>
      </c>
      <c r="AR427" s="20" t="s">
        <v>371</v>
      </c>
      <c r="AS427" s="20" t="s">
        <v>371</v>
      </c>
      <c r="AT427" s="20" t="s">
        <v>371</v>
      </c>
      <c r="AU427" s="20" t="s">
        <v>371</v>
      </c>
      <c r="AV427" s="20" t="s">
        <v>371</v>
      </c>
      <c r="AW427" s="20" t="s">
        <v>371</v>
      </c>
      <c r="AX427" s="20" t="s">
        <v>371</v>
      </c>
      <c r="AY427" s="20" t="s">
        <v>371</v>
      </c>
      <c r="AZ427" s="20" t="s">
        <v>371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66"/>
        <v>23</v>
      </c>
      <c r="CD427" s="38">
        <f t="shared" si="67"/>
        <v>20</v>
      </c>
      <c r="CE427" s="38">
        <f t="shared" si="68"/>
        <v>20</v>
      </c>
      <c r="CF427" s="38">
        <f t="shared" si="69"/>
        <v>20</v>
      </c>
      <c r="CG427" s="38">
        <f t="shared" si="70"/>
        <v>20</v>
      </c>
      <c r="CH427" s="38" t="str">
        <f t="shared" si="71"/>
        <v/>
      </c>
      <c r="CI427" s="38">
        <f t="shared" si="72"/>
        <v>20</v>
      </c>
      <c r="CJ427" s="38" t="str">
        <f t="shared" si="73"/>
        <v/>
      </c>
      <c r="CK427" s="38" t="str">
        <f t="shared" si="74"/>
        <v/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>موقت - اطلاعات ناقص</v>
      </c>
      <c r="CN427" s="38">
        <v>3</v>
      </c>
      <c r="CO427" s="28">
        <f t="shared" si="76"/>
        <v>0.65217391304347827</v>
      </c>
      <c r="CP427" s="58"/>
    </row>
    <row r="428" spans="1:94" hidden="1">
      <c r="A428" s="33">
        <v>424</v>
      </c>
      <c r="B428" s="55" t="s">
        <v>186</v>
      </c>
      <c r="C428" s="55">
        <f>IF(دانش‌آموزان!E40="","",دانش‌آموزان!B40)</f>
        <v>36</v>
      </c>
      <c r="D428" s="55" t="str">
        <f>IF(دانش‌آموزان!C40="","",دانش‌آموزان!C40)</f>
        <v>0960543211</v>
      </c>
      <c r="E428" s="55" t="str">
        <f>IF(دانش‌آموزان!E40="","",دانش‌آموزان!E40&amp;" "&amp;دانش‌آموزان!F40)</f>
        <v>كيارش اتحادي نيا</v>
      </c>
      <c r="F428" s="34">
        <f>IF(دانش‌آموزان!I40="","",دانش‌آموزان!I40)</f>
        <v>802</v>
      </c>
      <c r="G428" s="19"/>
      <c r="H428" s="20"/>
      <c r="I428" s="20"/>
      <c r="J428" s="20">
        <v>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>
        <f t="shared" si="66"/>
        <v>20</v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>موقت - اطلاعات ناقص</v>
      </c>
      <c r="CN428" s="38">
        <v>4</v>
      </c>
      <c r="CO428" s="28">
        <f t="shared" si="76"/>
        <v>2.1739130434782608E-2</v>
      </c>
      <c r="CP428" s="58"/>
    </row>
    <row r="429" spans="1:94" hidden="1">
      <c r="A429" s="33">
        <v>425</v>
      </c>
      <c r="B429" s="55" t="s">
        <v>187</v>
      </c>
      <c r="C429" s="55">
        <f>IF(دانش‌آموزان!E40="","",دانش‌آموزان!B40)</f>
        <v>36</v>
      </c>
      <c r="D429" s="55" t="str">
        <f>IF(دانش‌آموزان!C40="","",دانش‌آموزان!C40)</f>
        <v>0960543211</v>
      </c>
      <c r="E429" s="55" t="str">
        <f>IF(دانش‌آموزان!E40="","",دانش‌آموزان!E40&amp;" "&amp;دانش‌آموزان!F40)</f>
        <v>كيارش اتحادي نيا</v>
      </c>
      <c r="F429" s="34">
        <f>IF(دانش‌آموزان!I40="","",دانش‌آموزان!I40)</f>
        <v>802</v>
      </c>
      <c r="G429" s="19"/>
      <c r="H429" s="20"/>
      <c r="I429" s="20"/>
      <c r="J429" s="20">
        <v>5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>
        <f t="shared" si="66"/>
        <v>20</v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>موقت - اطلاعات ناقص</v>
      </c>
      <c r="CN429" s="38">
        <v>5</v>
      </c>
      <c r="CO429" s="28">
        <f t="shared" si="76"/>
        <v>2.1739130434782608E-2</v>
      </c>
      <c r="CP429" s="58"/>
    </row>
    <row r="430" spans="1:94" hidden="1">
      <c r="A430" s="33">
        <v>426</v>
      </c>
      <c r="B430" s="55" t="s">
        <v>188</v>
      </c>
      <c r="C430" s="55">
        <f>IF(دانش‌آموزان!E40="","",دانش‌آموزان!B40)</f>
        <v>36</v>
      </c>
      <c r="D430" s="55" t="str">
        <f>IF(دانش‌آموزان!C40="","",دانش‌آموزان!C40)</f>
        <v>0960543211</v>
      </c>
      <c r="E430" s="55" t="str">
        <f>IF(دانش‌آموزان!E40="","",دانش‌آموزان!E40&amp;" "&amp;دانش‌آموزان!F40)</f>
        <v>كيارش اتحادي نيا</v>
      </c>
      <c r="F430" s="34">
        <f>IF(دانش‌آموزان!I40="","",دانش‌آموزان!I40)</f>
        <v>802</v>
      </c>
      <c r="G430" s="19"/>
      <c r="H430" s="20"/>
      <c r="I430" s="20"/>
      <c r="J430" s="20">
        <v>5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>
        <f t="shared" si="66"/>
        <v>20</v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>موقت - اطلاعات ناقص</v>
      </c>
      <c r="CN430" s="38">
        <v>6</v>
      </c>
      <c r="CO430" s="28">
        <f t="shared" si="76"/>
        <v>2.1739130434782608E-2</v>
      </c>
      <c r="CP430" s="58"/>
    </row>
    <row r="431" spans="1:94" hidden="1">
      <c r="A431" s="33">
        <v>427</v>
      </c>
      <c r="B431" s="55" t="s">
        <v>189</v>
      </c>
      <c r="C431" s="55">
        <f>IF(دانش‌آموزان!E40="","",دانش‌آموزان!B40)</f>
        <v>36</v>
      </c>
      <c r="D431" s="55" t="str">
        <f>IF(دانش‌آموزان!C40="","",دانش‌آموزان!C40)</f>
        <v>0960543211</v>
      </c>
      <c r="E431" s="55" t="str">
        <f>IF(دانش‌آموزان!E40="","",دانش‌آموزان!E40&amp;" "&amp;دانش‌آموزان!F40)</f>
        <v>كيارش اتحادي نيا</v>
      </c>
      <c r="F431" s="34">
        <f>IF(دانش‌آموزان!I40="","",دانش‌آموزان!I40)</f>
        <v>802</v>
      </c>
      <c r="G431" s="19"/>
      <c r="H431" s="20"/>
      <c r="I431" s="20"/>
      <c r="J431" s="20">
        <v>5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>
        <f t="shared" si="66"/>
        <v>20</v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>موقت - اطلاعات ناقص</v>
      </c>
      <c r="CN431" s="38">
        <v>7</v>
      </c>
      <c r="CO431" s="28">
        <f t="shared" si="76"/>
        <v>2.1739130434782608E-2</v>
      </c>
      <c r="CP431" s="58"/>
    </row>
    <row r="432" spans="1:94" hidden="1">
      <c r="A432" s="33">
        <v>428</v>
      </c>
      <c r="B432" s="55" t="s">
        <v>190</v>
      </c>
      <c r="C432" s="55">
        <f>IF(دانش‌آموزان!E40="","",دانش‌آموزان!B40)</f>
        <v>36</v>
      </c>
      <c r="D432" s="55" t="str">
        <f>IF(دانش‌آموزان!C40="","",دانش‌آموزان!C40)</f>
        <v>0960543211</v>
      </c>
      <c r="E432" s="55" t="str">
        <f>IF(دانش‌آموزان!E40="","",دانش‌آموزان!E40&amp;" "&amp;دانش‌آموزان!F40)</f>
        <v>كيارش اتحادي نيا</v>
      </c>
      <c r="F432" s="34">
        <f>IF(دانش‌آموزان!I40="","",دانش‌آموزان!I40)</f>
        <v>802</v>
      </c>
      <c r="G432" s="19"/>
      <c r="H432" s="20"/>
      <c r="I432" s="20"/>
      <c r="J432" s="20">
        <v>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>
        <f t="shared" si="66"/>
        <v>20</v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>موقت - اطلاعات ناقص</v>
      </c>
      <c r="CN432" s="38">
        <v>8</v>
      </c>
      <c r="CO432" s="28">
        <f t="shared" si="76"/>
        <v>2.1739130434782608E-2</v>
      </c>
      <c r="CP432" s="58"/>
    </row>
    <row r="433" spans="1:94" hidden="1">
      <c r="A433" s="33">
        <v>429</v>
      </c>
      <c r="B433" s="55" t="s">
        <v>191</v>
      </c>
      <c r="C433" s="55">
        <f>IF(دانش‌آموزان!E40="","",دانش‌آموزان!B40)</f>
        <v>36</v>
      </c>
      <c r="D433" s="55" t="str">
        <f>IF(دانش‌آموزان!C40="","",دانش‌آموزان!C40)</f>
        <v>0960543211</v>
      </c>
      <c r="E433" s="55" t="str">
        <f>IF(دانش‌آموزان!E40="","",دانش‌آموزان!E40&amp;" "&amp;دانش‌آموزان!F40)</f>
        <v>كيارش اتحادي نيا</v>
      </c>
      <c r="F433" s="34">
        <f>IF(دانش‌آموزان!I40="","",دانش‌آموزان!I40)</f>
        <v>802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idden="1">
      <c r="A434" s="33">
        <v>430</v>
      </c>
      <c r="B434" s="55" t="s">
        <v>192</v>
      </c>
      <c r="C434" s="55">
        <f>IF(دانش‌آموزان!E40="","",دانش‌آموزان!B40)</f>
        <v>36</v>
      </c>
      <c r="D434" s="55" t="str">
        <f>IF(دانش‌آموزان!C40="","",دانش‌آموزان!C40)</f>
        <v>0960543211</v>
      </c>
      <c r="E434" s="55" t="str">
        <f>IF(دانش‌آموزان!E40="","",دانش‌آموزان!E40&amp;" "&amp;دانش‌آموزان!F40)</f>
        <v>كيارش اتحادي نيا</v>
      </c>
      <c r="F434" s="34">
        <f>IF(دانش‌آموزان!I40="","",دانش‌آموزان!I40)</f>
        <v>802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idden="1">
      <c r="A435" s="33">
        <v>431</v>
      </c>
      <c r="B435" s="55" t="s">
        <v>193</v>
      </c>
      <c r="C435" s="55">
        <f>IF(دانش‌آموزان!E40="","",دانش‌آموزان!B40)</f>
        <v>36</v>
      </c>
      <c r="D435" s="55" t="str">
        <f>IF(دانش‌آموزان!C40="","",دانش‌آموزان!C40)</f>
        <v>0960543211</v>
      </c>
      <c r="E435" s="55" t="str">
        <f>IF(دانش‌آموزان!E40="","",دانش‌آموزان!E40&amp;" "&amp;دانش‌آموزان!F40)</f>
        <v>كيارش اتحادي نيا</v>
      </c>
      <c r="F435" s="34">
        <f>IF(دانش‌آموزان!I40="","",دانش‌آموزان!I40)</f>
        <v>802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idden="1">
      <c r="A436" s="33">
        <v>432</v>
      </c>
      <c r="B436" s="55" t="s">
        <v>194</v>
      </c>
      <c r="C436" s="55">
        <f>IF(دانش‌آموزان!E40="","",دانش‌آموزان!B40)</f>
        <v>36</v>
      </c>
      <c r="D436" s="55" t="str">
        <f>IF(دانش‌آموزان!C40="","",دانش‌آموزان!C40)</f>
        <v>0960543211</v>
      </c>
      <c r="E436" s="55" t="str">
        <f>IF(دانش‌آموزان!E40="","",دانش‌آموزان!E40&amp;" "&amp;دانش‌آموزان!F40)</f>
        <v>كيارش اتحادي نيا</v>
      </c>
      <c r="F436" s="34">
        <f>IF(دانش‌آموزان!I40="","",دانش‌آموزان!I40)</f>
        <v>802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idden="1">
      <c r="A437" s="33">
        <v>433</v>
      </c>
      <c r="B437" s="55" t="s">
        <v>183</v>
      </c>
      <c r="C437" s="55">
        <f>IF(دانش‌آموزان!E41="","",دانش‌آموزان!B41)</f>
        <v>37</v>
      </c>
      <c r="D437" s="55" t="str">
        <f>IF(دانش‌آموزان!C41="","",دانش‌آموزان!C41)</f>
        <v>0970552777</v>
      </c>
      <c r="E437" s="55" t="str">
        <f>IF(دانش‌آموزان!E41="","",دانش‌آموزان!E41&amp;" "&amp;دانش‌آموزان!F41)</f>
        <v>طاها اسدي</v>
      </c>
      <c r="F437" s="34">
        <f>IF(دانش‌آموزان!I41="","",دانش‌آموزان!I41)</f>
        <v>802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idden="1">
      <c r="A438" s="33">
        <v>434</v>
      </c>
      <c r="B438" s="55" t="s">
        <v>184</v>
      </c>
      <c r="C438" s="55">
        <f>IF(دانش‌آموزان!E41="","",دانش‌آموزان!B41)</f>
        <v>37</v>
      </c>
      <c r="D438" s="55" t="str">
        <f>IF(دانش‌آموزان!C41="","",دانش‌آموزان!C41)</f>
        <v>0970552777</v>
      </c>
      <c r="E438" s="55" t="str">
        <f>IF(دانش‌آموزان!E41="","",دانش‌آموزان!E41&amp;" "&amp;دانش‌آموزان!F41)</f>
        <v>طاها اسدي</v>
      </c>
      <c r="F438" s="34">
        <f>IF(دانش‌آموزان!I41="","",دانش‌آموزان!I41)</f>
        <v>802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>
      <c r="A439" s="33">
        <v>435</v>
      </c>
      <c r="B439" s="55" t="s">
        <v>185</v>
      </c>
      <c r="C439" s="55">
        <f>IF(دانش‌آموزان!E41="","",دانش‌آموزان!B41)</f>
        <v>37</v>
      </c>
      <c r="D439" s="55" t="str">
        <f>IF(دانش‌آموزان!C41="","",دانش‌آموزان!C41)</f>
        <v>0970552777</v>
      </c>
      <c r="E439" s="55" t="str">
        <f>IF(دانش‌آموزان!E41="","",دانش‌آموزان!E41&amp;" "&amp;دانش‌آموزان!F41)</f>
        <v>طاها اسدي</v>
      </c>
      <c r="F439" s="34">
        <f>IF(دانش‌آموزان!I41="","",دانش‌آموزان!I41)</f>
        <v>802</v>
      </c>
      <c r="G439" s="19">
        <v>18.45</v>
      </c>
      <c r="H439" s="20">
        <v>-5.4499999999999993</v>
      </c>
      <c r="I439" s="20">
        <v>5</v>
      </c>
      <c r="J439" s="20">
        <v>5</v>
      </c>
      <c r="K439" s="20">
        <v>5</v>
      </c>
      <c r="L439" s="20">
        <v>5</v>
      </c>
      <c r="M439" s="20">
        <v>5</v>
      </c>
      <c r="N439" s="20">
        <v>5</v>
      </c>
      <c r="O439" s="20">
        <v>5</v>
      </c>
      <c r="P439" s="20">
        <v>5</v>
      </c>
      <c r="Q439" s="20">
        <v>5</v>
      </c>
      <c r="R439" s="20">
        <v>5</v>
      </c>
      <c r="S439" s="20">
        <v>5</v>
      </c>
      <c r="T439" s="20">
        <v>5</v>
      </c>
      <c r="U439" s="20">
        <v>5</v>
      </c>
      <c r="V439" s="20">
        <v>5</v>
      </c>
      <c r="W439" s="20">
        <v>5</v>
      </c>
      <c r="X439" s="20">
        <v>5</v>
      </c>
      <c r="Y439" s="20">
        <v>5</v>
      </c>
      <c r="Z439" s="20">
        <v>5</v>
      </c>
      <c r="AA439" s="20">
        <v>5</v>
      </c>
      <c r="AB439" s="20">
        <v>5</v>
      </c>
      <c r="AC439" s="20">
        <v>5</v>
      </c>
      <c r="AD439" s="20" t="s">
        <v>371</v>
      </c>
      <c r="AE439" s="20" t="s">
        <v>371</v>
      </c>
      <c r="AF439" s="20" t="s">
        <v>371</v>
      </c>
      <c r="AG439" s="20" t="s">
        <v>371</v>
      </c>
      <c r="AH439" s="20" t="s">
        <v>371</v>
      </c>
      <c r="AI439" s="20" t="s">
        <v>371</v>
      </c>
      <c r="AJ439" s="20">
        <v>5</v>
      </c>
      <c r="AK439" s="20">
        <v>5</v>
      </c>
      <c r="AL439" s="20">
        <v>5</v>
      </c>
      <c r="AM439" s="20">
        <v>5</v>
      </c>
      <c r="AN439" s="20">
        <v>5</v>
      </c>
      <c r="AO439" s="20">
        <v>5</v>
      </c>
      <c r="AP439" s="20">
        <v>5</v>
      </c>
      <c r="AQ439" s="20" t="s">
        <v>371</v>
      </c>
      <c r="AR439" s="20" t="s">
        <v>371</v>
      </c>
      <c r="AS439" s="20" t="s">
        <v>371</v>
      </c>
      <c r="AT439" s="20" t="s">
        <v>371</v>
      </c>
      <c r="AU439" s="20" t="s">
        <v>371</v>
      </c>
      <c r="AV439" s="20" t="s">
        <v>371</v>
      </c>
      <c r="AW439" s="20" t="s">
        <v>371</v>
      </c>
      <c r="AX439" s="20" t="s">
        <v>371</v>
      </c>
      <c r="AY439" s="20" t="s">
        <v>371</v>
      </c>
      <c r="AZ439" s="20" t="s">
        <v>371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66"/>
        <v>21.5</v>
      </c>
      <c r="CD439" s="38">
        <f t="shared" si="67"/>
        <v>20</v>
      </c>
      <c r="CE439" s="38">
        <f t="shared" si="68"/>
        <v>20</v>
      </c>
      <c r="CF439" s="38">
        <f t="shared" si="69"/>
        <v>20</v>
      </c>
      <c r="CG439" s="38">
        <f t="shared" si="70"/>
        <v>20</v>
      </c>
      <c r="CH439" s="38" t="str">
        <f t="shared" si="71"/>
        <v/>
      </c>
      <c r="CI439" s="38">
        <f t="shared" si="72"/>
        <v>20</v>
      </c>
      <c r="CJ439" s="38" t="str">
        <f t="shared" si="73"/>
        <v/>
      </c>
      <c r="CK439" s="38" t="str">
        <f t="shared" si="74"/>
        <v/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>موقت - اطلاعات ناقص</v>
      </c>
      <c r="CN439" s="38">
        <v>3</v>
      </c>
      <c r="CO439" s="28">
        <f t="shared" si="76"/>
        <v>0.65217391304347827</v>
      </c>
      <c r="CP439" s="58"/>
    </row>
    <row r="440" spans="1:94" hidden="1">
      <c r="A440" s="33">
        <v>436</v>
      </c>
      <c r="B440" s="55" t="s">
        <v>186</v>
      </c>
      <c r="C440" s="55">
        <f>IF(دانش‌آموزان!E41="","",دانش‌آموزان!B41)</f>
        <v>37</v>
      </c>
      <c r="D440" s="55" t="str">
        <f>IF(دانش‌آموزان!C41="","",دانش‌آموزان!C41)</f>
        <v>0970552777</v>
      </c>
      <c r="E440" s="55" t="str">
        <f>IF(دانش‌آموزان!E41="","",دانش‌آموزان!E41&amp;" "&amp;دانش‌آموزان!F41)</f>
        <v>طاها اسدي</v>
      </c>
      <c r="F440" s="34">
        <f>IF(دانش‌آموزان!I41="","",دانش‌آموزان!I41)</f>
        <v>802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idden="1">
      <c r="A441" s="33">
        <v>437</v>
      </c>
      <c r="B441" s="55" t="s">
        <v>187</v>
      </c>
      <c r="C441" s="55">
        <f>IF(دانش‌آموزان!E41="","",دانش‌آموزان!B41)</f>
        <v>37</v>
      </c>
      <c r="D441" s="55" t="str">
        <f>IF(دانش‌آموزان!C41="","",دانش‌آموزان!C41)</f>
        <v>0970552777</v>
      </c>
      <c r="E441" s="55" t="str">
        <f>IF(دانش‌آموزان!E41="","",دانش‌آموزان!E41&amp;" "&amp;دانش‌آموزان!F41)</f>
        <v>طاها اسدي</v>
      </c>
      <c r="F441" s="34">
        <f>IF(دانش‌آموزان!I41="","",دانش‌آموزان!I41)</f>
        <v>802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idden="1">
      <c r="A442" s="33">
        <v>438</v>
      </c>
      <c r="B442" s="55" t="s">
        <v>188</v>
      </c>
      <c r="C442" s="55">
        <f>IF(دانش‌آموزان!E41="","",دانش‌آموزان!B41)</f>
        <v>37</v>
      </c>
      <c r="D442" s="55" t="str">
        <f>IF(دانش‌آموزان!C41="","",دانش‌آموزان!C41)</f>
        <v>0970552777</v>
      </c>
      <c r="E442" s="55" t="str">
        <f>IF(دانش‌آموزان!E41="","",دانش‌آموزان!E41&amp;" "&amp;دانش‌آموزان!F41)</f>
        <v>طاها اسدي</v>
      </c>
      <c r="F442" s="34">
        <f>IF(دانش‌آموزان!I41="","",دانش‌آموزان!I41)</f>
        <v>802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idden="1">
      <c r="A443" s="33">
        <v>439</v>
      </c>
      <c r="B443" s="55" t="s">
        <v>189</v>
      </c>
      <c r="C443" s="55">
        <f>IF(دانش‌آموزان!E41="","",دانش‌آموزان!B41)</f>
        <v>37</v>
      </c>
      <c r="D443" s="55" t="str">
        <f>IF(دانش‌آموزان!C41="","",دانش‌آموزان!C41)</f>
        <v>0970552777</v>
      </c>
      <c r="E443" s="55" t="str">
        <f>IF(دانش‌آموزان!E41="","",دانش‌آموزان!E41&amp;" "&amp;دانش‌آموزان!F41)</f>
        <v>طاها اسدي</v>
      </c>
      <c r="F443" s="34">
        <f>IF(دانش‌آموزان!I41="","",دانش‌آموزان!I41)</f>
        <v>802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idden="1">
      <c r="A444" s="33">
        <v>440</v>
      </c>
      <c r="B444" s="55" t="s">
        <v>190</v>
      </c>
      <c r="C444" s="55">
        <f>IF(دانش‌آموزان!E41="","",دانش‌آموزان!B41)</f>
        <v>37</v>
      </c>
      <c r="D444" s="55" t="str">
        <f>IF(دانش‌آموزان!C41="","",دانش‌آموزان!C41)</f>
        <v>0970552777</v>
      </c>
      <c r="E444" s="55" t="str">
        <f>IF(دانش‌آموزان!E41="","",دانش‌آموزان!E41&amp;" "&amp;دانش‌آموزان!F41)</f>
        <v>طاها اسدي</v>
      </c>
      <c r="F444" s="34">
        <f>IF(دانش‌آموزان!I41="","",دانش‌آموزان!I41)</f>
        <v>802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idden="1">
      <c r="A445" s="33">
        <v>441</v>
      </c>
      <c r="B445" s="55" t="s">
        <v>191</v>
      </c>
      <c r="C445" s="55">
        <f>IF(دانش‌آموزان!E41="","",دانش‌آموزان!B41)</f>
        <v>37</v>
      </c>
      <c r="D445" s="55" t="str">
        <f>IF(دانش‌آموزان!C41="","",دانش‌آموزان!C41)</f>
        <v>0970552777</v>
      </c>
      <c r="E445" s="55" t="str">
        <f>IF(دانش‌آموزان!E41="","",دانش‌آموزان!E41&amp;" "&amp;دانش‌آموزان!F41)</f>
        <v>طاها اسدي</v>
      </c>
      <c r="F445" s="34">
        <f>IF(دانش‌آموزان!I41="","",دانش‌آموزان!I41)</f>
        <v>802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idden="1">
      <c r="A446" s="33">
        <v>442</v>
      </c>
      <c r="B446" s="55" t="s">
        <v>192</v>
      </c>
      <c r="C446" s="55">
        <f>IF(دانش‌آموزان!E41="","",دانش‌آموزان!B41)</f>
        <v>37</v>
      </c>
      <c r="D446" s="55" t="str">
        <f>IF(دانش‌آموزان!C41="","",دانش‌آموزان!C41)</f>
        <v>0970552777</v>
      </c>
      <c r="E446" s="55" t="str">
        <f>IF(دانش‌آموزان!E41="","",دانش‌آموزان!E41&amp;" "&amp;دانش‌آموزان!F41)</f>
        <v>طاها اسدي</v>
      </c>
      <c r="F446" s="34">
        <f>IF(دانش‌آموزان!I41="","",دانش‌آموزان!I41)</f>
        <v>802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idden="1">
      <c r="A447" s="33">
        <v>443</v>
      </c>
      <c r="B447" s="55" t="s">
        <v>193</v>
      </c>
      <c r="C447" s="55">
        <f>IF(دانش‌آموزان!E41="","",دانش‌آموزان!B41)</f>
        <v>37</v>
      </c>
      <c r="D447" s="55" t="str">
        <f>IF(دانش‌آموزان!C41="","",دانش‌آموزان!C41)</f>
        <v>0970552777</v>
      </c>
      <c r="E447" s="55" t="str">
        <f>IF(دانش‌آموزان!E41="","",دانش‌آموزان!E41&amp;" "&amp;دانش‌آموزان!F41)</f>
        <v>طاها اسدي</v>
      </c>
      <c r="F447" s="34">
        <f>IF(دانش‌آموزان!I41="","",دانش‌آموزان!I41)</f>
        <v>802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idden="1">
      <c r="A448" s="33">
        <v>444</v>
      </c>
      <c r="B448" s="55" t="s">
        <v>194</v>
      </c>
      <c r="C448" s="55">
        <f>IF(دانش‌آموزان!E41="","",دانش‌آموزان!B41)</f>
        <v>37</v>
      </c>
      <c r="D448" s="55" t="str">
        <f>IF(دانش‌آموزان!C41="","",دانش‌آموزان!C41)</f>
        <v>0970552777</v>
      </c>
      <c r="E448" s="55" t="str">
        <f>IF(دانش‌آموزان!E41="","",دانش‌آموزان!E41&amp;" "&amp;دانش‌آموزان!F41)</f>
        <v>طاها اسدي</v>
      </c>
      <c r="F448" s="34">
        <f>IF(دانش‌آموزان!I41="","",دانش‌آموزان!I41)</f>
        <v>802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idden="1">
      <c r="A449" s="33">
        <v>445</v>
      </c>
      <c r="B449" s="55" t="s">
        <v>183</v>
      </c>
      <c r="C449" s="55">
        <f>IF(دانش‌آموزان!E42="","",دانش‌آموزان!B42)</f>
        <v>38</v>
      </c>
      <c r="D449" s="55" t="str">
        <f>IF(دانش‌آموزان!C42="","",دانش‌آموزان!C42)</f>
        <v>0980430399</v>
      </c>
      <c r="E449" s="55" t="str">
        <f>IF(دانش‌آموزان!E42="","",دانش‌آموزان!E42&amp;" "&amp;دانش‌آموزان!F42)</f>
        <v>محمد ماهان ايرانمنش</v>
      </c>
      <c r="F449" s="34">
        <f>IF(دانش‌آموزان!I42="","",دانش‌آموزان!I42)</f>
        <v>802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idden="1">
      <c r="A450" s="33">
        <v>446</v>
      </c>
      <c r="B450" s="55" t="s">
        <v>184</v>
      </c>
      <c r="C450" s="55">
        <f>IF(دانش‌آموزان!E42="","",دانش‌آموزان!B42)</f>
        <v>38</v>
      </c>
      <c r="D450" s="55" t="str">
        <f>IF(دانش‌آموزان!C42="","",دانش‌آموزان!C42)</f>
        <v>0980430399</v>
      </c>
      <c r="E450" s="55" t="str">
        <f>IF(دانش‌آموزان!E42="","",دانش‌آموزان!E42&amp;" "&amp;دانش‌آموزان!F42)</f>
        <v>محمد ماهان ايرانمنش</v>
      </c>
      <c r="F450" s="34">
        <f>IF(دانش‌آموزان!I42="","",دانش‌آموزان!I42)</f>
        <v>802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>
      <c r="A451" s="33">
        <v>447</v>
      </c>
      <c r="B451" s="55" t="s">
        <v>185</v>
      </c>
      <c r="C451" s="55">
        <f>IF(دانش‌آموزان!E42="","",دانش‌آموزان!B42)</f>
        <v>38</v>
      </c>
      <c r="D451" s="55" t="str">
        <f>IF(دانش‌آموزان!C42="","",دانش‌آموزان!C42)</f>
        <v>0980430399</v>
      </c>
      <c r="E451" s="55" t="str">
        <f>IF(دانش‌آموزان!E42="","",دانش‌آموزان!E42&amp;" "&amp;دانش‌آموزان!F42)</f>
        <v>محمد ماهان ايرانمنش</v>
      </c>
      <c r="F451" s="34">
        <f>IF(دانش‌آموزان!I42="","",دانش‌آموزان!I42)</f>
        <v>802</v>
      </c>
      <c r="G451" s="19">
        <v>18.59</v>
      </c>
      <c r="H451" s="20">
        <v>-6.59</v>
      </c>
      <c r="I451" s="20">
        <v>5</v>
      </c>
      <c r="J451" s="20">
        <v>5</v>
      </c>
      <c r="K451" s="20">
        <v>5</v>
      </c>
      <c r="L451" s="20">
        <v>5</v>
      </c>
      <c r="M451" s="20">
        <v>5</v>
      </c>
      <c r="N451" s="20">
        <v>5</v>
      </c>
      <c r="O451" s="20">
        <v>5</v>
      </c>
      <c r="P451" s="20">
        <v>5</v>
      </c>
      <c r="Q451" s="20">
        <v>5</v>
      </c>
      <c r="R451" s="20">
        <v>5</v>
      </c>
      <c r="S451" s="20">
        <v>5</v>
      </c>
      <c r="T451" s="20">
        <v>5</v>
      </c>
      <c r="U451" s="20">
        <v>5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5</v>
      </c>
      <c r="AB451" s="20">
        <v>5</v>
      </c>
      <c r="AC451" s="20">
        <v>5</v>
      </c>
      <c r="AD451" s="20" t="s">
        <v>371</v>
      </c>
      <c r="AE451" s="20" t="s">
        <v>371</v>
      </c>
      <c r="AF451" s="20" t="s">
        <v>371</v>
      </c>
      <c r="AG451" s="20" t="s">
        <v>371</v>
      </c>
      <c r="AH451" s="20" t="s">
        <v>371</v>
      </c>
      <c r="AI451" s="20" t="s">
        <v>371</v>
      </c>
      <c r="AJ451" s="20">
        <v>5</v>
      </c>
      <c r="AK451" s="20">
        <v>5</v>
      </c>
      <c r="AL451" s="20">
        <v>5</v>
      </c>
      <c r="AM451" s="20">
        <v>5</v>
      </c>
      <c r="AN451" s="20">
        <v>5</v>
      </c>
      <c r="AO451" s="20">
        <v>5</v>
      </c>
      <c r="AP451" s="20">
        <v>5</v>
      </c>
      <c r="AQ451" s="20" t="s">
        <v>371</v>
      </c>
      <c r="AR451" s="20" t="s">
        <v>371</v>
      </c>
      <c r="AS451" s="20" t="s">
        <v>371</v>
      </c>
      <c r="AT451" s="20" t="s">
        <v>371</v>
      </c>
      <c r="AU451" s="20" t="s">
        <v>371</v>
      </c>
      <c r="AV451" s="20" t="s">
        <v>371</v>
      </c>
      <c r="AW451" s="20" t="s">
        <v>371</v>
      </c>
      <c r="AX451" s="20" t="s">
        <v>371</v>
      </c>
      <c r="AY451" s="20" t="s">
        <v>371</v>
      </c>
      <c r="AZ451" s="20" t="s">
        <v>371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66"/>
        <v>21</v>
      </c>
      <c r="CD451" s="38">
        <f t="shared" si="67"/>
        <v>20</v>
      </c>
      <c r="CE451" s="38">
        <f t="shared" si="68"/>
        <v>20</v>
      </c>
      <c r="CF451" s="38">
        <f t="shared" si="69"/>
        <v>20</v>
      </c>
      <c r="CG451" s="38">
        <f t="shared" si="70"/>
        <v>20</v>
      </c>
      <c r="CH451" s="38" t="str">
        <f t="shared" si="71"/>
        <v/>
      </c>
      <c r="CI451" s="38">
        <f t="shared" si="72"/>
        <v>20</v>
      </c>
      <c r="CJ451" s="38" t="str">
        <f t="shared" si="73"/>
        <v/>
      </c>
      <c r="CK451" s="38" t="str">
        <f t="shared" si="74"/>
        <v/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>موقت - اطلاعات ناقص</v>
      </c>
      <c r="CN451" s="38">
        <v>3</v>
      </c>
      <c r="CO451" s="28">
        <f t="shared" si="76"/>
        <v>0.65217391304347827</v>
      </c>
      <c r="CP451" s="58"/>
    </row>
    <row r="452" spans="1:94" hidden="1">
      <c r="A452" s="33">
        <v>448</v>
      </c>
      <c r="B452" s="55" t="s">
        <v>186</v>
      </c>
      <c r="C452" s="55">
        <f>IF(دانش‌آموزان!E42="","",دانش‌آموزان!B42)</f>
        <v>38</v>
      </c>
      <c r="D452" s="55" t="str">
        <f>IF(دانش‌آموزان!C42="","",دانش‌آموزان!C42)</f>
        <v>0980430399</v>
      </c>
      <c r="E452" s="55" t="str">
        <f>IF(دانش‌آموزان!E42="","",دانش‌آموزان!E42&amp;" "&amp;دانش‌آموزان!F42)</f>
        <v>محمد ماهان ايرانمنش</v>
      </c>
      <c r="F452" s="34">
        <f>IF(دانش‌آموزان!I42="","",دانش‌آموزان!I42)</f>
        <v>802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idden="1">
      <c r="A453" s="33">
        <v>449</v>
      </c>
      <c r="B453" s="55" t="s">
        <v>187</v>
      </c>
      <c r="C453" s="55">
        <f>IF(دانش‌آموزان!E42="","",دانش‌آموزان!B42)</f>
        <v>38</v>
      </c>
      <c r="D453" s="55" t="str">
        <f>IF(دانش‌آموزان!C42="","",دانش‌آموزان!C42)</f>
        <v>0980430399</v>
      </c>
      <c r="E453" s="55" t="str">
        <f>IF(دانش‌آموزان!E42="","",دانش‌آموزان!E42&amp;" "&amp;دانش‌آموزان!F42)</f>
        <v>محمد ماهان ايرانمنش</v>
      </c>
      <c r="F453" s="34">
        <f>IF(دانش‌آموزان!I42="","",دانش‌آموزان!I42)</f>
        <v>802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6" si="87">IF(C453="","",COUNT(G453:AZ453)/46)</f>
        <v>0</v>
      </c>
      <c r="CP453" s="58"/>
    </row>
    <row r="454" spans="1:94" hidden="1">
      <c r="A454" s="33">
        <v>450</v>
      </c>
      <c r="B454" s="55" t="s">
        <v>188</v>
      </c>
      <c r="C454" s="55">
        <f>IF(دانش‌آموزان!E42="","",دانش‌آموزان!B42)</f>
        <v>38</v>
      </c>
      <c r="D454" s="55" t="str">
        <f>IF(دانش‌آموزان!C42="","",دانش‌آموزان!C42)</f>
        <v>0980430399</v>
      </c>
      <c r="E454" s="55" t="str">
        <f>IF(دانش‌آموزان!E42="","",دانش‌آموزان!E42&amp;" "&amp;دانش‌آموزان!F42)</f>
        <v>محمد ماهان ايرانمنش</v>
      </c>
      <c r="F454" s="34">
        <f>IF(دانش‌آموزان!I42="","",دانش‌آموزان!I42)</f>
        <v>802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idden="1">
      <c r="A455" s="33">
        <v>451</v>
      </c>
      <c r="B455" s="55" t="s">
        <v>189</v>
      </c>
      <c r="C455" s="55">
        <f>IF(دانش‌آموزان!E42="","",دانش‌آموزان!B42)</f>
        <v>38</v>
      </c>
      <c r="D455" s="55" t="str">
        <f>IF(دانش‌آموزان!C42="","",دانش‌آموزان!C42)</f>
        <v>0980430399</v>
      </c>
      <c r="E455" s="55" t="str">
        <f>IF(دانش‌آموزان!E42="","",دانش‌آموزان!E42&amp;" "&amp;دانش‌آموزان!F42)</f>
        <v>محمد ماهان ايرانمنش</v>
      </c>
      <c r="F455" s="34">
        <f>IF(دانش‌آموزان!I42="","",دانش‌آموزان!I42)</f>
        <v>802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idden="1">
      <c r="A456" s="33">
        <v>452</v>
      </c>
      <c r="B456" s="55" t="s">
        <v>190</v>
      </c>
      <c r="C456" s="55">
        <f>IF(دانش‌آموزان!E42="","",دانش‌آموزان!B42)</f>
        <v>38</v>
      </c>
      <c r="D456" s="55" t="str">
        <f>IF(دانش‌آموزان!C42="","",دانش‌آموزان!C42)</f>
        <v>0980430399</v>
      </c>
      <c r="E456" s="55" t="str">
        <f>IF(دانش‌آموزان!E42="","",دانش‌آموزان!E42&amp;" "&amp;دانش‌آموزان!F42)</f>
        <v>محمد ماهان ايرانمنش</v>
      </c>
      <c r="F456" s="34">
        <f>IF(دانش‌آموزان!I42="","",دانش‌آموزان!I42)</f>
        <v>802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idden="1">
      <c r="A457" s="33">
        <v>453</v>
      </c>
      <c r="B457" s="55" t="s">
        <v>191</v>
      </c>
      <c r="C457" s="55">
        <f>IF(دانش‌آموزان!E42="","",دانش‌آموزان!B42)</f>
        <v>38</v>
      </c>
      <c r="D457" s="55" t="str">
        <f>IF(دانش‌آموزان!C42="","",دانش‌آموزان!C42)</f>
        <v>0980430399</v>
      </c>
      <c r="E457" s="55" t="str">
        <f>IF(دانش‌آموزان!E42="","",دانش‌آموزان!E42&amp;" "&amp;دانش‌آموزان!F42)</f>
        <v>محمد ماهان ايرانمنش</v>
      </c>
      <c r="F457" s="34">
        <f>IF(دانش‌آموزان!I42="","",دانش‌آموزان!I42)</f>
        <v>802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idden="1">
      <c r="A458" s="33">
        <v>454</v>
      </c>
      <c r="B458" s="55" t="s">
        <v>192</v>
      </c>
      <c r="C458" s="55">
        <f>IF(دانش‌آموزان!E42="","",دانش‌آموزان!B42)</f>
        <v>38</v>
      </c>
      <c r="D458" s="55" t="str">
        <f>IF(دانش‌آموزان!C42="","",دانش‌آموزان!C42)</f>
        <v>0980430399</v>
      </c>
      <c r="E458" s="55" t="str">
        <f>IF(دانش‌آموزان!E42="","",دانش‌آموزان!E42&amp;" "&amp;دانش‌آموزان!F42)</f>
        <v>محمد ماهان ايرانمنش</v>
      </c>
      <c r="F458" s="34">
        <f>IF(دانش‌آموزان!I42="","",دانش‌آموزان!I42)</f>
        <v>802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idden="1">
      <c r="A459" s="33">
        <v>455</v>
      </c>
      <c r="B459" s="55" t="s">
        <v>193</v>
      </c>
      <c r="C459" s="55">
        <f>IF(دانش‌آموزان!E42="","",دانش‌آموزان!B42)</f>
        <v>38</v>
      </c>
      <c r="D459" s="55" t="str">
        <f>IF(دانش‌آموزان!C42="","",دانش‌آموزان!C42)</f>
        <v>0980430399</v>
      </c>
      <c r="E459" s="55" t="str">
        <f>IF(دانش‌آموزان!E42="","",دانش‌آموزان!E42&amp;" "&amp;دانش‌آموزان!F42)</f>
        <v>محمد ماهان ايرانمنش</v>
      </c>
      <c r="F459" s="34">
        <f>IF(دانش‌آموزان!I42="","",دانش‌آموزان!I42)</f>
        <v>802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idden="1">
      <c r="A460" s="33">
        <v>456</v>
      </c>
      <c r="B460" s="55" t="s">
        <v>194</v>
      </c>
      <c r="C460" s="55">
        <f>IF(دانش‌آموزان!E42="","",دانش‌آموزان!B42)</f>
        <v>38</v>
      </c>
      <c r="D460" s="55" t="str">
        <f>IF(دانش‌آموزان!C42="","",دانش‌آموزان!C42)</f>
        <v>0980430399</v>
      </c>
      <c r="E460" s="55" t="str">
        <f>IF(دانش‌آموزان!E42="","",دانش‌آموزان!E42&amp;" "&amp;دانش‌آموزان!F42)</f>
        <v>محمد ماهان ايرانمنش</v>
      </c>
      <c r="F460" s="34">
        <f>IF(دانش‌آموزان!I42="","",دانش‌آموزان!I42)</f>
        <v>802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idden="1">
      <c r="A461" s="33">
        <v>457</v>
      </c>
      <c r="B461" s="55" t="s">
        <v>183</v>
      </c>
      <c r="C461" s="55">
        <f>IF(دانش‌آموزان!E43="","",دانش‌آموزان!B43)</f>
        <v>39</v>
      </c>
      <c r="D461" s="55" t="str">
        <f>IF(دانش‌آموزان!C43="","",دانش‌آموزان!C43)</f>
        <v>0960600620</v>
      </c>
      <c r="E461" s="55" t="str">
        <f>IF(دانش‌آموزان!E43="","",دانش‌آموزان!E43&amp;" "&amp;دانش‌آموزان!F43)</f>
        <v>فرزاد آرازش</v>
      </c>
      <c r="F461" s="34">
        <f>IF(دانش‌آموزان!I43="","",دانش‌آموزان!I43)</f>
        <v>802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idden="1">
      <c r="A462" s="33">
        <v>458</v>
      </c>
      <c r="B462" s="55" t="s">
        <v>184</v>
      </c>
      <c r="C462" s="55">
        <f>IF(دانش‌آموزان!E43="","",دانش‌آموزان!B43)</f>
        <v>39</v>
      </c>
      <c r="D462" s="55" t="str">
        <f>IF(دانش‌آموزان!C43="","",دانش‌آموزان!C43)</f>
        <v>0960600620</v>
      </c>
      <c r="E462" s="55" t="str">
        <f>IF(دانش‌آموزان!E43="","",دانش‌آموزان!E43&amp;" "&amp;دانش‌آموزان!F43)</f>
        <v>فرزاد آرازش</v>
      </c>
      <c r="F462" s="34">
        <f>IF(دانش‌آموزان!I43="","",دانش‌آموزان!I43)</f>
        <v>802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>
      <c r="A463" s="33">
        <v>459</v>
      </c>
      <c r="B463" s="55" t="s">
        <v>185</v>
      </c>
      <c r="C463" s="55">
        <f>IF(دانش‌آموزان!E43="","",دانش‌آموزان!B43)</f>
        <v>39</v>
      </c>
      <c r="D463" s="55" t="str">
        <f>IF(دانش‌آموزان!C43="","",دانش‌آموزان!C43)</f>
        <v>0960600620</v>
      </c>
      <c r="E463" s="55" t="str">
        <f>IF(دانش‌آموزان!E43="","",دانش‌آموزان!E43&amp;" "&amp;دانش‌آموزان!F43)</f>
        <v>فرزاد آرازش</v>
      </c>
      <c r="F463" s="34">
        <f>IF(دانش‌آموزان!I43="","",دانش‌آموزان!I43)</f>
        <v>802</v>
      </c>
      <c r="G463" s="19">
        <v>19.23</v>
      </c>
      <c r="H463" s="20">
        <v>-6.23</v>
      </c>
      <c r="I463" s="20">
        <v>5</v>
      </c>
      <c r="J463" s="20">
        <v>5</v>
      </c>
      <c r="K463" s="20">
        <v>5</v>
      </c>
      <c r="L463" s="20">
        <v>5</v>
      </c>
      <c r="M463" s="20">
        <v>5</v>
      </c>
      <c r="N463" s="20">
        <v>5</v>
      </c>
      <c r="O463" s="20">
        <v>5</v>
      </c>
      <c r="P463" s="20">
        <v>5</v>
      </c>
      <c r="Q463" s="20">
        <v>5</v>
      </c>
      <c r="R463" s="20">
        <v>5</v>
      </c>
      <c r="S463" s="20">
        <v>5</v>
      </c>
      <c r="T463" s="20">
        <v>5</v>
      </c>
      <c r="U463" s="20">
        <v>5</v>
      </c>
      <c r="V463" s="20">
        <v>5</v>
      </c>
      <c r="W463" s="20">
        <v>5</v>
      </c>
      <c r="X463" s="20">
        <v>5</v>
      </c>
      <c r="Y463" s="20">
        <v>5</v>
      </c>
      <c r="Z463" s="20">
        <v>5</v>
      </c>
      <c r="AA463" s="20">
        <v>5</v>
      </c>
      <c r="AB463" s="20">
        <v>5</v>
      </c>
      <c r="AC463" s="20">
        <v>5</v>
      </c>
      <c r="AD463" s="20" t="s">
        <v>371</v>
      </c>
      <c r="AE463" s="20" t="s">
        <v>371</v>
      </c>
      <c r="AF463" s="20" t="s">
        <v>371</v>
      </c>
      <c r="AG463" s="20" t="s">
        <v>371</v>
      </c>
      <c r="AH463" s="20" t="s">
        <v>371</v>
      </c>
      <c r="AI463" s="20" t="s">
        <v>371</v>
      </c>
      <c r="AJ463" s="20">
        <v>5</v>
      </c>
      <c r="AK463" s="20">
        <v>5</v>
      </c>
      <c r="AL463" s="20">
        <v>5</v>
      </c>
      <c r="AM463" s="20">
        <v>5</v>
      </c>
      <c r="AN463" s="20">
        <v>5</v>
      </c>
      <c r="AO463" s="20">
        <v>5</v>
      </c>
      <c r="AP463" s="20">
        <v>5</v>
      </c>
      <c r="AQ463" s="20" t="s">
        <v>371</v>
      </c>
      <c r="AR463" s="20" t="s">
        <v>371</v>
      </c>
      <c r="AS463" s="20" t="s">
        <v>371</v>
      </c>
      <c r="AT463" s="20" t="s">
        <v>371</v>
      </c>
      <c r="AU463" s="20" t="s">
        <v>371</v>
      </c>
      <c r="AV463" s="20" t="s">
        <v>371</v>
      </c>
      <c r="AW463" s="20" t="s">
        <v>371</v>
      </c>
      <c r="AX463" s="20" t="s">
        <v>371</v>
      </c>
      <c r="AY463" s="20" t="s">
        <v>371</v>
      </c>
      <c r="AZ463" s="20" t="s">
        <v>371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21.5</v>
      </c>
      <c r="CD463" s="38">
        <f t="shared" si="78"/>
        <v>20</v>
      </c>
      <c r="CE463" s="38">
        <f t="shared" si="79"/>
        <v>20</v>
      </c>
      <c r="CF463" s="38">
        <f t="shared" si="80"/>
        <v>20</v>
      </c>
      <c r="CG463" s="38">
        <f t="shared" si="81"/>
        <v>20</v>
      </c>
      <c r="CH463" s="38" t="str">
        <f t="shared" si="82"/>
        <v/>
      </c>
      <c r="CI463" s="38">
        <f t="shared" si="83"/>
        <v>20</v>
      </c>
      <c r="CJ463" s="38" t="str">
        <f t="shared" si="84"/>
        <v/>
      </c>
      <c r="CK463" s="38" t="str">
        <f t="shared" si="85"/>
        <v/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>موقت - اطلاعات ناقص</v>
      </c>
      <c r="CN463" s="38">
        <v>3</v>
      </c>
      <c r="CO463" s="28">
        <f t="shared" si="87"/>
        <v>0.65217391304347827</v>
      </c>
      <c r="CP463" s="58"/>
    </row>
    <row r="464" spans="1:94" hidden="1">
      <c r="A464" s="33">
        <v>460</v>
      </c>
      <c r="B464" s="55" t="s">
        <v>186</v>
      </c>
      <c r="C464" s="55">
        <f>IF(دانش‌آموزان!E43="","",دانش‌آموزان!B43)</f>
        <v>39</v>
      </c>
      <c r="D464" s="55" t="str">
        <f>IF(دانش‌آموزان!C43="","",دانش‌آموزان!C43)</f>
        <v>0960600620</v>
      </c>
      <c r="E464" s="55" t="str">
        <f>IF(دانش‌آموزان!E43="","",دانش‌آموزان!E43&amp;" "&amp;دانش‌آموزان!F43)</f>
        <v>فرزاد آرازش</v>
      </c>
      <c r="F464" s="34">
        <f>IF(دانش‌آموزان!I43="","",دانش‌آموزان!I43)</f>
        <v>802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idden="1">
      <c r="A465" s="33">
        <v>461</v>
      </c>
      <c r="B465" s="55" t="s">
        <v>187</v>
      </c>
      <c r="C465" s="55">
        <f>IF(دانش‌آموزان!E43="","",دانش‌آموزان!B43)</f>
        <v>39</v>
      </c>
      <c r="D465" s="55" t="str">
        <f>IF(دانش‌آموزان!C43="","",دانش‌آموزان!C43)</f>
        <v>0960600620</v>
      </c>
      <c r="E465" s="55" t="str">
        <f>IF(دانش‌آموزان!E43="","",دانش‌آموزان!E43&amp;" "&amp;دانش‌آموزان!F43)</f>
        <v>فرزاد آرازش</v>
      </c>
      <c r="F465" s="34">
        <f>IF(دانش‌آموزان!I43="","",دانش‌آموزان!I43)</f>
        <v>802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idden="1">
      <c r="A466" s="33">
        <v>462</v>
      </c>
      <c r="B466" s="55" t="s">
        <v>188</v>
      </c>
      <c r="C466" s="55">
        <f>IF(دانش‌آموزان!E43="","",دانش‌آموزان!B43)</f>
        <v>39</v>
      </c>
      <c r="D466" s="55" t="str">
        <f>IF(دانش‌آموزان!C43="","",دانش‌آموزان!C43)</f>
        <v>0960600620</v>
      </c>
      <c r="E466" s="55" t="str">
        <f>IF(دانش‌آموزان!E43="","",دانش‌آموزان!E43&amp;" "&amp;دانش‌آموزان!F43)</f>
        <v>فرزاد آرازش</v>
      </c>
      <c r="F466" s="34">
        <f>IF(دانش‌آموزان!I43="","",دانش‌آموزان!I43)</f>
        <v>802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idden="1">
      <c r="A467" s="33">
        <v>463</v>
      </c>
      <c r="B467" s="55" t="s">
        <v>189</v>
      </c>
      <c r="C467" s="55">
        <f>IF(دانش‌آموزان!E43="","",دانش‌آموزان!B43)</f>
        <v>39</v>
      </c>
      <c r="D467" s="55" t="str">
        <f>IF(دانش‌آموزان!C43="","",دانش‌آموزان!C43)</f>
        <v>0960600620</v>
      </c>
      <c r="E467" s="55" t="str">
        <f>IF(دانش‌آموزان!E43="","",دانش‌آموزان!E43&amp;" "&amp;دانش‌آموزان!F43)</f>
        <v>فرزاد آرازش</v>
      </c>
      <c r="F467" s="34">
        <f>IF(دانش‌آموزان!I43="","",دانش‌آموزان!I43)</f>
        <v>802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idden="1">
      <c r="A468" s="33">
        <v>464</v>
      </c>
      <c r="B468" s="55" t="s">
        <v>190</v>
      </c>
      <c r="C468" s="55">
        <f>IF(دانش‌آموزان!E43="","",دانش‌آموزان!B43)</f>
        <v>39</v>
      </c>
      <c r="D468" s="55" t="str">
        <f>IF(دانش‌آموزان!C43="","",دانش‌آموزان!C43)</f>
        <v>0960600620</v>
      </c>
      <c r="E468" s="55" t="str">
        <f>IF(دانش‌آموزان!E43="","",دانش‌آموزان!E43&amp;" "&amp;دانش‌آموزان!F43)</f>
        <v>فرزاد آرازش</v>
      </c>
      <c r="F468" s="34">
        <f>IF(دانش‌آموزان!I43="","",دانش‌آموزان!I43)</f>
        <v>802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idden="1">
      <c r="A469" s="33">
        <v>465</v>
      </c>
      <c r="B469" s="55" t="s">
        <v>191</v>
      </c>
      <c r="C469" s="55">
        <f>IF(دانش‌آموزان!E43="","",دانش‌آموزان!B43)</f>
        <v>39</v>
      </c>
      <c r="D469" s="55" t="str">
        <f>IF(دانش‌آموزان!C43="","",دانش‌آموزان!C43)</f>
        <v>0960600620</v>
      </c>
      <c r="E469" s="55" t="str">
        <f>IF(دانش‌آموزان!E43="","",دانش‌آموزان!E43&amp;" "&amp;دانش‌آموزان!F43)</f>
        <v>فرزاد آرازش</v>
      </c>
      <c r="F469" s="34">
        <f>IF(دانش‌آموزان!I43="","",دانش‌آموزان!I43)</f>
        <v>802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idden="1">
      <c r="A470" s="33">
        <v>466</v>
      </c>
      <c r="B470" s="55" t="s">
        <v>192</v>
      </c>
      <c r="C470" s="55">
        <f>IF(دانش‌آموزان!E43="","",دانش‌آموزان!B43)</f>
        <v>39</v>
      </c>
      <c r="D470" s="55" t="str">
        <f>IF(دانش‌آموزان!C43="","",دانش‌آموزان!C43)</f>
        <v>0960600620</v>
      </c>
      <c r="E470" s="55" t="str">
        <f>IF(دانش‌آموزان!E43="","",دانش‌آموزان!E43&amp;" "&amp;دانش‌آموزان!F43)</f>
        <v>فرزاد آرازش</v>
      </c>
      <c r="F470" s="34">
        <f>IF(دانش‌آموزان!I43="","",دانش‌آموزان!I43)</f>
        <v>802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idden="1">
      <c r="A471" s="33">
        <v>467</v>
      </c>
      <c r="B471" s="55" t="s">
        <v>193</v>
      </c>
      <c r="C471" s="55">
        <f>IF(دانش‌آموزان!E43="","",دانش‌آموزان!B43)</f>
        <v>39</v>
      </c>
      <c r="D471" s="55" t="str">
        <f>IF(دانش‌آموزان!C43="","",دانش‌آموزان!C43)</f>
        <v>0960600620</v>
      </c>
      <c r="E471" s="55" t="str">
        <f>IF(دانش‌آموزان!E43="","",دانش‌آموزان!E43&amp;" "&amp;دانش‌آموزان!F43)</f>
        <v>فرزاد آرازش</v>
      </c>
      <c r="F471" s="34">
        <f>IF(دانش‌آموزان!I43="","",دانش‌آموزان!I43)</f>
        <v>802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idden="1">
      <c r="A472" s="33">
        <v>468</v>
      </c>
      <c r="B472" s="55" t="s">
        <v>194</v>
      </c>
      <c r="C472" s="55">
        <f>IF(دانش‌آموزان!E43="","",دانش‌آموزان!B43)</f>
        <v>39</v>
      </c>
      <c r="D472" s="55" t="str">
        <f>IF(دانش‌آموزان!C43="","",دانش‌آموزان!C43)</f>
        <v>0960600620</v>
      </c>
      <c r="E472" s="55" t="str">
        <f>IF(دانش‌آموزان!E43="","",دانش‌آموزان!E43&amp;" "&amp;دانش‌آموزان!F43)</f>
        <v>فرزاد آرازش</v>
      </c>
      <c r="F472" s="34">
        <f>IF(دانش‌آموزان!I43="","",دانش‌آموزان!I43)</f>
        <v>802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idden="1">
      <c r="A473" s="33">
        <v>469</v>
      </c>
      <c r="B473" s="55" t="s">
        <v>183</v>
      </c>
      <c r="C473" s="55">
        <f>IF(دانش‌آموزان!E44="","",دانش‌آموزان!B44)</f>
        <v>40</v>
      </c>
      <c r="D473" s="55" t="str">
        <f>IF(دانش‌آموزان!C44="","",دانش‌آموزان!C44)</f>
        <v>0960472606</v>
      </c>
      <c r="E473" s="55" t="str">
        <f>IF(دانش‌آموزان!E44="","",دانش‌آموزان!E44&amp;" "&amp;دانش‌آموزان!F44)</f>
        <v>اميرعلي بابائي</v>
      </c>
      <c r="F473" s="34">
        <f>IF(دانش‌آموزان!I44="","",دانش‌آموزان!I44)</f>
        <v>802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idden="1">
      <c r="A474" s="33">
        <v>470</v>
      </c>
      <c r="B474" s="55" t="s">
        <v>184</v>
      </c>
      <c r="C474" s="55">
        <f>IF(دانش‌آموزان!E44="","",دانش‌آموزان!B44)</f>
        <v>40</v>
      </c>
      <c r="D474" s="55" t="str">
        <f>IF(دانش‌آموزان!C44="","",دانش‌آموزان!C44)</f>
        <v>0960472606</v>
      </c>
      <c r="E474" s="55" t="str">
        <f>IF(دانش‌آموزان!E44="","",دانش‌آموزان!E44&amp;" "&amp;دانش‌آموزان!F44)</f>
        <v>اميرعلي بابائي</v>
      </c>
      <c r="F474" s="34">
        <f>IF(دانش‌آموزان!I44="","",دانش‌آموزان!I44)</f>
        <v>802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>
      <c r="A475" s="33">
        <v>471</v>
      </c>
      <c r="B475" s="55" t="s">
        <v>185</v>
      </c>
      <c r="C475" s="55">
        <f>IF(دانش‌آموزان!E44="","",دانش‌آموزان!B44)</f>
        <v>40</v>
      </c>
      <c r="D475" s="55" t="str">
        <f>IF(دانش‌آموزان!C44="","",دانش‌آموزان!C44)</f>
        <v>0960472606</v>
      </c>
      <c r="E475" s="55" t="str">
        <f>IF(دانش‌آموزان!E44="","",دانش‌آموزان!E44&amp;" "&amp;دانش‌آموزان!F44)</f>
        <v>اميرعلي بابائي</v>
      </c>
      <c r="F475" s="34">
        <f>IF(دانش‌آموزان!I44="","",دانش‌آموزان!I44)</f>
        <v>802</v>
      </c>
      <c r="G475" s="19">
        <v>18.850000000000001</v>
      </c>
      <c r="H475" s="20">
        <v>-6.8500000000000014</v>
      </c>
      <c r="I475" s="20">
        <v>5</v>
      </c>
      <c r="J475" s="20">
        <v>5</v>
      </c>
      <c r="K475" s="20">
        <v>5</v>
      </c>
      <c r="L475" s="20">
        <v>5</v>
      </c>
      <c r="M475" s="20">
        <v>5</v>
      </c>
      <c r="N475" s="20">
        <v>5</v>
      </c>
      <c r="O475" s="20">
        <v>5</v>
      </c>
      <c r="P475" s="20">
        <v>5</v>
      </c>
      <c r="Q475" s="20">
        <v>5</v>
      </c>
      <c r="R475" s="20">
        <v>5</v>
      </c>
      <c r="S475" s="20">
        <v>5</v>
      </c>
      <c r="T475" s="20">
        <v>5</v>
      </c>
      <c r="U475" s="20">
        <v>5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5</v>
      </c>
      <c r="AB475" s="20">
        <v>5</v>
      </c>
      <c r="AC475" s="20">
        <v>5</v>
      </c>
      <c r="AD475" s="20" t="s">
        <v>371</v>
      </c>
      <c r="AE475" s="20" t="s">
        <v>371</v>
      </c>
      <c r="AF475" s="20" t="s">
        <v>371</v>
      </c>
      <c r="AG475" s="20" t="s">
        <v>371</v>
      </c>
      <c r="AH475" s="20" t="s">
        <v>371</v>
      </c>
      <c r="AI475" s="20" t="s">
        <v>371</v>
      </c>
      <c r="AJ475" s="20">
        <v>5</v>
      </c>
      <c r="AK475" s="20">
        <v>5</v>
      </c>
      <c r="AL475" s="20">
        <v>5</v>
      </c>
      <c r="AM475" s="20">
        <v>5</v>
      </c>
      <c r="AN475" s="20">
        <v>5</v>
      </c>
      <c r="AO475" s="20">
        <v>5</v>
      </c>
      <c r="AP475" s="20">
        <v>5</v>
      </c>
      <c r="AQ475" s="20" t="s">
        <v>371</v>
      </c>
      <c r="AR475" s="20" t="s">
        <v>371</v>
      </c>
      <c r="AS475" s="20" t="s">
        <v>371</v>
      </c>
      <c r="AT475" s="20" t="s">
        <v>371</v>
      </c>
      <c r="AU475" s="20" t="s">
        <v>371</v>
      </c>
      <c r="AV475" s="20" t="s">
        <v>371</v>
      </c>
      <c r="AW475" s="20" t="s">
        <v>371</v>
      </c>
      <c r="AX475" s="20" t="s">
        <v>371</v>
      </c>
      <c r="AY475" s="20" t="s">
        <v>371</v>
      </c>
      <c r="AZ475" s="20" t="s">
        <v>371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 t="shared" si="77"/>
        <v>21</v>
      </c>
      <c r="CD475" s="38">
        <f t="shared" si="78"/>
        <v>20</v>
      </c>
      <c r="CE475" s="38">
        <f t="shared" si="79"/>
        <v>20</v>
      </c>
      <c r="CF475" s="38">
        <f t="shared" si="80"/>
        <v>20</v>
      </c>
      <c r="CG475" s="38">
        <f t="shared" si="81"/>
        <v>20</v>
      </c>
      <c r="CH475" s="38" t="str">
        <f t="shared" si="82"/>
        <v/>
      </c>
      <c r="CI475" s="38">
        <f t="shared" si="83"/>
        <v>20</v>
      </c>
      <c r="CJ475" s="38" t="str">
        <f t="shared" si="84"/>
        <v/>
      </c>
      <c r="CK475" s="38" t="str">
        <f t="shared" si="85"/>
        <v/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>موقت - اطلاعات ناقص</v>
      </c>
      <c r="CN475" s="38">
        <v>3</v>
      </c>
      <c r="CO475" s="28">
        <f t="shared" si="87"/>
        <v>0.65217391304347827</v>
      </c>
      <c r="CP475" s="58"/>
    </row>
    <row r="476" spans="1:94" hidden="1">
      <c r="A476" s="33">
        <v>472</v>
      </c>
      <c r="B476" s="55" t="s">
        <v>186</v>
      </c>
      <c r="C476" s="55">
        <f>IF(دانش‌آموزان!E44="","",دانش‌آموزان!B44)</f>
        <v>40</v>
      </c>
      <c r="D476" s="55" t="str">
        <f>IF(دانش‌آموزان!C44="","",دانش‌آموزان!C44)</f>
        <v>0960472606</v>
      </c>
      <c r="E476" s="55" t="str">
        <f>IF(دانش‌آموزان!E44="","",دانش‌آموزان!E44&amp;" "&amp;دانش‌آموزان!F44)</f>
        <v>اميرعلي بابائي</v>
      </c>
      <c r="F476" s="34">
        <f>IF(دانش‌آموزان!I44="","",دانش‌آموزان!I44)</f>
        <v>802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idden="1">
      <c r="A477" s="33">
        <v>473</v>
      </c>
      <c r="B477" s="55" t="s">
        <v>187</v>
      </c>
      <c r="C477" s="55">
        <f>IF(دانش‌آموزان!E44="","",دانش‌آموزان!B44)</f>
        <v>40</v>
      </c>
      <c r="D477" s="55" t="str">
        <f>IF(دانش‌آموزان!C44="","",دانش‌آموزان!C44)</f>
        <v>0960472606</v>
      </c>
      <c r="E477" s="55" t="str">
        <f>IF(دانش‌آموزان!E44="","",دانش‌آموزان!E44&amp;" "&amp;دانش‌آموزان!F44)</f>
        <v>اميرعلي بابائي</v>
      </c>
      <c r="F477" s="34">
        <f>IF(دانش‌آموزان!I44="","",دانش‌آموزان!I44)</f>
        <v>802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idden="1">
      <c r="A478" s="33">
        <v>474</v>
      </c>
      <c r="B478" s="55" t="s">
        <v>188</v>
      </c>
      <c r="C478" s="55">
        <f>IF(دانش‌آموزان!E44="","",دانش‌آموزان!B44)</f>
        <v>40</v>
      </c>
      <c r="D478" s="55" t="str">
        <f>IF(دانش‌آموزان!C44="","",دانش‌آموزان!C44)</f>
        <v>0960472606</v>
      </c>
      <c r="E478" s="55" t="str">
        <f>IF(دانش‌آموزان!E44="","",دانش‌آموزان!E44&amp;" "&amp;دانش‌آموزان!F44)</f>
        <v>اميرعلي بابائي</v>
      </c>
      <c r="F478" s="34">
        <f>IF(دانش‌آموزان!I44="","",دانش‌آموزان!I44)</f>
        <v>802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idden="1">
      <c r="A479" s="33">
        <v>475</v>
      </c>
      <c r="B479" s="55" t="s">
        <v>189</v>
      </c>
      <c r="C479" s="55">
        <f>IF(دانش‌آموزان!E44="","",دانش‌آموزان!B44)</f>
        <v>40</v>
      </c>
      <c r="D479" s="55" t="str">
        <f>IF(دانش‌آموزان!C44="","",دانش‌آموزان!C44)</f>
        <v>0960472606</v>
      </c>
      <c r="E479" s="55" t="str">
        <f>IF(دانش‌آموزان!E44="","",دانش‌آموزان!E44&amp;" "&amp;دانش‌آموزان!F44)</f>
        <v>اميرعلي بابائي</v>
      </c>
      <c r="F479" s="34">
        <f>IF(دانش‌آموزان!I44="","",دانش‌آموزان!I44)</f>
        <v>802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idden="1">
      <c r="A480" s="33">
        <v>476</v>
      </c>
      <c r="B480" s="55" t="s">
        <v>190</v>
      </c>
      <c r="C480" s="55">
        <f>IF(دانش‌آموزان!E44="","",دانش‌آموزان!B44)</f>
        <v>40</v>
      </c>
      <c r="D480" s="55" t="str">
        <f>IF(دانش‌آموزان!C44="","",دانش‌آموزان!C44)</f>
        <v>0960472606</v>
      </c>
      <c r="E480" s="55" t="str">
        <f>IF(دانش‌آموزان!E44="","",دانش‌آموزان!E44&amp;" "&amp;دانش‌آموزان!F44)</f>
        <v>اميرعلي بابائي</v>
      </c>
      <c r="F480" s="34">
        <f>IF(دانش‌آموزان!I44="","",دانش‌آموزان!I44)</f>
        <v>802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idden="1">
      <c r="A481" s="33">
        <v>477</v>
      </c>
      <c r="B481" s="55" t="s">
        <v>191</v>
      </c>
      <c r="C481" s="55">
        <f>IF(دانش‌آموزان!E44="","",دانش‌آموزان!B44)</f>
        <v>40</v>
      </c>
      <c r="D481" s="55" t="str">
        <f>IF(دانش‌آموزان!C44="","",دانش‌آموزان!C44)</f>
        <v>0960472606</v>
      </c>
      <c r="E481" s="55" t="str">
        <f>IF(دانش‌آموزان!E44="","",دانش‌آموزان!E44&amp;" "&amp;دانش‌آموزان!F44)</f>
        <v>اميرعلي بابائي</v>
      </c>
      <c r="F481" s="34">
        <f>IF(دانش‌آموزان!I44="","",دانش‌آموزان!I44)</f>
        <v>802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idden="1">
      <c r="A482" s="33">
        <v>478</v>
      </c>
      <c r="B482" s="55" t="s">
        <v>192</v>
      </c>
      <c r="C482" s="55">
        <f>IF(دانش‌آموزان!E44="","",دانش‌آموزان!B44)</f>
        <v>40</v>
      </c>
      <c r="D482" s="55" t="str">
        <f>IF(دانش‌آموزان!C44="","",دانش‌آموزان!C44)</f>
        <v>0960472606</v>
      </c>
      <c r="E482" s="55" t="str">
        <f>IF(دانش‌آموزان!E44="","",دانش‌آموزان!E44&amp;" "&amp;دانش‌آموزان!F44)</f>
        <v>اميرعلي بابائي</v>
      </c>
      <c r="F482" s="34">
        <f>IF(دانش‌آموزان!I44="","",دانش‌آموزان!I44)</f>
        <v>802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idden="1">
      <c r="A483" s="33">
        <v>479</v>
      </c>
      <c r="B483" s="55" t="s">
        <v>193</v>
      </c>
      <c r="C483" s="55">
        <f>IF(دانش‌آموزان!E44="","",دانش‌آموزان!B44)</f>
        <v>40</v>
      </c>
      <c r="D483" s="55" t="str">
        <f>IF(دانش‌آموزان!C44="","",دانش‌آموزان!C44)</f>
        <v>0960472606</v>
      </c>
      <c r="E483" s="55" t="str">
        <f>IF(دانش‌آموزان!E44="","",دانش‌آموزان!E44&amp;" "&amp;دانش‌آموزان!F44)</f>
        <v>اميرعلي بابائي</v>
      </c>
      <c r="F483" s="34">
        <f>IF(دانش‌آموزان!I44="","",دانش‌آموزان!I44)</f>
        <v>802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idden="1">
      <c r="A484" s="33">
        <v>480</v>
      </c>
      <c r="B484" s="55" t="s">
        <v>194</v>
      </c>
      <c r="C484" s="55">
        <f>IF(دانش‌آموزان!E44="","",دانش‌آموزان!B44)</f>
        <v>40</v>
      </c>
      <c r="D484" s="55" t="str">
        <f>IF(دانش‌آموزان!C44="","",دانش‌آموزان!C44)</f>
        <v>0960472606</v>
      </c>
      <c r="E484" s="55" t="str">
        <f>IF(دانش‌آموزان!E44="","",دانش‌آموزان!E44&amp;" "&amp;دانش‌آموزان!F44)</f>
        <v>اميرعلي بابائي</v>
      </c>
      <c r="F484" s="34">
        <f>IF(دانش‌آموزان!I44="","",دانش‌آموزان!I44)</f>
        <v>802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idden="1">
      <c r="A485" s="33">
        <v>481</v>
      </c>
      <c r="B485" s="55" t="s">
        <v>183</v>
      </c>
      <c r="C485" s="55">
        <f>IF(دانش‌آموزان!E45="","",دانش‌آموزان!B45)</f>
        <v>41</v>
      </c>
      <c r="D485" s="55" t="str">
        <f>IF(دانش‌آموزان!C45="","",دانش‌آموزان!C45)</f>
        <v>0960516697</v>
      </c>
      <c r="E485" s="55" t="str">
        <f>IF(دانش‌آموزان!E45="","",دانش‌آموزان!E45&amp;" "&amp;دانش‌آموزان!F45)</f>
        <v>كسرا برزگر</v>
      </c>
      <c r="F485" s="34">
        <f>IF(دانش‌آموزان!I45="","",دانش‌آموزان!I45)</f>
        <v>802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idden="1">
      <c r="A486" s="33">
        <v>482</v>
      </c>
      <c r="B486" s="55" t="s">
        <v>184</v>
      </c>
      <c r="C486" s="55">
        <f>IF(دانش‌آموزان!E45="","",دانش‌آموزان!B45)</f>
        <v>41</v>
      </c>
      <c r="D486" s="55" t="str">
        <f>IF(دانش‌آموزان!C45="","",دانش‌آموزان!C45)</f>
        <v>0960516697</v>
      </c>
      <c r="E486" s="55" t="str">
        <f>IF(دانش‌آموزان!E45="","",دانش‌آموزان!E45&amp;" "&amp;دانش‌آموزان!F45)</f>
        <v>كسرا برزگر</v>
      </c>
      <c r="F486" s="34">
        <f>IF(دانش‌آموزان!I45="","",دانش‌آموزان!I45)</f>
        <v>802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>
      <c r="A487" s="33">
        <v>483</v>
      </c>
      <c r="B487" s="55" t="s">
        <v>185</v>
      </c>
      <c r="C487" s="55">
        <f>IF(دانش‌آموزان!E45="","",دانش‌آموزان!B45)</f>
        <v>41</v>
      </c>
      <c r="D487" s="55" t="str">
        <f>IF(دانش‌آموزان!C45="","",دانش‌آموزان!C45)</f>
        <v>0960516697</v>
      </c>
      <c r="E487" s="55" t="str">
        <f>IF(دانش‌آموزان!E45="","",دانش‌آموزان!E45&amp;" "&amp;دانش‌آموزان!F45)</f>
        <v>كسرا برزگر</v>
      </c>
      <c r="F487" s="34">
        <f>IF(دانش‌آموزان!I45="","",دانش‌آموزان!I45)</f>
        <v>802</v>
      </c>
      <c r="G487" s="19">
        <v>19.760000000000002</v>
      </c>
      <c r="H487" s="20">
        <v>-9.7600000000000016</v>
      </c>
      <c r="I487" s="20">
        <v>5</v>
      </c>
      <c r="J487" s="20">
        <v>5</v>
      </c>
      <c r="K487" s="20">
        <v>5</v>
      </c>
      <c r="L487" s="20">
        <v>5</v>
      </c>
      <c r="M487" s="20">
        <v>5</v>
      </c>
      <c r="N487" s="20">
        <v>5</v>
      </c>
      <c r="O487" s="20">
        <v>5</v>
      </c>
      <c r="P487" s="20">
        <v>5</v>
      </c>
      <c r="Q487" s="20">
        <v>5</v>
      </c>
      <c r="R487" s="20">
        <v>5</v>
      </c>
      <c r="S487" s="20">
        <v>5</v>
      </c>
      <c r="T487" s="20">
        <v>5</v>
      </c>
      <c r="U487" s="20">
        <v>5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5</v>
      </c>
      <c r="AB487" s="20">
        <v>5</v>
      </c>
      <c r="AC487" s="20">
        <v>5</v>
      </c>
      <c r="AD487" s="20" t="s">
        <v>371</v>
      </c>
      <c r="AE487" s="20" t="s">
        <v>371</v>
      </c>
      <c r="AF487" s="20" t="s">
        <v>371</v>
      </c>
      <c r="AG487" s="20" t="s">
        <v>371</v>
      </c>
      <c r="AH487" s="20" t="s">
        <v>371</v>
      </c>
      <c r="AI487" s="20" t="s">
        <v>371</v>
      </c>
      <c r="AJ487" s="20">
        <v>5</v>
      </c>
      <c r="AK487" s="20">
        <v>5</v>
      </c>
      <c r="AL487" s="20">
        <v>5</v>
      </c>
      <c r="AM487" s="20">
        <v>5</v>
      </c>
      <c r="AN487" s="20">
        <v>5</v>
      </c>
      <c r="AO487" s="20">
        <v>5</v>
      </c>
      <c r="AP487" s="20">
        <v>5</v>
      </c>
      <c r="AQ487" s="20" t="s">
        <v>371</v>
      </c>
      <c r="AR487" s="20" t="s">
        <v>371</v>
      </c>
      <c r="AS487" s="20" t="s">
        <v>371</v>
      </c>
      <c r="AT487" s="20" t="s">
        <v>371</v>
      </c>
      <c r="AU487" s="20" t="s">
        <v>371</v>
      </c>
      <c r="AV487" s="20" t="s">
        <v>371</v>
      </c>
      <c r="AW487" s="20" t="s">
        <v>371</v>
      </c>
      <c r="AX487" s="20" t="s">
        <v>371</v>
      </c>
      <c r="AY487" s="20" t="s">
        <v>371</v>
      </c>
      <c r="AZ487" s="20" t="s">
        <v>371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77"/>
        <v>20</v>
      </c>
      <c r="CD487" s="38">
        <f t="shared" si="78"/>
        <v>20</v>
      </c>
      <c r="CE487" s="38">
        <f t="shared" si="79"/>
        <v>20</v>
      </c>
      <c r="CF487" s="38">
        <f t="shared" si="80"/>
        <v>20</v>
      </c>
      <c r="CG487" s="38">
        <f t="shared" si="81"/>
        <v>20</v>
      </c>
      <c r="CH487" s="38" t="str">
        <f t="shared" si="82"/>
        <v/>
      </c>
      <c r="CI487" s="38">
        <f t="shared" si="83"/>
        <v>20</v>
      </c>
      <c r="CJ487" s="38" t="str">
        <f t="shared" si="84"/>
        <v/>
      </c>
      <c r="CK487" s="38" t="str">
        <f t="shared" si="85"/>
        <v/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>موقت - اطلاعات ناقص</v>
      </c>
      <c r="CN487" s="38">
        <v>3</v>
      </c>
      <c r="CO487" s="28">
        <f t="shared" si="87"/>
        <v>0.65217391304347827</v>
      </c>
      <c r="CP487" s="58"/>
    </row>
    <row r="488" spans="1:94" hidden="1">
      <c r="A488" s="33">
        <v>484</v>
      </c>
      <c r="B488" s="55" t="s">
        <v>186</v>
      </c>
      <c r="C488" s="55">
        <f>IF(دانش‌آموزان!E45="","",دانش‌آموزان!B45)</f>
        <v>41</v>
      </c>
      <c r="D488" s="55" t="str">
        <f>IF(دانش‌آموزان!C45="","",دانش‌آموزان!C45)</f>
        <v>0960516697</v>
      </c>
      <c r="E488" s="55" t="str">
        <f>IF(دانش‌آموزان!E45="","",دانش‌آموزان!E45&amp;" "&amp;دانش‌آموزان!F45)</f>
        <v>كسرا برزگر</v>
      </c>
      <c r="F488" s="34">
        <f>IF(دانش‌آموزان!I45="","",دانش‌آموزان!I45)</f>
        <v>802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idden="1">
      <c r="A489" s="33">
        <v>485</v>
      </c>
      <c r="B489" s="55" t="s">
        <v>187</v>
      </c>
      <c r="C489" s="55">
        <f>IF(دانش‌آموزان!E45="","",دانش‌آموزان!B45)</f>
        <v>41</v>
      </c>
      <c r="D489" s="55" t="str">
        <f>IF(دانش‌آموزان!C45="","",دانش‌آموزان!C45)</f>
        <v>0960516697</v>
      </c>
      <c r="E489" s="55" t="str">
        <f>IF(دانش‌آموزان!E45="","",دانش‌آموزان!E45&amp;" "&amp;دانش‌آموزان!F45)</f>
        <v>كسرا برزگر</v>
      </c>
      <c r="F489" s="34">
        <f>IF(دانش‌آموزان!I45="","",دانش‌آموزان!I45)</f>
        <v>802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idden="1">
      <c r="A490" s="33">
        <v>486</v>
      </c>
      <c r="B490" s="55" t="s">
        <v>188</v>
      </c>
      <c r="C490" s="55">
        <f>IF(دانش‌آموزان!E45="","",دانش‌آموزان!B45)</f>
        <v>41</v>
      </c>
      <c r="D490" s="55" t="str">
        <f>IF(دانش‌آموزان!C45="","",دانش‌آموزان!C45)</f>
        <v>0960516697</v>
      </c>
      <c r="E490" s="55" t="str">
        <f>IF(دانش‌آموزان!E45="","",دانش‌آموزان!E45&amp;" "&amp;دانش‌آموزان!F45)</f>
        <v>كسرا برزگر</v>
      </c>
      <c r="F490" s="34">
        <f>IF(دانش‌آموزان!I45="","",دانش‌آموزان!I45)</f>
        <v>802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idden="1">
      <c r="A491" s="33">
        <v>487</v>
      </c>
      <c r="B491" s="55" t="s">
        <v>189</v>
      </c>
      <c r="C491" s="55">
        <f>IF(دانش‌آموزان!E45="","",دانش‌آموزان!B45)</f>
        <v>41</v>
      </c>
      <c r="D491" s="55" t="str">
        <f>IF(دانش‌آموزان!C45="","",دانش‌آموزان!C45)</f>
        <v>0960516697</v>
      </c>
      <c r="E491" s="55" t="str">
        <f>IF(دانش‌آموزان!E45="","",دانش‌آموزان!E45&amp;" "&amp;دانش‌آموزان!F45)</f>
        <v>كسرا برزگر</v>
      </c>
      <c r="F491" s="34">
        <f>IF(دانش‌آموزان!I45="","",دانش‌آموزان!I45)</f>
        <v>802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idden="1">
      <c r="A492" s="33">
        <v>488</v>
      </c>
      <c r="B492" s="55" t="s">
        <v>190</v>
      </c>
      <c r="C492" s="55">
        <f>IF(دانش‌آموزان!E45="","",دانش‌آموزان!B45)</f>
        <v>41</v>
      </c>
      <c r="D492" s="55" t="str">
        <f>IF(دانش‌آموزان!C45="","",دانش‌آموزان!C45)</f>
        <v>0960516697</v>
      </c>
      <c r="E492" s="55" t="str">
        <f>IF(دانش‌آموزان!E45="","",دانش‌آموزان!E45&amp;" "&amp;دانش‌آموزان!F45)</f>
        <v>كسرا برزگر</v>
      </c>
      <c r="F492" s="34">
        <f>IF(دانش‌آموزان!I45="","",دانش‌آموزان!I45)</f>
        <v>802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idden="1">
      <c r="A493" s="33">
        <v>489</v>
      </c>
      <c r="B493" s="55" t="s">
        <v>191</v>
      </c>
      <c r="C493" s="55">
        <f>IF(دانش‌آموزان!E45="","",دانش‌آموزان!B45)</f>
        <v>41</v>
      </c>
      <c r="D493" s="55" t="str">
        <f>IF(دانش‌آموزان!C45="","",دانش‌آموزان!C45)</f>
        <v>0960516697</v>
      </c>
      <c r="E493" s="55" t="str">
        <f>IF(دانش‌آموزان!E45="","",دانش‌آموزان!E45&amp;" "&amp;دانش‌آموزان!F45)</f>
        <v>كسرا برزگر</v>
      </c>
      <c r="F493" s="34">
        <f>IF(دانش‌آموزان!I45="","",دانش‌آموزان!I45)</f>
        <v>802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idden="1">
      <c r="A494" s="33">
        <v>490</v>
      </c>
      <c r="B494" s="55" t="s">
        <v>192</v>
      </c>
      <c r="C494" s="55">
        <f>IF(دانش‌آموزان!E45="","",دانش‌آموزان!B45)</f>
        <v>41</v>
      </c>
      <c r="D494" s="55" t="str">
        <f>IF(دانش‌آموزان!C45="","",دانش‌آموزان!C45)</f>
        <v>0960516697</v>
      </c>
      <c r="E494" s="55" t="str">
        <f>IF(دانش‌آموزان!E45="","",دانش‌آموزان!E45&amp;" "&amp;دانش‌آموزان!F45)</f>
        <v>كسرا برزگر</v>
      </c>
      <c r="F494" s="34">
        <f>IF(دانش‌آموزان!I45="","",دانش‌آموزان!I45)</f>
        <v>802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idden="1">
      <c r="A495" s="33">
        <v>491</v>
      </c>
      <c r="B495" s="55" t="s">
        <v>193</v>
      </c>
      <c r="C495" s="55">
        <f>IF(دانش‌آموزان!E45="","",دانش‌آموزان!B45)</f>
        <v>41</v>
      </c>
      <c r="D495" s="55" t="str">
        <f>IF(دانش‌آموزان!C45="","",دانش‌آموزان!C45)</f>
        <v>0960516697</v>
      </c>
      <c r="E495" s="55" t="str">
        <f>IF(دانش‌آموزان!E45="","",دانش‌آموزان!E45&amp;" "&amp;دانش‌آموزان!F45)</f>
        <v>كسرا برزگر</v>
      </c>
      <c r="F495" s="34">
        <f>IF(دانش‌آموزان!I45="","",دانش‌آموزان!I45)</f>
        <v>802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idden="1">
      <c r="A496" s="33">
        <v>492</v>
      </c>
      <c r="B496" s="55" t="s">
        <v>194</v>
      </c>
      <c r="C496" s="55">
        <f>IF(دانش‌آموزان!E45="","",دانش‌آموزان!B45)</f>
        <v>41</v>
      </c>
      <c r="D496" s="55" t="str">
        <f>IF(دانش‌آموزان!C45="","",دانش‌آموزان!C45)</f>
        <v>0960516697</v>
      </c>
      <c r="E496" s="55" t="str">
        <f>IF(دانش‌آموزان!E45="","",دانش‌آموزان!E45&amp;" "&amp;دانش‌آموزان!F45)</f>
        <v>كسرا برزگر</v>
      </c>
      <c r="F496" s="34">
        <f>IF(دانش‌آموزان!I45="","",دانش‌آموزان!I45)</f>
        <v>802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idden="1">
      <c r="A497" s="33">
        <v>493</v>
      </c>
      <c r="B497" s="55" t="s">
        <v>183</v>
      </c>
      <c r="C497" s="55">
        <f>IF(دانش‌آموزان!E46="","",دانش‌آموزان!B46)</f>
        <v>42</v>
      </c>
      <c r="D497" s="55" t="str">
        <f>IF(دانش‌آموزان!C46="","",دانش‌آموزان!C46)</f>
        <v>0960527303</v>
      </c>
      <c r="E497" s="55" t="str">
        <f>IF(دانش‌آموزان!E46="","",دانش‌آموزان!E46&amp;" "&amp;دانش‌آموزان!F46)</f>
        <v>باربد بلندي</v>
      </c>
      <c r="F497" s="34">
        <f>IF(دانش‌آموزان!I46="","",دانش‌آموزان!I46)</f>
        <v>802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idden="1">
      <c r="A498" s="33">
        <v>494</v>
      </c>
      <c r="B498" s="55" t="s">
        <v>184</v>
      </c>
      <c r="C498" s="55">
        <f>IF(دانش‌آموزان!E46="","",دانش‌آموزان!B46)</f>
        <v>42</v>
      </c>
      <c r="D498" s="55" t="str">
        <f>IF(دانش‌آموزان!C46="","",دانش‌آموزان!C46)</f>
        <v>0960527303</v>
      </c>
      <c r="E498" s="55" t="str">
        <f>IF(دانش‌آموزان!E46="","",دانش‌آموزان!E46&amp;" "&amp;دانش‌آموزان!F46)</f>
        <v>باربد بلندي</v>
      </c>
      <c r="F498" s="34">
        <f>IF(دانش‌آموزان!I46="","",دانش‌آموزان!I46)</f>
        <v>802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>
      <c r="A499" s="33">
        <v>495</v>
      </c>
      <c r="B499" s="55" t="s">
        <v>185</v>
      </c>
      <c r="C499" s="55">
        <f>IF(دانش‌آموزان!E46="","",دانش‌آموزان!B46)</f>
        <v>42</v>
      </c>
      <c r="D499" s="55" t="str">
        <f>IF(دانش‌آموزان!C46="","",دانش‌آموزان!C46)</f>
        <v>0960527303</v>
      </c>
      <c r="E499" s="55" t="str">
        <f>IF(دانش‌آموزان!E46="","",دانش‌آموزان!E46&amp;" "&amp;دانش‌آموزان!F46)</f>
        <v>باربد بلندي</v>
      </c>
      <c r="F499" s="34">
        <f>IF(دانش‌آموزان!I46="","",دانش‌آموزان!I46)</f>
        <v>802</v>
      </c>
      <c r="G499" s="19">
        <v>19.350000000000001</v>
      </c>
      <c r="H499" s="20" t="s">
        <v>371</v>
      </c>
      <c r="I499" s="20">
        <v>5</v>
      </c>
      <c r="J499" s="20">
        <v>5</v>
      </c>
      <c r="K499" s="20">
        <v>5</v>
      </c>
      <c r="L499" s="20">
        <v>5</v>
      </c>
      <c r="M499" s="20">
        <v>5</v>
      </c>
      <c r="N499" s="20">
        <v>5</v>
      </c>
      <c r="O499" s="20">
        <v>5</v>
      </c>
      <c r="P499" s="20">
        <v>5</v>
      </c>
      <c r="Q499" s="20">
        <v>5</v>
      </c>
      <c r="R499" s="20">
        <v>5</v>
      </c>
      <c r="S499" s="20">
        <v>5</v>
      </c>
      <c r="T499" s="20">
        <v>5</v>
      </c>
      <c r="U499" s="20">
        <v>5</v>
      </c>
      <c r="V499" s="20">
        <v>5</v>
      </c>
      <c r="W499" s="20">
        <v>5</v>
      </c>
      <c r="X499" s="20">
        <v>5</v>
      </c>
      <c r="Y499" s="20">
        <v>5</v>
      </c>
      <c r="Z499" s="20">
        <v>5</v>
      </c>
      <c r="AA499" s="20">
        <v>5</v>
      </c>
      <c r="AB499" s="20">
        <v>5</v>
      </c>
      <c r="AC499" s="20">
        <v>5</v>
      </c>
      <c r="AD499" s="20" t="s">
        <v>371</v>
      </c>
      <c r="AE499" s="20" t="s">
        <v>371</v>
      </c>
      <c r="AF499" s="20" t="s">
        <v>371</v>
      </c>
      <c r="AG499" s="20" t="s">
        <v>371</v>
      </c>
      <c r="AH499" s="20" t="s">
        <v>371</v>
      </c>
      <c r="AI499" s="20" t="s">
        <v>371</v>
      </c>
      <c r="AJ499" s="20">
        <v>5</v>
      </c>
      <c r="AK499" s="20">
        <v>5</v>
      </c>
      <c r="AL499" s="20">
        <v>5</v>
      </c>
      <c r="AM499" s="20">
        <v>5</v>
      </c>
      <c r="AN499" s="20">
        <v>5</v>
      </c>
      <c r="AO499" s="20">
        <v>5</v>
      </c>
      <c r="AP499" s="20">
        <v>5</v>
      </c>
      <c r="AQ499" s="20" t="s">
        <v>371</v>
      </c>
      <c r="AR499" s="20" t="s">
        <v>371</v>
      </c>
      <c r="AS499" s="20" t="s">
        <v>371</v>
      </c>
      <c r="AT499" s="20" t="s">
        <v>371</v>
      </c>
      <c r="AU499" s="20" t="s">
        <v>371</v>
      </c>
      <c r="AV499" s="20" t="s">
        <v>371</v>
      </c>
      <c r="AW499" s="20" t="s">
        <v>371</v>
      </c>
      <c r="AX499" s="20" t="s">
        <v>371</v>
      </c>
      <c r="AY499" s="20" t="s">
        <v>371</v>
      </c>
      <c r="AZ499" s="20" t="s">
        <v>371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77"/>
        <v>28.2</v>
      </c>
      <c r="CD499" s="38">
        <f t="shared" si="78"/>
        <v>20</v>
      </c>
      <c r="CE499" s="38">
        <f t="shared" si="79"/>
        <v>20</v>
      </c>
      <c r="CF499" s="38">
        <f t="shared" si="80"/>
        <v>20</v>
      </c>
      <c r="CG499" s="38">
        <f t="shared" si="81"/>
        <v>20</v>
      </c>
      <c r="CH499" s="38" t="str">
        <f t="shared" si="82"/>
        <v/>
      </c>
      <c r="CI499" s="38">
        <f t="shared" si="83"/>
        <v>20</v>
      </c>
      <c r="CJ499" s="38" t="str">
        <f t="shared" si="84"/>
        <v/>
      </c>
      <c r="CK499" s="38" t="str">
        <f t="shared" si="85"/>
        <v/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>موقت - اطلاعات ناقص</v>
      </c>
      <c r="CN499" s="38">
        <v>3</v>
      </c>
      <c r="CO499" s="28">
        <f t="shared" si="87"/>
        <v>0.63043478260869568</v>
      </c>
      <c r="CP499" s="58"/>
    </row>
    <row r="500" spans="1:94" hidden="1">
      <c r="A500" s="33">
        <v>496</v>
      </c>
      <c r="B500" s="55" t="s">
        <v>186</v>
      </c>
      <c r="C500" s="55">
        <f>IF(دانش‌آموزان!E46="","",دانش‌آموزان!B46)</f>
        <v>42</v>
      </c>
      <c r="D500" s="55" t="str">
        <f>IF(دانش‌آموزان!C46="","",دانش‌آموزان!C46)</f>
        <v>0960527303</v>
      </c>
      <c r="E500" s="55" t="str">
        <f>IF(دانش‌آموزان!E46="","",دانش‌آموزان!E46&amp;" "&amp;دانش‌آموزان!F46)</f>
        <v>باربد بلندي</v>
      </c>
      <c r="F500" s="34">
        <f>IF(دانش‌آموزان!I46="","",دانش‌آموزان!I46)</f>
        <v>802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idden="1">
      <c r="A501" s="33">
        <v>497</v>
      </c>
      <c r="B501" s="55" t="s">
        <v>187</v>
      </c>
      <c r="C501" s="55">
        <f>IF(دانش‌آموزان!E46="","",دانش‌آموزان!B46)</f>
        <v>42</v>
      </c>
      <c r="D501" s="55" t="str">
        <f>IF(دانش‌آموزان!C46="","",دانش‌آموزان!C46)</f>
        <v>0960527303</v>
      </c>
      <c r="E501" s="55" t="str">
        <f>IF(دانش‌آموزان!E46="","",دانش‌آموزان!E46&amp;" "&amp;دانش‌آموزان!F46)</f>
        <v>باربد بلندي</v>
      </c>
      <c r="F501" s="34">
        <f>IF(دانش‌آموزان!I46="","",دانش‌آموزان!I46)</f>
        <v>802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idden="1">
      <c r="A502" s="33">
        <v>498</v>
      </c>
      <c r="B502" s="55" t="s">
        <v>188</v>
      </c>
      <c r="C502" s="55">
        <f>IF(دانش‌آموزان!E46="","",دانش‌آموزان!B46)</f>
        <v>42</v>
      </c>
      <c r="D502" s="55" t="str">
        <f>IF(دانش‌آموزان!C46="","",دانش‌آموزان!C46)</f>
        <v>0960527303</v>
      </c>
      <c r="E502" s="55" t="str">
        <f>IF(دانش‌آموزان!E46="","",دانش‌آموزان!E46&amp;" "&amp;دانش‌آموزان!F46)</f>
        <v>باربد بلندي</v>
      </c>
      <c r="F502" s="34">
        <f>IF(دانش‌آموزان!I46="","",دانش‌آموزان!I46)</f>
        <v>802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idden="1">
      <c r="A503" s="33">
        <v>499</v>
      </c>
      <c r="B503" s="55" t="s">
        <v>189</v>
      </c>
      <c r="C503" s="55">
        <f>IF(دانش‌آموزان!E46="","",دانش‌آموزان!B46)</f>
        <v>42</v>
      </c>
      <c r="D503" s="55" t="str">
        <f>IF(دانش‌آموزان!C46="","",دانش‌آموزان!C46)</f>
        <v>0960527303</v>
      </c>
      <c r="E503" s="55" t="str">
        <f>IF(دانش‌آموزان!E46="","",دانش‌آموزان!E46&amp;" "&amp;دانش‌آموزان!F46)</f>
        <v>باربد بلندي</v>
      </c>
      <c r="F503" s="34">
        <f>IF(دانش‌آموزان!I46="","",دانش‌آموزان!I46)</f>
        <v>802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idden="1">
      <c r="A504" s="33">
        <v>500</v>
      </c>
      <c r="B504" s="55" t="s">
        <v>190</v>
      </c>
      <c r="C504" s="55">
        <f>IF(دانش‌آموزان!E46="","",دانش‌آموزان!B46)</f>
        <v>42</v>
      </c>
      <c r="D504" s="55" t="str">
        <f>IF(دانش‌آموزان!C46="","",دانش‌آموزان!C46)</f>
        <v>0960527303</v>
      </c>
      <c r="E504" s="55" t="str">
        <f>IF(دانش‌آموزان!E46="","",دانش‌آموزان!E46&amp;" "&amp;دانش‌آموزان!F46)</f>
        <v>باربد بلندي</v>
      </c>
      <c r="F504" s="34">
        <f>IF(دانش‌آموزان!I46="","",دانش‌آموزان!I46)</f>
        <v>802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idden="1">
      <c r="A505" s="33">
        <v>501</v>
      </c>
      <c r="B505" s="55" t="s">
        <v>191</v>
      </c>
      <c r="C505" s="55">
        <f>IF(دانش‌آموزان!E46="","",دانش‌آموزان!B46)</f>
        <v>42</v>
      </c>
      <c r="D505" s="55" t="str">
        <f>IF(دانش‌آموزان!C46="","",دانش‌آموزان!C46)</f>
        <v>0960527303</v>
      </c>
      <c r="E505" s="55" t="str">
        <f>IF(دانش‌آموزان!E46="","",دانش‌آموزان!E46&amp;" "&amp;دانش‌آموزان!F46)</f>
        <v>باربد بلندي</v>
      </c>
      <c r="F505" s="34">
        <f>IF(دانش‌آموزان!I46="","",دانش‌آموزان!I46)</f>
        <v>802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idden="1">
      <c r="A506" s="33">
        <v>502</v>
      </c>
      <c r="B506" s="55" t="s">
        <v>192</v>
      </c>
      <c r="C506" s="55">
        <f>IF(دانش‌آموزان!E46="","",دانش‌آموزان!B46)</f>
        <v>42</v>
      </c>
      <c r="D506" s="55" t="str">
        <f>IF(دانش‌آموزان!C46="","",دانش‌آموزان!C46)</f>
        <v>0960527303</v>
      </c>
      <c r="E506" s="55" t="str">
        <f>IF(دانش‌آموزان!E46="","",دانش‌آموزان!E46&amp;" "&amp;دانش‌آموزان!F46)</f>
        <v>باربد بلندي</v>
      </c>
      <c r="F506" s="34">
        <f>IF(دانش‌آموزان!I46="","",دانش‌آموزان!I46)</f>
        <v>802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idden="1">
      <c r="A507" s="33">
        <v>503</v>
      </c>
      <c r="B507" s="55" t="s">
        <v>193</v>
      </c>
      <c r="C507" s="55">
        <f>IF(دانش‌آموزان!E46="","",دانش‌آموزان!B46)</f>
        <v>42</v>
      </c>
      <c r="D507" s="55" t="str">
        <f>IF(دانش‌آموزان!C46="","",دانش‌آموزان!C46)</f>
        <v>0960527303</v>
      </c>
      <c r="E507" s="55" t="str">
        <f>IF(دانش‌آموزان!E46="","",دانش‌آموزان!E46&amp;" "&amp;دانش‌آموزان!F46)</f>
        <v>باربد بلندي</v>
      </c>
      <c r="F507" s="34">
        <f>IF(دانش‌آموزان!I46="","",دانش‌آموزان!I46)</f>
        <v>802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idden="1">
      <c r="A508" s="33">
        <v>504</v>
      </c>
      <c r="B508" s="55" t="s">
        <v>194</v>
      </c>
      <c r="C508" s="55">
        <f>IF(دانش‌آموزان!E46="","",دانش‌آموزان!B46)</f>
        <v>42</v>
      </c>
      <c r="D508" s="55" t="str">
        <f>IF(دانش‌آموزان!C46="","",دانش‌آموزان!C46)</f>
        <v>0960527303</v>
      </c>
      <c r="E508" s="55" t="str">
        <f>IF(دانش‌آموزان!E46="","",دانش‌آموزان!E46&amp;" "&amp;دانش‌آموزان!F46)</f>
        <v>باربد بلندي</v>
      </c>
      <c r="F508" s="34">
        <f>IF(دانش‌آموزان!I46="","",دانش‌آموزان!I46)</f>
        <v>802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idden="1">
      <c r="A509" s="33">
        <v>505</v>
      </c>
      <c r="B509" s="55" t="s">
        <v>183</v>
      </c>
      <c r="C509" s="55">
        <f>IF(دانش‌آموزان!E47="","",دانش‌آموزان!B47)</f>
        <v>43</v>
      </c>
      <c r="D509" s="55" t="str">
        <f>IF(دانش‌آموزان!C47="","",دانش‌آموزان!C47)</f>
        <v>0960469478</v>
      </c>
      <c r="E509" s="55" t="str">
        <f>IF(دانش‌آموزان!E47="","",دانش‌آموزان!E47&amp;" "&amp;دانش‌آموزان!F47)</f>
        <v>محمدسجاد بوذري</v>
      </c>
      <c r="F509" s="34">
        <f>IF(دانش‌آموزان!I47="","",دانش‌آموزان!I47)</f>
        <v>802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>
        <f t="shared" si="87"/>
        <v>0</v>
      </c>
      <c r="CP509" s="58"/>
    </row>
    <row r="510" spans="1:94" hidden="1">
      <c r="A510" s="33">
        <v>506</v>
      </c>
      <c r="B510" s="55" t="s">
        <v>184</v>
      </c>
      <c r="C510" s="55">
        <f>IF(دانش‌آموزان!E47="","",دانش‌آموزان!B47)</f>
        <v>43</v>
      </c>
      <c r="D510" s="55" t="str">
        <f>IF(دانش‌آموزان!C47="","",دانش‌آموزان!C47)</f>
        <v>0960469478</v>
      </c>
      <c r="E510" s="55" t="str">
        <f>IF(دانش‌آموزان!E47="","",دانش‌آموزان!E47&amp;" "&amp;دانش‌آموزان!F47)</f>
        <v>محمدسجاد بوذري</v>
      </c>
      <c r="F510" s="34">
        <f>IF(دانش‌آموزان!I47="","",دانش‌آموزان!I47)</f>
        <v>802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>
        <f t="shared" si="87"/>
        <v>0</v>
      </c>
      <c r="CP510" s="58"/>
    </row>
    <row r="511" spans="1:94">
      <c r="A511" s="33">
        <v>507</v>
      </c>
      <c r="B511" s="55" t="s">
        <v>185</v>
      </c>
      <c r="C511" s="55">
        <f>IF(دانش‌آموزان!E47="","",دانش‌آموزان!B47)</f>
        <v>43</v>
      </c>
      <c r="D511" s="55" t="str">
        <f>IF(دانش‌آموزان!C47="","",دانش‌آموزان!C47)</f>
        <v>0960469478</v>
      </c>
      <c r="E511" s="55" t="str">
        <f>IF(دانش‌آموزان!E47="","",دانش‌آموزان!E47&amp;" "&amp;دانش‌آموزان!F47)</f>
        <v>محمدسجاد بوذري</v>
      </c>
      <c r="F511" s="34">
        <f>IF(دانش‌آموزان!I47="","",دانش‌آموزان!I47)</f>
        <v>802</v>
      </c>
      <c r="G511" s="19">
        <v>19.190000000000001</v>
      </c>
      <c r="H511" s="20">
        <v>-5.1900000000000013</v>
      </c>
      <c r="I511" s="20">
        <v>5</v>
      </c>
      <c r="J511" s="20">
        <v>5</v>
      </c>
      <c r="K511" s="20">
        <v>5</v>
      </c>
      <c r="L511" s="20">
        <v>5</v>
      </c>
      <c r="M511" s="20">
        <v>5</v>
      </c>
      <c r="N511" s="20">
        <v>5</v>
      </c>
      <c r="O511" s="20">
        <v>5</v>
      </c>
      <c r="P511" s="20">
        <v>5</v>
      </c>
      <c r="Q511" s="20">
        <v>5</v>
      </c>
      <c r="R511" s="20">
        <v>5</v>
      </c>
      <c r="S511" s="20">
        <v>5</v>
      </c>
      <c r="T511" s="20">
        <v>5</v>
      </c>
      <c r="U511" s="20">
        <v>5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5</v>
      </c>
      <c r="AB511" s="20">
        <v>5</v>
      </c>
      <c r="AC511" s="20">
        <v>5</v>
      </c>
      <c r="AD511" s="20" t="s">
        <v>371</v>
      </c>
      <c r="AE511" s="20" t="s">
        <v>371</v>
      </c>
      <c r="AF511" s="20" t="s">
        <v>371</v>
      </c>
      <c r="AG511" s="20" t="s">
        <v>371</v>
      </c>
      <c r="AH511" s="20" t="s">
        <v>371</v>
      </c>
      <c r="AI511" s="20" t="s">
        <v>371</v>
      </c>
      <c r="AJ511" s="20">
        <v>5</v>
      </c>
      <c r="AK511" s="20">
        <v>5</v>
      </c>
      <c r="AL511" s="20">
        <v>5</v>
      </c>
      <c r="AM511" s="20">
        <v>5</v>
      </c>
      <c r="AN511" s="20">
        <v>5</v>
      </c>
      <c r="AO511" s="20">
        <v>5</v>
      </c>
      <c r="AP511" s="20">
        <v>5</v>
      </c>
      <c r="AQ511" s="20" t="s">
        <v>371</v>
      </c>
      <c r="AR511" s="20" t="s">
        <v>371</v>
      </c>
      <c r="AS511" s="20" t="s">
        <v>371</v>
      </c>
      <c r="AT511" s="20" t="s">
        <v>371</v>
      </c>
      <c r="AU511" s="20" t="s">
        <v>371</v>
      </c>
      <c r="AV511" s="20" t="s">
        <v>371</v>
      </c>
      <c r="AW511" s="20" t="s">
        <v>371</v>
      </c>
      <c r="AX511" s="20" t="s">
        <v>371</v>
      </c>
      <c r="AY511" s="20" t="s">
        <v>371</v>
      </c>
      <c r="AZ511" s="20" t="s">
        <v>371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>
        <f t="shared" si="77"/>
        <v>22</v>
      </c>
      <c r="CD511" s="38">
        <f t="shared" si="78"/>
        <v>20</v>
      </c>
      <c r="CE511" s="38">
        <f t="shared" si="79"/>
        <v>20</v>
      </c>
      <c r="CF511" s="38">
        <f t="shared" si="80"/>
        <v>20</v>
      </c>
      <c r="CG511" s="38">
        <f t="shared" si="81"/>
        <v>20</v>
      </c>
      <c r="CH511" s="38" t="str">
        <f t="shared" si="82"/>
        <v/>
      </c>
      <c r="CI511" s="38">
        <f t="shared" si="83"/>
        <v>20</v>
      </c>
      <c r="CJ511" s="38" t="str">
        <f t="shared" si="84"/>
        <v/>
      </c>
      <c r="CK511" s="38" t="str">
        <f t="shared" si="85"/>
        <v/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>موقت - اطلاعات ناقص</v>
      </c>
      <c r="CN511" s="38">
        <v>3</v>
      </c>
      <c r="CO511" s="28">
        <f t="shared" si="87"/>
        <v>0.65217391304347827</v>
      </c>
      <c r="CP511" s="58"/>
    </row>
    <row r="512" spans="1:94" hidden="1">
      <c r="A512" s="33">
        <v>508</v>
      </c>
      <c r="B512" s="55" t="s">
        <v>186</v>
      </c>
      <c r="C512" s="55">
        <f>IF(دانش‌آموزان!E47="","",دانش‌آموزان!B47)</f>
        <v>43</v>
      </c>
      <c r="D512" s="55" t="str">
        <f>IF(دانش‌آموزان!C47="","",دانش‌آموزان!C47)</f>
        <v>0960469478</v>
      </c>
      <c r="E512" s="55" t="str">
        <f>IF(دانش‌آموزان!E47="","",دانش‌آموزان!E47&amp;" "&amp;دانش‌آموزان!F47)</f>
        <v>محمدسجاد بوذري</v>
      </c>
      <c r="F512" s="34">
        <f>IF(دانش‌آموزان!I47="","",دانش‌آموزان!I47)</f>
        <v>802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>
        <f t="shared" si="87"/>
        <v>0</v>
      </c>
      <c r="CP512" s="58"/>
    </row>
    <row r="513" spans="1:94" hidden="1">
      <c r="A513" s="33">
        <v>509</v>
      </c>
      <c r="B513" s="55" t="s">
        <v>187</v>
      </c>
      <c r="C513" s="55">
        <f>IF(دانش‌آموزان!E47="","",دانش‌آموزان!B47)</f>
        <v>43</v>
      </c>
      <c r="D513" s="55" t="str">
        <f>IF(دانش‌آموزان!C47="","",دانش‌آموزان!C47)</f>
        <v>0960469478</v>
      </c>
      <c r="E513" s="55" t="str">
        <f>IF(دانش‌آموزان!E47="","",دانش‌آموزان!E47&amp;" "&amp;دانش‌آموزان!F47)</f>
        <v>محمدسجاد بوذري</v>
      </c>
      <c r="F513" s="34">
        <f>IF(دانش‌آموزان!I47="","",دانش‌آموزان!I47)</f>
        <v>802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>
        <f t="shared" si="87"/>
        <v>0</v>
      </c>
      <c r="CP513" s="58"/>
    </row>
    <row r="514" spans="1:94" hidden="1">
      <c r="A514" s="33">
        <v>510</v>
      </c>
      <c r="B514" s="55" t="s">
        <v>188</v>
      </c>
      <c r="C514" s="55">
        <f>IF(دانش‌آموزان!E47="","",دانش‌آموزان!B47)</f>
        <v>43</v>
      </c>
      <c r="D514" s="55" t="str">
        <f>IF(دانش‌آموزان!C47="","",دانش‌آموزان!C47)</f>
        <v>0960469478</v>
      </c>
      <c r="E514" s="55" t="str">
        <f>IF(دانش‌آموزان!E47="","",دانش‌آموزان!E47&amp;" "&amp;دانش‌آموزان!F47)</f>
        <v>محمدسجاد بوذري</v>
      </c>
      <c r="F514" s="34">
        <f>IF(دانش‌آموزان!I47="","",دانش‌آموزان!I47)</f>
        <v>802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>
        <f t="shared" si="87"/>
        <v>0</v>
      </c>
      <c r="CP514" s="58"/>
    </row>
    <row r="515" spans="1:94" hidden="1">
      <c r="A515" s="33">
        <v>511</v>
      </c>
      <c r="B515" s="55" t="s">
        <v>189</v>
      </c>
      <c r="C515" s="55">
        <f>IF(دانش‌آموزان!E47="","",دانش‌آموزان!B47)</f>
        <v>43</v>
      </c>
      <c r="D515" s="55" t="str">
        <f>IF(دانش‌آموزان!C47="","",دانش‌آموزان!C47)</f>
        <v>0960469478</v>
      </c>
      <c r="E515" s="55" t="str">
        <f>IF(دانش‌آموزان!E47="","",دانش‌آموزان!E47&amp;" "&amp;دانش‌آموزان!F47)</f>
        <v>محمدسجاد بوذري</v>
      </c>
      <c r="F515" s="34">
        <f>IF(دانش‌آموزان!I47="","",دانش‌آموزان!I47)</f>
        <v>802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>
        <f t="shared" si="87"/>
        <v>0</v>
      </c>
      <c r="CP515" s="58"/>
    </row>
    <row r="516" spans="1:94" hidden="1">
      <c r="A516" s="33">
        <v>512</v>
      </c>
      <c r="B516" s="55" t="s">
        <v>190</v>
      </c>
      <c r="C516" s="55">
        <f>IF(دانش‌آموزان!E47="","",دانش‌آموزان!B47)</f>
        <v>43</v>
      </c>
      <c r="D516" s="55" t="str">
        <f>IF(دانش‌آموزان!C47="","",دانش‌آموزان!C47)</f>
        <v>0960469478</v>
      </c>
      <c r="E516" s="55" t="str">
        <f>IF(دانش‌آموزان!E47="","",دانش‌آموزان!E47&amp;" "&amp;دانش‌آموزان!F47)</f>
        <v>محمدسجاد بوذري</v>
      </c>
      <c r="F516" s="34">
        <f>IF(دانش‌آموزان!I47="","",دانش‌آموزان!I47)</f>
        <v>802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>
        <f t="shared" si="87"/>
        <v>0</v>
      </c>
      <c r="CP516" s="58"/>
    </row>
    <row r="517" spans="1:94" hidden="1">
      <c r="A517" s="33">
        <v>513</v>
      </c>
      <c r="B517" s="55" t="s">
        <v>191</v>
      </c>
      <c r="C517" s="55">
        <f>IF(دانش‌آموزان!E47="","",دانش‌آموزان!B47)</f>
        <v>43</v>
      </c>
      <c r="D517" s="55" t="str">
        <f>IF(دانش‌آموزان!C47="","",دانش‌آموزان!C47)</f>
        <v>0960469478</v>
      </c>
      <c r="E517" s="55" t="str">
        <f>IF(دانش‌آموزان!E47="","",دانش‌آموزان!E47&amp;" "&amp;دانش‌آموزان!F47)</f>
        <v>محمدسجاد بوذري</v>
      </c>
      <c r="F517" s="34">
        <f>IF(دانش‌آموزان!I47="","",دانش‌آموزان!I47)</f>
        <v>802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>
        <f t="shared" ref="CO517:CO580" si="98">IF(C517="","",COUNT(G517:AZ517)/46)</f>
        <v>0</v>
      </c>
      <c r="CP517" s="58"/>
    </row>
    <row r="518" spans="1:94" hidden="1">
      <c r="A518" s="33">
        <v>514</v>
      </c>
      <c r="B518" s="55" t="s">
        <v>192</v>
      </c>
      <c r="C518" s="55">
        <f>IF(دانش‌آموزان!E47="","",دانش‌آموزان!B47)</f>
        <v>43</v>
      </c>
      <c r="D518" s="55" t="str">
        <f>IF(دانش‌آموزان!C47="","",دانش‌آموزان!C47)</f>
        <v>0960469478</v>
      </c>
      <c r="E518" s="55" t="str">
        <f>IF(دانش‌آموزان!E47="","",دانش‌آموزان!E47&amp;" "&amp;دانش‌آموزان!F47)</f>
        <v>محمدسجاد بوذري</v>
      </c>
      <c r="F518" s="34">
        <f>IF(دانش‌آموزان!I47="","",دانش‌آموزان!I47)</f>
        <v>802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 hidden="1">
      <c r="A519" s="33">
        <v>515</v>
      </c>
      <c r="B519" s="55" t="s">
        <v>193</v>
      </c>
      <c r="C519" s="55">
        <f>IF(دانش‌آموزان!E47="","",دانش‌آموزان!B47)</f>
        <v>43</v>
      </c>
      <c r="D519" s="55" t="str">
        <f>IF(دانش‌آموزان!C47="","",دانش‌آموزان!C47)</f>
        <v>0960469478</v>
      </c>
      <c r="E519" s="55" t="str">
        <f>IF(دانش‌آموزان!E47="","",دانش‌آموزان!E47&amp;" "&amp;دانش‌آموزان!F47)</f>
        <v>محمدسجاد بوذري</v>
      </c>
      <c r="F519" s="34">
        <f>IF(دانش‌آموزان!I47="","",دانش‌آموزان!I47)</f>
        <v>802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 hidden="1">
      <c r="A520" s="33">
        <v>516</v>
      </c>
      <c r="B520" s="55" t="s">
        <v>194</v>
      </c>
      <c r="C520" s="55">
        <f>IF(دانش‌آموزان!E47="","",دانش‌آموزان!B47)</f>
        <v>43</v>
      </c>
      <c r="D520" s="55" t="str">
        <f>IF(دانش‌آموزان!C47="","",دانش‌آموزان!C47)</f>
        <v>0960469478</v>
      </c>
      <c r="E520" s="55" t="str">
        <f>IF(دانش‌آموزان!E47="","",دانش‌آموزان!E47&amp;" "&amp;دانش‌آموزان!F47)</f>
        <v>محمدسجاد بوذري</v>
      </c>
      <c r="F520" s="34">
        <f>IF(دانش‌آموزان!I47="","",دانش‌آموزان!I47)</f>
        <v>802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 hidden="1">
      <c r="A521" s="33">
        <v>517</v>
      </c>
      <c r="B521" s="55" t="s">
        <v>183</v>
      </c>
      <c r="C521" s="55">
        <f>IF(دانش‌آموزان!E48="","",دانش‌آموزان!B48)</f>
        <v>44</v>
      </c>
      <c r="D521" s="55" t="str">
        <f>IF(دانش‌آموزان!C48="","",دانش‌آموزان!C48)</f>
        <v>0960575340</v>
      </c>
      <c r="E521" s="55" t="str">
        <f>IF(دانش‌آموزان!E48="","",دانش‌آموزان!E48&amp;" "&amp;دانش‌آموزان!F48)</f>
        <v>يوسف جعفري</v>
      </c>
      <c r="F521" s="34">
        <f>IF(دانش‌آموزان!I48="","",دانش‌آموزان!I48)</f>
        <v>802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 hidden="1">
      <c r="A522" s="33">
        <v>518</v>
      </c>
      <c r="B522" s="55" t="s">
        <v>184</v>
      </c>
      <c r="C522" s="55">
        <f>IF(دانش‌آموزان!E48="","",دانش‌آموزان!B48)</f>
        <v>44</v>
      </c>
      <c r="D522" s="55" t="str">
        <f>IF(دانش‌آموزان!C48="","",دانش‌آموزان!C48)</f>
        <v>0960575340</v>
      </c>
      <c r="E522" s="55" t="str">
        <f>IF(دانش‌آموزان!E48="","",دانش‌آموزان!E48&amp;" "&amp;دانش‌آموزان!F48)</f>
        <v>يوسف جعفري</v>
      </c>
      <c r="F522" s="34">
        <f>IF(دانش‌آموزان!I48="","",دانش‌آموزان!I48)</f>
        <v>802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>
      <c r="A523" s="33">
        <v>519</v>
      </c>
      <c r="B523" s="55" t="s">
        <v>185</v>
      </c>
      <c r="C523" s="55">
        <f>IF(دانش‌آموزان!E48="","",دانش‌آموزان!B48)</f>
        <v>44</v>
      </c>
      <c r="D523" s="55" t="str">
        <f>IF(دانش‌آموزان!C48="","",دانش‌آموزان!C48)</f>
        <v>0960575340</v>
      </c>
      <c r="E523" s="55" t="str">
        <f>IF(دانش‌آموزان!E48="","",دانش‌آموزان!E48&amp;" "&amp;دانش‌آموزان!F48)</f>
        <v>يوسف جعفري</v>
      </c>
      <c r="F523" s="34">
        <f>IF(دانش‌آموزان!I48="","",دانش‌آموزان!I48)</f>
        <v>802</v>
      </c>
      <c r="G523" s="19">
        <v>19.61</v>
      </c>
      <c r="H523" s="20">
        <v>-7.6099999999999994</v>
      </c>
      <c r="I523" s="20">
        <v>5</v>
      </c>
      <c r="J523" s="20">
        <v>5</v>
      </c>
      <c r="K523" s="20">
        <v>5</v>
      </c>
      <c r="L523" s="20">
        <v>5</v>
      </c>
      <c r="M523" s="20">
        <v>5</v>
      </c>
      <c r="N523" s="20">
        <v>5</v>
      </c>
      <c r="O523" s="20">
        <v>5</v>
      </c>
      <c r="P523" s="20">
        <v>5</v>
      </c>
      <c r="Q523" s="20">
        <v>5</v>
      </c>
      <c r="R523" s="20">
        <v>5</v>
      </c>
      <c r="S523" s="20">
        <v>5</v>
      </c>
      <c r="T523" s="20">
        <v>5</v>
      </c>
      <c r="U523" s="20">
        <v>5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5</v>
      </c>
      <c r="AB523" s="20">
        <v>5</v>
      </c>
      <c r="AC523" s="20">
        <v>5</v>
      </c>
      <c r="AD523" s="20" t="s">
        <v>371</v>
      </c>
      <c r="AE523" s="20" t="s">
        <v>371</v>
      </c>
      <c r="AF523" s="20" t="s">
        <v>371</v>
      </c>
      <c r="AG523" s="20" t="s">
        <v>371</v>
      </c>
      <c r="AH523" s="20" t="s">
        <v>371</v>
      </c>
      <c r="AI523" s="20" t="s">
        <v>371</v>
      </c>
      <c r="AJ523" s="20">
        <v>5</v>
      </c>
      <c r="AK523" s="20">
        <v>5</v>
      </c>
      <c r="AL523" s="20">
        <v>5</v>
      </c>
      <c r="AM523" s="20">
        <v>5</v>
      </c>
      <c r="AN523" s="20">
        <v>5</v>
      </c>
      <c r="AO523" s="20">
        <v>5</v>
      </c>
      <c r="AP523" s="20">
        <v>5</v>
      </c>
      <c r="AQ523" s="20" t="s">
        <v>371</v>
      </c>
      <c r="AR523" s="20" t="s">
        <v>371</v>
      </c>
      <c r="AS523" s="20" t="s">
        <v>371</v>
      </c>
      <c r="AT523" s="20" t="s">
        <v>371</v>
      </c>
      <c r="AU523" s="20" t="s">
        <v>371</v>
      </c>
      <c r="AV523" s="20" t="s">
        <v>371</v>
      </c>
      <c r="AW523" s="20" t="s">
        <v>371</v>
      </c>
      <c r="AX523" s="20" t="s">
        <v>371</v>
      </c>
      <c r="AY523" s="20" t="s">
        <v>371</v>
      </c>
      <c r="AZ523" s="20" t="s">
        <v>371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>
        <f t="shared" si="88"/>
        <v>21</v>
      </c>
      <c r="CD523" s="38">
        <f t="shared" si="89"/>
        <v>20</v>
      </c>
      <c r="CE523" s="38">
        <f t="shared" si="90"/>
        <v>20</v>
      </c>
      <c r="CF523" s="38">
        <f t="shared" si="91"/>
        <v>20</v>
      </c>
      <c r="CG523" s="38">
        <f t="shared" si="92"/>
        <v>20</v>
      </c>
      <c r="CH523" s="38" t="str">
        <f t="shared" si="93"/>
        <v/>
      </c>
      <c r="CI523" s="38">
        <f t="shared" si="94"/>
        <v>20</v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>موقت - اطلاعات ناقص</v>
      </c>
      <c r="CN523" s="38">
        <v>3</v>
      </c>
      <c r="CO523" s="28">
        <f t="shared" si="98"/>
        <v>0.65217391304347827</v>
      </c>
      <c r="CP523" s="58"/>
    </row>
    <row r="524" spans="1:94" hidden="1">
      <c r="A524" s="33">
        <v>520</v>
      </c>
      <c r="B524" s="55" t="s">
        <v>186</v>
      </c>
      <c r="C524" s="55">
        <f>IF(دانش‌آموزان!E48="","",دانش‌آموزان!B48)</f>
        <v>44</v>
      </c>
      <c r="D524" s="55" t="str">
        <f>IF(دانش‌آموزان!C48="","",دانش‌آموزان!C48)</f>
        <v>0960575340</v>
      </c>
      <c r="E524" s="55" t="str">
        <f>IF(دانش‌آموزان!E48="","",دانش‌آموزان!E48&amp;" "&amp;دانش‌آموزان!F48)</f>
        <v>يوسف جعفري</v>
      </c>
      <c r="F524" s="34">
        <f>IF(دانش‌آموزان!I48="","",دانش‌آموزان!I48)</f>
        <v>802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 hidden="1">
      <c r="A525" s="33">
        <v>521</v>
      </c>
      <c r="B525" s="55" t="s">
        <v>187</v>
      </c>
      <c r="C525" s="55">
        <f>IF(دانش‌آموزان!E48="","",دانش‌آموزان!B48)</f>
        <v>44</v>
      </c>
      <c r="D525" s="55" t="str">
        <f>IF(دانش‌آموزان!C48="","",دانش‌آموزان!C48)</f>
        <v>0960575340</v>
      </c>
      <c r="E525" s="55" t="str">
        <f>IF(دانش‌آموزان!E48="","",دانش‌آموزان!E48&amp;" "&amp;دانش‌آموزان!F48)</f>
        <v>يوسف جعفري</v>
      </c>
      <c r="F525" s="34">
        <f>IF(دانش‌آموزان!I48="","",دانش‌آموزان!I48)</f>
        <v>802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 hidden="1">
      <c r="A526" s="33">
        <v>522</v>
      </c>
      <c r="B526" s="55" t="s">
        <v>188</v>
      </c>
      <c r="C526" s="55">
        <f>IF(دانش‌آموزان!E48="","",دانش‌آموزان!B48)</f>
        <v>44</v>
      </c>
      <c r="D526" s="55" t="str">
        <f>IF(دانش‌آموزان!C48="","",دانش‌آموزان!C48)</f>
        <v>0960575340</v>
      </c>
      <c r="E526" s="55" t="str">
        <f>IF(دانش‌آموزان!E48="","",دانش‌آموزان!E48&amp;" "&amp;دانش‌آموزان!F48)</f>
        <v>يوسف جعفري</v>
      </c>
      <c r="F526" s="34">
        <f>IF(دانش‌آموزان!I48="","",دانش‌آموزان!I48)</f>
        <v>802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 hidden="1">
      <c r="A527" s="33">
        <v>523</v>
      </c>
      <c r="B527" s="55" t="s">
        <v>189</v>
      </c>
      <c r="C527" s="55">
        <f>IF(دانش‌آموزان!E48="","",دانش‌آموزان!B48)</f>
        <v>44</v>
      </c>
      <c r="D527" s="55" t="str">
        <f>IF(دانش‌آموزان!C48="","",دانش‌آموزان!C48)</f>
        <v>0960575340</v>
      </c>
      <c r="E527" s="55" t="str">
        <f>IF(دانش‌آموزان!E48="","",دانش‌آموزان!E48&amp;" "&amp;دانش‌آموزان!F48)</f>
        <v>يوسف جعفري</v>
      </c>
      <c r="F527" s="34">
        <f>IF(دانش‌آموزان!I48="","",دانش‌آموزان!I48)</f>
        <v>802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 hidden="1">
      <c r="A528" s="33">
        <v>524</v>
      </c>
      <c r="B528" s="55" t="s">
        <v>190</v>
      </c>
      <c r="C528" s="55">
        <f>IF(دانش‌آموزان!E48="","",دانش‌آموزان!B48)</f>
        <v>44</v>
      </c>
      <c r="D528" s="55" t="str">
        <f>IF(دانش‌آموزان!C48="","",دانش‌آموزان!C48)</f>
        <v>0960575340</v>
      </c>
      <c r="E528" s="55" t="str">
        <f>IF(دانش‌آموزان!E48="","",دانش‌آموزان!E48&amp;" "&amp;دانش‌آموزان!F48)</f>
        <v>يوسف جعفري</v>
      </c>
      <c r="F528" s="34">
        <f>IF(دانش‌آموزان!I48="","",دانش‌آموزان!I48)</f>
        <v>802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 hidden="1">
      <c r="A529" s="33">
        <v>525</v>
      </c>
      <c r="B529" s="55" t="s">
        <v>191</v>
      </c>
      <c r="C529" s="55">
        <f>IF(دانش‌آموزان!E48="","",دانش‌آموزان!B48)</f>
        <v>44</v>
      </c>
      <c r="D529" s="55" t="str">
        <f>IF(دانش‌آموزان!C48="","",دانش‌آموزان!C48)</f>
        <v>0960575340</v>
      </c>
      <c r="E529" s="55" t="str">
        <f>IF(دانش‌آموزان!E48="","",دانش‌آموزان!E48&amp;" "&amp;دانش‌آموزان!F48)</f>
        <v>يوسف جعفري</v>
      </c>
      <c r="F529" s="34">
        <f>IF(دانش‌آموزان!I48="","",دانش‌آموزان!I48)</f>
        <v>802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 hidden="1">
      <c r="A530" s="33">
        <v>526</v>
      </c>
      <c r="B530" s="55" t="s">
        <v>192</v>
      </c>
      <c r="C530" s="55">
        <f>IF(دانش‌آموزان!E48="","",دانش‌آموزان!B48)</f>
        <v>44</v>
      </c>
      <c r="D530" s="55" t="str">
        <f>IF(دانش‌آموزان!C48="","",دانش‌آموزان!C48)</f>
        <v>0960575340</v>
      </c>
      <c r="E530" s="55" t="str">
        <f>IF(دانش‌آموزان!E48="","",دانش‌آموزان!E48&amp;" "&amp;دانش‌آموزان!F48)</f>
        <v>يوسف جعفري</v>
      </c>
      <c r="F530" s="34">
        <f>IF(دانش‌آموزان!I48="","",دانش‌آموزان!I48)</f>
        <v>802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 hidden="1">
      <c r="A531" s="33">
        <v>527</v>
      </c>
      <c r="B531" s="55" t="s">
        <v>193</v>
      </c>
      <c r="C531" s="55">
        <f>IF(دانش‌آموزان!E48="","",دانش‌آموزان!B48)</f>
        <v>44</v>
      </c>
      <c r="D531" s="55" t="str">
        <f>IF(دانش‌آموزان!C48="","",دانش‌آموزان!C48)</f>
        <v>0960575340</v>
      </c>
      <c r="E531" s="55" t="str">
        <f>IF(دانش‌آموزان!E48="","",دانش‌آموزان!E48&amp;" "&amp;دانش‌آموزان!F48)</f>
        <v>يوسف جعفري</v>
      </c>
      <c r="F531" s="34">
        <f>IF(دانش‌آموزان!I48="","",دانش‌آموزان!I48)</f>
        <v>802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 hidden="1">
      <c r="A532" s="33">
        <v>528</v>
      </c>
      <c r="B532" s="55" t="s">
        <v>194</v>
      </c>
      <c r="C532" s="55">
        <f>IF(دانش‌آموزان!E48="","",دانش‌آموزان!B48)</f>
        <v>44</v>
      </c>
      <c r="D532" s="55" t="str">
        <f>IF(دانش‌آموزان!C48="","",دانش‌آموزان!C48)</f>
        <v>0960575340</v>
      </c>
      <c r="E532" s="55" t="str">
        <f>IF(دانش‌آموزان!E48="","",دانش‌آموزان!E48&amp;" "&amp;دانش‌آموزان!F48)</f>
        <v>يوسف جعفري</v>
      </c>
      <c r="F532" s="34">
        <f>IF(دانش‌آموزان!I48="","",دانش‌آموزان!I48)</f>
        <v>802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 hidden="1">
      <c r="A533" s="33">
        <v>529</v>
      </c>
      <c r="B533" s="55" t="s">
        <v>183</v>
      </c>
      <c r="C533" s="55">
        <f>IF(دانش‌آموزان!E49="","",دانش‌آموزان!B49)</f>
        <v>45</v>
      </c>
      <c r="D533" s="55" t="str">
        <f>IF(دانش‌آموزان!C49="","",دانش‌آموزان!C49)</f>
        <v>0960550658</v>
      </c>
      <c r="E533" s="55" t="str">
        <f>IF(دانش‌آموزان!E49="","",دانش‌آموزان!E49&amp;" "&amp;دانش‌آموزان!F49)</f>
        <v>بنيامين جعفريان</v>
      </c>
      <c r="F533" s="34">
        <f>IF(دانش‌آموزان!I49="","",دانش‌آموزان!I49)</f>
        <v>802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 hidden="1">
      <c r="A534" s="33">
        <v>530</v>
      </c>
      <c r="B534" s="55" t="s">
        <v>184</v>
      </c>
      <c r="C534" s="55">
        <f>IF(دانش‌آموزان!E49="","",دانش‌آموزان!B49)</f>
        <v>45</v>
      </c>
      <c r="D534" s="55" t="str">
        <f>IF(دانش‌آموزان!C49="","",دانش‌آموزان!C49)</f>
        <v>0960550658</v>
      </c>
      <c r="E534" s="55" t="str">
        <f>IF(دانش‌آموزان!E49="","",دانش‌آموزان!E49&amp;" "&amp;دانش‌آموزان!F49)</f>
        <v>بنيامين جعفريان</v>
      </c>
      <c r="F534" s="34">
        <f>IF(دانش‌آموزان!I49="","",دانش‌آموزان!I49)</f>
        <v>802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>
      <c r="A535" s="33">
        <v>531</v>
      </c>
      <c r="B535" s="55" t="s">
        <v>185</v>
      </c>
      <c r="C535" s="55">
        <f>IF(دانش‌آموزان!E49="","",دانش‌آموزان!B49)</f>
        <v>45</v>
      </c>
      <c r="D535" s="55" t="str">
        <f>IF(دانش‌آموزان!C49="","",دانش‌آموزان!C49)</f>
        <v>0960550658</v>
      </c>
      <c r="E535" s="55" t="str">
        <f>IF(دانش‌آموزان!E49="","",دانش‌آموزان!E49&amp;" "&amp;دانش‌آموزان!F49)</f>
        <v>بنيامين جعفريان</v>
      </c>
      <c r="F535" s="34">
        <f>IF(دانش‌آموزان!I49="","",دانش‌آموزان!I49)</f>
        <v>802</v>
      </c>
      <c r="G535" s="19">
        <v>19.5</v>
      </c>
      <c r="H535" s="20" t="s">
        <v>371</v>
      </c>
      <c r="I535" s="20">
        <v>5</v>
      </c>
      <c r="J535" s="20">
        <v>5</v>
      </c>
      <c r="K535" s="20">
        <v>5</v>
      </c>
      <c r="L535" s="20">
        <v>5</v>
      </c>
      <c r="M535" s="20">
        <v>5</v>
      </c>
      <c r="N535" s="20">
        <v>5</v>
      </c>
      <c r="O535" s="20">
        <v>5</v>
      </c>
      <c r="P535" s="20">
        <v>5</v>
      </c>
      <c r="Q535" s="20">
        <v>5</v>
      </c>
      <c r="R535" s="20">
        <v>5</v>
      </c>
      <c r="S535" s="20">
        <v>5</v>
      </c>
      <c r="T535" s="20">
        <v>5</v>
      </c>
      <c r="U535" s="20">
        <v>5</v>
      </c>
      <c r="V535" s="20">
        <v>5</v>
      </c>
      <c r="W535" s="20">
        <v>5</v>
      </c>
      <c r="X535" s="20">
        <v>5</v>
      </c>
      <c r="Y535" s="20">
        <v>5</v>
      </c>
      <c r="Z535" s="20">
        <v>5</v>
      </c>
      <c r="AA535" s="20">
        <v>5</v>
      </c>
      <c r="AB535" s="20">
        <v>5</v>
      </c>
      <c r="AC535" s="20">
        <v>5</v>
      </c>
      <c r="AD535" s="20" t="s">
        <v>371</v>
      </c>
      <c r="AE535" s="20" t="s">
        <v>371</v>
      </c>
      <c r="AF535" s="20" t="s">
        <v>371</v>
      </c>
      <c r="AG535" s="20" t="s">
        <v>371</v>
      </c>
      <c r="AH535" s="20" t="s">
        <v>371</v>
      </c>
      <c r="AI535" s="20" t="s">
        <v>371</v>
      </c>
      <c r="AJ535" s="20">
        <v>5</v>
      </c>
      <c r="AK535" s="20">
        <v>5</v>
      </c>
      <c r="AL535" s="20">
        <v>5</v>
      </c>
      <c r="AM535" s="20">
        <v>5</v>
      </c>
      <c r="AN535" s="20">
        <v>5</v>
      </c>
      <c r="AO535" s="20">
        <v>5</v>
      </c>
      <c r="AP535" s="20">
        <v>5</v>
      </c>
      <c r="AQ535" s="20" t="s">
        <v>371</v>
      </c>
      <c r="AR535" s="20" t="s">
        <v>371</v>
      </c>
      <c r="AS535" s="20" t="s">
        <v>371</v>
      </c>
      <c r="AT535" s="20" t="s">
        <v>371</v>
      </c>
      <c r="AU535" s="20" t="s">
        <v>371</v>
      </c>
      <c r="AV535" s="20" t="s">
        <v>371</v>
      </c>
      <c r="AW535" s="20" t="s">
        <v>371</v>
      </c>
      <c r="AX535" s="20" t="s">
        <v>371</v>
      </c>
      <c r="AY535" s="20" t="s">
        <v>371</v>
      </c>
      <c r="AZ535" s="20" t="s">
        <v>371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>
        <f t="shared" si="88"/>
        <v>28.285714285714285</v>
      </c>
      <c r="CD535" s="38">
        <f t="shared" si="89"/>
        <v>20</v>
      </c>
      <c r="CE535" s="38">
        <f t="shared" si="90"/>
        <v>20</v>
      </c>
      <c r="CF535" s="38">
        <f t="shared" si="91"/>
        <v>20</v>
      </c>
      <c r="CG535" s="38">
        <f t="shared" si="92"/>
        <v>20</v>
      </c>
      <c r="CH535" s="38" t="str">
        <f t="shared" si="93"/>
        <v/>
      </c>
      <c r="CI535" s="38">
        <f t="shared" si="94"/>
        <v>20</v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>موقت - اطلاعات ناقص</v>
      </c>
      <c r="CN535" s="38">
        <v>3</v>
      </c>
      <c r="CO535" s="28">
        <f t="shared" si="98"/>
        <v>0.63043478260869568</v>
      </c>
      <c r="CP535" s="58"/>
    </row>
    <row r="536" spans="1:94" hidden="1">
      <c r="A536" s="33">
        <v>532</v>
      </c>
      <c r="B536" s="55" t="s">
        <v>186</v>
      </c>
      <c r="C536" s="55">
        <f>IF(دانش‌آموزان!E49="","",دانش‌آموزان!B49)</f>
        <v>45</v>
      </c>
      <c r="D536" s="55" t="str">
        <f>IF(دانش‌آموزان!C49="","",دانش‌آموزان!C49)</f>
        <v>0960550658</v>
      </c>
      <c r="E536" s="55" t="str">
        <f>IF(دانش‌آموزان!E49="","",دانش‌آموزان!E49&amp;" "&amp;دانش‌آموزان!F49)</f>
        <v>بنيامين جعفريان</v>
      </c>
      <c r="F536" s="34">
        <f>IF(دانش‌آموزان!I49="","",دانش‌آموزان!I49)</f>
        <v>802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 hidden="1">
      <c r="A537" s="33">
        <v>533</v>
      </c>
      <c r="B537" s="55" t="s">
        <v>187</v>
      </c>
      <c r="C537" s="55">
        <f>IF(دانش‌آموزان!E49="","",دانش‌آموزان!B49)</f>
        <v>45</v>
      </c>
      <c r="D537" s="55" t="str">
        <f>IF(دانش‌آموزان!C49="","",دانش‌آموزان!C49)</f>
        <v>0960550658</v>
      </c>
      <c r="E537" s="55" t="str">
        <f>IF(دانش‌آموزان!E49="","",دانش‌آموزان!E49&amp;" "&amp;دانش‌آموزان!F49)</f>
        <v>بنيامين جعفريان</v>
      </c>
      <c r="F537" s="34">
        <f>IF(دانش‌آموزان!I49="","",دانش‌آموزان!I49)</f>
        <v>802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 hidden="1">
      <c r="A538" s="33">
        <v>534</v>
      </c>
      <c r="B538" s="55" t="s">
        <v>188</v>
      </c>
      <c r="C538" s="55">
        <f>IF(دانش‌آموزان!E49="","",دانش‌آموزان!B49)</f>
        <v>45</v>
      </c>
      <c r="D538" s="55" t="str">
        <f>IF(دانش‌آموزان!C49="","",دانش‌آموزان!C49)</f>
        <v>0960550658</v>
      </c>
      <c r="E538" s="55" t="str">
        <f>IF(دانش‌آموزان!E49="","",دانش‌آموزان!E49&amp;" "&amp;دانش‌آموزان!F49)</f>
        <v>بنيامين جعفريان</v>
      </c>
      <c r="F538" s="34">
        <f>IF(دانش‌آموزان!I49="","",دانش‌آموزان!I49)</f>
        <v>802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 hidden="1">
      <c r="A539" s="33">
        <v>535</v>
      </c>
      <c r="B539" s="55" t="s">
        <v>189</v>
      </c>
      <c r="C539" s="55">
        <f>IF(دانش‌آموزان!E49="","",دانش‌آموزان!B49)</f>
        <v>45</v>
      </c>
      <c r="D539" s="55" t="str">
        <f>IF(دانش‌آموزان!C49="","",دانش‌آموزان!C49)</f>
        <v>0960550658</v>
      </c>
      <c r="E539" s="55" t="str">
        <f>IF(دانش‌آموزان!E49="","",دانش‌آموزان!E49&amp;" "&amp;دانش‌آموزان!F49)</f>
        <v>بنيامين جعفريان</v>
      </c>
      <c r="F539" s="34">
        <f>IF(دانش‌آموزان!I49="","",دانش‌آموزان!I49)</f>
        <v>802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 hidden="1">
      <c r="A540" s="33">
        <v>536</v>
      </c>
      <c r="B540" s="55" t="s">
        <v>190</v>
      </c>
      <c r="C540" s="55">
        <f>IF(دانش‌آموزان!E49="","",دانش‌آموزان!B49)</f>
        <v>45</v>
      </c>
      <c r="D540" s="55" t="str">
        <f>IF(دانش‌آموزان!C49="","",دانش‌آموزان!C49)</f>
        <v>0960550658</v>
      </c>
      <c r="E540" s="55" t="str">
        <f>IF(دانش‌آموزان!E49="","",دانش‌آموزان!E49&amp;" "&amp;دانش‌آموزان!F49)</f>
        <v>بنيامين جعفريان</v>
      </c>
      <c r="F540" s="34">
        <f>IF(دانش‌آموزان!I49="","",دانش‌آموزان!I49)</f>
        <v>802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 hidden="1">
      <c r="A541" s="33">
        <v>537</v>
      </c>
      <c r="B541" s="55" t="s">
        <v>191</v>
      </c>
      <c r="C541" s="55">
        <f>IF(دانش‌آموزان!E49="","",دانش‌آموزان!B49)</f>
        <v>45</v>
      </c>
      <c r="D541" s="55" t="str">
        <f>IF(دانش‌آموزان!C49="","",دانش‌آموزان!C49)</f>
        <v>0960550658</v>
      </c>
      <c r="E541" s="55" t="str">
        <f>IF(دانش‌آموزان!E49="","",دانش‌آموزان!E49&amp;" "&amp;دانش‌آموزان!F49)</f>
        <v>بنيامين جعفريان</v>
      </c>
      <c r="F541" s="34">
        <f>IF(دانش‌آموزان!I49="","",دانش‌آموزان!I49)</f>
        <v>802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 hidden="1">
      <c r="A542" s="33">
        <v>538</v>
      </c>
      <c r="B542" s="55" t="s">
        <v>192</v>
      </c>
      <c r="C542" s="55">
        <f>IF(دانش‌آموزان!E49="","",دانش‌آموزان!B49)</f>
        <v>45</v>
      </c>
      <c r="D542" s="55" t="str">
        <f>IF(دانش‌آموزان!C49="","",دانش‌آموزان!C49)</f>
        <v>0960550658</v>
      </c>
      <c r="E542" s="55" t="str">
        <f>IF(دانش‌آموزان!E49="","",دانش‌آموزان!E49&amp;" "&amp;دانش‌آموزان!F49)</f>
        <v>بنيامين جعفريان</v>
      </c>
      <c r="F542" s="34">
        <f>IF(دانش‌آموزان!I49="","",دانش‌آموزان!I49)</f>
        <v>802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 hidden="1">
      <c r="A543" s="33">
        <v>539</v>
      </c>
      <c r="B543" s="55" t="s">
        <v>193</v>
      </c>
      <c r="C543" s="55">
        <f>IF(دانش‌آموزان!E49="","",دانش‌آموزان!B49)</f>
        <v>45</v>
      </c>
      <c r="D543" s="55" t="str">
        <f>IF(دانش‌آموزان!C49="","",دانش‌آموزان!C49)</f>
        <v>0960550658</v>
      </c>
      <c r="E543" s="55" t="str">
        <f>IF(دانش‌آموزان!E49="","",دانش‌آموزان!E49&amp;" "&amp;دانش‌آموزان!F49)</f>
        <v>بنيامين جعفريان</v>
      </c>
      <c r="F543" s="34">
        <f>IF(دانش‌آموزان!I49="","",دانش‌آموزان!I49)</f>
        <v>802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 hidden="1">
      <c r="A544" s="33">
        <v>540</v>
      </c>
      <c r="B544" s="55" t="s">
        <v>194</v>
      </c>
      <c r="C544" s="55">
        <f>IF(دانش‌آموزان!E49="","",دانش‌آموزان!B49)</f>
        <v>45</v>
      </c>
      <c r="D544" s="55" t="str">
        <f>IF(دانش‌آموزان!C49="","",دانش‌آموزان!C49)</f>
        <v>0960550658</v>
      </c>
      <c r="E544" s="55" t="str">
        <f>IF(دانش‌آموزان!E49="","",دانش‌آموزان!E49&amp;" "&amp;دانش‌آموزان!F49)</f>
        <v>بنيامين جعفريان</v>
      </c>
      <c r="F544" s="34">
        <f>IF(دانش‌آموزان!I49="","",دانش‌آموزان!I49)</f>
        <v>802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 hidden="1">
      <c r="A545" s="33">
        <v>541</v>
      </c>
      <c r="B545" s="55" t="s">
        <v>183</v>
      </c>
      <c r="C545" s="55">
        <f>IF(دانش‌آموزان!E50="","",دانش‌آموزان!B50)</f>
        <v>46</v>
      </c>
      <c r="D545" s="55" t="str">
        <f>IF(دانش‌آموزان!C50="","",دانش‌آموزان!C50)</f>
        <v>0970836211</v>
      </c>
      <c r="E545" s="55" t="str">
        <f>IF(دانش‌آموزان!E50="","",دانش‌آموزان!E50&amp;" "&amp;دانش‌آموزان!F50)</f>
        <v>محمد چمانه گير</v>
      </c>
      <c r="F545" s="34">
        <f>IF(دانش‌آموزان!I50="","",دانش‌آموزان!I50)</f>
        <v>802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>
        <f t="shared" si="98"/>
        <v>0</v>
      </c>
      <c r="CP545" s="58"/>
    </row>
    <row r="546" spans="1:94" hidden="1">
      <c r="A546" s="33">
        <v>542</v>
      </c>
      <c r="B546" s="55" t="s">
        <v>184</v>
      </c>
      <c r="C546" s="55">
        <f>IF(دانش‌آموزان!E50="","",دانش‌آموزان!B50)</f>
        <v>46</v>
      </c>
      <c r="D546" s="55" t="str">
        <f>IF(دانش‌آموزان!C50="","",دانش‌آموزان!C50)</f>
        <v>0970836211</v>
      </c>
      <c r="E546" s="55" t="str">
        <f>IF(دانش‌آموزان!E50="","",دانش‌آموزان!E50&amp;" "&amp;دانش‌آموزان!F50)</f>
        <v>محمد چمانه گير</v>
      </c>
      <c r="F546" s="34">
        <f>IF(دانش‌آموزان!I50="","",دانش‌آموزان!I50)</f>
        <v>802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>
        <f t="shared" si="98"/>
        <v>0</v>
      </c>
      <c r="CP546" s="58"/>
    </row>
    <row r="547" spans="1:94">
      <c r="A547" s="33">
        <v>543</v>
      </c>
      <c r="B547" s="55" t="s">
        <v>185</v>
      </c>
      <c r="C547" s="55">
        <f>IF(دانش‌آموزان!E50="","",دانش‌آموزان!B50)</f>
        <v>46</v>
      </c>
      <c r="D547" s="55" t="str">
        <f>IF(دانش‌آموزان!C50="","",دانش‌آموزان!C50)</f>
        <v>0970836211</v>
      </c>
      <c r="E547" s="55" t="str">
        <f>IF(دانش‌آموزان!E50="","",دانش‌آموزان!E50&amp;" "&amp;دانش‌آموزان!F50)</f>
        <v>محمد چمانه گير</v>
      </c>
      <c r="F547" s="34">
        <f>IF(دانش‌آموزان!I50="","",دانش‌آموزان!I50)</f>
        <v>802</v>
      </c>
      <c r="G547" s="19">
        <v>18.329999999999998</v>
      </c>
      <c r="H547" s="20">
        <v>-7.3299999999999983</v>
      </c>
      <c r="I547" s="20">
        <v>5</v>
      </c>
      <c r="J547" s="20">
        <v>5</v>
      </c>
      <c r="K547" s="20">
        <v>5</v>
      </c>
      <c r="L547" s="20">
        <v>5</v>
      </c>
      <c r="M547" s="20">
        <v>5</v>
      </c>
      <c r="N547" s="20">
        <v>5</v>
      </c>
      <c r="O547" s="20">
        <v>5</v>
      </c>
      <c r="P547" s="20">
        <v>5</v>
      </c>
      <c r="Q547" s="20">
        <v>5</v>
      </c>
      <c r="R547" s="20">
        <v>5</v>
      </c>
      <c r="S547" s="20">
        <v>5</v>
      </c>
      <c r="T547" s="20">
        <v>5</v>
      </c>
      <c r="U547" s="20">
        <v>5</v>
      </c>
      <c r="V547" s="20">
        <v>5</v>
      </c>
      <c r="W547" s="20">
        <v>5</v>
      </c>
      <c r="X547" s="20">
        <v>5</v>
      </c>
      <c r="Y547" s="20">
        <v>5</v>
      </c>
      <c r="Z547" s="20">
        <v>5</v>
      </c>
      <c r="AA547" s="20">
        <v>5</v>
      </c>
      <c r="AB547" s="20">
        <v>5</v>
      </c>
      <c r="AC547" s="20">
        <v>5</v>
      </c>
      <c r="AD547" s="20" t="s">
        <v>371</v>
      </c>
      <c r="AE547" s="20" t="s">
        <v>371</v>
      </c>
      <c r="AF547" s="20" t="s">
        <v>371</v>
      </c>
      <c r="AG547" s="20" t="s">
        <v>371</v>
      </c>
      <c r="AH547" s="20" t="s">
        <v>371</v>
      </c>
      <c r="AI547" s="20" t="s">
        <v>371</v>
      </c>
      <c r="AJ547" s="20">
        <v>5</v>
      </c>
      <c r="AK547" s="20">
        <v>5</v>
      </c>
      <c r="AL547" s="20">
        <v>5</v>
      </c>
      <c r="AM547" s="20">
        <v>5</v>
      </c>
      <c r="AN547" s="20">
        <v>5</v>
      </c>
      <c r="AO547" s="20">
        <v>5</v>
      </c>
      <c r="AP547" s="20">
        <v>5</v>
      </c>
      <c r="AQ547" s="20" t="s">
        <v>371</v>
      </c>
      <c r="AR547" s="20" t="s">
        <v>371</v>
      </c>
      <c r="AS547" s="20" t="s">
        <v>371</v>
      </c>
      <c r="AT547" s="20" t="s">
        <v>371</v>
      </c>
      <c r="AU547" s="20" t="s">
        <v>371</v>
      </c>
      <c r="AV547" s="20" t="s">
        <v>371</v>
      </c>
      <c r="AW547" s="20" t="s">
        <v>371</v>
      </c>
      <c r="AX547" s="20" t="s">
        <v>371</v>
      </c>
      <c r="AY547" s="20" t="s">
        <v>371</v>
      </c>
      <c r="AZ547" s="20" t="s">
        <v>371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>
        <f t="shared" si="88"/>
        <v>20.5</v>
      </c>
      <c r="CD547" s="38">
        <f t="shared" si="89"/>
        <v>20</v>
      </c>
      <c r="CE547" s="38">
        <f t="shared" si="90"/>
        <v>20</v>
      </c>
      <c r="CF547" s="38">
        <f t="shared" si="91"/>
        <v>20</v>
      </c>
      <c r="CG547" s="38">
        <f t="shared" si="92"/>
        <v>20</v>
      </c>
      <c r="CH547" s="38" t="str">
        <f t="shared" si="93"/>
        <v/>
      </c>
      <c r="CI547" s="38">
        <f t="shared" si="94"/>
        <v>20</v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>موقت - اطلاعات ناقص</v>
      </c>
      <c r="CN547" s="38">
        <v>3</v>
      </c>
      <c r="CO547" s="28">
        <f t="shared" si="98"/>
        <v>0.65217391304347827</v>
      </c>
      <c r="CP547" s="58"/>
    </row>
    <row r="548" spans="1:94" hidden="1">
      <c r="A548" s="33">
        <v>544</v>
      </c>
      <c r="B548" s="55" t="s">
        <v>186</v>
      </c>
      <c r="C548" s="55">
        <f>IF(دانش‌آموزان!E50="","",دانش‌آموزان!B50)</f>
        <v>46</v>
      </c>
      <c r="D548" s="55" t="str">
        <f>IF(دانش‌آموزان!C50="","",دانش‌آموزان!C50)</f>
        <v>0970836211</v>
      </c>
      <c r="E548" s="55" t="str">
        <f>IF(دانش‌آموزان!E50="","",دانش‌آموزان!E50&amp;" "&amp;دانش‌آموزان!F50)</f>
        <v>محمد چمانه گير</v>
      </c>
      <c r="F548" s="34">
        <f>IF(دانش‌آموزان!I50="","",دانش‌آموزان!I50)</f>
        <v>802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>
        <f t="shared" si="98"/>
        <v>0</v>
      </c>
      <c r="CP548" s="58"/>
    </row>
    <row r="549" spans="1:94" hidden="1">
      <c r="A549" s="33">
        <v>545</v>
      </c>
      <c r="B549" s="55" t="s">
        <v>187</v>
      </c>
      <c r="C549" s="55">
        <f>IF(دانش‌آموزان!E50="","",دانش‌آموزان!B50)</f>
        <v>46</v>
      </c>
      <c r="D549" s="55" t="str">
        <f>IF(دانش‌آموزان!C50="","",دانش‌آموزان!C50)</f>
        <v>0970836211</v>
      </c>
      <c r="E549" s="55" t="str">
        <f>IF(دانش‌آموزان!E50="","",دانش‌آموزان!E50&amp;" "&amp;دانش‌آموزان!F50)</f>
        <v>محمد چمانه گير</v>
      </c>
      <c r="F549" s="34">
        <f>IF(دانش‌آموزان!I50="","",دانش‌آموزان!I50)</f>
        <v>802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>
        <f t="shared" si="98"/>
        <v>0</v>
      </c>
      <c r="CP549" s="58"/>
    </row>
    <row r="550" spans="1:94" hidden="1">
      <c r="A550" s="33">
        <v>546</v>
      </c>
      <c r="B550" s="55" t="s">
        <v>188</v>
      </c>
      <c r="C550" s="55">
        <f>IF(دانش‌آموزان!E50="","",دانش‌آموزان!B50)</f>
        <v>46</v>
      </c>
      <c r="D550" s="55" t="str">
        <f>IF(دانش‌آموزان!C50="","",دانش‌آموزان!C50)</f>
        <v>0970836211</v>
      </c>
      <c r="E550" s="55" t="str">
        <f>IF(دانش‌آموزان!E50="","",دانش‌آموزان!E50&amp;" "&amp;دانش‌آموزان!F50)</f>
        <v>محمد چمانه گير</v>
      </c>
      <c r="F550" s="34">
        <f>IF(دانش‌آموزان!I50="","",دانش‌آموزان!I50)</f>
        <v>802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>
        <f t="shared" si="98"/>
        <v>0</v>
      </c>
      <c r="CP550" s="58"/>
    </row>
    <row r="551" spans="1:94" hidden="1">
      <c r="A551" s="33">
        <v>547</v>
      </c>
      <c r="B551" s="55" t="s">
        <v>189</v>
      </c>
      <c r="C551" s="55">
        <f>IF(دانش‌آموزان!E50="","",دانش‌آموزان!B50)</f>
        <v>46</v>
      </c>
      <c r="D551" s="55" t="str">
        <f>IF(دانش‌آموزان!C50="","",دانش‌آموزان!C50)</f>
        <v>0970836211</v>
      </c>
      <c r="E551" s="55" t="str">
        <f>IF(دانش‌آموزان!E50="","",دانش‌آموزان!E50&amp;" "&amp;دانش‌آموزان!F50)</f>
        <v>محمد چمانه گير</v>
      </c>
      <c r="F551" s="34">
        <f>IF(دانش‌آموزان!I50="","",دانش‌آموزان!I50)</f>
        <v>802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>
        <f t="shared" si="98"/>
        <v>0</v>
      </c>
      <c r="CP551" s="58"/>
    </row>
    <row r="552" spans="1:94" hidden="1">
      <c r="A552" s="33">
        <v>548</v>
      </c>
      <c r="B552" s="55" t="s">
        <v>190</v>
      </c>
      <c r="C552" s="55">
        <f>IF(دانش‌آموزان!E50="","",دانش‌آموزان!B50)</f>
        <v>46</v>
      </c>
      <c r="D552" s="55" t="str">
        <f>IF(دانش‌آموزان!C50="","",دانش‌آموزان!C50)</f>
        <v>0970836211</v>
      </c>
      <c r="E552" s="55" t="str">
        <f>IF(دانش‌آموزان!E50="","",دانش‌آموزان!E50&amp;" "&amp;دانش‌آموزان!F50)</f>
        <v>محمد چمانه گير</v>
      </c>
      <c r="F552" s="34">
        <f>IF(دانش‌آموزان!I50="","",دانش‌آموزان!I50)</f>
        <v>802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>
        <f t="shared" si="98"/>
        <v>0</v>
      </c>
      <c r="CP552" s="58"/>
    </row>
    <row r="553" spans="1:94" hidden="1">
      <c r="A553" s="33">
        <v>549</v>
      </c>
      <c r="B553" s="55" t="s">
        <v>191</v>
      </c>
      <c r="C553" s="55">
        <f>IF(دانش‌آموزان!E50="","",دانش‌آموزان!B50)</f>
        <v>46</v>
      </c>
      <c r="D553" s="55" t="str">
        <f>IF(دانش‌آموزان!C50="","",دانش‌آموزان!C50)</f>
        <v>0970836211</v>
      </c>
      <c r="E553" s="55" t="str">
        <f>IF(دانش‌آموزان!E50="","",دانش‌آموزان!E50&amp;" "&amp;دانش‌آموزان!F50)</f>
        <v>محمد چمانه گير</v>
      </c>
      <c r="F553" s="34">
        <f>IF(دانش‌آموزان!I50="","",دانش‌آموزان!I50)</f>
        <v>802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>
        <f t="shared" si="98"/>
        <v>0</v>
      </c>
      <c r="CP553" s="58"/>
    </row>
    <row r="554" spans="1:94" hidden="1">
      <c r="A554" s="33">
        <v>550</v>
      </c>
      <c r="B554" s="55" t="s">
        <v>192</v>
      </c>
      <c r="C554" s="55">
        <f>IF(دانش‌آموزان!E50="","",دانش‌آموزان!B50)</f>
        <v>46</v>
      </c>
      <c r="D554" s="55" t="str">
        <f>IF(دانش‌آموزان!C50="","",دانش‌آموزان!C50)</f>
        <v>0970836211</v>
      </c>
      <c r="E554" s="55" t="str">
        <f>IF(دانش‌آموزان!E50="","",دانش‌آموزان!E50&amp;" "&amp;دانش‌آموزان!F50)</f>
        <v>محمد چمانه گير</v>
      </c>
      <c r="F554" s="34">
        <f>IF(دانش‌آموزان!I50="","",دانش‌آموزان!I50)</f>
        <v>802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>
        <f t="shared" si="98"/>
        <v>0</v>
      </c>
      <c r="CP554" s="58"/>
    </row>
    <row r="555" spans="1:94" hidden="1">
      <c r="A555" s="33">
        <v>551</v>
      </c>
      <c r="B555" s="55" t="s">
        <v>193</v>
      </c>
      <c r="C555" s="55">
        <f>IF(دانش‌آموزان!E50="","",دانش‌آموزان!B50)</f>
        <v>46</v>
      </c>
      <c r="D555" s="55" t="str">
        <f>IF(دانش‌آموزان!C50="","",دانش‌آموزان!C50)</f>
        <v>0970836211</v>
      </c>
      <c r="E555" s="55" t="str">
        <f>IF(دانش‌آموزان!E50="","",دانش‌آموزان!E50&amp;" "&amp;دانش‌آموزان!F50)</f>
        <v>محمد چمانه گير</v>
      </c>
      <c r="F555" s="34">
        <f>IF(دانش‌آموزان!I50="","",دانش‌آموزان!I50)</f>
        <v>802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>
        <f t="shared" si="98"/>
        <v>0</v>
      </c>
      <c r="CP555" s="58"/>
    </row>
    <row r="556" spans="1:94" hidden="1">
      <c r="A556" s="33">
        <v>552</v>
      </c>
      <c r="B556" s="55" t="s">
        <v>194</v>
      </c>
      <c r="C556" s="55">
        <f>IF(دانش‌آموزان!E50="","",دانش‌آموزان!B50)</f>
        <v>46</v>
      </c>
      <c r="D556" s="55" t="str">
        <f>IF(دانش‌آموزان!C50="","",دانش‌آموزان!C50)</f>
        <v>0970836211</v>
      </c>
      <c r="E556" s="55" t="str">
        <f>IF(دانش‌آموزان!E50="","",دانش‌آموزان!E50&amp;" "&amp;دانش‌آموزان!F50)</f>
        <v>محمد چمانه گير</v>
      </c>
      <c r="F556" s="34">
        <f>IF(دانش‌آموزان!I50="","",دانش‌آموزان!I50)</f>
        <v>802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>
        <f t="shared" si="98"/>
        <v>0</v>
      </c>
      <c r="CP556" s="58"/>
    </row>
    <row r="557" spans="1:94" hidden="1">
      <c r="A557" s="33">
        <v>553</v>
      </c>
      <c r="B557" s="55" t="s">
        <v>183</v>
      </c>
      <c r="C557" s="55">
        <f>IF(دانش‌آموزان!E51="","",دانش‌آموزان!B51)</f>
        <v>47</v>
      </c>
      <c r="D557" s="55" t="str">
        <f>IF(دانش‌آموزان!C51="","",دانش‌آموزان!C51)</f>
        <v>93100756484</v>
      </c>
      <c r="E557" s="55" t="str">
        <f>IF(دانش‌آموزان!E51="","",دانش‌آموزان!E51&amp;" "&amp;دانش‌آموزان!F51)</f>
        <v>اميرعلي حسن پور</v>
      </c>
      <c r="F557" s="34">
        <f>IF(دانش‌آموزان!I51="","",دانش‌آموزان!I51)</f>
        <v>802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>
        <f t="shared" si="98"/>
        <v>0</v>
      </c>
      <c r="CP557" s="58"/>
    </row>
    <row r="558" spans="1:94" hidden="1">
      <c r="A558" s="33">
        <v>554</v>
      </c>
      <c r="B558" s="55" t="s">
        <v>184</v>
      </c>
      <c r="C558" s="55">
        <f>IF(دانش‌آموزان!E51="","",دانش‌آموزان!B51)</f>
        <v>47</v>
      </c>
      <c r="D558" s="55" t="str">
        <f>IF(دانش‌آموزان!C51="","",دانش‌آموزان!C51)</f>
        <v>93100756484</v>
      </c>
      <c r="E558" s="55" t="str">
        <f>IF(دانش‌آموزان!E51="","",دانش‌آموزان!E51&amp;" "&amp;دانش‌آموزان!F51)</f>
        <v>اميرعلي حسن پور</v>
      </c>
      <c r="F558" s="34">
        <f>IF(دانش‌آموزان!I51="","",دانش‌آموزان!I51)</f>
        <v>802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>
        <f t="shared" si="98"/>
        <v>0</v>
      </c>
      <c r="CP558" s="58"/>
    </row>
    <row r="559" spans="1:94">
      <c r="A559" s="33">
        <v>555</v>
      </c>
      <c r="B559" s="55" t="s">
        <v>185</v>
      </c>
      <c r="C559" s="55">
        <f>IF(دانش‌آموزان!E51="","",دانش‌آموزان!B51)</f>
        <v>47</v>
      </c>
      <c r="D559" s="55" t="str">
        <f>IF(دانش‌آموزان!C51="","",دانش‌آموزان!C51)</f>
        <v>93100756484</v>
      </c>
      <c r="E559" s="55" t="str">
        <f>IF(دانش‌آموزان!E51="","",دانش‌آموزان!E51&amp;" "&amp;دانش‌آموزان!F51)</f>
        <v>اميرعلي حسن پور</v>
      </c>
      <c r="F559" s="34">
        <f>IF(دانش‌آموزان!I51="","",دانش‌آموزان!I51)</f>
        <v>802</v>
      </c>
      <c r="G559" s="19">
        <v>19.09</v>
      </c>
      <c r="H559" s="20">
        <v>-11.09</v>
      </c>
      <c r="I559" s="20">
        <v>5</v>
      </c>
      <c r="J559" s="20">
        <v>5</v>
      </c>
      <c r="K559" s="20">
        <v>5</v>
      </c>
      <c r="L559" s="20">
        <v>5</v>
      </c>
      <c r="M559" s="20">
        <v>5</v>
      </c>
      <c r="N559" s="20">
        <v>5</v>
      </c>
      <c r="O559" s="20">
        <v>5</v>
      </c>
      <c r="P559" s="20">
        <v>5</v>
      </c>
      <c r="Q559" s="20">
        <v>5</v>
      </c>
      <c r="R559" s="20">
        <v>5</v>
      </c>
      <c r="S559" s="20">
        <v>5</v>
      </c>
      <c r="T559" s="20">
        <v>5</v>
      </c>
      <c r="U559" s="20">
        <v>5</v>
      </c>
      <c r="V559" s="20">
        <v>5</v>
      </c>
      <c r="W559" s="20">
        <v>5</v>
      </c>
      <c r="X559" s="20">
        <v>5</v>
      </c>
      <c r="Y559" s="20">
        <v>5</v>
      </c>
      <c r="Z559" s="20">
        <v>5</v>
      </c>
      <c r="AA559" s="20">
        <v>5</v>
      </c>
      <c r="AB559" s="20">
        <v>5</v>
      </c>
      <c r="AC559" s="20">
        <v>5</v>
      </c>
      <c r="AD559" s="20" t="s">
        <v>371</v>
      </c>
      <c r="AE559" s="20" t="s">
        <v>371</v>
      </c>
      <c r="AF559" s="20" t="s">
        <v>371</v>
      </c>
      <c r="AG559" s="20" t="s">
        <v>371</v>
      </c>
      <c r="AH559" s="20" t="s">
        <v>371</v>
      </c>
      <c r="AI559" s="20" t="s">
        <v>371</v>
      </c>
      <c r="AJ559" s="20">
        <v>5</v>
      </c>
      <c r="AK559" s="20">
        <v>5</v>
      </c>
      <c r="AL559" s="20">
        <v>5</v>
      </c>
      <c r="AM559" s="20">
        <v>5</v>
      </c>
      <c r="AN559" s="20">
        <v>5</v>
      </c>
      <c r="AO559" s="20">
        <v>5</v>
      </c>
      <c r="AP559" s="20">
        <v>5</v>
      </c>
      <c r="AQ559" s="20" t="s">
        <v>371</v>
      </c>
      <c r="AR559" s="20" t="s">
        <v>371</v>
      </c>
      <c r="AS559" s="20" t="s">
        <v>371</v>
      </c>
      <c r="AT559" s="20" t="s">
        <v>371</v>
      </c>
      <c r="AU559" s="20" t="s">
        <v>371</v>
      </c>
      <c r="AV559" s="20" t="s">
        <v>371</v>
      </c>
      <c r="AW559" s="20" t="s">
        <v>371</v>
      </c>
      <c r="AX559" s="20" t="s">
        <v>371</v>
      </c>
      <c r="AY559" s="20" t="s">
        <v>371</v>
      </c>
      <c r="AZ559" s="20" t="s">
        <v>371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>
        <f t="shared" si="88"/>
        <v>19</v>
      </c>
      <c r="CD559" s="38">
        <f t="shared" si="89"/>
        <v>20</v>
      </c>
      <c r="CE559" s="38">
        <f t="shared" si="90"/>
        <v>20</v>
      </c>
      <c r="CF559" s="38">
        <f t="shared" si="91"/>
        <v>20</v>
      </c>
      <c r="CG559" s="38">
        <f t="shared" si="92"/>
        <v>20</v>
      </c>
      <c r="CH559" s="38" t="str">
        <f t="shared" si="93"/>
        <v/>
      </c>
      <c r="CI559" s="38">
        <f t="shared" si="94"/>
        <v>20</v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>موقت - اطلاعات ناقص</v>
      </c>
      <c r="CN559" s="38">
        <v>3</v>
      </c>
      <c r="CO559" s="28">
        <f t="shared" si="98"/>
        <v>0.65217391304347827</v>
      </c>
      <c r="CP559" s="58"/>
    </row>
    <row r="560" spans="1:94" hidden="1">
      <c r="A560" s="33">
        <v>556</v>
      </c>
      <c r="B560" s="55" t="s">
        <v>186</v>
      </c>
      <c r="C560" s="55">
        <f>IF(دانش‌آموزان!E51="","",دانش‌آموزان!B51)</f>
        <v>47</v>
      </c>
      <c r="D560" s="55" t="str">
        <f>IF(دانش‌آموزان!C51="","",دانش‌آموزان!C51)</f>
        <v>93100756484</v>
      </c>
      <c r="E560" s="55" t="str">
        <f>IF(دانش‌آموزان!E51="","",دانش‌آموزان!E51&amp;" "&amp;دانش‌آموزان!F51)</f>
        <v>اميرعلي حسن پور</v>
      </c>
      <c r="F560" s="34">
        <f>IF(دانش‌آموزان!I51="","",دانش‌آموزان!I51)</f>
        <v>802</v>
      </c>
      <c r="G560" s="19">
        <v>19.350000000000001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>
        <f t="shared" si="88"/>
        <v>77.400000000000006</v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>موقت - اطلاعات ناقص</v>
      </c>
      <c r="CN560" s="38">
        <v>4</v>
      </c>
      <c r="CO560" s="28">
        <f t="shared" si="98"/>
        <v>2.1739130434782608E-2</v>
      </c>
      <c r="CP560" s="58"/>
    </row>
    <row r="561" spans="1:94" hidden="1">
      <c r="A561" s="33">
        <v>557</v>
      </c>
      <c r="B561" s="55" t="s">
        <v>187</v>
      </c>
      <c r="C561" s="55">
        <f>IF(دانش‌آموزان!E51="","",دانش‌آموزان!B51)</f>
        <v>47</v>
      </c>
      <c r="D561" s="55" t="str">
        <f>IF(دانش‌آموزان!C51="","",دانش‌آموزان!C51)</f>
        <v>93100756484</v>
      </c>
      <c r="E561" s="55" t="str">
        <f>IF(دانش‌آموزان!E51="","",دانش‌آموزان!E51&amp;" "&amp;دانش‌آموزان!F51)</f>
        <v>اميرعلي حسن پور</v>
      </c>
      <c r="F561" s="34">
        <f>IF(دانش‌آموزان!I51="","",دانش‌آموزان!I51)</f>
        <v>802</v>
      </c>
      <c r="G561" s="19">
        <v>19.78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>
        <f t="shared" si="88"/>
        <v>79.12</v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>موقت - اطلاعات ناقص</v>
      </c>
      <c r="CN561" s="38">
        <v>5</v>
      </c>
      <c r="CO561" s="28">
        <f t="shared" si="98"/>
        <v>2.1739130434782608E-2</v>
      </c>
      <c r="CP561" s="58"/>
    </row>
    <row r="562" spans="1:94" hidden="1">
      <c r="A562" s="33">
        <v>558</v>
      </c>
      <c r="B562" s="55" t="s">
        <v>188</v>
      </c>
      <c r="C562" s="55">
        <f>IF(دانش‌آموزان!E51="","",دانش‌آموزان!B51)</f>
        <v>47</v>
      </c>
      <c r="D562" s="55" t="str">
        <f>IF(دانش‌آموزان!C51="","",دانش‌آموزان!C51)</f>
        <v>93100756484</v>
      </c>
      <c r="E562" s="55" t="str">
        <f>IF(دانش‌آموزان!E51="","",دانش‌آموزان!E51&amp;" "&amp;دانش‌آموزان!F51)</f>
        <v>اميرعلي حسن پور</v>
      </c>
      <c r="F562" s="34">
        <f>IF(دانش‌آموزان!I51="","",دانش‌آموزان!I51)</f>
        <v>802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>
        <f t="shared" si="98"/>
        <v>0</v>
      </c>
      <c r="CP562" s="58"/>
    </row>
    <row r="563" spans="1:94" hidden="1">
      <c r="A563" s="33">
        <v>559</v>
      </c>
      <c r="B563" s="55" t="s">
        <v>189</v>
      </c>
      <c r="C563" s="55">
        <f>IF(دانش‌آموزان!E51="","",دانش‌آموزان!B51)</f>
        <v>47</v>
      </c>
      <c r="D563" s="55" t="str">
        <f>IF(دانش‌آموزان!C51="","",دانش‌آموزان!C51)</f>
        <v>93100756484</v>
      </c>
      <c r="E563" s="55" t="str">
        <f>IF(دانش‌آموزان!E51="","",دانش‌آموزان!E51&amp;" "&amp;دانش‌آموزان!F51)</f>
        <v>اميرعلي حسن پور</v>
      </c>
      <c r="F563" s="34">
        <f>IF(دانش‌آموزان!I51="","",دانش‌آموزان!I51)</f>
        <v>802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>
        <f t="shared" si="98"/>
        <v>0</v>
      </c>
      <c r="CP563" s="58"/>
    </row>
    <row r="564" spans="1:94" hidden="1">
      <c r="A564" s="33">
        <v>560</v>
      </c>
      <c r="B564" s="55" t="s">
        <v>190</v>
      </c>
      <c r="C564" s="55">
        <f>IF(دانش‌آموزان!E51="","",دانش‌آموزان!B51)</f>
        <v>47</v>
      </c>
      <c r="D564" s="55" t="str">
        <f>IF(دانش‌آموزان!C51="","",دانش‌آموزان!C51)</f>
        <v>93100756484</v>
      </c>
      <c r="E564" s="55" t="str">
        <f>IF(دانش‌آموزان!E51="","",دانش‌آموزان!E51&amp;" "&amp;دانش‌آموزان!F51)</f>
        <v>اميرعلي حسن پور</v>
      </c>
      <c r="F564" s="34">
        <f>IF(دانش‌آموزان!I51="","",دانش‌آموزان!I51)</f>
        <v>802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>
        <f t="shared" si="98"/>
        <v>0</v>
      </c>
      <c r="CP564" s="58"/>
    </row>
    <row r="565" spans="1:94" hidden="1">
      <c r="A565" s="33">
        <v>561</v>
      </c>
      <c r="B565" s="55" t="s">
        <v>191</v>
      </c>
      <c r="C565" s="55">
        <f>IF(دانش‌آموزان!E51="","",دانش‌آموزان!B51)</f>
        <v>47</v>
      </c>
      <c r="D565" s="55" t="str">
        <f>IF(دانش‌آموزان!C51="","",دانش‌آموزان!C51)</f>
        <v>93100756484</v>
      </c>
      <c r="E565" s="55" t="str">
        <f>IF(دانش‌آموزان!E51="","",دانش‌آموزان!E51&amp;" "&amp;دانش‌آموزان!F51)</f>
        <v>اميرعلي حسن پور</v>
      </c>
      <c r="F565" s="34">
        <f>IF(دانش‌آموزان!I51="","",دانش‌آموزان!I51)</f>
        <v>802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>
        <f t="shared" si="98"/>
        <v>0</v>
      </c>
      <c r="CP565" s="58"/>
    </row>
    <row r="566" spans="1:94" hidden="1">
      <c r="A566" s="33">
        <v>562</v>
      </c>
      <c r="B566" s="55" t="s">
        <v>192</v>
      </c>
      <c r="C566" s="55">
        <f>IF(دانش‌آموزان!E51="","",دانش‌آموزان!B51)</f>
        <v>47</v>
      </c>
      <c r="D566" s="55" t="str">
        <f>IF(دانش‌آموزان!C51="","",دانش‌آموزان!C51)</f>
        <v>93100756484</v>
      </c>
      <c r="E566" s="55" t="str">
        <f>IF(دانش‌آموزان!E51="","",دانش‌آموزان!E51&amp;" "&amp;دانش‌آموزان!F51)</f>
        <v>اميرعلي حسن پور</v>
      </c>
      <c r="F566" s="34">
        <f>IF(دانش‌آموزان!I51="","",دانش‌آموزان!I51)</f>
        <v>802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>
        <f t="shared" si="98"/>
        <v>0</v>
      </c>
      <c r="CP566" s="58"/>
    </row>
    <row r="567" spans="1:94" hidden="1">
      <c r="A567" s="33">
        <v>563</v>
      </c>
      <c r="B567" s="55" t="s">
        <v>193</v>
      </c>
      <c r="C567" s="55">
        <f>IF(دانش‌آموزان!E51="","",دانش‌آموزان!B51)</f>
        <v>47</v>
      </c>
      <c r="D567" s="55" t="str">
        <f>IF(دانش‌آموزان!C51="","",دانش‌آموزان!C51)</f>
        <v>93100756484</v>
      </c>
      <c r="E567" s="55" t="str">
        <f>IF(دانش‌آموزان!E51="","",دانش‌آموزان!E51&amp;" "&amp;دانش‌آموزان!F51)</f>
        <v>اميرعلي حسن پور</v>
      </c>
      <c r="F567" s="34">
        <f>IF(دانش‌آموزان!I51="","",دانش‌آموزان!I51)</f>
        <v>802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>
        <f t="shared" si="98"/>
        <v>0</v>
      </c>
      <c r="CP567" s="58"/>
    </row>
    <row r="568" spans="1:94" hidden="1">
      <c r="A568" s="33">
        <v>564</v>
      </c>
      <c r="B568" s="55" t="s">
        <v>194</v>
      </c>
      <c r="C568" s="55">
        <f>IF(دانش‌آموزان!E51="","",دانش‌آموزان!B51)</f>
        <v>47</v>
      </c>
      <c r="D568" s="55" t="str">
        <f>IF(دانش‌آموزان!C51="","",دانش‌آموزان!C51)</f>
        <v>93100756484</v>
      </c>
      <c r="E568" s="55" t="str">
        <f>IF(دانش‌آموزان!E51="","",دانش‌آموزان!E51&amp;" "&amp;دانش‌آموزان!F51)</f>
        <v>اميرعلي حسن پور</v>
      </c>
      <c r="F568" s="34">
        <f>IF(دانش‌آموزان!I51="","",دانش‌آموزان!I51)</f>
        <v>802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>
        <f t="shared" si="98"/>
        <v>0</v>
      </c>
      <c r="CP568" s="58"/>
    </row>
    <row r="569" spans="1:94" hidden="1">
      <c r="A569" s="33">
        <v>565</v>
      </c>
      <c r="B569" s="55" t="s">
        <v>183</v>
      </c>
      <c r="C569" s="55">
        <f>IF(دانش‌آموزان!E52="","",دانش‌آموزان!B52)</f>
        <v>48</v>
      </c>
      <c r="D569" s="55" t="str">
        <f>IF(دانش‌آموزان!C52="","",دانش‌آموزان!C52)</f>
        <v>0960460098</v>
      </c>
      <c r="E569" s="55" t="str">
        <f>IF(دانش‌آموزان!E52="","",دانش‌آموزان!E52&amp;" "&amp;دانش‌آموزان!F52)</f>
        <v>سيد اميرحسين حسيني</v>
      </c>
      <c r="F569" s="34">
        <f>IF(دانش‌آموزان!I52="","",دانش‌آموزان!I52)</f>
        <v>802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>
        <f t="shared" si="98"/>
        <v>0</v>
      </c>
      <c r="CP569" s="58"/>
    </row>
    <row r="570" spans="1:94" hidden="1">
      <c r="A570" s="33">
        <v>566</v>
      </c>
      <c r="B570" s="55" t="s">
        <v>184</v>
      </c>
      <c r="C570" s="55">
        <f>IF(دانش‌آموزان!E52="","",دانش‌آموزان!B52)</f>
        <v>48</v>
      </c>
      <c r="D570" s="55" t="str">
        <f>IF(دانش‌آموزان!C52="","",دانش‌آموزان!C52)</f>
        <v>0960460098</v>
      </c>
      <c r="E570" s="55" t="str">
        <f>IF(دانش‌آموزان!E52="","",دانش‌آموزان!E52&amp;" "&amp;دانش‌آموزان!F52)</f>
        <v>سيد اميرحسين حسيني</v>
      </c>
      <c r="F570" s="34">
        <f>IF(دانش‌آموزان!I52="","",دانش‌آموزان!I52)</f>
        <v>802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>
        <f t="shared" si="98"/>
        <v>0</v>
      </c>
      <c r="CP570" s="58"/>
    </row>
    <row r="571" spans="1:94">
      <c r="A571" s="33">
        <v>567</v>
      </c>
      <c r="B571" s="55" t="s">
        <v>185</v>
      </c>
      <c r="C571" s="55">
        <f>IF(دانش‌آموزان!E52="","",دانش‌آموزان!B52)</f>
        <v>48</v>
      </c>
      <c r="D571" s="55" t="str">
        <f>IF(دانش‌آموزان!C52="","",دانش‌آموزان!C52)</f>
        <v>0960460098</v>
      </c>
      <c r="E571" s="55" t="str">
        <f>IF(دانش‌آموزان!E52="","",دانش‌آموزان!E52&amp;" "&amp;دانش‌آموزان!F52)</f>
        <v>سيد اميرحسين حسيني</v>
      </c>
      <c r="F571" s="34">
        <f>IF(دانش‌آموزان!I52="","",دانش‌آموزان!I52)</f>
        <v>802</v>
      </c>
      <c r="G571" s="19">
        <v>19.350000000000001</v>
      </c>
      <c r="H571" s="20">
        <v>-13.350000000000001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5</v>
      </c>
      <c r="O571" s="20">
        <v>5</v>
      </c>
      <c r="P571" s="20">
        <v>5</v>
      </c>
      <c r="Q571" s="20">
        <v>5</v>
      </c>
      <c r="R571" s="20">
        <v>5</v>
      </c>
      <c r="S571" s="20">
        <v>5</v>
      </c>
      <c r="T571" s="20">
        <v>5</v>
      </c>
      <c r="U571" s="20">
        <v>5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 t="s">
        <v>371</v>
      </c>
      <c r="AE571" s="20" t="s">
        <v>371</v>
      </c>
      <c r="AF571" s="20" t="s">
        <v>371</v>
      </c>
      <c r="AG571" s="20" t="s">
        <v>371</v>
      </c>
      <c r="AH571" s="20" t="s">
        <v>371</v>
      </c>
      <c r="AI571" s="20" t="s">
        <v>371</v>
      </c>
      <c r="AJ571" s="20">
        <v>5</v>
      </c>
      <c r="AK571" s="20">
        <v>5</v>
      </c>
      <c r="AL571" s="20">
        <v>5</v>
      </c>
      <c r="AM571" s="20">
        <v>5</v>
      </c>
      <c r="AN571" s="20">
        <v>5</v>
      </c>
      <c r="AO571" s="20">
        <v>5</v>
      </c>
      <c r="AP571" s="20">
        <v>5</v>
      </c>
      <c r="AQ571" s="20" t="s">
        <v>371</v>
      </c>
      <c r="AR571" s="20" t="s">
        <v>371</v>
      </c>
      <c r="AS571" s="20" t="s">
        <v>371</v>
      </c>
      <c r="AT571" s="20" t="s">
        <v>371</v>
      </c>
      <c r="AU571" s="20" t="s">
        <v>371</v>
      </c>
      <c r="AV571" s="20" t="s">
        <v>371</v>
      </c>
      <c r="AW571" s="20" t="s">
        <v>371</v>
      </c>
      <c r="AX571" s="20" t="s">
        <v>371</v>
      </c>
      <c r="AY571" s="20" t="s">
        <v>371</v>
      </c>
      <c r="AZ571" s="20" t="s">
        <v>371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>
        <f t="shared" si="88"/>
        <v>18</v>
      </c>
      <c r="CD571" s="38">
        <f t="shared" si="89"/>
        <v>20</v>
      </c>
      <c r="CE571" s="38">
        <f t="shared" si="90"/>
        <v>20</v>
      </c>
      <c r="CF571" s="38">
        <f t="shared" si="91"/>
        <v>20</v>
      </c>
      <c r="CG571" s="38">
        <f t="shared" si="92"/>
        <v>20</v>
      </c>
      <c r="CH571" s="38" t="str">
        <f t="shared" si="93"/>
        <v/>
      </c>
      <c r="CI571" s="38">
        <f t="shared" si="94"/>
        <v>20</v>
      </c>
      <c r="CJ571" s="38" t="str">
        <f t="shared" si="95"/>
        <v/>
      </c>
      <c r="CK571" s="38" t="str">
        <f t="shared" si="96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>موقت - اطلاعات ناقص</v>
      </c>
      <c r="CN571" s="38">
        <v>3</v>
      </c>
      <c r="CO571" s="28">
        <f t="shared" si="98"/>
        <v>0.65217391304347827</v>
      </c>
      <c r="CP571" s="58"/>
    </row>
    <row r="572" spans="1:94" hidden="1">
      <c r="A572" s="33">
        <v>568</v>
      </c>
      <c r="B572" s="55" t="s">
        <v>186</v>
      </c>
      <c r="C572" s="55">
        <f>IF(دانش‌آموزان!E52="","",دانش‌آموزان!B52)</f>
        <v>48</v>
      </c>
      <c r="D572" s="55" t="str">
        <f>IF(دانش‌آموزان!C52="","",دانش‌آموزان!C52)</f>
        <v>0960460098</v>
      </c>
      <c r="E572" s="55" t="str">
        <f>IF(دانش‌آموزان!E52="","",دانش‌آموزان!E52&amp;" "&amp;دانش‌آموزان!F52)</f>
        <v>سيد اميرحسين حسيني</v>
      </c>
      <c r="F572" s="34">
        <f>IF(دانش‌آموزان!I52="","",دانش‌آموزان!I52)</f>
        <v>802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>
        <f t="shared" si="98"/>
        <v>0</v>
      </c>
      <c r="CP572" s="58"/>
    </row>
    <row r="573" spans="1:94" hidden="1">
      <c r="A573" s="33">
        <v>569</v>
      </c>
      <c r="B573" s="55" t="s">
        <v>187</v>
      </c>
      <c r="C573" s="55">
        <f>IF(دانش‌آموزان!E52="","",دانش‌آموزان!B52)</f>
        <v>48</v>
      </c>
      <c r="D573" s="55" t="str">
        <f>IF(دانش‌آموزان!C52="","",دانش‌آموزان!C52)</f>
        <v>0960460098</v>
      </c>
      <c r="E573" s="55" t="str">
        <f>IF(دانش‌آموزان!E52="","",دانش‌آموزان!E52&amp;" "&amp;دانش‌آموزان!F52)</f>
        <v>سيد اميرحسين حسيني</v>
      </c>
      <c r="F573" s="34">
        <f>IF(دانش‌آموزان!I52="","",دانش‌آموزان!I52)</f>
        <v>802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>
        <f t="shared" si="98"/>
        <v>0</v>
      </c>
      <c r="CP573" s="58"/>
    </row>
    <row r="574" spans="1:94" hidden="1">
      <c r="A574" s="33">
        <v>570</v>
      </c>
      <c r="B574" s="55" t="s">
        <v>188</v>
      </c>
      <c r="C574" s="55">
        <f>IF(دانش‌آموزان!E52="","",دانش‌آموزان!B52)</f>
        <v>48</v>
      </c>
      <c r="D574" s="55" t="str">
        <f>IF(دانش‌آموزان!C52="","",دانش‌آموزان!C52)</f>
        <v>0960460098</v>
      </c>
      <c r="E574" s="55" t="str">
        <f>IF(دانش‌آموزان!E52="","",دانش‌آموزان!E52&amp;" "&amp;دانش‌آموزان!F52)</f>
        <v>سيد اميرحسين حسيني</v>
      </c>
      <c r="F574" s="34">
        <f>IF(دانش‌آموزان!I52="","",دانش‌آموزان!I52)</f>
        <v>802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>
        <f t="shared" si="98"/>
        <v>0</v>
      </c>
      <c r="CP574" s="58"/>
    </row>
    <row r="575" spans="1:94" hidden="1">
      <c r="A575" s="33">
        <v>571</v>
      </c>
      <c r="B575" s="55" t="s">
        <v>189</v>
      </c>
      <c r="C575" s="55">
        <f>IF(دانش‌آموزان!E52="","",دانش‌آموزان!B52)</f>
        <v>48</v>
      </c>
      <c r="D575" s="55" t="str">
        <f>IF(دانش‌آموزان!C52="","",دانش‌آموزان!C52)</f>
        <v>0960460098</v>
      </c>
      <c r="E575" s="55" t="str">
        <f>IF(دانش‌آموزان!E52="","",دانش‌آموزان!E52&amp;" "&amp;دانش‌آموزان!F52)</f>
        <v>سيد اميرحسين حسيني</v>
      </c>
      <c r="F575" s="34">
        <f>IF(دانش‌آموزان!I52="","",دانش‌آموزان!I52)</f>
        <v>802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>
        <f t="shared" si="98"/>
        <v>0</v>
      </c>
      <c r="CP575" s="58"/>
    </row>
    <row r="576" spans="1:94" hidden="1">
      <c r="A576" s="33">
        <v>572</v>
      </c>
      <c r="B576" s="55" t="s">
        <v>190</v>
      </c>
      <c r="C576" s="55">
        <f>IF(دانش‌آموزان!E52="","",دانش‌آموزان!B52)</f>
        <v>48</v>
      </c>
      <c r="D576" s="55" t="str">
        <f>IF(دانش‌آموزان!C52="","",دانش‌آموزان!C52)</f>
        <v>0960460098</v>
      </c>
      <c r="E576" s="55" t="str">
        <f>IF(دانش‌آموزان!E52="","",دانش‌آموزان!E52&amp;" "&amp;دانش‌آموزان!F52)</f>
        <v>سيد اميرحسين حسيني</v>
      </c>
      <c r="F576" s="34">
        <f>IF(دانش‌آموزان!I52="","",دانش‌آموزان!I52)</f>
        <v>802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>
        <f t="shared" si="98"/>
        <v>0</v>
      </c>
      <c r="CP576" s="58"/>
    </row>
    <row r="577" spans="1:94" hidden="1">
      <c r="A577" s="33">
        <v>573</v>
      </c>
      <c r="B577" s="55" t="s">
        <v>191</v>
      </c>
      <c r="C577" s="55">
        <f>IF(دانش‌آموزان!E52="","",دانش‌آموزان!B52)</f>
        <v>48</v>
      </c>
      <c r="D577" s="55" t="str">
        <f>IF(دانش‌آموزان!C52="","",دانش‌آموزان!C52)</f>
        <v>0960460098</v>
      </c>
      <c r="E577" s="55" t="str">
        <f>IF(دانش‌آموزان!E52="","",دانش‌آموزان!E52&amp;" "&amp;دانش‌آموزان!F52)</f>
        <v>سيد اميرحسين حسيني</v>
      </c>
      <c r="F577" s="34">
        <f>IF(دانش‌آموزان!I52="","",دانش‌آموزان!I52)</f>
        <v>802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>
        <f t="shared" si="98"/>
        <v>0</v>
      </c>
      <c r="CP577" s="58"/>
    </row>
    <row r="578" spans="1:94" hidden="1">
      <c r="A578" s="33">
        <v>574</v>
      </c>
      <c r="B578" s="55" t="s">
        <v>192</v>
      </c>
      <c r="C578" s="55">
        <f>IF(دانش‌آموزان!E52="","",دانش‌آموزان!B52)</f>
        <v>48</v>
      </c>
      <c r="D578" s="55" t="str">
        <f>IF(دانش‌آموزان!C52="","",دانش‌آموزان!C52)</f>
        <v>0960460098</v>
      </c>
      <c r="E578" s="55" t="str">
        <f>IF(دانش‌آموزان!E52="","",دانش‌آموزان!E52&amp;" "&amp;دانش‌آموزان!F52)</f>
        <v>سيد اميرحسين حسيني</v>
      </c>
      <c r="F578" s="34">
        <f>IF(دانش‌آموزان!I52="","",دانش‌آموزان!I52)</f>
        <v>802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>
        <f t="shared" si="98"/>
        <v>0</v>
      </c>
      <c r="CP578" s="58"/>
    </row>
    <row r="579" spans="1:94" hidden="1">
      <c r="A579" s="33">
        <v>575</v>
      </c>
      <c r="B579" s="55" t="s">
        <v>193</v>
      </c>
      <c r="C579" s="55">
        <f>IF(دانش‌آموزان!E52="","",دانش‌آموزان!B52)</f>
        <v>48</v>
      </c>
      <c r="D579" s="55" t="str">
        <f>IF(دانش‌آموزان!C52="","",دانش‌آموزان!C52)</f>
        <v>0960460098</v>
      </c>
      <c r="E579" s="55" t="str">
        <f>IF(دانش‌آموزان!E52="","",دانش‌آموزان!E52&amp;" "&amp;دانش‌آموزان!F52)</f>
        <v>سيد اميرحسين حسيني</v>
      </c>
      <c r="F579" s="34">
        <f>IF(دانش‌آموزان!I52="","",دانش‌آموزان!I52)</f>
        <v>802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>
        <f t="shared" si="98"/>
        <v>0</v>
      </c>
      <c r="CP579" s="58"/>
    </row>
    <row r="580" spans="1:94" hidden="1">
      <c r="A580" s="33">
        <v>576</v>
      </c>
      <c r="B580" s="55" t="s">
        <v>194</v>
      </c>
      <c r="C580" s="55">
        <f>IF(دانش‌آموزان!E52="","",دانش‌آموزان!B52)</f>
        <v>48</v>
      </c>
      <c r="D580" s="55" t="str">
        <f>IF(دانش‌آموزان!C52="","",دانش‌آموزان!C52)</f>
        <v>0960460098</v>
      </c>
      <c r="E580" s="55" t="str">
        <f>IF(دانش‌آموزان!E52="","",دانش‌آموزان!E52&amp;" "&amp;دانش‌آموزان!F52)</f>
        <v>سيد اميرحسين حسيني</v>
      </c>
      <c r="F580" s="34">
        <f>IF(دانش‌آموزان!I52="","",دانش‌آموزان!I52)</f>
        <v>802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>
        <f t="shared" si="98"/>
        <v>0</v>
      </c>
      <c r="CP580" s="58"/>
    </row>
    <row r="581" spans="1:94" hidden="1">
      <c r="A581" s="33">
        <v>577</v>
      </c>
      <c r="B581" s="55" t="s">
        <v>183</v>
      </c>
      <c r="C581" s="55">
        <f>IF(دانش‌آموزان!E53="","",دانش‌آموزان!B53)</f>
        <v>49</v>
      </c>
      <c r="D581" s="55" t="str">
        <f>IF(دانش‌آموزان!C53="","",دانش‌آموزان!C53)</f>
        <v>0960533151</v>
      </c>
      <c r="E581" s="55" t="str">
        <f>IF(دانش‌آموزان!E53="","",دانش‌آموزان!E53&amp;" "&amp;دانش‌آموزان!F53)</f>
        <v>محمد طاها خالقي</v>
      </c>
      <c r="F581" s="34">
        <f>IF(دانش‌آموزان!I53="","",دانش‌آموزان!I53)</f>
        <v>802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>
        <f t="shared" ref="CO581:CO644" si="109">IF(C581="","",COUNT(G581:AZ581)/46)</f>
        <v>0</v>
      </c>
      <c r="CP581" s="58"/>
    </row>
    <row r="582" spans="1:94" hidden="1">
      <c r="A582" s="33">
        <v>578</v>
      </c>
      <c r="B582" s="55" t="s">
        <v>184</v>
      </c>
      <c r="C582" s="55">
        <f>IF(دانش‌آموزان!E53="","",دانش‌آموزان!B53)</f>
        <v>49</v>
      </c>
      <c r="D582" s="55" t="str">
        <f>IF(دانش‌آموزان!C53="","",دانش‌آموزان!C53)</f>
        <v>0960533151</v>
      </c>
      <c r="E582" s="55" t="str">
        <f>IF(دانش‌آموزان!E53="","",دانش‌آموزان!E53&amp;" "&amp;دانش‌آموزان!F53)</f>
        <v>محمد طاها خالقي</v>
      </c>
      <c r="F582" s="34">
        <f>IF(دانش‌آموزان!I53="","",دانش‌آموزان!I53)</f>
        <v>802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>
      <c r="A583" s="33">
        <v>579</v>
      </c>
      <c r="B583" s="55" t="s">
        <v>185</v>
      </c>
      <c r="C583" s="55">
        <f>IF(دانش‌آموزان!E53="","",دانش‌آموزان!B53)</f>
        <v>49</v>
      </c>
      <c r="D583" s="55" t="str">
        <f>IF(دانش‌آموزان!C53="","",دانش‌آموزان!C53)</f>
        <v>0960533151</v>
      </c>
      <c r="E583" s="55" t="str">
        <f>IF(دانش‌آموزان!E53="","",دانش‌آموزان!E53&amp;" "&amp;دانش‌آموزان!F53)</f>
        <v>محمد طاها خالقي</v>
      </c>
      <c r="F583" s="34">
        <f>IF(دانش‌آموزان!I53="","",دانش‌آموزان!I53)</f>
        <v>802</v>
      </c>
      <c r="G583" s="19">
        <v>19.78</v>
      </c>
      <c r="H583" s="20">
        <v>-1.7800000000000011</v>
      </c>
      <c r="I583" s="20">
        <v>5</v>
      </c>
      <c r="J583" s="20">
        <v>5</v>
      </c>
      <c r="K583" s="20">
        <v>5</v>
      </c>
      <c r="L583" s="20">
        <v>5</v>
      </c>
      <c r="M583" s="20">
        <v>5</v>
      </c>
      <c r="N583" s="20">
        <v>5</v>
      </c>
      <c r="O583" s="20">
        <v>5</v>
      </c>
      <c r="P583" s="20">
        <v>5</v>
      </c>
      <c r="Q583" s="20">
        <v>5</v>
      </c>
      <c r="R583" s="20">
        <v>5</v>
      </c>
      <c r="S583" s="20">
        <v>5</v>
      </c>
      <c r="T583" s="20">
        <v>5</v>
      </c>
      <c r="U583" s="20">
        <v>5</v>
      </c>
      <c r="V583" s="20">
        <v>5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 t="s">
        <v>371</v>
      </c>
      <c r="AE583" s="20" t="s">
        <v>371</v>
      </c>
      <c r="AF583" s="20" t="s">
        <v>371</v>
      </c>
      <c r="AG583" s="20" t="s">
        <v>371</v>
      </c>
      <c r="AH583" s="20" t="s">
        <v>371</v>
      </c>
      <c r="AI583" s="20" t="s">
        <v>371</v>
      </c>
      <c r="AJ583" s="20">
        <v>5</v>
      </c>
      <c r="AK583" s="20">
        <v>5</v>
      </c>
      <c r="AL583" s="20">
        <v>5</v>
      </c>
      <c r="AM583" s="20">
        <v>5</v>
      </c>
      <c r="AN583" s="20">
        <v>5</v>
      </c>
      <c r="AO583" s="20">
        <v>5</v>
      </c>
      <c r="AP583" s="20">
        <v>5</v>
      </c>
      <c r="AQ583" s="20" t="s">
        <v>371</v>
      </c>
      <c r="AR583" s="20" t="s">
        <v>371</v>
      </c>
      <c r="AS583" s="20" t="s">
        <v>371</v>
      </c>
      <c r="AT583" s="20" t="s">
        <v>371</v>
      </c>
      <c r="AU583" s="20" t="s">
        <v>371</v>
      </c>
      <c r="AV583" s="20" t="s">
        <v>371</v>
      </c>
      <c r="AW583" s="20" t="s">
        <v>371</v>
      </c>
      <c r="AX583" s="20" t="s">
        <v>371</v>
      </c>
      <c r="AY583" s="20" t="s">
        <v>371</v>
      </c>
      <c r="AZ583" s="20" t="s">
        <v>371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>
        <f t="shared" si="99"/>
        <v>24</v>
      </c>
      <c r="CD583" s="38">
        <f t="shared" si="100"/>
        <v>20</v>
      </c>
      <c r="CE583" s="38">
        <f t="shared" si="101"/>
        <v>20</v>
      </c>
      <c r="CF583" s="38">
        <f t="shared" si="102"/>
        <v>20</v>
      </c>
      <c r="CG583" s="38">
        <f t="shared" si="103"/>
        <v>20</v>
      </c>
      <c r="CH583" s="38" t="str">
        <f t="shared" si="104"/>
        <v/>
      </c>
      <c r="CI583" s="38">
        <f t="shared" si="105"/>
        <v>20</v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>موقت - اطلاعات ناقص</v>
      </c>
      <c r="CN583" s="38">
        <v>3</v>
      </c>
      <c r="CO583" s="28">
        <f t="shared" si="109"/>
        <v>0.65217391304347827</v>
      </c>
      <c r="CP583" s="58"/>
    </row>
    <row r="584" spans="1:94" hidden="1">
      <c r="A584" s="33">
        <v>580</v>
      </c>
      <c r="B584" s="55" t="s">
        <v>186</v>
      </c>
      <c r="C584" s="55">
        <f>IF(دانش‌آموزان!E53="","",دانش‌آموزان!B53)</f>
        <v>49</v>
      </c>
      <c r="D584" s="55" t="str">
        <f>IF(دانش‌آموزان!C53="","",دانش‌آموزان!C53)</f>
        <v>0960533151</v>
      </c>
      <c r="E584" s="55" t="str">
        <f>IF(دانش‌آموزان!E53="","",دانش‌آموزان!E53&amp;" "&amp;دانش‌آموزان!F53)</f>
        <v>محمد طاها خالقي</v>
      </c>
      <c r="F584" s="34">
        <f>IF(دانش‌آموزان!I53="","",دانش‌آموزان!I53)</f>
        <v>802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 hidden="1">
      <c r="A585" s="33">
        <v>581</v>
      </c>
      <c r="B585" s="55" t="s">
        <v>187</v>
      </c>
      <c r="C585" s="55">
        <f>IF(دانش‌آموزان!E53="","",دانش‌آموزان!B53)</f>
        <v>49</v>
      </c>
      <c r="D585" s="55" t="str">
        <f>IF(دانش‌آموزان!C53="","",دانش‌آموزان!C53)</f>
        <v>0960533151</v>
      </c>
      <c r="E585" s="55" t="str">
        <f>IF(دانش‌آموزان!E53="","",دانش‌آموزان!E53&amp;" "&amp;دانش‌آموزان!F53)</f>
        <v>محمد طاها خالقي</v>
      </c>
      <c r="F585" s="34">
        <f>IF(دانش‌آموزان!I53="","",دانش‌آموزان!I53)</f>
        <v>802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 hidden="1">
      <c r="A586" s="33">
        <v>582</v>
      </c>
      <c r="B586" s="55" t="s">
        <v>188</v>
      </c>
      <c r="C586" s="55">
        <f>IF(دانش‌آموزان!E53="","",دانش‌آموزان!B53)</f>
        <v>49</v>
      </c>
      <c r="D586" s="55" t="str">
        <f>IF(دانش‌آموزان!C53="","",دانش‌آموزان!C53)</f>
        <v>0960533151</v>
      </c>
      <c r="E586" s="55" t="str">
        <f>IF(دانش‌آموزان!E53="","",دانش‌آموزان!E53&amp;" "&amp;دانش‌آموزان!F53)</f>
        <v>محمد طاها خالقي</v>
      </c>
      <c r="F586" s="34">
        <f>IF(دانش‌آموزان!I53="","",دانش‌آموزان!I53)</f>
        <v>802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 hidden="1">
      <c r="A587" s="33">
        <v>583</v>
      </c>
      <c r="B587" s="55" t="s">
        <v>189</v>
      </c>
      <c r="C587" s="55">
        <f>IF(دانش‌آموزان!E53="","",دانش‌آموزان!B53)</f>
        <v>49</v>
      </c>
      <c r="D587" s="55" t="str">
        <f>IF(دانش‌آموزان!C53="","",دانش‌آموزان!C53)</f>
        <v>0960533151</v>
      </c>
      <c r="E587" s="55" t="str">
        <f>IF(دانش‌آموزان!E53="","",دانش‌آموزان!E53&amp;" "&amp;دانش‌آموزان!F53)</f>
        <v>محمد طاها خالقي</v>
      </c>
      <c r="F587" s="34">
        <f>IF(دانش‌آموزان!I53="","",دانش‌آموزان!I53)</f>
        <v>802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 hidden="1">
      <c r="A588" s="33">
        <v>584</v>
      </c>
      <c r="B588" s="55" t="s">
        <v>190</v>
      </c>
      <c r="C588" s="55">
        <f>IF(دانش‌آموزان!E53="","",دانش‌آموزان!B53)</f>
        <v>49</v>
      </c>
      <c r="D588" s="55" t="str">
        <f>IF(دانش‌آموزان!C53="","",دانش‌آموزان!C53)</f>
        <v>0960533151</v>
      </c>
      <c r="E588" s="55" t="str">
        <f>IF(دانش‌آموزان!E53="","",دانش‌آموزان!E53&amp;" "&amp;دانش‌آموزان!F53)</f>
        <v>محمد طاها خالقي</v>
      </c>
      <c r="F588" s="34">
        <f>IF(دانش‌آموزان!I53="","",دانش‌آموزان!I53)</f>
        <v>802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 hidden="1">
      <c r="A589" s="33">
        <v>585</v>
      </c>
      <c r="B589" s="55" t="s">
        <v>191</v>
      </c>
      <c r="C589" s="55">
        <f>IF(دانش‌آموزان!E53="","",دانش‌آموزان!B53)</f>
        <v>49</v>
      </c>
      <c r="D589" s="55" t="str">
        <f>IF(دانش‌آموزان!C53="","",دانش‌آموزان!C53)</f>
        <v>0960533151</v>
      </c>
      <c r="E589" s="55" t="str">
        <f>IF(دانش‌آموزان!E53="","",دانش‌آموزان!E53&amp;" "&amp;دانش‌آموزان!F53)</f>
        <v>محمد طاها خالقي</v>
      </c>
      <c r="F589" s="34">
        <f>IF(دانش‌آموزان!I53="","",دانش‌آموزان!I53)</f>
        <v>802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 hidden="1">
      <c r="A590" s="33">
        <v>586</v>
      </c>
      <c r="B590" s="55" t="s">
        <v>192</v>
      </c>
      <c r="C590" s="55">
        <f>IF(دانش‌آموزان!E53="","",دانش‌آموزان!B53)</f>
        <v>49</v>
      </c>
      <c r="D590" s="55" t="str">
        <f>IF(دانش‌آموزان!C53="","",دانش‌آموزان!C53)</f>
        <v>0960533151</v>
      </c>
      <c r="E590" s="55" t="str">
        <f>IF(دانش‌آموزان!E53="","",دانش‌آموزان!E53&amp;" "&amp;دانش‌آموزان!F53)</f>
        <v>محمد طاها خالقي</v>
      </c>
      <c r="F590" s="34">
        <f>IF(دانش‌آموزان!I53="","",دانش‌آموزان!I53)</f>
        <v>802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 hidden="1">
      <c r="A591" s="33">
        <v>587</v>
      </c>
      <c r="B591" s="55" t="s">
        <v>193</v>
      </c>
      <c r="C591" s="55">
        <f>IF(دانش‌آموزان!E53="","",دانش‌آموزان!B53)</f>
        <v>49</v>
      </c>
      <c r="D591" s="55" t="str">
        <f>IF(دانش‌آموزان!C53="","",دانش‌آموزان!C53)</f>
        <v>0960533151</v>
      </c>
      <c r="E591" s="55" t="str">
        <f>IF(دانش‌آموزان!E53="","",دانش‌آموزان!E53&amp;" "&amp;دانش‌آموزان!F53)</f>
        <v>محمد طاها خالقي</v>
      </c>
      <c r="F591" s="34">
        <f>IF(دانش‌آموزان!I53="","",دانش‌آموزان!I53)</f>
        <v>802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 hidden="1">
      <c r="A592" s="33">
        <v>588</v>
      </c>
      <c r="B592" s="55" t="s">
        <v>194</v>
      </c>
      <c r="C592" s="55">
        <f>IF(دانش‌آموزان!E53="","",دانش‌آموزان!B53)</f>
        <v>49</v>
      </c>
      <c r="D592" s="55" t="str">
        <f>IF(دانش‌آموزان!C53="","",دانش‌آموزان!C53)</f>
        <v>0960533151</v>
      </c>
      <c r="E592" s="55" t="str">
        <f>IF(دانش‌آموزان!E53="","",دانش‌آموزان!E53&amp;" "&amp;دانش‌آموزان!F53)</f>
        <v>محمد طاها خالقي</v>
      </c>
      <c r="F592" s="34">
        <f>IF(دانش‌آموزان!I53="","",دانش‌آموزان!I53)</f>
        <v>802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 hidden="1">
      <c r="A593" s="33">
        <v>589</v>
      </c>
      <c r="B593" s="55" t="s">
        <v>183</v>
      </c>
      <c r="C593" s="55">
        <f>IF(دانش‌آموزان!E54="","",دانش‌آموزان!B54)</f>
        <v>50</v>
      </c>
      <c r="D593" s="55" t="str">
        <f>IF(دانش‌آموزان!C54="","",دانش‌آموزان!C54)</f>
        <v>0960470018</v>
      </c>
      <c r="E593" s="55" t="str">
        <f>IF(دانش‌آموزان!E54="","",دانش‌آموزان!E54&amp;" "&amp;دانش‌آموزان!F54)</f>
        <v>اميركسري دادخواه</v>
      </c>
      <c r="F593" s="34">
        <f>IF(دانش‌آموزان!I54="","",دانش‌آموزان!I54)</f>
        <v>802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 hidden="1">
      <c r="A594" s="33">
        <v>590</v>
      </c>
      <c r="B594" s="55" t="s">
        <v>184</v>
      </c>
      <c r="C594" s="55">
        <f>IF(دانش‌آموزان!E54="","",دانش‌آموزان!B54)</f>
        <v>50</v>
      </c>
      <c r="D594" s="55" t="str">
        <f>IF(دانش‌آموزان!C54="","",دانش‌آموزان!C54)</f>
        <v>0960470018</v>
      </c>
      <c r="E594" s="55" t="str">
        <f>IF(دانش‌آموزان!E54="","",دانش‌آموزان!E54&amp;" "&amp;دانش‌آموزان!F54)</f>
        <v>اميركسري دادخواه</v>
      </c>
      <c r="F594" s="34">
        <f>IF(دانش‌آموزان!I54="","",دانش‌آموزان!I54)</f>
        <v>802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>
      <c r="A595" s="33">
        <v>591</v>
      </c>
      <c r="B595" s="55" t="s">
        <v>185</v>
      </c>
      <c r="C595" s="55">
        <f>IF(دانش‌آموزان!E54="","",دانش‌آموزان!B54)</f>
        <v>50</v>
      </c>
      <c r="D595" s="55" t="str">
        <f>IF(دانش‌آموزان!C54="","",دانش‌آموزان!C54)</f>
        <v>0960470018</v>
      </c>
      <c r="E595" s="55" t="str">
        <f>IF(دانش‌آموزان!E54="","",دانش‌آموزان!E54&amp;" "&amp;دانش‌آموزان!F54)</f>
        <v>اميركسري دادخواه</v>
      </c>
      <c r="F595" s="34">
        <f>IF(دانش‌آموزان!I54="","",دانش‌آموزان!I54)</f>
        <v>802</v>
      </c>
      <c r="G595" s="19">
        <v>19.88</v>
      </c>
      <c r="H595" s="20">
        <v>-3.879999999999999</v>
      </c>
      <c r="I595" s="20">
        <v>5</v>
      </c>
      <c r="J595" s="20">
        <v>5</v>
      </c>
      <c r="K595" s="20">
        <v>5</v>
      </c>
      <c r="L595" s="20">
        <v>5</v>
      </c>
      <c r="M595" s="20">
        <v>5</v>
      </c>
      <c r="N595" s="20">
        <v>5</v>
      </c>
      <c r="O595" s="20">
        <v>5</v>
      </c>
      <c r="P595" s="20">
        <v>5</v>
      </c>
      <c r="Q595" s="20">
        <v>5</v>
      </c>
      <c r="R595" s="20">
        <v>5</v>
      </c>
      <c r="S595" s="20">
        <v>5</v>
      </c>
      <c r="T595" s="20">
        <v>5</v>
      </c>
      <c r="U595" s="20">
        <v>5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 t="s">
        <v>371</v>
      </c>
      <c r="AE595" s="20" t="s">
        <v>371</v>
      </c>
      <c r="AF595" s="20" t="s">
        <v>371</v>
      </c>
      <c r="AG595" s="20" t="s">
        <v>371</v>
      </c>
      <c r="AH595" s="20" t="s">
        <v>371</v>
      </c>
      <c r="AI595" s="20" t="s">
        <v>371</v>
      </c>
      <c r="AJ595" s="20">
        <v>5</v>
      </c>
      <c r="AK595" s="20">
        <v>5</v>
      </c>
      <c r="AL595" s="20">
        <v>5</v>
      </c>
      <c r="AM595" s="20">
        <v>5</v>
      </c>
      <c r="AN595" s="20">
        <v>5</v>
      </c>
      <c r="AO595" s="20">
        <v>5</v>
      </c>
      <c r="AP595" s="20">
        <v>5</v>
      </c>
      <c r="AQ595" s="20" t="s">
        <v>371</v>
      </c>
      <c r="AR595" s="20" t="s">
        <v>371</v>
      </c>
      <c r="AS595" s="20" t="s">
        <v>371</v>
      </c>
      <c r="AT595" s="20" t="s">
        <v>371</v>
      </c>
      <c r="AU595" s="20" t="s">
        <v>371</v>
      </c>
      <c r="AV595" s="20" t="s">
        <v>371</v>
      </c>
      <c r="AW595" s="20" t="s">
        <v>371</v>
      </c>
      <c r="AX595" s="20" t="s">
        <v>371</v>
      </c>
      <c r="AY595" s="20" t="s">
        <v>371</v>
      </c>
      <c r="AZ595" s="20" t="s">
        <v>371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>
        <f t="shared" si="99"/>
        <v>23</v>
      </c>
      <c r="CD595" s="38">
        <f t="shared" si="100"/>
        <v>20</v>
      </c>
      <c r="CE595" s="38">
        <f t="shared" si="101"/>
        <v>20</v>
      </c>
      <c r="CF595" s="38">
        <f t="shared" si="102"/>
        <v>20</v>
      </c>
      <c r="CG595" s="38">
        <f t="shared" si="103"/>
        <v>20</v>
      </c>
      <c r="CH595" s="38" t="str">
        <f t="shared" si="104"/>
        <v/>
      </c>
      <c r="CI595" s="38">
        <f t="shared" si="105"/>
        <v>20</v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>موقت - اطلاعات ناقص</v>
      </c>
      <c r="CN595" s="38">
        <v>3</v>
      </c>
      <c r="CO595" s="28">
        <f t="shared" si="109"/>
        <v>0.65217391304347827</v>
      </c>
      <c r="CP595" s="58"/>
    </row>
    <row r="596" spans="1:94" hidden="1">
      <c r="A596" s="33">
        <v>592</v>
      </c>
      <c r="B596" s="55" t="s">
        <v>186</v>
      </c>
      <c r="C596" s="55">
        <f>IF(دانش‌آموزان!E54="","",دانش‌آموزان!B54)</f>
        <v>50</v>
      </c>
      <c r="D596" s="55" t="str">
        <f>IF(دانش‌آموزان!C54="","",دانش‌آموزان!C54)</f>
        <v>0960470018</v>
      </c>
      <c r="E596" s="55" t="str">
        <f>IF(دانش‌آموزان!E54="","",دانش‌آموزان!E54&amp;" "&amp;دانش‌آموزان!F54)</f>
        <v>اميركسري دادخواه</v>
      </c>
      <c r="F596" s="34">
        <f>IF(دانش‌آموزان!I54="","",دانش‌آموزان!I54)</f>
        <v>802</v>
      </c>
      <c r="G596" s="19">
        <v>19.88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>
        <f t="shared" si="99"/>
        <v>79.52</v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>موقت - اطلاعات ناقص</v>
      </c>
      <c r="CN596" s="38">
        <v>4</v>
      </c>
      <c r="CO596" s="28">
        <f t="shared" si="109"/>
        <v>2.1739130434782608E-2</v>
      </c>
      <c r="CP596" s="58"/>
    </row>
    <row r="597" spans="1:94" hidden="1">
      <c r="A597" s="33">
        <v>593</v>
      </c>
      <c r="B597" s="55" t="s">
        <v>187</v>
      </c>
      <c r="C597" s="55">
        <f>IF(دانش‌آموزان!E54="","",دانش‌آموزان!B54)</f>
        <v>50</v>
      </c>
      <c r="D597" s="55" t="str">
        <f>IF(دانش‌آموزان!C54="","",دانش‌آموزان!C54)</f>
        <v>0960470018</v>
      </c>
      <c r="E597" s="55" t="str">
        <f>IF(دانش‌آموزان!E54="","",دانش‌آموزان!E54&amp;" "&amp;دانش‌آموزان!F54)</f>
        <v>اميركسري دادخواه</v>
      </c>
      <c r="F597" s="34">
        <f>IF(دانش‌آموزان!I54="","",دانش‌آموزان!I54)</f>
        <v>802</v>
      </c>
      <c r="G597" s="19">
        <v>19.260000000000002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>
        <f t="shared" si="99"/>
        <v>77.040000000000006</v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>موقت - اطلاعات ناقص</v>
      </c>
      <c r="CN597" s="38">
        <v>5</v>
      </c>
      <c r="CO597" s="28">
        <f t="shared" si="109"/>
        <v>2.1739130434782608E-2</v>
      </c>
      <c r="CP597" s="58"/>
    </row>
    <row r="598" spans="1:94" hidden="1">
      <c r="A598" s="33">
        <v>594</v>
      </c>
      <c r="B598" s="55" t="s">
        <v>188</v>
      </c>
      <c r="C598" s="55">
        <f>IF(دانش‌آموزان!E54="","",دانش‌آموزان!B54)</f>
        <v>50</v>
      </c>
      <c r="D598" s="55" t="str">
        <f>IF(دانش‌آموزان!C54="","",دانش‌آموزان!C54)</f>
        <v>0960470018</v>
      </c>
      <c r="E598" s="55" t="str">
        <f>IF(دانش‌آموزان!E54="","",دانش‌آموزان!E54&amp;" "&amp;دانش‌آموزان!F54)</f>
        <v>اميركسري دادخواه</v>
      </c>
      <c r="F598" s="34">
        <f>IF(دانش‌آموزان!I54="","",دانش‌آموزان!I54)</f>
        <v>802</v>
      </c>
      <c r="G598" s="19">
        <v>19.829999999999998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>
        <f t="shared" si="99"/>
        <v>79.319999999999993</v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>موقت - اطلاعات ناقص</v>
      </c>
      <c r="CN598" s="38">
        <v>6</v>
      </c>
      <c r="CO598" s="28">
        <f t="shared" si="109"/>
        <v>2.1739130434782608E-2</v>
      </c>
      <c r="CP598" s="58"/>
    </row>
    <row r="599" spans="1:94" hidden="1">
      <c r="A599" s="33">
        <v>595</v>
      </c>
      <c r="B599" s="55" t="s">
        <v>189</v>
      </c>
      <c r="C599" s="55">
        <f>IF(دانش‌آموزان!E54="","",دانش‌آموزان!B54)</f>
        <v>50</v>
      </c>
      <c r="D599" s="55" t="str">
        <f>IF(دانش‌آموزان!C54="","",دانش‌آموزان!C54)</f>
        <v>0960470018</v>
      </c>
      <c r="E599" s="55" t="str">
        <f>IF(دانش‌آموزان!E54="","",دانش‌آموزان!E54&amp;" "&amp;دانش‌آموزان!F54)</f>
        <v>اميركسري دادخواه</v>
      </c>
      <c r="F599" s="34">
        <f>IF(دانش‌آموزان!I54="","",دانش‌آموزان!I54)</f>
        <v>802</v>
      </c>
      <c r="G599" s="19">
        <v>18.899999999999999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>
        <f t="shared" si="99"/>
        <v>75.599999999999994</v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>موقت - اطلاعات ناقص</v>
      </c>
      <c r="CN599" s="38">
        <v>7</v>
      </c>
      <c r="CO599" s="28">
        <f t="shared" si="109"/>
        <v>2.1739130434782608E-2</v>
      </c>
      <c r="CP599" s="58"/>
    </row>
    <row r="600" spans="1:94" hidden="1">
      <c r="A600" s="33">
        <v>596</v>
      </c>
      <c r="B600" s="55" t="s">
        <v>190</v>
      </c>
      <c r="C600" s="55">
        <f>IF(دانش‌آموزان!E54="","",دانش‌آموزان!B54)</f>
        <v>50</v>
      </c>
      <c r="D600" s="55" t="str">
        <f>IF(دانش‌آموزان!C54="","",دانش‌آموزان!C54)</f>
        <v>0960470018</v>
      </c>
      <c r="E600" s="55" t="str">
        <f>IF(دانش‌آموزان!E54="","",دانش‌آموزان!E54&amp;" "&amp;دانش‌آموزان!F54)</f>
        <v>اميركسري دادخواه</v>
      </c>
      <c r="F600" s="34">
        <f>IF(دانش‌آموزان!I54="","",دانش‌آموزان!I54)</f>
        <v>802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 hidden="1">
      <c r="A601" s="33">
        <v>597</v>
      </c>
      <c r="B601" s="55" t="s">
        <v>191</v>
      </c>
      <c r="C601" s="55">
        <f>IF(دانش‌آموزان!E54="","",دانش‌آموزان!B54)</f>
        <v>50</v>
      </c>
      <c r="D601" s="55" t="str">
        <f>IF(دانش‌آموزان!C54="","",دانش‌آموزان!C54)</f>
        <v>0960470018</v>
      </c>
      <c r="E601" s="55" t="str">
        <f>IF(دانش‌آموزان!E54="","",دانش‌آموزان!E54&amp;" "&amp;دانش‌آموزان!F54)</f>
        <v>اميركسري دادخواه</v>
      </c>
      <c r="F601" s="34">
        <f>IF(دانش‌آموزان!I54="","",دانش‌آموزان!I54)</f>
        <v>802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 hidden="1">
      <c r="A602" s="33">
        <v>598</v>
      </c>
      <c r="B602" s="55" t="s">
        <v>192</v>
      </c>
      <c r="C602" s="55">
        <f>IF(دانش‌آموزان!E54="","",دانش‌آموزان!B54)</f>
        <v>50</v>
      </c>
      <c r="D602" s="55" t="str">
        <f>IF(دانش‌آموزان!C54="","",دانش‌آموزان!C54)</f>
        <v>0960470018</v>
      </c>
      <c r="E602" s="55" t="str">
        <f>IF(دانش‌آموزان!E54="","",دانش‌آموزان!E54&amp;" "&amp;دانش‌آموزان!F54)</f>
        <v>اميركسري دادخواه</v>
      </c>
      <c r="F602" s="34">
        <f>IF(دانش‌آموزان!I54="","",دانش‌آموزان!I54)</f>
        <v>802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 hidden="1">
      <c r="A603" s="33">
        <v>599</v>
      </c>
      <c r="B603" s="55" t="s">
        <v>193</v>
      </c>
      <c r="C603" s="55">
        <f>IF(دانش‌آموزان!E54="","",دانش‌آموزان!B54)</f>
        <v>50</v>
      </c>
      <c r="D603" s="55" t="str">
        <f>IF(دانش‌آموزان!C54="","",دانش‌آموزان!C54)</f>
        <v>0960470018</v>
      </c>
      <c r="E603" s="55" t="str">
        <f>IF(دانش‌آموزان!E54="","",دانش‌آموزان!E54&amp;" "&amp;دانش‌آموزان!F54)</f>
        <v>اميركسري دادخواه</v>
      </c>
      <c r="F603" s="34">
        <f>IF(دانش‌آموزان!I54="","",دانش‌آموزان!I54)</f>
        <v>802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 hidden="1">
      <c r="A604" s="33">
        <v>600</v>
      </c>
      <c r="B604" s="55" t="s">
        <v>194</v>
      </c>
      <c r="C604" s="55">
        <f>IF(دانش‌آموزان!E54="","",دانش‌آموزان!B54)</f>
        <v>50</v>
      </c>
      <c r="D604" s="55" t="str">
        <f>IF(دانش‌آموزان!C54="","",دانش‌آموزان!C54)</f>
        <v>0960470018</v>
      </c>
      <c r="E604" s="55" t="str">
        <f>IF(دانش‌آموزان!E54="","",دانش‌آموزان!E54&amp;" "&amp;دانش‌آموزان!F54)</f>
        <v>اميركسري دادخواه</v>
      </c>
      <c r="F604" s="34">
        <f>IF(دانش‌آموزان!I54="","",دانش‌آموزان!I54)</f>
        <v>802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 hidden="1">
      <c r="A605" s="33">
        <v>601</v>
      </c>
      <c r="B605" s="55" t="s">
        <v>183</v>
      </c>
      <c r="C605" s="55">
        <f>IF(دانش‌آموزان!E55="","",دانش‌آموزان!B55)</f>
        <v>51</v>
      </c>
      <c r="D605" s="55" t="str">
        <f>IF(دانش‌آموزان!C55="","",دانش‌آموزان!C55)</f>
        <v>0970673388</v>
      </c>
      <c r="E605" s="55" t="str">
        <f>IF(دانش‌آموزان!E55="","",دانش‌آموزان!E55&amp;" "&amp;دانش‌آموزان!F55)</f>
        <v>پارسا دستمرد</v>
      </c>
      <c r="F605" s="34">
        <f>IF(دانش‌آموزان!I55="","",دانش‌آموزان!I55)</f>
        <v>802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 hidden="1">
      <c r="A606" s="33">
        <v>602</v>
      </c>
      <c r="B606" s="55" t="s">
        <v>184</v>
      </c>
      <c r="C606" s="55">
        <f>IF(دانش‌آموزان!E55="","",دانش‌آموزان!B55)</f>
        <v>51</v>
      </c>
      <c r="D606" s="55" t="str">
        <f>IF(دانش‌آموزان!C55="","",دانش‌آموزان!C55)</f>
        <v>0970673388</v>
      </c>
      <c r="E606" s="55" t="str">
        <f>IF(دانش‌آموزان!E55="","",دانش‌آموزان!E55&amp;" "&amp;دانش‌آموزان!F55)</f>
        <v>پارسا دستمرد</v>
      </c>
      <c r="F606" s="34">
        <f>IF(دانش‌آموزان!I55="","",دانش‌آموزان!I55)</f>
        <v>802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>
      <c r="A607" s="33">
        <v>603</v>
      </c>
      <c r="B607" s="55" t="s">
        <v>185</v>
      </c>
      <c r="C607" s="55">
        <f>IF(دانش‌آموزان!E55="","",دانش‌آموزان!B55)</f>
        <v>51</v>
      </c>
      <c r="D607" s="55" t="str">
        <f>IF(دانش‌آموزان!C55="","",دانش‌آموزان!C55)</f>
        <v>0970673388</v>
      </c>
      <c r="E607" s="55" t="str">
        <f>IF(دانش‌آموزان!E55="","",دانش‌آموزان!E55&amp;" "&amp;دانش‌آموزان!F55)</f>
        <v>پارسا دستمرد</v>
      </c>
      <c r="F607" s="34">
        <f>IF(دانش‌آموزان!I55="","",دانش‌آموزان!I55)</f>
        <v>802</v>
      </c>
      <c r="G607" s="19">
        <v>19.260000000000002</v>
      </c>
      <c r="H607" s="20">
        <v>-6.2600000000000016</v>
      </c>
      <c r="I607" s="20">
        <v>5</v>
      </c>
      <c r="J607" s="20">
        <v>5</v>
      </c>
      <c r="K607" s="20">
        <v>5</v>
      </c>
      <c r="L607" s="20">
        <v>5</v>
      </c>
      <c r="M607" s="20">
        <v>5</v>
      </c>
      <c r="N607" s="20">
        <v>5</v>
      </c>
      <c r="O607" s="20">
        <v>5</v>
      </c>
      <c r="P607" s="20">
        <v>5</v>
      </c>
      <c r="Q607" s="20">
        <v>5</v>
      </c>
      <c r="R607" s="20">
        <v>5</v>
      </c>
      <c r="S607" s="20">
        <v>5</v>
      </c>
      <c r="T607" s="20">
        <v>5</v>
      </c>
      <c r="U607" s="20">
        <v>5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 t="s">
        <v>371</v>
      </c>
      <c r="AE607" s="20" t="s">
        <v>371</v>
      </c>
      <c r="AF607" s="20" t="s">
        <v>371</v>
      </c>
      <c r="AG607" s="20" t="s">
        <v>371</v>
      </c>
      <c r="AH607" s="20" t="s">
        <v>371</v>
      </c>
      <c r="AI607" s="20" t="s">
        <v>371</v>
      </c>
      <c r="AJ607" s="20">
        <v>5</v>
      </c>
      <c r="AK607" s="20">
        <v>5</v>
      </c>
      <c r="AL607" s="20">
        <v>5</v>
      </c>
      <c r="AM607" s="20">
        <v>5</v>
      </c>
      <c r="AN607" s="20">
        <v>5</v>
      </c>
      <c r="AO607" s="20">
        <v>5</v>
      </c>
      <c r="AP607" s="20">
        <v>5</v>
      </c>
      <c r="AQ607" s="20" t="s">
        <v>371</v>
      </c>
      <c r="AR607" s="20" t="s">
        <v>371</v>
      </c>
      <c r="AS607" s="20" t="s">
        <v>371</v>
      </c>
      <c r="AT607" s="20" t="s">
        <v>371</v>
      </c>
      <c r="AU607" s="20" t="s">
        <v>371</v>
      </c>
      <c r="AV607" s="20" t="s">
        <v>371</v>
      </c>
      <c r="AW607" s="20" t="s">
        <v>371</v>
      </c>
      <c r="AX607" s="20" t="s">
        <v>371</v>
      </c>
      <c r="AY607" s="20" t="s">
        <v>371</v>
      </c>
      <c r="AZ607" s="20" t="s">
        <v>371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>
        <f t="shared" si="99"/>
        <v>21.5</v>
      </c>
      <c r="CD607" s="38">
        <f t="shared" si="100"/>
        <v>20</v>
      </c>
      <c r="CE607" s="38">
        <f t="shared" si="101"/>
        <v>20</v>
      </c>
      <c r="CF607" s="38">
        <f t="shared" si="102"/>
        <v>20</v>
      </c>
      <c r="CG607" s="38">
        <f t="shared" si="103"/>
        <v>20</v>
      </c>
      <c r="CH607" s="38" t="str">
        <f t="shared" si="104"/>
        <v/>
      </c>
      <c r="CI607" s="38">
        <f t="shared" si="105"/>
        <v>20</v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>موقت - اطلاعات ناقص</v>
      </c>
      <c r="CN607" s="38">
        <v>3</v>
      </c>
      <c r="CO607" s="28">
        <f t="shared" si="109"/>
        <v>0.65217391304347827</v>
      </c>
      <c r="CP607" s="58"/>
    </row>
    <row r="608" spans="1:94" hidden="1">
      <c r="A608" s="33">
        <v>604</v>
      </c>
      <c r="B608" s="55" t="s">
        <v>186</v>
      </c>
      <c r="C608" s="55">
        <f>IF(دانش‌آموزان!E55="","",دانش‌آموزان!B55)</f>
        <v>51</v>
      </c>
      <c r="D608" s="55" t="str">
        <f>IF(دانش‌آموزان!C55="","",دانش‌آموزان!C55)</f>
        <v>0970673388</v>
      </c>
      <c r="E608" s="55" t="str">
        <f>IF(دانش‌آموزان!E55="","",دانش‌آموزان!E55&amp;" "&amp;دانش‌آموزان!F55)</f>
        <v>پارسا دستمرد</v>
      </c>
      <c r="F608" s="34">
        <f>IF(دانش‌آموزان!I55="","",دانش‌آموزان!I55)</f>
        <v>802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 hidden="1">
      <c r="A609" s="33">
        <v>605</v>
      </c>
      <c r="B609" s="55" t="s">
        <v>187</v>
      </c>
      <c r="C609" s="55">
        <f>IF(دانش‌آموزان!E55="","",دانش‌آموزان!B55)</f>
        <v>51</v>
      </c>
      <c r="D609" s="55" t="str">
        <f>IF(دانش‌آموزان!C55="","",دانش‌آموزان!C55)</f>
        <v>0970673388</v>
      </c>
      <c r="E609" s="55" t="str">
        <f>IF(دانش‌آموزان!E55="","",دانش‌آموزان!E55&amp;" "&amp;دانش‌آموزان!F55)</f>
        <v>پارسا دستمرد</v>
      </c>
      <c r="F609" s="34">
        <f>IF(دانش‌آموزان!I55="","",دانش‌آموزان!I55)</f>
        <v>802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>
        <f t="shared" si="109"/>
        <v>0</v>
      </c>
      <c r="CP609" s="58"/>
    </row>
    <row r="610" spans="1:94" hidden="1">
      <c r="A610" s="33">
        <v>606</v>
      </c>
      <c r="B610" s="55" t="s">
        <v>188</v>
      </c>
      <c r="C610" s="55">
        <f>IF(دانش‌آموزان!E55="","",دانش‌آموزان!B55)</f>
        <v>51</v>
      </c>
      <c r="D610" s="55" t="str">
        <f>IF(دانش‌آموزان!C55="","",دانش‌آموزان!C55)</f>
        <v>0970673388</v>
      </c>
      <c r="E610" s="55" t="str">
        <f>IF(دانش‌آموزان!E55="","",دانش‌آموزان!E55&amp;" "&amp;دانش‌آموزان!F55)</f>
        <v>پارسا دستمرد</v>
      </c>
      <c r="F610" s="34">
        <f>IF(دانش‌آموزان!I55="","",دانش‌آموزان!I55)</f>
        <v>802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>
        <f t="shared" si="109"/>
        <v>0</v>
      </c>
      <c r="CP610" s="58"/>
    </row>
    <row r="611" spans="1:94" hidden="1">
      <c r="A611" s="33">
        <v>607</v>
      </c>
      <c r="B611" s="55" t="s">
        <v>189</v>
      </c>
      <c r="C611" s="55">
        <f>IF(دانش‌آموزان!E55="","",دانش‌آموزان!B55)</f>
        <v>51</v>
      </c>
      <c r="D611" s="55" t="str">
        <f>IF(دانش‌آموزان!C55="","",دانش‌آموزان!C55)</f>
        <v>0970673388</v>
      </c>
      <c r="E611" s="55" t="str">
        <f>IF(دانش‌آموزان!E55="","",دانش‌آموزان!E55&amp;" "&amp;دانش‌آموزان!F55)</f>
        <v>پارسا دستمرد</v>
      </c>
      <c r="F611" s="34">
        <f>IF(دانش‌آموزان!I55="","",دانش‌آموزان!I55)</f>
        <v>802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>
        <f t="shared" si="109"/>
        <v>0</v>
      </c>
      <c r="CP611" s="58"/>
    </row>
    <row r="612" spans="1:94" hidden="1">
      <c r="A612" s="33">
        <v>608</v>
      </c>
      <c r="B612" s="55" t="s">
        <v>190</v>
      </c>
      <c r="C612" s="55">
        <f>IF(دانش‌آموزان!E55="","",دانش‌آموزان!B55)</f>
        <v>51</v>
      </c>
      <c r="D612" s="55" t="str">
        <f>IF(دانش‌آموزان!C55="","",دانش‌آموزان!C55)</f>
        <v>0970673388</v>
      </c>
      <c r="E612" s="55" t="str">
        <f>IF(دانش‌آموزان!E55="","",دانش‌آموزان!E55&amp;" "&amp;دانش‌آموزان!F55)</f>
        <v>پارسا دستمرد</v>
      </c>
      <c r="F612" s="34">
        <f>IF(دانش‌آموزان!I55="","",دانش‌آموزان!I55)</f>
        <v>802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>
        <f t="shared" si="109"/>
        <v>0</v>
      </c>
      <c r="CP612" s="58"/>
    </row>
    <row r="613" spans="1:94" hidden="1">
      <c r="A613" s="33">
        <v>609</v>
      </c>
      <c r="B613" s="55" t="s">
        <v>191</v>
      </c>
      <c r="C613" s="55">
        <f>IF(دانش‌آموزان!E55="","",دانش‌آموزان!B55)</f>
        <v>51</v>
      </c>
      <c r="D613" s="55" t="str">
        <f>IF(دانش‌آموزان!C55="","",دانش‌آموزان!C55)</f>
        <v>0970673388</v>
      </c>
      <c r="E613" s="55" t="str">
        <f>IF(دانش‌آموزان!E55="","",دانش‌آموزان!E55&amp;" "&amp;دانش‌آموزان!F55)</f>
        <v>پارسا دستمرد</v>
      </c>
      <c r="F613" s="34">
        <f>IF(دانش‌آموزان!I55="","",دانش‌آموزان!I55)</f>
        <v>802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>
        <f t="shared" si="109"/>
        <v>0</v>
      </c>
      <c r="CP613" s="58"/>
    </row>
    <row r="614" spans="1:94" hidden="1">
      <c r="A614" s="33">
        <v>610</v>
      </c>
      <c r="B614" s="55" t="s">
        <v>192</v>
      </c>
      <c r="C614" s="55">
        <f>IF(دانش‌آموزان!E55="","",دانش‌آموزان!B55)</f>
        <v>51</v>
      </c>
      <c r="D614" s="55" t="str">
        <f>IF(دانش‌آموزان!C55="","",دانش‌آموزان!C55)</f>
        <v>0970673388</v>
      </c>
      <c r="E614" s="55" t="str">
        <f>IF(دانش‌آموزان!E55="","",دانش‌آموزان!E55&amp;" "&amp;دانش‌آموزان!F55)</f>
        <v>پارسا دستمرد</v>
      </c>
      <c r="F614" s="34">
        <f>IF(دانش‌آموزان!I55="","",دانش‌آموزان!I55)</f>
        <v>802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>
        <f t="shared" si="109"/>
        <v>0</v>
      </c>
      <c r="CP614" s="58"/>
    </row>
    <row r="615" spans="1:94" hidden="1">
      <c r="A615" s="33">
        <v>611</v>
      </c>
      <c r="B615" s="55" t="s">
        <v>193</v>
      </c>
      <c r="C615" s="55">
        <f>IF(دانش‌آموزان!E55="","",دانش‌آموزان!B55)</f>
        <v>51</v>
      </c>
      <c r="D615" s="55" t="str">
        <f>IF(دانش‌آموزان!C55="","",دانش‌آموزان!C55)</f>
        <v>0970673388</v>
      </c>
      <c r="E615" s="55" t="str">
        <f>IF(دانش‌آموزان!E55="","",دانش‌آموزان!E55&amp;" "&amp;دانش‌آموزان!F55)</f>
        <v>پارسا دستمرد</v>
      </c>
      <c r="F615" s="34">
        <f>IF(دانش‌آموزان!I55="","",دانش‌آموزان!I55)</f>
        <v>802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>
        <f t="shared" si="109"/>
        <v>0</v>
      </c>
      <c r="CP615" s="58"/>
    </row>
    <row r="616" spans="1:94" hidden="1">
      <c r="A616" s="33">
        <v>612</v>
      </c>
      <c r="B616" s="55" t="s">
        <v>194</v>
      </c>
      <c r="C616" s="55">
        <f>IF(دانش‌آموزان!E55="","",دانش‌آموزان!B55)</f>
        <v>51</v>
      </c>
      <c r="D616" s="55" t="str">
        <f>IF(دانش‌آموزان!C55="","",دانش‌آموزان!C55)</f>
        <v>0970673388</v>
      </c>
      <c r="E616" s="55" t="str">
        <f>IF(دانش‌آموزان!E55="","",دانش‌آموزان!E55&amp;" "&amp;دانش‌آموزان!F55)</f>
        <v>پارسا دستمرد</v>
      </c>
      <c r="F616" s="34">
        <f>IF(دانش‌آموزان!I55="","",دانش‌آموزان!I55)</f>
        <v>802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>
        <f t="shared" si="109"/>
        <v>0</v>
      </c>
      <c r="CP616" s="58"/>
    </row>
    <row r="617" spans="1:94" hidden="1">
      <c r="A617" s="33">
        <v>613</v>
      </c>
      <c r="B617" s="55" t="s">
        <v>183</v>
      </c>
      <c r="C617" s="55">
        <f>IF(دانش‌آموزان!E56="","",دانش‌آموزان!B56)</f>
        <v>52</v>
      </c>
      <c r="D617" s="55" t="str">
        <f>IF(دانش‌آموزان!C56="","",دانش‌آموزان!C56)</f>
        <v>0960617809</v>
      </c>
      <c r="E617" s="55" t="str">
        <f>IF(دانش‌آموزان!E56="","",دانش‌آموزان!E56&amp;" "&amp;دانش‌آموزان!F56)</f>
        <v>محمدعطا رادمردباغي</v>
      </c>
      <c r="F617" s="34">
        <f>IF(دانش‌آموزان!I56="","",دانش‌آموزان!I56)</f>
        <v>802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>
        <f t="shared" si="109"/>
        <v>0</v>
      </c>
      <c r="CP617" s="58"/>
    </row>
    <row r="618" spans="1:94" hidden="1">
      <c r="A618" s="33">
        <v>614</v>
      </c>
      <c r="B618" s="55" t="s">
        <v>184</v>
      </c>
      <c r="C618" s="55">
        <f>IF(دانش‌آموزان!E56="","",دانش‌آموزان!B56)</f>
        <v>52</v>
      </c>
      <c r="D618" s="55" t="str">
        <f>IF(دانش‌آموزان!C56="","",دانش‌آموزان!C56)</f>
        <v>0960617809</v>
      </c>
      <c r="E618" s="55" t="str">
        <f>IF(دانش‌آموزان!E56="","",دانش‌آموزان!E56&amp;" "&amp;دانش‌آموزان!F56)</f>
        <v>محمدعطا رادمردباغي</v>
      </c>
      <c r="F618" s="34">
        <f>IF(دانش‌آموزان!I56="","",دانش‌آموزان!I56)</f>
        <v>802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>
        <f t="shared" si="109"/>
        <v>0</v>
      </c>
      <c r="CP618" s="58"/>
    </row>
    <row r="619" spans="1:94">
      <c r="A619" s="33">
        <v>615</v>
      </c>
      <c r="B619" s="55" t="s">
        <v>185</v>
      </c>
      <c r="C619" s="55">
        <f>IF(دانش‌آموزان!E56="","",دانش‌آموزان!B56)</f>
        <v>52</v>
      </c>
      <c r="D619" s="55" t="str">
        <f>IF(دانش‌آموزان!C56="","",دانش‌آموزان!C56)</f>
        <v>0960617809</v>
      </c>
      <c r="E619" s="55" t="str">
        <f>IF(دانش‌آموزان!E56="","",دانش‌آموزان!E56&amp;" "&amp;دانش‌آموزان!F56)</f>
        <v>محمدعطا رادمردباغي</v>
      </c>
      <c r="F619" s="34">
        <f>IF(دانش‌آموزان!I56="","",دانش‌آموزان!I56)</f>
        <v>802</v>
      </c>
      <c r="G619" s="19">
        <v>19.829999999999998</v>
      </c>
      <c r="H619" s="20">
        <v>-7.8299999999999983</v>
      </c>
      <c r="I619" s="20">
        <v>5</v>
      </c>
      <c r="J619" s="20">
        <v>5</v>
      </c>
      <c r="K619" s="20">
        <v>5</v>
      </c>
      <c r="L619" s="20">
        <v>5</v>
      </c>
      <c r="M619" s="20">
        <v>5</v>
      </c>
      <c r="N619" s="20">
        <v>5</v>
      </c>
      <c r="O619" s="20">
        <v>5</v>
      </c>
      <c r="P619" s="20">
        <v>5</v>
      </c>
      <c r="Q619" s="20">
        <v>5</v>
      </c>
      <c r="R619" s="20">
        <v>5</v>
      </c>
      <c r="S619" s="20">
        <v>5</v>
      </c>
      <c r="T619" s="20">
        <v>5</v>
      </c>
      <c r="U619" s="20">
        <v>5</v>
      </c>
      <c r="V619" s="20">
        <v>5</v>
      </c>
      <c r="W619" s="20">
        <v>5</v>
      </c>
      <c r="X619" s="20">
        <v>5</v>
      </c>
      <c r="Y619" s="20">
        <v>5</v>
      </c>
      <c r="Z619" s="20">
        <v>5</v>
      </c>
      <c r="AA619" s="20">
        <v>5</v>
      </c>
      <c r="AB619" s="20">
        <v>5</v>
      </c>
      <c r="AC619" s="20">
        <v>5</v>
      </c>
      <c r="AD619" s="20" t="s">
        <v>371</v>
      </c>
      <c r="AE619" s="20" t="s">
        <v>371</v>
      </c>
      <c r="AF619" s="20" t="s">
        <v>371</v>
      </c>
      <c r="AG619" s="20" t="s">
        <v>371</v>
      </c>
      <c r="AH619" s="20" t="s">
        <v>371</v>
      </c>
      <c r="AI619" s="20" t="s">
        <v>371</v>
      </c>
      <c r="AJ619" s="20">
        <v>5</v>
      </c>
      <c r="AK619" s="20">
        <v>5</v>
      </c>
      <c r="AL619" s="20">
        <v>5</v>
      </c>
      <c r="AM619" s="20">
        <v>5</v>
      </c>
      <c r="AN619" s="20">
        <v>5</v>
      </c>
      <c r="AO619" s="20">
        <v>5</v>
      </c>
      <c r="AP619" s="20">
        <v>5</v>
      </c>
      <c r="AQ619" s="20" t="s">
        <v>371</v>
      </c>
      <c r="AR619" s="20" t="s">
        <v>371</v>
      </c>
      <c r="AS619" s="20" t="s">
        <v>371</v>
      </c>
      <c r="AT619" s="20" t="s">
        <v>371</v>
      </c>
      <c r="AU619" s="20" t="s">
        <v>371</v>
      </c>
      <c r="AV619" s="20" t="s">
        <v>371</v>
      </c>
      <c r="AW619" s="20" t="s">
        <v>371</v>
      </c>
      <c r="AX619" s="20" t="s">
        <v>371</v>
      </c>
      <c r="AY619" s="20" t="s">
        <v>371</v>
      </c>
      <c r="AZ619" s="20" t="s">
        <v>371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>
        <f t="shared" si="99"/>
        <v>21</v>
      </c>
      <c r="CD619" s="38">
        <f t="shared" si="100"/>
        <v>20</v>
      </c>
      <c r="CE619" s="38">
        <f t="shared" si="101"/>
        <v>20</v>
      </c>
      <c r="CF619" s="38">
        <f t="shared" si="102"/>
        <v>20</v>
      </c>
      <c r="CG619" s="38">
        <f t="shared" si="103"/>
        <v>20</v>
      </c>
      <c r="CH619" s="38" t="str">
        <f t="shared" si="104"/>
        <v/>
      </c>
      <c r="CI619" s="38">
        <f t="shared" si="105"/>
        <v>20</v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>موقت - اطلاعات ناقص</v>
      </c>
      <c r="CN619" s="38">
        <v>3</v>
      </c>
      <c r="CO619" s="28">
        <f t="shared" si="109"/>
        <v>0.65217391304347827</v>
      </c>
      <c r="CP619" s="58"/>
    </row>
    <row r="620" spans="1:94" hidden="1">
      <c r="A620" s="33">
        <v>616</v>
      </c>
      <c r="B620" s="55" t="s">
        <v>186</v>
      </c>
      <c r="C620" s="55">
        <f>IF(دانش‌آموزان!E56="","",دانش‌آموزان!B56)</f>
        <v>52</v>
      </c>
      <c r="D620" s="55" t="str">
        <f>IF(دانش‌آموزان!C56="","",دانش‌آموزان!C56)</f>
        <v>0960617809</v>
      </c>
      <c r="E620" s="55" t="str">
        <f>IF(دانش‌آموزان!E56="","",دانش‌آموزان!E56&amp;" "&amp;دانش‌آموزان!F56)</f>
        <v>محمدعطا رادمردباغي</v>
      </c>
      <c r="F620" s="34">
        <f>IF(دانش‌آموزان!I56="","",دانش‌آموزان!I56)</f>
        <v>802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>
        <f t="shared" si="109"/>
        <v>0</v>
      </c>
      <c r="CP620" s="58"/>
    </row>
    <row r="621" spans="1:94" hidden="1">
      <c r="A621" s="33">
        <v>617</v>
      </c>
      <c r="B621" s="55" t="s">
        <v>187</v>
      </c>
      <c r="C621" s="55">
        <f>IF(دانش‌آموزان!E56="","",دانش‌آموزان!B56)</f>
        <v>52</v>
      </c>
      <c r="D621" s="55" t="str">
        <f>IF(دانش‌آموزان!C56="","",دانش‌آموزان!C56)</f>
        <v>0960617809</v>
      </c>
      <c r="E621" s="55" t="str">
        <f>IF(دانش‌آموزان!E56="","",دانش‌آموزان!E56&amp;" "&amp;دانش‌آموزان!F56)</f>
        <v>محمدعطا رادمردباغي</v>
      </c>
      <c r="F621" s="34">
        <f>IF(دانش‌آموزان!I56="","",دانش‌آموزان!I56)</f>
        <v>802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>
        <f t="shared" si="109"/>
        <v>0</v>
      </c>
      <c r="CP621" s="58"/>
    </row>
    <row r="622" spans="1:94" hidden="1">
      <c r="A622" s="33">
        <v>618</v>
      </c>
      <c r="B622" s="55" t="s">
        <v>188</v>
      </c>
      <c r="C622" s="55">
        <f>IF(دانش‌آموزان!E56="","",دانش‌آموزان!B56)</f>
        <v>52</v>
      </c>
      <c r="D622" s="55" t="str">
        <f>IF(دانش‌آموزان!C56="","",دانش‌آموزان!C56)</f>
        <v>0960617809</v>
      </c>
      <c r="E622" s="55" t="str">
        <f>IF(دانش‌آموزان!E56="","",دانش‌آموزان!E56&amp;" "&amp;دانش‌آموزان!F56)</f>
        <v>محمدعطا رادمردباغي</v>
      </c>
      <c r="F622" s="34">
        <f>IF(دانش‌آموزان!I56="","",دانش‌آموزان!I56)</f>
        <v>802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>
        <f t="shared" si="109"/>
        <v>0</v>
      </c>
      <c r="CP622" s="58"/>
    </row>
    <row r="623" spans="1:94" hidden="1">
      <c r="A623" s="33">
        <v>619</v>
      </c>
      <c r="B623" s="55" t="s">
        <v>189</v>
      </c>
      <c r="C623" s="55">
        <f>IF(دانش‌آموزان!E56="","",دانش‌آموزان!B56)</f>
        <v>52</v>
      </c>
      <c r="D623" s="55" t="str">
        <f>IF(دانش‌آموزان!C56="","",دانش‌آموزان!C56)</f>
        <v>0960617809</v>
      </c>
      <c r="E623" s="55" t="str">
        <f>IF(دانش‌آموزان!E56="","",دانش‌آموزان!E56&amp;" "&amp;دانش‌آموزان!F56)</f>
        <v>محمدعطا رادمردباغي</v>
      </c>
      <c r="F623" s="34">
        <f>IF(دانش‌آموزان!I56="","",دانش‌آموزان!I56)</f>
        <v>802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>
        <f t="shared" si="109"/>
        <v>0</v>
      </c>
      <c r="CP623" s="58"/>
    </row>
    <row r="624" spans="1:94" hidden="1">
      <c r="A624" s="33">
        <v>620</v>
      </c>
      <c r="B624" s="55" t="s">
        <v>190</v>
      </c>
      <c r="C624" s="55">
        <f>IF(دانش‌آموزان!E56="","",دانش‌آموزان!B56)</f>
        <v>52</v>
      </c>
      <c r="D624" s="55" t="str">
        <f>IF(دانش‌آموزان!C56="","",دانش‌آموزان!C56)</f>
        <v>0960617809</v>
      </c>
      <c r="E624" s="55" t="str">
        <f>IF(دانش‌آموزان!E56="","",دانش‌آموزان!E56&amp;" "&amp;دانش‌آموزان!F56)</f>
        <v>محمدعطا رادمردباغي</v>
      </c>
      <c r="F624" s="34">
        <f>IF(دانش‌آموزان!I56="","",دانش‌آموزان!I56)</f>
        <v>802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>
        <f t="shared" si="109"/>
        <v>0</v>
      </c>
      <c r="CP624" s="58"/>
    </row>
    <row r="625" spans="1:94" hidden="1">
      <c r="A625" s="33">
        <v>621</v>
      </c>
      <c r="B625" s="55" t="s">
        <v>191</v>
      </c>
      <c r="C625" s="55">
        <f>IF(دانش‌آموزان!E56="","",دانش‌آموزان!B56)</f>
        <v>52</v>
      </c>
      <c r="D625" s="55" t="str">
        <f>IF(دانش‌آموزان!C56="","",دانش‌آموزان!C56)</f>
        <v>0960617809</v>
      </c>
      <c r="E625" s="55" t="str">
        <f>IF(دانش‌آموزان!E56="","",دانش‌آموزان!E56&amp;" "&amp;دانش‌آموزان!F56)</f>
        <v>محمدعطا رادمردباغي</v>
      </c>
      <c r="F625" s="34">
        <f>IF(دانش‌آموزان!I56="","",دانش‌آموزان!I56)</f>
        <v>802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>
        <f t="shared" si="109"/>
        <v>0</v>
      </c>
      <c r="CP625" s="58"/>
    </row>
    <row r="626" spans="1:94" hidden="1">
      <c r="A626" s="33">
        <v>622</v>
      </c>
      <c r="B626" s="55" t="s">
        <v>192</v>
      </c>
      <c r="C626" s="55">
        <f>IF(دانش‌آموزان!E56="","",دانش‌آموزان!B56)</f>
        <v>52</v>
      </c>
      <c r="D626" s="55" t="str">
        <f>IF(دانش‌آموزان!C56="","",دانش‌آموزان!C56)</f>
        <v>0960617809</v>
      </c>
      <c r="E626" s="55" t="str">
        <f>IF(دانش‌آموزان!E56="","",دانش‌آموزان!E56&amp;" "&amp;دانش‌آموزان!F56)</f>
        <v>محمدعطا رادمردباغي</v>
      </c>
      <c r="F626" s="34">
        <f>IF(دانش‌آموزان!I56="","",دانش‌آموزان!I56)</f>
        <v>802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>
        <f t="shared" si="109"/>
        <v>0</v>
      </c>
      <c r="CP626" s="58"/>
    </row>
    <row r="627" spans="1:94" hidden="1">
      <c r="A627" s="33">
        <v>623</v>
      </c>
      <c r="B627" s="55" t="s">
        <v>193</v>
      </c>
      <c r="C627" s="55">
        <f>IF(دانش‌آموزان!E56="","",دانش‌آموزان!B56)</f>
        <v>52</v>
      </c>
      <c r="D627" s="55" t="str">
        <f>IF(دانش‌آموزان!C56="","",دانش‌آموزان!C56)</f>
        <v>0960617809</v>
      </c>
      <c r="E627" s="55" t="str">
        <f>IF(دانش‌آموزان!E56="","",دانش‌آموزان!E56&amp;" "&amp;دانش‌آموزان!F56)</f>
        <v>محمدعطا رادمردباغي</v>
      </c>
      <c r="F627" s="34">
        <f>IF(دانش‌آموزان!I56="","",دانش‌آموزان!I56)</f>
        <v>802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>
        <f t="shared" si="109"/>
        <v>0</v>
      </c>
      <c r="CP627" s="58"/>
    </row>
    <row r="628" spans="1:94" hidden="1">
      <c r="A628" s="33">
        <v>624</v>
      </c>
      <c r="B628" s="55" t="s">
        <v>194</v>
      </c>
      <c r="C628" s="55">
        <f>IF(دانش‌آموزان!E56="","",دانش‌آموزان!B56)</f>
        <v>52</v>
      </c>
      <c r="D628" s="55" t="str">
        <f>IF(دانش‌آموزان!C56="","",دانش‌آموزان!C56)</f>
        <v>0960617809</v>
      </c>
      <c r="E628" s="55" t="str">
        <f>IF(دانش‌آموزان!E56="","",دانش‌آموزان!E56&amp;" "&amp;دانش‌آموزان!F56)</f>
        <v>محمدعطا رادمردباغي</v>
      </c>
      <c r="F628" s="34">
        <f>IF(دانش‌آموزان!I56="","",دانش‌آموزان!I56)</f>
        <v>802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>
        <f t="shared" si="109"/>
        <v>0</v>
      </c>
      <c r="CP628" s="58"/>
    </row>
    <row r="629" spans="1:94" hidden="1">
      <c r="A629" s="33">
        <v>625</v>
      </c>
      <c r="B629" s="55" t="s">
        <v>183</v>
      </c>
      <c r="C629" s="55">
        <f>IF(دانش‌آموزان!E57="","",دانش‌آموزان!B57)</f>
        <v>53</v>
      </c>
      <c r="D629" s="55" t="str">
        <f>IF(دانش‌آموزان!C57="","",دانش‌آموزان!C57)</f>
        <v>0970843550</v>
      </c>
      <c r="E629" s="55" t="str">
        <f>IF(دانش‌آموزان!E57="","",دانش‌آموزان!E57&amp;" "&amp;دانش‌آموزان!F57)</f>
        <v>پوريا رجبي اول قصر</v>
      </c>
      <c r="F629" s="34">
        <f>IF(دانش‌آموزان!I57="","",دانش‌آموزان!I57)</f>
        <v>802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>
        <f t="shared" si="109"/>
        <v>0</v>
      </c>
      <c r="CP629" s="58"/>
    </row>
    <row r="630" spans="1:94" hidden="1">
      <c r="A630" s="33">
        <v>626</v>
      </c>
      <c r="B630" s="55" t="s">
        <v>184</v>
      </c>
      <c r="C630" s="55">
        <f>IF(دانش‌آموزان!E57="","",دانش‌آموزان!B57)</f>
        <v>53</v>
      </c>
      <c r="D630" s="55" t="str">
        <f>IF(دانش‌آموزان!C57="","",دانش‌آموزان!C57)</f>
        <v>0970843550</v>
      </c>
      <c r="E630" s="55" t="str">
        <f>IF(دانش‌آموزان!E57="","",دانش‌آموزان!E57&amp;" "&amp;دانش‌آموزان!F57)</f>
        <v>پوريا رجبي اول قصر</v>
      </c>
      <c r="F630" s="34">
        <f>IF(دانش‌آموزان!I57="","",دانش‌آموزان!I57)</f>
        <v>802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>
        <f t="shared" si="109"/>
        <v>0</v>
      </c>
      <c r="CP630" s="58"/>
    </row>
    <row r="631" spans="1:94">
      <c r="A631" s="33">
        <v>627</v>
      </c>
      <c r="B631" s="55" t="s">
        <v>185</v>
      </c>
      <c r="C631" s="55">
        <f>IF(دانش‌آموزان!E57="","",دانش‌آموزان!B57)</f>
        <v>53</v>
      </c>
      <c r="D631" s="55" t="str">
        <f>IF(دانش‌آموزان!C57="","",دانش‌آموزان!C57)</f>
        <v>0970843550</v>
      </c>
      <c r="E631" s="55" t="str">
        <f>IF(دانش‌آموزان!E57="","",دانش‌آموزان!E57&amp;" "&amp;دانش‌آموزان!F57)</f>
        <v>پوريا رجبي اول قصر</v>
      </c>
      <c r="F631" s="34">
        <f>IF(دانش‌آموزان!I57="","",دانش‌آموزان!I57)</f>
        <v>802</v>
      </c>
      <c r="G631" s="19">
        <v>18.899999999999999</v>
      </c>
      <c r="H631" s="20">
        <v>-11.899999999999999</v>
      </c>
      <c r="I631" s="20">
        <v>5</v>
      </c>
      <c r="J631" s="20">
        <v>5</v>
      </c>
      <c r="K631" s="20">
        <v>5</v>
      </c>
      <c r="L631" s="20">
        <v>5</v>
      </c>
      <c r="M631" s="20">
        <v>5</v>
      </c>
      <c r="N631" s="20">
        <v>5</v>
      </c>
      <c r="O631" s="20">
        <v>5</v>
      </c>
      <c r="P631" s="20">
        <v>5</v>
      </c>
      <c r="Q631" s="20">
        <v>5</v>
      </c>
      <c r="R631" s="20">
        <v>5</v>
      </c>
      <c r="S631" s="20">
        <v>5</v>
      </c>
      <c r="T631" s="20">
        <v>5</v>
      </c>
      <c r="U631" s="20">
        <v>5</v>
      </c>
      <c r="V631" s="20">
        <v>5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 t="s">
        <v>371</v>
      </c>
      <c r="AE631" s="20" t="s">
        <v>371</v>
      </c>
      <c r="AF631" s="20" t="s">
        <v>371</v>
      </c>
      <c r="AG631" s="20" t="s">
        <v>371</v>
      </c>
      <c r="AH631" s="20" t="s">
        <v>371</v>
      </c>
      <c r="AI631" s="20" t="s">
        <v>371</v>
      </c>
      <c r="AJ631" s="20">
        <v>5</v>
      </c>
      <c r="AK631" s="20">
        <v>5</v>
      </c>
      <c r="AL631" s="20">
        <v>5</v>
      </c>
      <c r="AM631" s="20">
        <v>5</v>
      </c>
      <c r="AN631" s="20">
        <v>5</v>
      </c>
      <c r="AO631" s="20">
        <v>5</v>
      </c>
      <c r="AP631" s="20">
        <v>5</v>
      </c>
      <c r="AQ631" s="20" t="s">
        <v>371</v>
      </c>
      <c r="AR631" s="20" t="s">
        <v>371</v>
      </c>
      <c r="AS631" s="20" t="s">
        <v>371</v>
      </c>
      <c r="AT631" s="20" t="s">
        <v>371</v>
      </c>
      <c r="AU631" s="20" t="s">
        <v>371</v>
      </c>
      <c r="AV631" s="20" t="s">
        <v>371</v>
      </c>
      <c r="AW631" s="20" t="s">
        <v>371</v>
      </c>
      <c r="AX631" s="20" t="s">
        <v>371</v>
      </c>
      <c r="AY631" s="20" t="s">
        <v>371</v>
      </c>
      <c r="AZ631" s="20" t="s">
        <v>371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>
        <f t="shared" si="99"/>
        <v>18.5</v>
      </c>
      <c r="CD631" s="38">
        <f t="shared" si="100"/>
        <v>20</v>
      </c>
      <c r="CE631" s="38">
        <f t="shared" si="101"/>
        <v>20</v>
      </c>
      <c r="CF631" s="38">
        <f t="shared" si="102"/>
        <v>20</v>
      </c>
      <c r="CG631" s="38">
        <f t="shared" si="103"/>
        <v>20</v>
      </c>
      <c r="CH631" s="38" t="str">
        <f t="shared" si="104"/>
        <v/>
      </c>
      <c r="CI631" s="38">
        <f t="shared" si="105"/>
        <v>20</v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>موقت - اطلاعات ناقص</v>
      </c>
      <c r="CN631" s="38">
        <v>3</v>
      </c>
      <c r="CO631" s="28">
        <f t="shared" si="109"/>
        <v>0.65217391304347827</v>
      </c>
      <c r="CP631" s="58"/>
    </row>
    <row r="632" spans="1:94" hidden="1">
      <c r="A632" s="33">
        <v>628</v>
      </c>
      <c r="B632" s="55" t="s">
        <v>186</v>
      </c>
      <c r="C632" s="55">
        <f>IF(دانش‌آموزان!E57="","",دانش‌آموزان!B57)</f>
        <v>53</v>
      </c>
      <c r="D632" s="55" t="str">
        <f>IF(دانش‌آموزان!C57="","",دانش‌آموزان!C57)</f>
        <v>0970843550</v>
      </c>
      <c r="E632" s="55" t="str">
        <f>IF(دانش‌آموزان!E57="","",دانش‌آموزان!E57&amp;" "&amp;دانش‌آموزان!F57)</f>
        <v>پوريا رجبي اول قصر</v>
      </c>
      <c r="F632" s="34">
        <f>IF(دانش‌آموزان!I57="","",دانش‌آموزان!I57)</f>
        <v>802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>
        <f t="shared" si="109"/>
        <v>0</v>
      </c>
      <c r="CP632" s="58"/>
    </row>
    <row r="633" spans="1:94" hidden="1">
      <c r="A633" s="33">
        <v>629</v>
      </c>
      <c r="B633" s="55" t="s">
        <v>187</v>
      </c>
      <c r="C633" s="55">
        <f>IF(دانش‌آموزان!E57="","",دانش‌آموزان!B57)</f>
        <v>53</v>
      </c>
      <c r="D633" s="55" t="str">
        <f>IF(دانش‌آموزان!C57="","",دانش‌آموزان!C57)</f>
        <v>0970843550</v>
      </c>
      <c r="E633" s="55" t="str">
        <f>IF(دانش‌آموزان!E57="","",دانش‌آموزان!E57&amp;" "&amp;دانش‌آموزان!F57)</f>
        <v>پوريا رجبي اول قصر</v>
      </c>
      <c r="F633" s="34">
        <f>IF(دانش‌آموزان!I57="","",دانش‌آموزان!I57)</f>
        <v>802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>
        <f t="shared" si="109"/>
        <v>0</v>
      </c>
      <c r="CP633" s="58"/>
    </row>
    <row r="634" spans="1:94" hidden="1">
      <c r="A634" s="33">
        <v>630</v>
      </c>
      <c r="B634" s="55" t="s">
        <v>188</v>
      </c>
      <c r="C634" s="55">
        <f>IF(دانش‌آموزان!E57="","",دانش‌آموزان!B57)</f>
        <v>53</v>
      </c>
      <c r="D634" s="55" t="str">
        <f>IF(دانش‌آموزان!C57="","",دانش‌آموزان!C57)</f>
        <v>0970843550</v>
      </c>
      <c r="E634" s="55" t="str">
        <f>IF(دانش‌آموزان!E57="","",دانش‌آموزان!E57&amp;" "&amp;دانش‌آموزان!F57)</f>
        <v>پوريا رجبي اول قصر</v>
      </c>
      <c r="F634" s="34">
        <f>IF(دانش‌آموزان!I57="","",دانش‌آموزان!I57)</f>
        <v>802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>
        <f t="shared" si="109"/>
        <v>0</v>
      </c>
      <c r="CP634" s="58"/>
    </row>
    <row r="635" spans="1:94" hidden="1">
      <c r="A635" s="33">
        <v>631</v>
      </c>
      <c r="B635" s="55" t="s">
        <v>189</v>
      </c>
      <c r="C635" s="55">
        <f>IF(دانش‌آموزان!E57="","",دانش‌آموزان!B57)</f>
        <v>53</v>
      </c>
      <c r="D635" s="55" t="str">
        <f>IF(دانش‌آموزان!C57="","",دانش‌آموزان!C57)</f>
        <v>0970843550</v>
      </c>
      <c r="E635" s="55" t="str">
        <f>IF(دانش‌آموزان!E57="","",دانش‌آموزان!E57&amp;" "&amp;دانش‌آموزان!F57)</f>
        <v>پوريا رجبي اول قصر</v>
      </c>
      <c r="F635" s="34">
        <f>IF(دانش‌آموزان!I57="","",دانش‌آموزان!I57)</f>
        <v>802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>
        <f t="shared" si="109"/>
        <v>0</v>
      </c>
      <c r="CP635" s="58"/>
    </row>
    <row r="636" spans="1:94" hidden="1">
      <c r="A636" s="33">
        <v>632</v>
      </c>
      <c r="B636" s="55" t="s">
        <v>190</v>
      </c>
      <c r="C636" s="55">
        <f>IF(دانش‌آموزان!E57="","",دانش‌آموزان!B57)</f>
        <v>53</v>
      </c>
      <c r="D636" s="55" t="str">
        <f>IF(دانش‌آموزان!C57="","",دانش‌آموزان!C57)</f>
        <v>0970843550</v>
      </c>
      <c r="E636" s="55" t="str">
        <f>IF(دانش‌آموزان!E57="","",دانش‌آموزان!E57&amp;" "&amp;دانش‌آموزان!F57)</f>
        <v>پوريا رجبي اول قصر</v>
      </c>
      <c r="F636" s="34">
        <f>IF(دانش‌آموزان!I57="","",دانش‌آموزان!I57)</f>
        <v>802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>
        <f t="shared" si="109"/>
        <v>0</v>
      </c>
      <c r="CP636" s="58"/>
    </row>
    <row r="637" spans="1:94" hidden="1">
      <c r="A637" s="33">
        <v>633</v>
      </c>
      <c r="B637" s="55" t="s">
        <v>191</v>
      </c>
      <c r="C637" s="55">
        <f>IF(دانش‌آموزان!E57="","",دانش‌آموزان!B57)</f>
        <v>53</v>
      </c>
      <c r="D637" s="55" t="str">
        <f>IF(دانش‌آموزان!C57="","",دانش‌آموزان!C57)</f>
        <v>0970843550</v>
      </c>
      <c r="E637" s="55" t="str">
        <f>IF(دانش‌آموزان!E57="","",دانش‌آموزان!E57&amp;" "&amp;دانش‌آموزان!F57)</f>
        <v>پوريا رجبي اول قصر</v>
      </c>
      <c r="F637" s="34">
        <f>IF(دانش‌آموزان!I57="","",دانش‌آموزان!I57)</f>
        <v>802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>
        <f t="shared" si="109"/>
        <v>0</v>
      </c>
      <c r="CP637" s="58"/>
    </row>
    <row r="638" spans="1:94" hidden="1">
      <c r="A638" s="33">
        <v>634</v>
      </c>
      <c r="B638" s="55" t="s">
        <v>192</v>
      </c>
      <c r="C638" s="55">
        <f>IF(دانش‌آموزان!E57="","",دانش‌آموزان!B57)</f>
        <v>53</v>
      </c>
      <c r="D638" s="55" t="str">
        <f>IF(دانش‌آموزان!C57="","",دانش‌آموزان!C57)</f>
        <v>0970843550</v>
      </c>
      <c r="E638" s="55" t="str">
        <f>IF(دانش‌آموزان!E57="","",دانش‌آموزان!E57&amp;" "&amp;دانش‌آموزان!F57)</f>
        <v>پوريا رجبي اول قصر</v>
      </c>
      <c r="F638" s="34">
        <f>IF(دانش‌آموزان!I57="","",دانش‌آموزان!I57)</f>
        <v>802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>
        <f t="shared" si="109"/>
        <v>0</v>
      </c>
      <c r="CP638" s="58"/>
    </row>
    <row r="639" spans="1:94" hidden="1">
      <c r="A639" s="33">
        <v>635</v>
      </c>
      <c r="B639" s="55" t="s">
        <v>193</v>
      </c>
      <c r="C639" s="55">
        <f>IF(دانش‌آموزان!E57="","",دانش‌آموزان!B57)</f>
        <v>53</v>
      </c>
      <c r="D639" s="55" t="str">
        <f>IF(دانش‌آموزان!C57="","",دانش‌آموزان!C57)</f>
        <v>0970843550</v>
      </c>
      <c r="E639" s="55" t="str">
        <f>IF(دانش‌آموزان!E57="","",دانش‌آموزان!E57&amp;" "&amp;دانش‌آموزان!F57)</f>
        <v>پوريا رجبي اول قصر</v>
      </c>
      <c r="F639" s="34">
        <f>IF(دانش‌آموزان!I57="","",دانش‌آموزان!I57)</f>
        <v>802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>
        <f t="shared" si="109"/>
        <v>0</v>
      </c>
      <c r="CP639" s="58"/>
    </row>
    <row r="640" spans="1:94" hidden="1">
      <c r="A640" s="33">
        <v>636</v>
      </c>
      <c r="B640" s="55" t="s">
        <v>194</v>
      </c>
      <c r="C640" s="55">
        <f>IF(دانش‌آموزان!E57="","",دانش‌آموزان!B57)</f>
        <v>53</v>
      </c>
      <c r="D640" s="55" t="str">
        <f>IF(دانش‌آموزان!C57="","",دانش‌آموزان!C57)</f>
        <v>0970843550</v>
      </c>
      <c r="E640" s="55" t="str">
        <f>IF(دانش‌آموزان!E57="","",دانش‌آموزان!E57&amp;" "&amp;دانش‌آموزان!F57)</f>
        <v>پوريا رجبي اول قصر</v>
      </c>
      <c r="F640" s="34">
        <f>IF(دانش‌آموزان!I57="","",دانش‌آموزان!I57)</f>
        <v>802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>
        <f t="shared" si="109"/>
        <v>0</v>
      </c>
      <c r="CP640" s="58"/>
    </row>
    <row r="641" spans="1:94" hidden="1">
      <c r="A641" s="33">
        <v>637</v>
      </c>
      <c r="B641" s="55" t="s">
        <v>183</v>
      </c>
      <c r="C641" s="55">
        <f>IF(دانش‌آموزان!E58="","",دانش‌آموزان!B58)</f>
        <v>54</v>
      </c>
      <c r="D641" s="55" t="str">
        <f>IF(دانش‌آموزان!C58="","",دانش‌آموزان!C58)</f>
        <v>0980519268</v>
      </c>
      <c r="E641" s="55" t="str">
        <f>IF(دانش‌آموزان!E58="","",دانش‌آموزان!E58&amp;" "&amp;دانش‌آموزان!F58)</f>
        <v>اميرعلي سخاوتي راد</v>
      </c>
      <c r="F641" s="34">
        <f>IF(دانش‌آموزان!I58="","",دانش‌آموزان!I58)</f>
        <v>802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>
        <f t="shared" si="109"/>
        <v>0</v>
      </c>
      <c r="CP641" s="58"/>
    </row>
    <row r="642" spans="1:94" hidden="1">
      <c r="A642" s="33">
        <v>638</v>
      </c>
      <c r="B642" s="55" t="s">
        <v>184</v>
      </c>
      <c r="C642" s="55">
        <f>IF(دانش‌آموزان!E58="","",دانش‌آموزان!B58)</f>
        <v>54</v>
      </c>
      <c r="D642" s="55" t="str">
        <f>IF(دانش‌آموزان!C58="","",دانش‌آموزان!C58)</f>
        <v>0980519268</v>
      </c>
      <c r="E642" s="55" t="str">
        <f>IF(دانش‌آموزان!E58="","",دانش‌آموزان!E58&amp;" "&amp;دانش‌آموزان!F58)</f>
        <v>اميرعلي سخاوتي راد</v>
      </c>
      <c r="F642" s="34">
        <f>IF(دانش‌آموزان!I58="","",دانش‌آموزان!I58)</f>
        <v>802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>
        <f t="shared" si="109"/>
        <v>0</v>
      </c>
      <c r="CP642" s="58"/>
    </row>
    <row r="643" spans="1:94">
      <c r="A643" s="33">
        <v>639</v>
      </c>
      <c r="B643" s="55" t="s">
        <v>185</v>
      </c>
      <c r="C643" s="55">
        <f>IF(دانش‌آموزان!E58="","",دانش‌آموزان!B58)</f>
        <v>54</v>
      </c>
      <c r="D643" s="55" t="str">
        <f>IF(دانش‌آموزان!C58="","",دانش‌آموزان!C58)</f>
        <v>0980519268</v>
      </c>
      <c r="E643" s="55" t="str">
        <f>IF(دانش‌آموزان!E58="","",دانش‌آموزان!E58&amp;" "&amp;دانش‌آموزان!F58)</f>
        <v>اميرعلي سخاوتي راد</v>
      </c>
      <c r="F643" s="34">
        <f>IF(دانش‌آموزان!I58="","",دانش‌آموزان!I58)</f>
        <v>802</v>
      </c>
      <c r="G643" s="19">
        <v>19.850000000000001</v>
      </c>
      <c r="H643" s="20" t="s">
        <v>371</v>
      </c>
      <c r="I643" s="20">
        <v>5</v>
      </c>
      <c r="J643" s="20">
        <v>5</v>
      </c>
      <c r="K643" s="20">
        <v>5</v>
      </c>
      <c r="L643" s="20">
        <v>5</v>
      </c>
      <c r="M643" s="20">
        <v>5</v>
      </c>
      <c r="N643" s="20">
        <v>5</v>
      </c>
      <c r="O643" s="20">
        <v>5</v>
      </c>
      <c r="P643" s="20">
        <v>5</v>
      </c>
      <c r="Q643" s="20">
        <v>5</v>
      </c>
      <c r="R643" s="20">
        <v>5</v>
      </c>
      <c r="S643" s="20">
        <v>5</v>
      </c>
      <c r="T643" s="20">
        <v>5</v>
      </c>
      <c r="U643" s="20">
        <v>5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 t="s">
        <v>371</v>
      </c>
      <c r="AE643" s="20" t="s">
        <v>371</v>
      </c>
      <c r="AF643" s="20" t="s">
        <v>371</v>
      </c>
      <c r="AG643" s="20" t="s">
        <v>371</v>
      </c>
      <c r="AH643" s="20" t="s">
        <v>371</v>
      </c>
      <c r="AI643" s="20" t="s">
        <v>371</v>
      </c>
      <c r="AJ643" s="20">
        <v>5</v>
      </c>
      <c r="AK643" s="20">
        <v>5</v>
      </c>
      <c r="AL643" s="20">
        <v>5</v>
      </c>
      <c r="AM643" s="20">
        <v>5</v>
      </c>
      <c r="AN643" s="20">
        <v>5</v>
      </c>
      <c r="AO643" s="20">
        <v>5</v>
      </c>
      <c r="AP643" s="20">
        <v>5</v>
      </c>
      <c r="AQ643" s="20" t="s">
        <v>371</v>
      </c>
      <c r="AR643" s="20" t="s">
        <v>371</v>
      </c>
      <c r="AS643" s="20" t="s">
        <v>371</v>
      </c>
      <c r="AT643" s="20" t="s">
        <v>371</v>
      </c>
      <c r="AU643" s="20" t="s">
        <v>371</v>
      </c>
      <c r="AV643" s="20" t="s">
        <v>371</v>
      </c>
      <c r="AW643" s="20" t="s">
        <v>371</v>
      </c>
      <c r="AX643" s="20" t="s">
        <v>371</v>
      </c>
      <c r="AY643" s="20" t="s">
        <v>371</v>
      </c>
      <c r="AZ643" s="20" t="s">
        <v>371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>
        <f t="shared" si="99"/>
        <v>28.485714285714288</v>
      </c>
      <c r="CD643" s="38">
        <f t="shared" si="100"/>
        <v>20</v>
      </c>
      <c r="CE643" s="38">
        <f t="shared" si="101"/>
        <v>20</v>
      </c>
      <c r="CF643" s="38">
        <f t="shared" si="102"/>
        <v>20</v>
      </c>
      <c r="CG643" s="38">
        <f t="shared" si="103"/>
        <v>20</v>
      </c>
      <c r="CH643" s="38" t="str">
        <f t="shared" si="104"/>
        <v/>
      </c>
      <c r="CI643" s="38">
        <f t="shared" si="105"/>
        <v>20</v>
      </c>
      <c r="CJ643" s="38" t="str">
        <f t="shared" si="106"/>
        <v/>
      </c>
      <c r="CK643" s="38" t="str">
        <f t="shared" si="107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>موقت - اطلاعات ناقص</v>
      </c>
      <c r="CN643" s="38">
        <v>3</v>
      </c>
      <c r="CO643" s="28">
        <f t="shared" si="109"/>
        <v>0.63043478260869568</v>
      </c>
      <c r="CP643" s="58"/>
    </row>
    <row r="644" spans="1:94" hidden="1">
      <c r="A644" s="33">
        <v>640</v>
      </c>
      <c r="B644" s="55" t="s">
        <v>186</v>
      </c>
      <c r="C644" s="55">
        <f>IF(دانش‌آموزان!E58="","",دانش‌آموزان!B58)</f>
        <v>54</v>
      </c>
      <c r="D644" s="55" t="str">
        <f>IF(دانش‌آموزان!C58="","",دانش‌آموزان!C58)</f>
        <v>0980519268</v>
      </c>
      <c r="E644" s="55" t="str">
        <f>IF(دانش‌آموزان!E58="","",دانش‌آموزان!E58&amp;" "&amp;دانش‌آموزان!F58)</f>
        <v>اميرعلي سخاوتي راد</v>
      </c>
      <c r="F644" s="34">
        <f>IF(دانش‌آموزان!I58="","",دانش‌آموزان!I58)</f>
        <v>802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>
        <f t="shared" si="109"/>
        <v>0</v>
      </c>
      <c r="CP644" s="58"/>
    </row>
    <row r="645" spans="1:94" hidden="1">
      <c r="A645" s="33">
        <v>641</v>
      </c>
      <c r="B645" s="55" t="s">
        <v>187</v>
      </c>
      <c r="C645" s="55">
        <f>IF(دانش‌آموزان!E58="","",دانش‌آموزان!B58)</f>
        <v>54</v>
      </c>
      <c r="D645" s="55" t="str">
        <f>IF(دانش‌آموزان!C58="","",دانش‌آموزان!C58)</f>
        <v>0980519268</v>
      </c>
      <c r="E645" s="55" t="str">
        <f>IF(دانش‌آموزان!E58="","",دانش‌آموزان!E58&amp;" "&amp;دانش‌آموزان!F58)</f>
        <v>اميرعلي سخاوتي راد</v>
      </c>
      <c r="F645" s="34">
        <f>IF(دانش‌آموزان!I58="","",دانش‌آموزان!I58)</f>
        <v>802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>
        <f t="shared" ref="CO645:CO708" si="120">IF(C645="","",COUNT(G645:AZ645)/46)</f>
        <v>0</v>
      </c>
      <c r="CP645" s="58"/>
    </row>
    <row r="646" spans="1:94" hidden="1">
      <c r="A646" s="33">
        <v>642</v>
      </c>
      <c r="B646" s="55" t="s">
        <v>188</v>
      </c>
      <c r="C646" s="55">
        <f>IF(دانش‌آموزان!E58="","",دانش‌آموزان!B58)</f>
        <v>54</v>
      </c>
      <c r="D646" s="55" t="str">
        <f>IF(دانش‌آموزان!C58="","",دانش‌آموزان!C58)</f>
        <v>0980519268</v>
      </c>
      <c r="E646" s="55" t="str">
        <f>IF(دانش‌آموزان!E58="","",دانش‌آموزان!E58&amp;" "&amp;دانش‌آموزان!F58)</f>
        <v>اميرعلي سخاوتي راد</v>
      </c>
      <c r="F646" s="34">
        <f>IF(دانش‌آموزان!I58="","",دانش‌آموزان!I58)</f>
        <v>802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 hidden="1">
      <c r="A647" s="33">
        <v>643</v>
      </c>
      <c r="B647" s="55" t="s">
        <v>189</v>
      </c>
      <c r="C647" s="55">
        <f>IF(دانش‌آموزان!E58="","",دانش‌آموزان!B58)</f>
        <v>54</v>
      </c>
      <c r="D647" s="55" t="str">
        <f>IF(دانش‌آموزان!C58="","",دانش‌آموزان!C58)</f>
        <v>0980519268</v>
      </c>
      <c r="E647" s="55" t="str">
        <f>IF(دانش‌آموزان!E58="","",دانش‌آموزان!E58&amp;" "&amp;دانش‌آموزان!F58)</f>
        <v>اميرعلي سخاوتي راد</v>
      </c>
      <c r="F647" s="34">
        <f>IF(دانش‌آموزان!I58="","",دانش‌آموزان!I58)</f>
        <v>802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 hidden="1">
      <c r="A648" s="33">
        <v>644</v>
      </c>
      <c r="B648" s="55" t="s">
        <v>190</v>
      </c>
      <c r="C648" s="55">
        <f>IF(دانش‌آموزان!E58="","",دانش‌آموزان!B58)</f>
        <v>54</v>
      </c>
      <c r="D648" s="55" t="str">
        <f>IF(دانش‌آموزان!C58="","",دانش‌آموزان!C58)</f>
        <v>0980519268</v>
      </c>
      <c r="E648" s="55" t="str">
        <f>IF(دانش‌آموزان!E58="","",دانش‌آموزان!E58&amp;" "&amp;دانش‌آموزان!F58)</f>
        <v>اميرعلي سخاوتي راد</v>
      </c>
      <c r="F648" s="34">
        <f>IF(دانش‌آموزان!I58="","",دانش‌آموزان!I58)</f>
        <v>802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 hidden="1">
      <c r="A649" s="33">
        <v>645</v>
      </c>
      <c r="B649" s="55" t="s">
        <v>191</v>
      </c>
      <c r="C649" s="55">
        <f>IF(دانش‌آموزان!E58="","",دانش‌آموزان!B58)</f>
        <v>54</v>
      </c>
      <c r="D649" s="55" t="str">
        <f>IF(دانش‌آموزان!C58="","",دانش‌آموزان!C58)</f>
        <v>0980519268</v>
      </c>
      <c r="E649" s="55" t="str">
        <f>IF(دانش‌آموزان!E58="","",دانش‌آموزان!E58&amp;" "&amp;دانش‌آموزان!F58)</f>
        <v>اميرعلي سخاوتي راد</v>
      </c>
      <c r="F649" s="34">
        <f>IF(دانش‌آموزان!I58="","",دانش‌آموزان!I58)</f>
        <v>802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 hidden="1">
      <c r="A650" s="33">
        <v>646</v>
      </c>
      <c r="B650" s="55" t="s">
        <v>192</v>
      </c>
      <c r="C650" s="55">
        <f>IF(دانش‌آموزان!E58="","",دانش‌آموزان!B58)</f>
        <v>54</v>
      </c>
      <c r="D650" s="55" t="str">
        <f>IF(دانش‌آموزان!C58="","",دانش‌آموزان!C58)</f>
        <v>0980519268</v>
      </c>
      <c r="E650" s="55" t="str">
        <f>IF(دانش‌آموزان!E58="","",دانش‌آموزان!E58&amp;" "&amp;دانش‌آموزان!F58)</f>
        <v>اميرعلي سخاوتي راد</v>
      </c>
      <c r="F650" s="34">
        <f>IF(دانش‌آموزان!I58="","",دانش‌آموزان!I58)</f>
        <v>802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 hidden="1">
      <c r="A651" s="33">
        <v>647</v>
      </c>
      <c r="B651" s="55" t="s">
        <v>193</v>
      </c>
      <c r="C651" s="55">
        <f>IF(دانش‌آموزان!E58="","",دانش‌آموزان!B58)</f>
        <v>54</v>
      </c>
      <c r="D651" s="55" t="str">
        <f>IF(دانش‌آموزان!C58="","",دانش‌آموزان!C58)</f>
        <v>0980519268</v>
      </c>
      <c r="E651" s="55" t="str">
        <f>IF(دانش‌آموزان!E58="","",دانش‌آموزان!E58&amp;" "&amp;دانش‌آموزان!F58)</f>
        <v>اميرعلي سخاوتي راد</v>
      </c>
      <c r="F651" s="34">
        <f>IF(دانش‌آموزان!I58="","",دانش‌آموزان!I58)</f>
        <v>802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 hidden="1">
      <c r="A652" s="33">
        <v>648</v>
      </c>
      <c r="B652" s="55" t="s">
        <v>194</v>
      </c>
      <c r="C652" s="55">
        <f>IF(دانش‌آموزان!E58="","",دانش‌آموزان!B58)</f>
        <v>54</v>
      </c>
      <c r="D652" s="55" t="str">
        <f>IF(دانش‌آموزان!C58="","",دانش‌آموزان!C58)</f>
        <v>0980519268</v>
      </c>
      <c r="E652" s="55" t="str">
        <f>IF(دانش‌آموزان!E58="","",دانش‌آموزان!E58&amp;" "&amp;دانش‌آموزان!F58)</f>
        <v>اميرعلي سخاوتي راد</v>
      </c>
      <c r="F652" s="34">
        <f>IF(دانش‌آموزان!I58="","",دانش‌آموزان!I58)</f>
        <v>802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 hidden="1">
      <c r="A653" s="33">
        <v>649</v>
      </c>
      <c r="B653" s="55" t="s">
        <v>183</v>
      </c>
      <c r="C653" s="55">
        <f>IF(دانش‌آموزان!E59="","",دانش‌آموزان!B59)</f>
        <v>55</v>
      </c>
      <c r="D653" s="55" t="str">
        <f>IF(دانش‌آموزان!C59="","",دانش‌آموزان!C59)</f>
        <v>0980654361</v>
      </c>
      <c r="E653" s="55" t="str">
        <f>IF(دانش‌آموزان!E59="","",دانش‌آموزان!E59&amp;" "&amp;دانش‌آموزان!F59)</f>
        <v>برهان سويزي</v>
      </c>
      <c r="F653" s="34">
        <f>IF(دانش‌آموزان!I59="","",دانش‌آموزان!I59)</f>
        <v>802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 hidden="1">
      <c r="A654" s="33">
        <v>650</v>
      </c>
      <c r="B654" s="55" t="s">
        <v>184</v>
      </c>
      <c r="C654" s="55">
        <f>IF(دانش‌آموزان!E59="","",دانش‌آموزان!B59)</f>
        <v>55</v>
      </c>
      <c r="D654" s="55" t="str">
        <f>IF(دانش‌آموزان!C59="","",دانش‌آموزان!C59)</f>
        <v>0980654361</v>
      </c>
      <c r="E654" s="55" t="str">
        <f>IF(دانش‌آموزان!E59="","",دانش‌آموزان!E59&amp;" "&amp;دانش‌آموزان!F59)</f>
        <v>برهان سويزي</v>
      </c>
      <c r="F654" s="34">
        <f>IF(دانش‌آموزان!I59="","",دانش‌آموزان!I59)</f>
        <v>802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>
      <c r="A655" s="33">
        <v>651</v>
      </c>
      <c r="B655" s="55" t="s">
        <v>185</v>
      </c>
      <c r="C655" s="55">
        <f>IF(دانش‌آموزان!E59="","",دانش‌آموزان!B59)</f>
        <v>55</v>
      </c>
      <c r="D655" s="55" t="str">
        <f>IF(دانش‌آموزان!C59="","",دانش‌آموزان!C59)</f>
        <v>0980654361</v>
      </c>
      <c r="E655" s="55" t="str">
        <f>IF(دانش‌آموزان!E59="","",دانش‌آموزان!E59&amp;" "&amp;دانش‌آموزان!F59)</f>
        <v>برهان سويزي</v>
      </c>
      <c r="F655" s="34">
        <f>IF(دانش‌آموزان!I59="","",دانش‌آموزان!I59)</f>
        <v>802</v>
      </c>
      <c r="G655" s="19">
        <v>19.190000000000001</v>
      </c>
      <c r="H655" s="20">
        <v>-12.190000000000001</v>
      </c>
      <c r="I655" s="20">
        <v>5</v>
      </c>
      <c r="J655" s="20">
        <v>5</v>
      </c>
      <c r="K655" s="20">
        <v>5</v>
      </c>
      <c r="L655" s="20">
        <v>5</v>
      </c>
      <c r="M655" s="20">
        <v>5</v>
      </c>
      <c r="N655" s="20">
        <v>5</v>
      </c>
      <c r="O655" s="20">
        <v>5</v>
      </c>
      <c r="P655" s="20">
        <v>5</v>
      </c>
      <c r="Q655" s="20">
        <v>5</v>
      </c>
      <c r="R655" s="20">
        <v>5</v>
      </c>
      <c r="S655" s="20">
        <v>5</v>
      </c>
      <c r="T655" s="20">
        <v>5</v>
      </c>
      <c r="U655" s="20">
        <v>5</v>
      </c>
      <c r="V655" s="20">
        <v>5</v>
      </c>
      <c r="W655" s="20">
        <v>5</v>
      </c>
      <c r="X655" s="20">
        <v>5</v>
      </c>
      <c r="Y655" s="20">
        <v>5</v>
      </c>
      <c r="Z655" s="20">
        <v>5</v>
      </c>
      <c r="AA655" s="20">
        <v>5</v>
      </c>
      <c r="AB655" s="20">
        <v>5</v>
      </c>
      <c r="AC655" s="20">
        <v>5</v>
      </c>
      <c r="AD655" s="20" t="s">
        <v>371</v>
      </c>
      <c r="AE655" s="20" t="s">
        <v>371</v>
      </c>
      <c r="AF655" s="20" t="s">
        <v>371</v>
      </c>
      <c r="AG655" s="20" t="s">
        <v>371</v>
      </c>
      <c r="AH655" s="20" t="s">
        <v>371</v>
      </c>
      <c r="AI655" s="20" t="s">
        <v>371</v>
      </c>
      <c r="AJ655" s="20">
        <v>5</v>
      </c>
      <c r="AK655" s="20">
        <v>5</v>
      </c>
      <c r="AL655" s="20">
        <v>5</v>
      </c>
      <c r="AM655" s="20">
        <v>5</v>
      </c>
      <c r="AN655" s="20">
        <v>5</v>
      </c>
      <c r="AO655" s="20">
        <v>5</v>
      </c>
      <c r="AP655" s="20">
        <v>5</v>
      </c>
      <c r="AQ655" s="20" t="s">
        <v>371</v>
      </c>
      <c r="AR655" s="20" t="s">
        <v>371</v>
      </c>
      <c r="AS655" s="20" t="s">
        <v>371</v>
      </c>
      <c r="AT655" s="20" t="s">
        <v>371</v>
      </c>
      <c r="AU655" s="20" t="s">
        <v>371</v>
      </c>
      <c r="AV655" s="20" t="s">
        <v>371</v>
      </c>
      <c r="AW655" s="20" t="s">
        <v>371</v>
      </c>
      <c r="AX655" s="20" t="s">
        <v>371</v>
      </c>
      <c r="AY655" s="20" t="s">
        <v>371</v>
      </c>
      <c r="AZ655" s="20" t="s">
        <v>371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>
        <f t="shared" si="110"/>
        <v>18.5</v>
      </c>
      <c r="CD655" s="38">
        <f t="shared" si="111"/>
        <v>20</v>
      </c>
      <c r="CE655" s="38">
        <f t="shared" si="112"/>
        <v>20</v>
      </c>
      <c r="CF655" s="38">
        <f t="shared" si="113"/>
        <v>20</v>
      </c>
      <c r="CG655" s="38">
        <f t="shared" si="114"/>
        <v>20</v>
      </c>
      <c r="CH655" s="38" t="str">
        <f t="shared" si="115"/>
        <v/>
      </c>
      <c r="CI655" s="38">
        <f t="shared" si="116"/>
        <v>20</v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>موقت - اطلاعات ناقص</v>
      </c>
      <c r="CN655" s="38">
        <v>3</v>
      </c>
      <c r="CO655" s="28">
        <f t="shared" si="120"/>
        <v>0.65217391304347827</v>
      </c>
      <c r="CP655" s="58"/>
    </row>
    <row r="656" spans="1:94" hidden="1">
      <c r="A656" s="33">
        <v>652</v>
      </c>
      <c r="B656" s="55" t="s">
        <v>186</v>
      </c>
      <c r="C656" s="55">
        <f>IF(دانش‌آموزان!E59="","",دانش‌آموزان!B59)</f>
        <v>55</v>
      </c>
      <c r="D656" s="55" t="str">
        <f>IF(دانش‌آموزان!C59="","",دانش‌آموزان!C59)</f>
        <v>0980654361</v>
      </c>
      <c r="E656" s="55" t="str">
        <f>IF(دانش‌آموزان!E59="","",دانش‌آموزان!E59&amp;" "&amp;دانش‌آموزان!F59)</f>
        <v>برهان سويزي</v>
      </c>
      <c r="F656" s="34">
        <f>IF(دانش‌آموزان!I59="","",دانش‌آموزان!I59)</f>
        <v>802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 hidden="1">
      <c r="A657" s="33">
        <v>653</v>
      </c>
      <c r="B657" s="55" t="s">
        <v>187</v>
      </c>
      <c r="C657" s="55">
        <f>IF(دانش‌آموزان!E59="","",دانش‌آموزان!B59)</f>
        <v>55</v>
      </c>
      <c r="D657" s="55" t="str">
        <f>IF(دانش‌آموزان!C59="","",دانش‌آموزان!C59)</f>
        <v>0980654361</v>
      </c>
      <c r="E657" s="55" t="str">
        <f>IF(دانش‌آموزان!E59="","",دانش‌آموزان!E59&amp;" "&amp;دانش‌آموزان!F59)</f>
        <v>برهان سويزي</v>
      </c>
      <c r="F657" s="34">
        <f>IF(دانش‌آموزان!I59="","",دانش‌آموزان!I59)</f>
        <v>802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 hidden="1">
      <c r="A658" s="33">
        <v>654</v>
      </c>
      <c r="B658" s="55" t="s">
        <v>188</v>
      </c>
      <c r="C658" s="55">
        <f>IF(دانش‌آموزان!E59="","",دانش‌آموزان!B59)</f>
        <v>55</v>
      </c>
      <c r="D658" s="55" t="str">
        <f>IF(دانش‌آموزان!C59="","",دانش‌آموزان!C59)</f>
        <v>0980654361</v>
      </c>
      <c r="E658" s="55" t="str">
        <f>IF(دانش‌آموزان!E59="","",دانش‌آموزان!E59&amp;" "&amp;دانش‌آموزان!F59)</f>
        <v>برهان سويزي</v>
      </c>
      <c r="F658" s="34">
        <f>IF(دانش‌آموزان!I59="","",دانش‌آموزان!I59)</f>
        <v>802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 hidden="1">
      <c r="A659" s="33">
        <v>655</v>
      </c>
      <c r="B659" s="55" t="s">
        <v>189</v>
      </c>
      <c r="C659" s="55">
        <f>IF(دانش‌آموزان!E59="","",دانش‌آموزان!B59)</f>
        <v>55</v>
      </c>
      <c r="D659" s="55" t="str">
        <f>IF(دانش‌آموزان!C59="","",دانش‌آموزان!C59)</f>
        <v>0980654361</v>
      </c>
      <c r="E659" s="55" t="str">
        <f>IF(دانش‌آموزان!E59="","",دانش‌آموزان!E59&amp;" "&amp;دانش‌آموزان!F59)</f>
        <v>برهان سويزي</v>
      </c>
      <c r="F659" s="34">
        <f>IF(دانش‌آموزان!I59="","",دانش‌آموزان!I59)</f>
        <v>802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 hidden="1">
      <c r="A660" s="33">
        <v>656</v>
      </c>
      <c r="B660" s="55" t="s">
        <v>190</v>
      </c>
      <c r="C660" s="55">
        <f>IF(دانش‌آموزان!E59="","",دانش‌آموزان!B59)</f>
        <v>55</v>
      </c>
      <c r="D660" s="55" t="str">
        <f>IF(دانش‌آموزان!C59="","",دانش‌آموزان!C59)</f>
        <v>0980654361</v>
      </c>
      <c r="E660" s="55" t="str">
        <f>IF(دانش‌آموزان!E59="","",دانش‌آموزان!E59&amp;" "&amp;دانش‌آموزان!F59)</f>
        <v>برهان سويزي</v>
      </c>
      <c r="F660" s="34">
        <f>IF(دانش‌آموزان!I59="","",دانش‌آموزان!I59)</f>
        <v>802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 hidden="1">
      <c r="A661" s="33">
        <v>657</v>
      </c>
      <c r="B661" s="55" t="s">
        <v>191</v>
      </c>
      <c r="C661" s="55">
        <f>IF(دانش‌آموزان!E59="","",دانش‌آموزان!B59)</f>
        <v>55</v>
      </c>
      <c r="D661" s="55" t="str">
        <f>IF(دانش‌آموزان!C59="","",دانش‌آموزان!C59)</f>
        <v>0980654361</v>
      </c>
      <c r="E661" s="55" t="str">
        <f>IF(دانش‌آموزان!E59="","",دانش‌آموزان!E59&amp;" "&amp;دانش‌آموزان!F59)</f>
        <v>برهان سويزي</v>
      </c>
      <c r="F661" s="34">
        <f>IF(دانش‌آموزان!I59="","",دانش‌آموزان!I59)</f>
        <v>802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 hidden="1">
      <c r="A662" s="33">
        <v>658</v>
      </c>
      <c r="B662" s="55" t="s">
        <v>192</v>
      </c>
      <c r="C662" s="55">
        <f>IF(دانش‌آموزان!E59="","",دانش‌آموزان!B59)</f>
        <v>55</v>
      </c>
      <c r="D662" s="55" t="str">
        <f>IF(دانش‌آموزان!C59="","",دانش‌آموزان!C59)</f>
        <v>0980654361</v>
      </c>
      <c r="E662" s="55" t="str">
        <f>IF(دانش‌آموزان!E59="","",دانش‌آموزان!E59&amp;" "&amp;دانش‌آموزان!F59)</f>
        <v>برهان سويزي</v>
      </c>
      <c r="F662" s="34">
        <f>IF(دانش‌آموزان!I59="","",دانش‌آموزان!I59)</f>
        <v>802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 hidden="1">
      <c r="A663" s="33">
        <v>659</v>
      </c>
      <c r="B663" s="55" t="s">
        <v>193</v>
      </c>
      <c r="C663" s="55">
        <f>IF(دانش‌آموزان!E59="","",دانش‌آموزان!B59)</f>
        <v>55</v>
      </c>
      <c r="D663" s="55" t="str">
        <f>IF(دانش‌آموزان!C59="","",دانش‌آموزان!C59)</f>
        <v>0980654361</v>
      </c>
      <c r="E663" s="55" t="str">
        <f>IF(دانش‌آموزان!E59="","",دانش‌آموزان!E59&amp;" "&amp;دانش‌آموزان!F59)</f>
        <v>برهان سويزي</v>
      </c>
      <c r="F663" s="34">
        <f>IF(دانش‌آموزان!I59="","",دانش‌آموزان!I59)</f>
        <v>802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 hidden="1">
      <c r="A664" s="33">
        <v>660</v>
      </c>
      <c r="B664" s="55" t="s">
        <v>194</v>
      </c>
      <c r="C664" s="55">
        <f>IF(دانش‌آموزان!E59="","",دانش‌آموزان!B59)</f>
        <v>55</v>
      </c>
      <c r="D664" s="55" t="str">
        <f>IF(دانش‌آموزان!C59="","",دانش‌آموزان!C59)</f>
        <v>0980654361</v>
      </c>
      <c r="E664" s="55" t="str">
        <f>IF(دانش‌آموزان!E59="","",دانش‌آموزان!E59&amp;" "&amp;دانش‌آموزان!F59)</f>
        <v>برهان سويزي</v>
      </c>
      <c r="F664" s="34">
        <f>IF(دانش‌آموزان!I59="","",دانش‌آموزان!I59)</f>
        <v>802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 hidden="1">
      <c r="A665" s="33">
        <v>661</v>
      </c>
      <c r="B665" s="55" t="s">
        <v>183</v>
      </c>
      <c r="C665" s="55">
        <f>IF(دانش‌آموزان!E60="","",دانش‌آموزان!B60)</f>
        <v>56</v>
      </c>
      <c r="D665" s="55" t="str">
        <f>IF(دانش‌آموزان!C60="","",دانش‌آموزان!C60)</f>
        <v>0970771010</v>
      </c>
      <c r="E665" s="55" t="str">
        <f>IF(دانش‌آموزان!E60="","",دانش‌آموزان!E60&amp;" "&amp;دانش‌آموزان!F60)</f>
        <v>محمدمتين شاه زاده</v>
      </c>
      <c r="F665" s="34">
        <f>IF(دانش‌آموزان!I60="","",دانش‌آموزان!I60)</f>
        <v>802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 hidden="1">
      <c r="A666" s="33">
        <v>662</v>
      </c>
      <c r="B666" s="55" t="s">
        <v>184</v>
      </c>
      <c r="C666" s="55">
        <f>IF(دانش‌آموزان!E60="","",دانش‌آموزان!B60)</f>
        <v>56</v>
      </c>
      <c r="D666" s="55" t="str">
        <f>IF(دانش‌آموزان!C60="","",دانش‌آموزان!C60)</f>
        <v>0970771010</v>
      </c>
      <c r="E666" s="55" t="str">
        <f>IF(دانش‌آموزان!E60="","",دانش‌آموزان!E60&amp;" "&amp;دانش‌آموزان!F60)</f>
        <v>محمدمتين شاه زاده</v>
      </c>
      <c r="F666" s="34">
        <f>IF(دانش‌آموزان!I60="","",دانش‌آموزان!I60)</f>
        <v>802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>
      <c r="A667" s="33">
        <v>663</v>
      </c>
      <c r="B667" s="55" t="s">
        <v>185</v>
      </c>
      <c r="C667" s="55">
        <f>IF(دانش‌آموزان!E60="","",دانش‌آموزان!B60)</f>
        <v>56</v>
      </c>
      <c r="D667" s="55" t="str">
        <f>IF(دانش‌آموزان!C60="","",دانش‌آموزان!C60)</f>
        <v>0970771010</v>
      </c>
      <c r="E667" s="55" t="str">
        <f>IF(دانش‌آموزان!E60="","",دانش‌آموزان!E60&amp;" "&amp;دانش‌آموزان!F60)</f>
        <v>محمدمتين شاه زاده</v>
      </c>
      <c r="F667" s="34">
        <f>IF(دانش‌آموزان!I60="","",دانش‌آموزان!I60)</f>
        <v>802</v>
      </c>
      <c r="G667" s="19">
        <v>19.93</v>
      </c>
      <c r="H667" s="20">
        <v>-10.93</v>
      </c>
      <c r="I667" s="20">
        <v>5</v>
      </c>
      <c r="J667" s="20">
        <v>5</v>
      </c>
      <c r="K667" s="20">
        <v>5</v>
      </c>
      <c r="L667" s="20">
        <v>5</v>
      </c>
      <c r="M667" s="20">
        <v>5</v>
      </c>
      <c r="N667" s="20">
        <v>5</v>
      </c>
      <c r="O667" s="20">
        <v>5</v>
      </c>
      <c r="P667" s="20">
        <v>5</v>
      </c>
      <c r="Q667" s="20">
        <v>5</v>
      </c>
      <c r="R667" s="20">
        <v>5</v>
      </c>
      <c r="S667" s="20">
        <v>5</v>
      </c>
      <c r="T667" s="20">
        <v>5</v>
      </c>
      <c r="U667" s="20">
        <v>5</v>
      </c>
      <c r="V667" s="20">
        <v>5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 t="s">
        <v>371</v>
      </c>
      <c r="AE667" s="20" t="s">
        <v>371</v>
      </c>
      <c r="AF667" s="20" t="s">
        <v>371</v>
      </c>
      <c r="AG667" s="20" t="s">
        <v>371</v>
      </c>
      <c r="AH667" s="20" t="s">
        <v>371</v>
      </c>
      <c r="AI667" s="20" t="s">
        <v>371</v>
      </c>
      <c r="AJ667" s="20">
        <v>5</v>
      </c>
      <c r="AK667" s="20">
        <v>5</v>
      </c>
      <c r="AL667" s="20">
        <v>5</v>
      </c>
      <c r="AM667" s="20">
        <v>5</v>
      </c>
      <c r="AN667" s="20">
        <v>5</v>
      </c>
      <c r="AO667" s="20">
        <v>5</v>
      </c>
      <c r="AP667" s="20">
        <v>5</v>
      </c>
      <c r="AQ667" s="20" t="s">
        <v>371</v>
      </c>
      <c r="AR667" s="20" t="s">
        <v>371</v>
      </c>
      <c r="AS667" s="20" t="s">
        <v>371</v>
      </c>
      <c r="AT667" s="20" t="s">
        <v>371</v>
      </c>
      <c r="AU667" s="20" t="s">
        <v>371</v>
      </c>
      <c r="AV667" s="20" t="s">
        <v>371</v>
      </c>
      <c r="AW667" s="20" t="s">
        <v>371</v>
      </c>
      <c r="AX667" s="20" t="s">
        <v>371</v>
      </c>
      <c r="AY667" s="20" t="s">
        <v>371</v>
      </c>
      <c r="AZ667" s="20" t="s">
        <v>371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>
        <f t="shared" si="110"/>
        <v>19.5</v>
      </c>
      <c r="CD667" s="38">
        <f t="shared" si="111"/>
        <v>20</v>
      </c>
      <c r="CE667" s="38">
        <f t="shared" si="112"/>
        <v>20</v>
      </c>
      <c r="CF667" s="38">
        <f t="shared" si="113"/>
        <v>20</v>
      </c>
      <c r="CG667" s="38">
        <f t="shared" si="114"/>
        <v>20</v>
      </c>
      <c r="CH667" s="38" t="str">
        <f t="shared" si="115"/>
        <v/>
      </c>
      <c r="CI667" s="38">
        <f t="shared" si="116"/>
        <v>20</v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>موقت - اطلاعات ناقص</v>
      </c>
      <c r="CN667" s="38">
        <v>3</v>
      </c>
      <c r="CO667" s="28">
        <f t="shared" si="120"/>
        <v>0.65217391304347827</v>
      </c>
      <c r="CP667" s="58"/>
    </row>
    <row r="668" spans="1:94" hidden="1">
      <c r="A668" s="33">
        <v>664</v>
      </c>
      <c r="B668" s="55" t="s">
        <v>186</v>
      </c>
      <c r="C668" s="55">
        <f>IF(دانش‌آموزان!E60="","",دانش‌آموزان!B60)</f>
        <v>56</v>
      </c>
      <c r="D668" s="55" t="str">
        <f>IF(دانش‌آموزان!C60="","",دانش‌آموزان!C60)</f>
        <v>0970771010</v>
      </c>
      <c r="E668" s="55" t="str">
        <f>IF(دانش‌آموزان!E60="","",دانش‌آموزان!E60&amp;" "&amp;دانش‌آموزان!F60)</f>
        <v>محمدمتين شاه زاده</v>
      </c>
      <c r="F668" s="34">
        <f>IF(دانش‌آموزان!I60="","",دانش‌آموزان!I60)</f>
        <v>802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 hidden="1">
      <c r="A669" s="33">
        <v>665</v>
      </c>
      <c r="B669" s="55" t="s">
        <v>187</v>
      </c>
      <c r="C669" s="55">
        <f>IF(دانش‌آموزان!E60="","",دانش‌آموزان!B60)</f>
        <v>56</v>
      </c>
      <c r="D669" s="55" t="str">
        <f>IF(دانش‌آموزان!C60="","",دانش‌آموزان!C60)</f>
        <v>0970771010</v>
      </c>
      <c r="E669" s="55" t="str">
        <f>IF(دانش‌آموزان!E60="","",دانش‌آموزان!E60&amp;" "&amp;دانش‌آموزان!F60)</f>
        <v>محمدمتين شاه زاده</v>
      </c>
      <c r="F669" s="34">
        <f>IF(دانش‌آموزان!I60="","",دانش‌آموزان!I60)</f>
        <v>802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 hidden="1">
      <c r="A670" s="33">
        <v>666</v>
      </c>
      <c r="B670" s="55" t="s">
        <v>188</v>
      </c>
      <c r="C670" s="55">
        <f>IF(دانش‌آموزان!E60="","",دانش‌آموزان!B60)</f>
        <v>56</v>
      </c>
      <c r="D670" s="55" t="str">
        <f>IF(دانش‌آموزان!C60="","",دانش‌آموزان!C60)</f>
        <v>0970771010</v>
      </c>
      <c r="E670" s="55" t="str">
        <f>IF(دانش‌آموزان!E60="","",دانش‌آموزان!E60&amp;" "&amp;دانش‌آموزان!F60)</f>
        <v>محمدمتين شاه زاده</v>
      </c>
      <c r="F670" s="34">
        <f>IF(دانش‌آموزان!I60="","",دانش‌آموزان!I60)</f>
        <v>802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 hidden="1">
      <c r="A671" s="33">
        <v>667</v>
      </c>
      <c r="B671" s="55" t="s">
        <v>189</v>
      </c>
      <c r="C671" s="55">
        <f>IF(دانش‌آموزان!E60="","",دانش‌آموزان!B60)</f>
        <v>56</v>
      </c>
      <c r="D671" s="55" t="str">
        <f>IF(دانش‌آموزان!C60="","",دانش‌آموزان!C60)</f>
        <v>0970771010</v>
      </c>
      <c r="E671" s="55" t="str">
        <f>IF(دانش‌آموزان!E60="","",دانش‌آموزان!E60&amp;" "&amp;دانش‌آموزان!F60)</f>
        <v>محمدمتين شاه زاده</v>
      </c>
      <c r="F671" s="34">
        <f>IF(دانش‌آموزان!I60="","",دانش‌آموزان!I60)</f>
        <v>802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 hidden="1">
      <c r="A672" s="33">
        <v>668</v>
      </c>
      <c r="B672" s="55" t="s">
        <v>190</v>
      </c>
      <c r="C672" s="55">
        <f>IF(دانش‌آموزان!E60="","",دانش‌آموزان!B60)</f>
        <v>56</v>
      </c>
      <c r="D672" s="55" t="str">
        <f>IF(دانش‌آموزان!C60="","",دانش‌آموزان!C60)</f>
        <v>0970771010</v>
      </c>
      <c r="E672" s="55" t="str">
        <f>IF(دانش‌آموزان!E60="","",دانش‌آموزان!E60&amp;" "&amp;دانش‌آموزان!F60)</f>
        <v>محمدمتين شاه زاده</v>
      </c>
      <c r="F672" s="34">
        <f>IF(دانش‌آموزان!I60="","",دانش‌آموزان!I60)</f>
        <v>802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 hidden="1">
      <c r="A673" s="33">
        <v>669</v>
      </c>
      <c r="B673" s="55" t="s">
        <v>191</v>
      </c>
      <c r="C673" s="55">
        <f>IF(دانش‌آموزان!E60="","",دانش‌آموزان!B60)</f>
        <v>56</v>
      </c>
      <c r="D673" s="55" t="str">
        <f>IF(دانش‌آموزان!C60="","",دانش‌آموزان!C60)</f>
        <v>0970771010</v>
      </c>
      <c r="E673" s="55" t="str">
        <f>IF(دانش‌آموزان!E60="","",دانش‌آموزان!E60&amp;" "&amp;دانش‌آموزان!F60)</f>
        <v>محمدمتين شاه زاده</v>
      </c>
      <c r="F673" s="34">
        <f>IF(دانش‌آموزان!I60="","",دانش‌آموزان!I60)</f>
        <v>802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>
        <f t="shared" si="120"/>
        <v>0</v>
      </c>
      <c r="CP673" s="58"/>
    </row>
    <row r="674" spans="1:94" hidden="1">
      <c r="A674" s="33">
        <v>670</v>
      </c>
      <c r="B674" s="55" t="s">
        <v>192</v>
      </c>
      <c r="C674" s="55">
        <f>IF(دانش‌آموزان!E60="","",دانش‌آموزان!B60)</f>
        <v>56</v>
      </c>
      <c r="D674" s="55" t="str">
        <f>IF(دانش‌آموزان!C60="","",دانش‌آموزان!C60)</f>
        <v>0970771010</v>
      </c>
      <c r="E674" s="55" t="str">
        <f>IF(دانش‌آموزان!E60="","",دانش‌آموزان!E60&amp;" "&amp;دانش‌آموزان!F60)</f>
        <v>محمدمتين شاه زاده</v>
      </c>
      <c r="F674" s="34">
        <f>IF(دانش‌آموزان!I60="","",دانش‌آموزان!I60)</f>
        <v>802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>
        <f t="shared" si="120"/>
        <v>0</v>
      </c>
      <c r="CP674" s="58"/>
    </row>
    <row r="675" spans="1:94" hidden="1">
      <c r="A675" s="33">
        <v>671</v>
      </c>
      <c r="B675" s="55" t="s">
        <v>193</v>
      </c>
      <c r="C675" s="55">
        <f>IF(دانش‌آموزان!E60="","",دانش‌آموزان!B60)</f>
        <v>56</v>
      </c>
      <c r="D675" s="55" t="str">
        <f>IF(دانش‌آموزان!C60="","",دانش‌آموزان!C60)</f>
        <v>0970771010</v>
      </c>
      <c r="E675" s="55" t="str">
        <f>IF(دانش‌آموزان!E60="","",دانش‌آموزان!E60&amp;" "&amp;دانش‌آموزان!F60)</f>
        <v>محمدمتين شاه زاده</v>
      </c>
      <c r="F675" s="34">
        <f>IF(دانش‌آموزان!I60="","",دانش‌آموزان!I60)</f>
        <v>802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>
        <f t="shared" si="120"/>
        <v>0</v>
      </c>
      <c r="CP675" s="58"/>
    </row>
    <row r="676" spans="1:94" hidden="1">
      <c r="A676" s="33">
        <v>672</v>
      </c>
      <c r="B676" s="55" t="s">
        <v>194</v>
      </c>
      <c r="C676" s="55">
        <f>IF(دانش‌آموزان!E60="","",دانش‌آموزان!B60)</f>
        <v>56</v>
      </c>
      <c r="D676" s="55" t="str">
        <f>IF(دانش‌آموزان!C60="","",دانش‌آموزان!C60)</f>
        <v>0970771010</v>
      </c>
      <c r="E676" s="55" t="str">
        <f>IF(دانش‌آموزان!E60="","",دانش‌آموزان!E60&amp;" "&amp;دانش‌آموزان!F60)</f>
        <v>محمدمتين شاه زاده</v>
      </c>
      <c r="F676" s="34">
        <f>IF(دانش‌آموزان!I60="","",دانش‌آموزان!I60)</f>
        <v>802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>
        <f t="shared" si="120"/>
        <v>0</v>
      </c>
      <c r="CP676" s="58"/>
    </row>
    <row r="677" spans="1:94" hidden="1">
      <c r="A677" s="33">
        <v>673</v>
      </c>
      <c r="B677" s="55" t="s">
        <v>183</v>
      </c>
      <c r="C677" s="55">
        <f>IF(دانش‌آموزان!E61="","",دانش‌آموزان!B61)</f>
        <v>57</v>
      </c>
      <c r="D677" s="55" t="str">
        <f>IF(دانش‌آموزان!C61="","",دانش‌آموزان!C61)</f>
        <v>0960469672</v>
      </c>
      <c r="E677" s="55" t="str">
        <f>IF(دانش‌آموزان!E61="","",دانش‌آموزان!E61&amp;" "&amp;دانش‌آموزان!F61)</f>
        <v>محمدياسين صفاري بيدهندي</v>
      </c>
      <c r="F677" s="34">
        <f>IF(دانش‌آموزان!I61="","",دانش‌آموزان!I61)</f>
        <v>802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>
        <f t="shared" si="120"/>
        <v>0</v>
      </c>
      <c r="CP677" s="58"/>
    </row>
    <row r="678" spans="1:94" hidden="1">
      <c r="A678" s="33">
        <v>674</v>
      </c>
      <c r="B678" s="55" t="s">
        <v>184</v>
      </c>
      <c r="C678" s="55">
        <f>IF(دانش‌آموزان!E61="","",دانش‌آموزان!B61)</f>
        <v>57</v>
      </c>
      <c r="D678" s="55" t="str">
        <f>IF(دانش‌آموزان!C61="","",دانش‌آموزان!C61)</f>
        <v>0960469672</v>
      </c>
      <c r="E678" s="55" t="str">
        <f>IF(دانش‌آموزان!E61="","",دانش‌آموزان!E61&amp;" "&amp;دانش‌آموزان!F61)</f>
        <v>محمدياسين صفاري بيدهندي</v>
      </c>
      <c r="F678" s="34">
        <f>IF(دانش‌آموزان!I61="","",دانش‌آموزان!I61)</f>
        <v>802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>
        <f t="shared" si="120"/>
        <v>0</v>
      </c>
      <c r="CP678" s="58"/>
    </row>
    <row r="679" spans="1:94">
      <c r="A679" s="33">
        <v>675</v>
      </c>
      <c r="B679" s="55" t="s">
        <v>185</v>
      </c>
      <c r="C679" s="55">
        <f>IF(دانش‌آموزان!E61="","",دانش‌آموزان!B61)</f>
        <v>57</v>
      </c>
      <c r="D679" s="55" t="str">
        <f>IF(دانش‌آموزان!C61="","",دانش‌آموزان!C61)</f>
        <v>0960469672</v>
      </c>
      <c r="E679" s="55" t="str">
        <f>IF(دانش‌آموزان!E61="","",دانش‌آموزان!E61&amp;" "&amp;دانش‌آموزان!F61)</f>
        <v>محمدياسين صفاري بيدهندي</v>
      </c>
      <c r="F679" s="34">
        <f>IF(دانش‌آموزان!I61="","",دانش‌آموزان!I61)</f>
        <v>802</v>
      </c>
      <c r="G679" s="19">
        <v>18.5</v>
      </c>
      <c r="H679" s="20" t="s">
        <v>371</v>
      </c>
      <c r="I679" s="20">
        <v>5</v>
      </c>
      <c r="J679" s="20">
        <v>5</v>
      </c>
      <c r="K679" s="20">
        <v>5</v>
      </c>
      <c r="L679" s="20">
        <v>5</v>
      </c>
      <c r="M679" s="20">
        <v>5</v>
      </c>
      <c r="N679" s="20">
        <v>5</v>
      </c>
      <c r="O679" s="20">
        <v>5</v>
      </c>
      <c r="P679" s="20">
        <v>5</v>
      </c>
      <c r="Q679" s="20">
        <v>5</v>
      </c>
      <c r="R679" s="20">
        <v>5</v>
      </c>
      <c r="S679" s="20">
        <v>5</v>
      </c>
      <c r="T679" s="20">
        <v>5</v>
      </c>
      <c r="U679" s="20">
        <v>5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 t="s">
        <v>371</v>
      </c>
      <c r="AE679" s="20" t="s">
        <v>371</v>
      </c>
      <c r="AF679" s="20" t="s">
        <v>371</v>
      </c>
      <c r="AG679" s="20" t="s">
        <v>371</v>
      </c>
      <c r="AH679" s="20" t="s">
        <v>371</v>
      </c>
      <c r="AI679" s="20" t="s">
        <v>371</v>
      </c>
      <c r="AJ679" s="20">
        <v>5</v>
      </c>
      <c r="AK679" s="20">
        <v>5</v>
      </c>
      <c r="AL679" s="20">
        <v>5</v>
      </c>
      <c r="AM679" s="20">
        <v>5</v>
      </c>
      <c r="AN679" s="20">
        <v>5</v>
      </c>
      <c r="AO679" s="20">
        <v>5</v>
      </c>
      <c r="AP679" s="20">
        <v>5</v>
      </c>
      <c r="AQ679" s="20" t="s">
        <v>371</v>
      </c>
      <c r="AR679" s="20" t="s">
        <v>371</v>
      </c>
      <c r="AS679" s="20" t="s">
        <v>371</v>
      </c>
      <c r="AT679" s="20" t="s">
        <v>371</v>
      </c>
      <c r="AU679" s="20" t="s">
        <v>371</v>
      </c>
      <c r="AV679" s="20" t="s">
        <v>371</v>
      </c>
      <c r="AW679" s="20" t="s">
        <v>371</v>
      </c>
      <c r="AX679" s="20" t="s">
        <v>371</v>
      </c>
      <c r="AY679" s="20" t="s">
        <v>371</v>
      </c>
      <c r="AZ679" s="20" t="s">
        <v>371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>
        <f t="shared" si="110"/>
        <v>27.714285714285715</v>
      </c>
      <c r="CD679" s="38">
        <f t="shared" si="111"/>
        <v>20</v>
      </c>
      <c r="CE679" s="38">
        <f t="shared" si="112"/>
        <v>20</v>
      </c>
      <c r="CF679" s="38">
        <f t="shared" si="113"/>
        <v>20</v>
      </c>
      <c r="CG679" s="38">
        <f t="shared" si="114"/>
        <v>20</v>
      </c>
      <c r="CH679" s="38" t="str">
        <f t="shared" si="115"/>
        <v/>
      </c>
      <c r="CI679" s="38">
        <f t="shared" si="116"/>
        <v>20</v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>موقت - اطلاعات ناقص</v>
      </c>
      <c r="CN679" s="38">
        <v>3</v>
      </c>
      <c r="CO679" s="28">
        <f t="shared" si="120"/>
        <v>0.63043478260869568</v>
      </c>
      <c r="CP679" s="58"/>
    </row>
    <row r="680" spans="1:94" hidden="1">
      <c r="A680" s="33">
        <v>676</v>
      </c>
      <c r="B680" s="55" t="s">
        <v>186</v>
      </c>
      <c r="C680" s="55">
        <f>IF(دانش‌آموزان!E61="","",دانش‌آموزان!B61)</f>
        <v>57</v>
      </c>
      <c r="D680" s="55" t="str">
        <f>IF(دانش‌آموزان!C61="","",دانش‌آموزان!C61)</f>
        <v>0960469672</v>
      </c>
      <c r="E680" s="55" t="str">
        <f>IF(دانش‌آموزان!E61="","",دانش‌آموزان!E61&amp;" "&amp;دانش‌آموزان!F61)</f>
        <v>محمدياسين صفاري بيدهندي</v>
      </c>
      <c r="F680" s="34">
        <f>IF(دانش‌آموزان!I61="","",دانش‌آموزان!I61)</f>
        <v>802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>
        <f t="shared" si="120"/>
        <v>0</v>
      </c>
      <c r="CP680" s="58"/>
    </row>
    <row r="681" spans="1:94" hidden="1">
      <c r="A681" s="33">
        <v>677</v>
      </c>
      <c r="B681" s="55" t="s">
        <v>187</v>
      </c>
      <c r="C681" s="55">
        <f>IF(دانش‌آموزان!E61="","",دانش‌آموزان!B61)</f>
        <v>57</v>
      </c>
      <c r="D681" s="55" t="str">
        <f>IF(دانش‌آموزان!C61="","",دانش‌آموزان!C61)</f>
        <v>0960469672</v>
      </c>
      <c r="E681" s="55" t="str">
        <f>IF(دانش‌آموزان!E61="","",دانش‌آموزان!E61&amp;" "&amp;دانش‌آموزان!F61)</f>
        <v>محمدياسين صفاري بيدهندي</v>
      </c>
      <c r="F681" s="34">
        <f>IF(دانش‌آموزان!I61="","",دانش‌آموزان!I61)</f>
        <v>802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>
        <f t="shared" si="120"/>
        <v>0</v>
      </c>
      <c r="CP681" s="58"/>
    </row>
    <row r="682" spans="1:94" hidden="1">
      <c r="A682" s="33">
        <v>678</v>
      </c>
      <c r="B682" s="55" t="s">
        <v>188</v>
      </c>
      <c r="C682" s="55">
        <f>IF(دانش‌آموزان!E61="","",دانش‌آموزان!B61)</f>
        <v>57</v>
      </c>
      <c r="D682" s="55" t="str">
        <f>IF(دانش‌آموزان!C61="","",دانش‌آموزان!C61)</f>
        <v>0960469672</v>
      </c>
      <c r="E682" s="55" t="str">
        <f>IF(دانش‌آموزان!E61="","",دانش‌آموزان!E61&amp;" "&amp;دانش‌آموزان!F61)</f>
        <v>محمدياسين صفاري بيدهندي</v>
      </c>
      <c r="F682" s="34">
        <f>IF(دانش‌آموزان!I61="","",دانش‌آموزان!I61)</f>
        <v>802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>
        <f t="shared" si="120"/>
        <v>0</v>
      </c>
      <c r="CP682" s="58"/>
    </row>
    <row r="683" spans="1:94" hidden="1">
      <c r="A683" s="33">
        <v>679</v>
      </c>
      <c r="B683" s="55" t="s">
        <v>189</v>
      </c>
      <c r="C683" s="55">
        <f>IF(دانش‌آموزان!E61="","",دانش‌آموزان!B61)</f>
        <v>57</v>
      </c>
      <c r="D683" s="55" t="str">
        <f>IF(دانش‌آموزان!C61="","",دانش‌آموزان!C61)</f>
        <v>0960469672</v>
      </c>
      <c r="E683" s="55" t="str">
        <f>IF(دانش‌آموزان!E61="","",دانش‌آموزان!E61&amp;" "&amp;دانش‌آموزان!F61)</f>
        <v>محمدياسين صفاري بيدهندي</v>
      </c>
      <c r="F683" s="34">
        <f>IF(دانش‌آموزان!I61="","",دانش‌آموزان!I61)</f>
        <v>802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>
        <f t="shared" si="120"/>
        <v>0</v>
      </c>
      <c r="CP683" s="58"/>
    </row>
    <row r="684" spans="1:94" hidden="1">
      <c r="A684" s="33">
        <v>680</v>
      </c>
      <c r="B684" s="55" t="s">
        <v>190</v>
      </c>
      <c r="C684" s="55">
        <f>IF(دانش‌آموزان!E61="","",دانش‌آموزان!B61)</f>
        <v>57</v>
      </c>
      <c r="D684" s="55" t="str">
        <f>IF(دانش‌آموزان!C61="","",دانش‌آموزان!C61)</f>
        <v>0960469672</v>
      </c>
      <c r="E684" s="55" t="str">
        <f>IF(دانش‌آموزان!E61="","",دانش‌آموزان!E61&amp;" "&amp;دانش‌آموزان!F61)</f>
        <v>محمدياسين صفاري بيدهندي</v>
      </c>
      <c r="F684" s="34">
        <f>IF(دانش‌آموزان!I61="","",دانش‌آموزان!I61)</f>
        <v>802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>
        <f t="shared" si="120"/>
        <v>0</v>
      </c>
      <c r="CP684" s="58"/>
    </row>
    <row r="685" spans="1:94" hidden="1">
      <c r="A685" s="33">
        <v>681</v>
      </c>
      <c r="B685" s="55" t="s">
        <v>191</v>
      </c>
      <c r="C685" s="55">
        <f>IF(دانش‌آموزان!E61="","",دانش‌آموزان!B61)</f>
        <v>57</v>
      </c>
      <c r="D685" s="55" t="str">
        <f>IF(دانش‌آموزان!C61="","",دانش‌آموزان!C61)</f>
        <v>0960469672</v>
      </c>
      <c r="E685" s="55" t="str">
        <f>IF(دانش‌آموزان!E61="","",دانش‌آموزان!E61&amp;" "&amp;دانش‌آموزان!F61)</f>
        <v>محمدياسين صفاري بيدهندي</v>
      </c>
      <c r="F685" s="34">
        <f>IF(دانش‌آموزان!I61="","",دانش‌آموزان!I61)</f>
        <v>802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>
        <f t="shared" si="120"/>
        <v>0</v>
      </c>
      <c r="CP685" s="58"/>
    </row>
    <row r="686" spans="1:94" hidden="1">
      <c r="A686" s="33">
        <v>682</v>
      </c>
      <c r="B686" s="55" t="s">
        <v>192</v>
      </c>
      <c r="C686" s="55">
        <f>IF(دانش‌آموزان!E61="","",دانش‌آموزان!B61)</f>
        <v>57</v>
      </c>
      <c r="D686" s="55" t="str">
        <f>IF(دانش‌آموزان!C61="","",دانش‌آموزان!C61)</f>
        <v>0960469672</v>
      </c>
      <c r="E686" s="55" t="str">
        <f>IF(دانش‌آموزان!E61="","",دانش‌آموزان!E61&amp;" "&amp;دانش‌آموزان!F61)</f>
        <v>محمدياسين صفاري بيدهندي</v>
      </c>
      <c r="F686" s="34">
        <f>IF(دانش‌آموزان!I61="","",دانش‌آموزان!I61)</f>
        <v>802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>
        <f t="shared" si="120"/>
        <v>0</v>
      </c>
      <c r="CP686" s="58"/>
    </row>
    <row r="687" spans="1:94" hidden="1">
      <c r="A687" s="33">
        <v>683</v>
      </c>
      <c r="B687" s="55" t="s">
        <v>193</v>
      </c>
      <c r="C687" s="55">
        <f>IF(دانش‌آموزان!E61="","",دانش‌آموزان!B61)</f>
        <v>57</v>
      </c>
      <c r="D687" s="55" t="str">
        <f>IF(دانش‌آموزان!C61="","",دانش‌آموزان!C61)</f>
        <v>0960469672</v>
      </c>
      <c r="E687" s="55" t="str">
        <f>IF(دانش‌آموزان!E61="","",دانش‌آموزان!E61&amp;" "&amp;دانش‌آموزان!F61)</f>
        <v>محمدياسين صفاري بيدهندي</v>
      </c>
      <c r="F687" s="34">
        <f>IF(دانش‌آموزان!I61="","",دانش‌آموزان!I61)</f>
        <v>802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>
        <f t="shared" si="120"/>
        <v>0</v>
      </c>
      <c r="CP687" s="58"/>
    </row>
    <row r="688" spans="1:94" hidden="1">
      <c r="A688" s="33">
        <v>684</v>
      </c>
      <c r="B688" s="55" t="s">
        <v>194</v>
      </c>
      <c r="C688" s="55">
        <f>IF(دانش‌آموزان!E61="","",دانش‌آموزان!B61)</f>
        <v>57</v>
      </c>
      <c r="D688" s="55" t="str">
        <f>IF(دانش‌آموزان!C61="","",دانش‌آموزان!C61)</f>
        <v>0960469672</v>
      </c>
      <c r="E688" s="55" t="str">
        <f>IF(دانش‌آموزان!E61="","",دانش‌آموزان!E61&amp;" "&amp;دانش‌آموزان!F61)</f>
        <v>محمدياسين صفاري بيدهندي</v>
      </c>
      <c r="F688" s="34">
        <f>IF(دانش‌آموزان!I61="","",دانش‌آموزان!I61)</f>
        <v>802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>
        <f t="shared" si="120"/>
        <v>0</v>
      </c>
      <c r="CP688" s="58"/>
    </row>
    <row r="689" spans="1:94" hidden="1">
      <c r="A689" s="33">
        <v>685</v>
      </c>
      <c r="B689" s="55" t="s">
        <v>183</v>
      </c>
      <c r="C689" s="55">
        <f>IF(دانش‌آموزان!E62="","",دانش‌آموزان!B62)</f>
        <v>58</v>
      </c>
      <c r="D689" s="55" t="str">
        <f>IF(دانش‌آموزان!C62="","",دانش‌آموزان!C62)</f>
        <v>0980636231</v>
      </c>
      <c r="E689" s="55" t="str">
        <f>IF(دانش‌آموزان!E62="","",دانش‌آموزان!E62&amp;" "&amp;دانش‌آموزان!F62)</f>
        <v>سيد عبدالحسين طبسي</v>
      </c>
      <c r="F689" s="34">
        <f>IF(دانش‌آموزان!I62="","",دانش‌آموزان!I62)</f>
        <v>802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>
        <f t="shared" si="120"/>
        <v>0</v>
      </c>
      <c r="CP689" s="58"/>
    </row>
    <row r="690" spans="1:94" hidden="1">
      <c r="A690" s="33">
        <v>686</v>
      </c>
      <c r="B690" s="55" t="s">
        <v>184</v>
      </c>
      <c r="C690" s="55">
        <f>IF(دانش‌آموزان!E62="","",دانش‌آموزان!B62)</f>
        <v>58</v>
      </c>
      <c r="D690" s="55" t="str">
        <f>IF(دانش‌آموزان!C62="","",دانش‌آموزان!C62)</f>
        <v>0980636231</v>
      </c>
      <c r="E690" s="55" t="str">
        <f>IF(دانش‌آموزان!E62="","",دانش‌آموزان!E62&amp;" "&amp;دانش‌آموزان!F62)</f>
        <v>سيد عبدالحسين طبسي</v>
      </c>
      <c r="F690" s="34">
        <f>IF(دانش‌آموزان!I62="","",دانش‌آموزان!I62)</f>
        <v>802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>
        <f t="shared" si="120"/>
        <v>0</v>
      </c>
      <c r="CP690" s="58"/>
    </row>
    <row r="691" spans="1:94">
      <c r="A691" s="33">
        <v>687</v>
      </c>
      <c r="B691" s="55" t="s">
        <v>185</v>
      </c>
      <c r="C691" s="55">
        <f>IF(دانش‌آموزان!E62="","",دانش‌آموزان!B62)</f>
        <v>58</v>
      </c>
      <c r="D691" s="55" t="str">
        <f>IF(دانش‌آموزان!C62="","",دانش‌آموزان!C62)</f>
        <v>0980636231</v>
      </c>
      <c r="E691" s="55" t="str">
        <f>IF(دانش‌آموزان!E62="","",دانش‌آموزان!E62&amp;" "&amp;دانش‌آموزان!F62)</f>
        <v>سيد عبدالحسين طبسي</v>
      </c>
      <c r="F691" s="34">
        <f>IF(دانش‌آموزان!I62="","",دانش‌آموزان!I62)</f>
        <v>802</v>
      </c>
      <c r="G691" s="19">
        <v>19.420000000000002</v>
      </c>
      <c r="H691" s="20">
        <v>-8.4200000000000017</v>
      </c>
      <c r="I691" s="20">
        <v>5</v>
      </c>
      <c r="J691" s="20">
        <v>5</v>
      </c>
      <c r="K691" s="20">
        <v>5</v>
      </c>
      <c r="L691" s="20">
        <v>5</v>
      </c>
      <c r="M691" s="20">
        <v>5</v>
      </c>
      <c r="N691" s="20">
        <v>5</v>
      </c>
      <c r="O691" s="20">
        <v>5</v>
      </c>
      <c r="P691" s="20">
        <v>5</v>
      </c>
      <c r="Q691" s="20">
        <v>5</v>
      </c>
      <c r="R691" s="20">
        <v>5</v>
      </c>
      <c r="S691" s="20">
        <v>5</v>
      </c>
      <c r="T691" s="20">
        <v>5</v>
      </c>
      <c r="U691" s="20">
        <v>5</v>
      </c>
      <c r="V691" s="20">
        <v>5</v>
      </c>
      <c r="W691" s="20">
        <v>5</v>
      </c>
      <c r="X691" s="20">
        <v>5</v>
      </c>
      <c r="Y691" s="20">
        <v>5</v>
      </c>
      <c r="Z691" s="20">
        <v>5</v>
      </c>
      <c r="AA691" s="20">
        <v>5</v>
      </c>
      <c r="AB691" s="20">
        <v>5</v>
      </c>
      <c r="AC691" s="20">
        <v>5</v>
      </c>
      <c r="AD691" s="20" t="s">
        <v>371</v>
      </c>
      <c r="AE691" s="20" t="s">
        <v>371</v>
      </c>
      <c r="AF691" s="20" t="s">
        <v>371</v>
      </c>
      <c r="AG691" s="20" t="s">
        <v>371</v>
      </c>
      <c r="AH691" s="20" t="s">
        <v>371</v>
      </c>
      <c r="AI691" s="20" t="s">
        <v>371</v>
      </c>
      <c r="AJ691" s="20">
        <v>5</v>
      </c>
      <c r="AK691" s="20">
        <v>5</v>
      </c>
      <c r="AL691" s="20">
        <v>5</v>
      </c>
      <c r="AM691" s="20">
        <v>5</v>
      </c>
      <c r="AN691" s="20">
        <v>5</v>
      </c>
      <c r="AO691" s="20">
        <v>5</v>
      </c>
      <c r="AP691" s="20">
        <v>5</v>
      </c>
      <c r="AQ691" s="20" t="s">
        <v>371</v>
      </c>
      <c r="AR691" s="20" t="s">
        <v>371</v>
      </c>
      <c r="AS691" s="20" t="s">
        <v>371</v>
      </c>
      <c r="AT691" s="20" t="s">
        <v>371</v>
      </c>
      <c r="AU691" s="20" t="s">
        <v>371</v>
      </c>
      <c r="AV691" s="20" t="s">
        <v>371</v>
      </c>
      <c r="AW691" s="20" t="s">
        <v>371</v>
      </c>
      <c r="AX691" s="20" t="s">
        <v>371</v>
      </c>
      <c r="AY691" s="20" t="s">
        <v>371</v>
      </c>
      <c r="AZ691" s="20" t="s">
        <v>371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>
        <f t="shared" si="110"/>
        <v>20.5</v>
      </c>
      <c r="CD691" s="38">
        <f t="shared" si="111"/>
        <v>20</v>
      </c>
      <c r="CE691" s="38">
        <f t="shared" si="112"/>
        <v>20</v>
      </c>
      <c r="CF691" s="38">
        <f t="shared" si="113"/>
        <v>20</v>
      </c>
      <c r="CG691" s="38">
        <f t="shared" si="114"/>
        <v>20</v>
      </c>
      <c r="CH691" s="38" t="str">
        <f t="shared" si="115"/>
        <v/>
      </c>
      <c r="CI691" s="38">
        <f t="shared" si="116"/>
        <v>20</v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>موقت - اطلاعات ناقص</v>
      </c>
      <c r="CN691" s="38">
        <v>3</v>
      </c>
      <c r="CO691" s="28">
        <f t="shared" si="120"/>
        <v>0.65217391304347827</v>
      </c>
      <c r="CP691" s="58"/>
    </row>
    <row r="692" spans="1:94" hidden="1">
      <c r="A692" s="33">
        <v>688</v>
      </c>
      <c r="B692" s="55" t="s">
        <v>186</v>
      </c>
      <c r="C692" s="55">
        <f>IF(دانش‌آموزان!E62="","",دانش‌آموزان!B62)</f>
        <v>58</v>
      </c>
      <c r="D692" s="55" t="str">
        <f>IF(دانش‌آموزان!C62="","",دانش‌آموزان!C62)</f>
        <v>0980636231</v>
      </c>
      <c r="E692" s="55" t="str">
        <f>IF(دانش‌آموزان!E62="","",دانش‌آموزان!E62&amp;" "&amp;دانش‌آموزان!F62)</f>
        <v>سيد عبدالحسين طبسي</v>
      </c>
      <c r="F692" s="34">
        <f>IF(دانش‌آموزان!I62="","",دانش‌آموزان!I62)</f>
        <v>802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>
        <f t="shared" si="120"/>
        <v>0</v>
      </c>
      <c r="CP692" s="58"/>
    </row>
    <row r="693" spans="1:94" hidden="1">
      <c r="A693" s="33">
        <v>689</v>
      </c>
      <c r="B693" s="55" t="s">
        <v>187</v>
      </c>
      <c r="C693" s="55">
        <f>IF(دانش‌آموزان!E62="","",دانش‌آموزان!B62)</f>
        <v>58</v>
      </c>
      <c r="D693" s="55" t="str">
        <f>IF(دانش‌آموزان!C62="","",دانش‌آموزان!C62)</f>
        <v>0980636231</v>
      </c>
      <c r="E693" s="55" t="str">
        <f>IF(دانش‌آموزان!E62="","",دانش‌آموزان!E62&amp;" "&amp;دانش‌آموزان!F62)</f>
        <v>سيد عبدالحسين طبسي</v>
      </c>
      <c r="F693" s="34">
        <f>IF(دانش‌آموزان!I62="","",دانش‌آموزان!I62)</f>
        <v>802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>
        <f t="shared" si="120"/>
        <v>0</v>
      </c>
      <c r="CP693" s="58"/>
    </row>
    <row r="694" spans="1:94" hidden="1">
      <c r="A694" s="33">
        <v>690</v>
      </c>
      <c r="B694" s="55" t="s">
        <v>188</v>
      </c>
      <c r="C694" s="55">
        <f>IF(دانش‌آموزان!E62="","",دانش‌آموزان!B62)</f>
        <v>58</v>
      </c>
      <c r="D694" s="55" t="str">
        <f>IF(دانش‌آموزان!C62="","",دانش‌آموزان!C62)</f>
        <v>0980636231</v>
      </c>
      <c r="E694" s="55" t="str">
        <f>IF(دانش‌آموزان!E62="","",دانش‌آموزان!E62&amp;" "&amp;دانش‌آموزان!F62)</f>
        <v>سيد عبدالحسين طبسي</v>
      </c>
      <c r="F694" s="34">
        <f>IF(دانش‌آموزان!I62="","",دانش‌آموزان!I62)</f>
        <v>802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>
        <f t="shared" si="120"/>
        <v>0</v>
      </c>
      <c r="CP694" s="58"/>
    </row>
    <row r="695" spans="1:94" hidden="1">
      <c r="A695" s="33">
        <v>691</v>
      </c>
      <c r="B695" s="55" t="s">
        <v>189</v>
      </c>
      <c r="C695" s="55">
        <f>IF(دانش‌آموزان!E62="","",دانش‌آموزان!B62)</f>
        <v>58</v>
      </c>
      <c r="D695" s="55" t="str">
        <f>IF(دانش‌آموزان!C62="","",دانش‌آموزان!C62)</f>
        <v>0980636231</v>
      </c>
      <c r="E695" s="55" t="str">
        <f>IF(دانش‌آموزان!E62="","",دانش‌آموزان!E62&amp;" "&amp;دانش‌آموزان!F62)</f>
        <v>سيد عبدالحسين طبسي</v>
      </c>
      <c r="F695" s="34">
        <f>IF(دانش‌آموزان!I62="","",دانش‌آموزان!I62)</f>
        <v>802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>
        <f t="shared" si="120"/>
        <v>0</v>
      </c>
      <c r="CP695" s="58"/>
    </row>
    <row r="696" spans="1:94" hidden="1">
      <c r="A696" s="33">
        <v>692</v>
      </c>
      <c r="B696" s="55" t="s">
        <v>190</v>
      </c>
      <c r="C696" s="55">
        <f>IF(دانش‌آموزان!E62="","",دانش‌آموزان!B62)</f>
        <v>58</v>
      </c>
      <c r="D696" s="55" t="str">
        <f>IF(دانش‌آموزان!C62="","",دانش‌آموزان!C62)</f>
        <v>0980636231</v>
      </c>
      <c r="E696" s="55" t="str">
        <f>IF(دانش‌آموزان!E62="","",دانش‌آموزان!E62&amp;" "&amp;دانش‌آموزان!F62)</f>
        <v>سيد عبدالحسين طبسي</v>
      </c>
      <c r="F696" s="34">
        <f>IF(دانش‌آموزان!I62="","",دانش‌آموزان!I62)</f>
        <v>802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>
        <f t="shared" si="120"/>
        <v>0</v>
      </c>
      <c r="CP696" s="58"/>
    </row>
    <row r="697" spans="1:94" hidden="1">
      <c r="A697" s="33">
        <v>693</v>
      </c>
      <c r="B697" s="55" t="s">
        <v>191</v>
      </c>
      <c r="C697" s="55">
        <f>IF(دانش‌آموزان!E62="","",دانش‌آموزان!B62)</f>
        <v>58</v>
      </c>
      <c r="D697" s="55" t="str">
        <f>IF(دانش‌آموزان!C62="","",دانش‌آموزان!C62)</f>
        <v>0980636231</v>
      </c>
      <c r="E697" s="55" t="str">
        <f>IF(دانش‌آموزان!E62="","",دانش‌آموزان!E62&amp;" "&amp;دانش‌آموزان!F62)</f>
        <v>سيد عبدالحسين طبسي</v>
      </c>
      <c r="F697" s="34">
        <f>IF(دانش‌آموزان!I62="","",دانش‌آموزان!I62)</f>
        <v>802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>
        <f t="shared" si="120"/>
        <v>0</v>
      </c>
      <c r="CP697" s="58"/>
    </row>
    <row r="698" spans="1:94" hidden="1">
      <c r="A698" s="33">
        <v>694</v>
      </c>
      <c r="B698" s="55" t="s">
        <v>192</v>
      </c>
      <c r="C698" s="55">
        <f>IF(دانش‌آموزان!E62="","",دانش‌آموزان!B62)</f>
        <v>58</v>
      </c>
      <c r="D698" s="55" t="str">
        <f>IF(دانش‌آموزان!C62="","",دانش‌آموزان!C62)</f>
        <v>0980636231</v>
      </c>
      <c r="E698" s="55" t="str">
        <f>IF(دانش‌آموزان!E62="","",دانش‌آموزان!E62&amp;" "&amp;دانش‌آموزان!F62)</f>
        <v>سيد عبدالحسين طبسي</v>
      </c>
      <c r="F698" s="34">
        <f>IF(دانش‌آموزان!I62="","",دانش‌آموزان!I62)</f>
        <v>802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>
        <f t="shared" si="120"/>
        <v>0</v>
      </c>
      <c r="CP698" s="58"/>
    </row>
    <row r="699" spans="1:94" hidden="1">
      <c r="A699" s="33">
        <v>695</v>
      </c>
      <c r="B699" s="55" t="s">
        <v>193</v>
      </c>
      <c r="C699" s="55">
        <f>IF(دانش‌آموزان!E62="","",دانش‌آموزان!B62)</f>
        <v>58</v>
      </c>
      <c r="D699" s="55" t="str">
        <f>IF(دانش‌آموزان!C62="","",دانش‌آموزان!C62)</f>
        <v>0980636231</v>
      </c>
      <c r="E699" s="55" t="str">
        <f>IF(دانش‌آموزان!E62="","",دانش‌آموزان!E62&amp;" "&amp;دانش‌آموزان!F62)</f>
        <v>سيد عبدالحسين طبسي</v>
      </c>
      <c r="F699" s="34">
        <f>IF(دانش‌آموزان!I62="","",دانش‌آموزان!I62)</f>
        <v>802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>
        <f t="shared" si="120"/>
        <v>0</v>
      </c>
      <c r="CP699" s="58"/>
    </row>
    <row r="700" spans="1:94" hidden="1">
      <c r="A700" s="33">
        <v>696</v>
      </c>
      <c r="B700" s="55" t="s">
        <v>194</v>
      </c>
      <c r="C700" s="55">
        <f>IF(دانش‌آموزان!E62="","",دانش‌آموزان!B62)</f>
        <v>58</v>
      </c>
      <c r="D700" s="55" t="str">
        <f>IF(دانش‌آموزان!C62="","",دانش‌آموزان!C62)</f>
        <v>0980636231</v>
      </c>
      <c r="E700" s="55" t="str">
        <f>IF(دانش‌آموزان!E62="","",دانش‌آموزان!E62&amp;" "&amp;دانش‌آموزان!F62)</f>
        <v>سيد عبدالحسين طبسي</v>
      </c>
      <c r="F700" s="34">
        <f>IF(دانش‌آموزان!I62="","",دانش‌آموزان!I62)</f>
        <v>802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>
        <f t="shared" si="120"/>
        <v>0</v>
      </c>
      <c r="CP700" s="58"/>
    </row>
    <row r="701" spans="1:94" hidden="1">
      <c r="A701" s="33">
        <v>697</v>
      </c>
      <c r="B701" s="55" t="s">
        <v>183</v>
      </c>
      <c r="C701" s="55">
        <f>IF(دانش‌آموزان!E63="","",دانش‌آموزان!B63)</f>
        <v>59</v>
      </c>
      <c r="D701" s="55" t="str">
        <f>IF(دانش‌آموزان!C63="","",دانش‌آموزان!C63)</f>
        <v>0960467191</v>
      </c>
      <c r="E701" s="55" t="str">
        <f>IF(دانش‌آموزان!E63="","",دانش‌آموزان!E63&amp;" "&amp;دانش‌آموزان!F63)</f>
        <v>سيداميرحسين طوسي</v>
      </c>
      <c r="F701" s="34">
        <f>IF(دانش‌آموزان!I63="","",دانش‌آموزان!I63)</f>
        <v>802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>
        <f t="shared" si="120"/>
        <v>0</v>
      </c>
      <c r="CP701" s="58"/>
    </row>
    <row r="702" spans="1:94" hidden="1">
      <c r="A702" s="33">
        <v>698</v>
      </c>
      <c r="B702" s="55" t="s">
        <v>184</v>
      </c>
      <c r="C702" s="55">
        <f>IF(دانش‌آموزان!E63="","",دانش‌آموزان!B63)</f>
        <v>59</v>
      </c>
      <c r="D702" s="55" t="str">
        <f>IF(دانش‌آموزان!C63="","",دانش‌آموزان!C63)</f>
        <v>0960467191</v>
      </c>
      <c r="E702" s="55" t="str">
        <f>IF(دانش‌آموزان!E63="","",دانش‌آموزان!E63&amp;" "&amp;دانش‌آموزان!F63)</f>
        <v>سيداميرحسين طوسي</v>
      </c>
      <c r="F702" s="34">
        <f>IF(دانش‌آموزان!I63="","",دانش‌آموزان!I63)</f>
        <v>802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>
        <f t="shared" si="120"/>
        <v>0</v>
      </c>
      <c r="CP702" s="58"/>
    </row>
    <row r="703" spans="1:94">
      <c r="A703" s="33">
        <v>699</v>
      </c>
      <c r="B703" s="55" t="s">
        <v>185</v>
      </c>
      <c r="C703" s="55">
        <f>IF(دانش‌آموزان!E63="","",دانش‌آموزان!B63)</f>
        <v>59</v>
      </c>
      <c r="D703" s="55" t="str">
        <f>IF(دانش‌آموزان!C63="","",دانش‌آموزان!C63)</f>
        <v>0960467191</v>
      </c>
      <c r="E703" s="55" t="str">
        <f>IF(دانش‌آموزان!E63="","",دانش‌آموزان!E63&amp;" "&amp;دانش‌آموزان!F63)</f>
        <v>سيداميرحسين طوسي</v>
      </c>
      <c r="F703" s="34">
        <f>IF(دانش‌آموزان!I63="","",دانش‌آموزان!I63)</f>
        <v>802</v>
      </c>
      <c r="G703" s="19">
        <v>19.73</v>
      </c>
      <c r="H703" s="20">
        <v>-7.73</v>
      </c>
      <c r="I703" s="20">
        <v>5</v>
      </c>
      <c r="J703" s="20">
        <v>5</v>
      </c>
      <c r="K703" s="20">
        <v>5</v>
      </c>
      <c r="L703" s="20">
        <v>5</v>
      </c>
      <c r="M703" s="20">
        <v>5</v>
      </c>
      <c r="N703" s="20">
        <v>5</v>
      </c>
      <c r="O703" s="20">
        <v>5</v>
      </c>
      <c r="P703" s="20">
        <v>5</v>
      </c>
      <c r="Q703" s="20">
        <v>5</v>
      </c>
      <c r="R703" s="20">
        <v>5</v>
      </c>
      <c r="S703" s="20">
        <v>5</v>
      </c>
      <c r="T703" s="20">
        <v>5</v>
      </c>
      <c r="U703" s="20">
        <v>5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 t="s">
        <v>371</v>
      </c>
      <c r="AE703" s="20" t="s">
        <v>371</v>
      </c>
      <c r="AF703" s="20" t="s">
        <v>371</v>
      </c>
      <c r="AG703" s="20" t="s">
        <v>371</v>
      </c>
      <c r="AH703" s="20" t="s">
        <v>371</v>
      </c>
      <c r="AI703" s="20" t="s">
        <v>371</v>
      </c>
      <c r="AJ703" s="20">
        <v>5</v>
      </c>
      <c r="AK703" s="20">
        <v>5</v>
      </c>
      <c r="AL703" s="20">
        <v>5</v>
      </c>
      <c r="AM703" s="20">
        <v>5</v>
      </c>
      <c r="AN703" s="20">
        <v>5</v>
      </c>
      <c r="AO703" s="20">
        <v>5</v>
      </c>
      <c r="AP703" s="20">
        <v>5</v>
      </c>
      <c r="AQ703" s="20" t="s">
        <v>371</v>
      </c>
      <c r="AR703" s="20" t="s">
        <v>371</v>
      </c>
      <c r="AS703" s="20" t="s">
        <v>371</v>
      </c>
      <c r="AT703" s="20" t="s">
        <v>371</v>
      </c>
      <c r="AU703" s="20" t="s">
        <v>371</v>
      </c>
      <c r="AV703" s="20" t="s">
        <v>371</v>
      </c>
      <c r="AW703" s="20" t="s">
        <v>371</v>
      </c>
      <c r="AX703" s="20" t="s">
        <v>371</v>
      </c>
      <c r="AY703" s="20" t="s">
        <v>371</v>
      </c>
      <c r="AZ703" s="20" t="s">
        <v>371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>
        <f t="shared" si="110"/>
        <v>21</v>
      </c>
      <c r="CD703" s="38">
        <f t="shared" si="111"/>
        <v>20</v>
      </c>
      <c r="CE703" s="38">
        <f t="shared" si="112"/>
        <v>20</v>
      </c>
      <c r="CF703" s="38">
        <f t="shared" si="113"/>
        <v>20</v>
      </c>
      <c r="CG703" s="38">
        <f t="shared" si="114"/>
        <v>20</v>
      </c>
      <c r="CH703" s="38" t="str">
        <f t="shared" si="115"/>
        <v/>
      </c>
      <c r="CI703" s="38">
        <f t="shared" si="116"/>
        <v>20</v>
      </c>
      <c r="CJ703" s="38" t="str">
        <f t="shared" si="117"/>
        <v/>
      </c>
      <c r="CK703" s="38" t="str">
        <f t="shared" si="118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>موقت - اطلاعات ناقص</v>
      </c>
      <c r="CN703" s="38">
        <v>3</v>
      </c>
      <c r="CO703" s="28">
        <f t="shared" si="120"/>
        <v>0.65217391304347827</v>
      </c>
      <c r="CP703" s="58"/>
    </row>
    <row r="704" spans="1:94" hidden="1">
      <c r="A704" s="33">
        <v>700</v>
      </c>
      <c r="B704" s="55" t="s">
        <v>186</v>
      </c>
      <c r="C704" s="55">
        <f>IF(دانش‌آموزان!E63="","",دانش‌آموزان!B63)</f>
        <v>59</v>
      </c>
      <c r="D704" s="55" t="str">
        <f>IF(دانش‌آموزان!C63="","",دانش‌آموزان!C63)</f>
        <v>0960467191</v>
      </c>
      <c r="E704" s="55" t="str">
        <f>IF(دانش‌آموزان!E63="","",دانش‌آموزان!E63&amp;" "&amp;دانش‌آموزان!F63)</f>
        <v>سيداميرحسين طوسي</v>
      </c>
      <c r="F704" s="34">
        <f>IF(دانش‌آموزان!I63="","",دانش‌آموزان!I63)</f>
        <v>802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>
        <f t="shared" si="120"/>
        <v>0</v>
      </c>
      <c r="CP704" s="58"/>
    </row>
    <row r="705" spans="1:94" hidden="1">
      <c r="A705" s="33">
        <v>701</v>
      </c>
      <c r="B705" s="55" t="s">
        <v>187</v>
      </c>
      <c r="C705" s="55">
        <f>IF(دانش‌آموزان!E63="","",دانش‌آموزان!B63)</f>
        <v>59</v>
      </c>
      <c r="D705" s="55" t="str">
        <f>IF(دانش‌آموزان!C63="","",دانش‌آموزان!C63)</f>
        <v>0960467191</v>
      </c>
      <c r="E705" s="55" t="str">
        <f>IF(دانش‌آموزان!E63="","",دانش‌آموزان!E63&amp;" "&amp;دانش‌آموزان!F63)</f>
        <v>سيداميرحسين طوسي</v>
      </c>
      <c r="F705" s="34">
        <f>IF(دانش‌آموزان!I63="","",دانش‌آموزان!I63)</f>
        <v>802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>
        <f t="shared" si="120"/>
        <v>0</v>
      </c>
      <c r="CP705" s="58"/>
    </row>
    <row r="706" spans="1:94" hidden="1">
      <c r="A706" s="33">
        <v>702</v>
      </c>
      <c r="B706" s="55" t="s">
        <v>188</v>
      </c>
      <c r="C706" s="55">
        <f>IF(دانش‌آموزان!E63="","",دانش‌آموزان!B63)</f>
        <v>59</v>
      </c>
      <c r="D706" s="55" t="str">
        <f>IF(دانش‌آموزان!C63="","",دانش‌آموزان!C63)</f>
        <v>0960467191</v>
      </c>
      <c r="E706" s="55" t="str">
        <f>IF(دانش‌آموزان!E63="","",دانش‌آموزان!E63&amp;" "&amp;دانش‌آموزان!F63)</f>
        <v>سيداميرحسين طوسي</v>
      </c>
      <c r="F706" s="34">
        <f>IF(دانش‌آموزان!I63="","",دانش‌آموزان!I63)</f>
        <v>802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>
        <f t="shared" si="120"/>
        <v>0</v>
      </c>
      <c r="CP706" s="58"/>
    </row>
    <row r="707" spans="1:94" hidden="1">
      <c r="A707" s="33">
        <v>703</v>
      </c>
      <c r="B707" s="55" t="s">
        <v>189</v>
      </c>
      <c r="C707" s="55">
        <f>IF(دانش‌آموزان!E63="","",دانش‌آموزان!B63)</f>
        <v>59</v>
      </c>
      <c r="D707" s="55" t="str">
        <f>IF(دانش‌آموزان!C63="","",دانش‌آموزان!C63)</f>
        <v>0960467191</v>
      </c>
      <c r="E707" s="55" t="str">
        <f>IF(دانش‌آموزان!E63="","",دانش‌آموزان!E63&amp;" "&amp;دانش‌آموزان!F63)</f>
        <v>سيداميرحسين طوسي</v>
      </c>
      <c r="F707" s="34">
        <f>IF(دانش‌آموزان!I63="","",دانش‌آموزان!I63)</f>
        <v>802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>
        <f t="shared" si="120"/>
        <v>0</v>
      </c>
      <c r="CP707" s="58"/>
    </row>
    <row r="708" spans="1:94" hidden="1">
      <c r="A708" s="33">
        <v>704</v>
      </c>
      <c r="B708" s="55" t="s">
        <v>190</v>
      </c>
      <c r="C708" s="55">
        <f>IF(دانش‌آموزان!E63="","",دانش‌آموزان!B63)</f>
        <v>59</v>
      </c>
      <c r="D708" s="55" t="str">
        <f>IF(دانش‌آموزان!C63="","",دانش‌آموزان!C63)</f>
        <v>0960467191</v>
      </c>
      <c r="E708" s="55" t="str">
        <f>IF(دانش‌آموزان!E63="","",دانش‌آموزان!E63&amp;" "&amp;دانش‌آموزان!F63)</f>
        <v>سيداميرحسين طوسي</v>
      </c>
      <c r="F708" s="34">
        <f>IF(دانش‌آموزان!I63="","",دانش‌آموزان!I63)</f>
        <v>802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>
        <f t="shared" si="120"/>
        <v>0</v>
      </c>
      <c r="CP708" s="58"/>
    </row>
    <row r="709" spans="1:94" hidden="1">
      <c r="A709" s="33">
        <v>705</v>
      </c>
      <c r="B709" s="55" t="s">
        <v>191</v>
      </c>
      <c r="C709" s="55">
        <f>IF(دانش‌آموزان!E63="","",دانش‌آموزان!B63)</f>
        <v>59</v>
      </c>
      <c r="D709" s="55" t="str">
        <f>IF(دانش‌آموزان!C63="","",دانش‌آموزان!C63)</f>
        <v>0960467191</v>
      </c>
      <c r="E709" s="55" t="str">
        <f>IF(دانش‌آموزان!E63="","",دانش‌آموزان!E63&amp;" "&amp;دانش‌آموزان!F63)</f>
        <v>سيداميرحسين طوسي</v>
      </c>
      <c r="F709" s="34">
        <f>IF(دانش‌آموزان!I63="","",دانش‌آموزان!I63)</f>
        <v>802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>
        <f t="shared" ref="CO709:CO772" si="131">IF(C709="","",COUNT(G709:AZ709)/46)</f>
        <v>0</v>
      </c>
      <c r="CP709" s="58"/>
    </row>
    <row r="710" spans="1:94" hidden="1">
      <c r="A710" s="33">
        <v>706</v>
      </c>
      <c r="B710" s="55" t="s">
        <v>192</v>
      </c>
      <c r="C710" s="55">
        <f>IF(دانش‌آموزان!E63="","",دانش‌آموزان!B63)</f>
        <v>59</v>
      </c>
      <c r="D710" s="55" t="str">
        <f>IF(دانش‌آموزان!C63="","",دانش‌آموزان!C63)</f>
        <v>0960467191</v>
      </c>
      <c r="E710" s="55" t="str">
        <f>IF(دانش‌آموزان!E63="","",دانش‌آموزان!E63&amp;" "&amp;دانش‌آموزان!F63)</f>
        <v>سيداميرحسين طوسي</v>
      </c>
      <c r="F710" s="34">
        <f>IF(دانش‌آموزان!I63="","",دانش‌آموزان!I63)</f>
        <v>802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 hidden="1">
      <c r="A711" s="33">
        <v>707</v>
      </c>
      <c r="B711" s="55" t="s">
        <v>193</v>
      </c>
      <c r="C711" s="55">
        <f>IF(دانش‌آموزان!E63="","",دانش‌آموزان!B63)</f>
        <v>59</v>
      </c>
      <c r="D711" s="55" t="str">
        <f>IF(دانش‌آموزان!C63="","",دانش‌آموزان!C63)</f>
        <v>0960467191</v>
      </c>
      <c r="E711" s="55" t="str">
        <f>IF(دانش‌آموزان!E63="","",دانش‌آموزان!E63&amp;" "&amp;دانش‌آموزان!F63)</f>
        <v>سيداميرحسين طوسي</v>
      </c>
      <c r="F711" s="34">
        <f>IF(دانش‌آموزان!I63="","",دانش‌آموزان!I63)</f>
        <v>802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 hidden="1">
      <c r="A712" s="33">
        <v>708</v>
      </c>
      <c r="B712" s="55" t="s">
        <v>194</v>
      </c>
      <c r="C712" s="55">
        <f>IF(دانش‌آموزان!E63="","",دانش‌آموزان!B63)</f>
        <v>59</v>
      </c>
      <c r="D712" s="55" t="str">
        <f>IF(دانش‌آموزان!C63="","",دانش‌آموزان!C63)</f>
        <v>0960467191</v>
      </c>
      <c r="E712" s="55" t="str">
        <f>IF(دانش‌آموزان!E63="","",دانش‌آموزان!E63&amp;" "&amp;دانش‌آموزان!F63)</f>
        <v>سيداميرحسين طوسي</v>
      </c>
      <c r="F712" s="34">
        <f>IF(دانش‌آموزان!I63="","",دانش‌آموزان!I63)</f>
        <v>802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 hidden="1">
      <c r="A713" s="33">
        <v>709</v>
      </c>
      <c r="B713" s="55" t="s">
        <v>183</v>
      </c>
      <c r="C713" s="55">
        <f>IF(دانش‌آموزان!E64="","",دانش‌آموزان!B64)</f>
        <v>60</v>
      </c>
      <c r="D713" s="55" t="str">
        <f>IF(دانش‌آموزان!C64="","",دانش‌آموزان!C64)</f>
        <v>0960546928</v>
      </c>
      <c r="E713" s="55" t="str">
        <f>IF(دانش‌آموزان!E64="","",دانش‌آموزان!E64&amp;" "&amp;دانش‌آموزان!F64)</f>
        <v>يونس عدالتي تبار</v>
      </c>
      <c r="F713" s="34">
        <f>IF(دانش‌آموزان!I64="","",دانش‌آموزان!I64)</f>
        <v>802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 hidden="1">
      <c r="A714" s="33">
        <v>710</v>
      </c>
      <c r="B714" s="55" t="s">
        <v>184</v>
      </c>
      <c r="C714" s="55">
        <f>IF(دانش‌آموزان!E64="","",دانش‌آموزان!B64)</f>
        <v>60</v>
      </c>
      <c r="D714" s="55" t="str">
        <f>IF(دانش‌آموزان!C64="","",دانش‌آموزان!C64)</f>
        <v>0960546928</v>
      </c>
      <c r="E714" s="55" t="str">
        <f>IF(دانش‌آموزان!E64="","",دانش‌آموزان!E64&amp;" "&amp;دانش‌آموزان!F64)</f>
        <v>يونس عدالتي تبار</v>
      </c>
      <c r="F714" s="34">
        <f>IF(دانش‌آموزان!I64="","",دانش‌آموزان!I64)</f>
        <v>802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>
      <c r="A715" s="33">
        <v>711</v>
      </c>
      <c r="B715" s="55" t="s">
        <v>185</v>
      </c>
      <c r="C715" s="55">
        <f>IF(دانش‌آموزان!E64="","",دانش‌آموزان!B64)</f>
        <v>60</v>
      </c>
      <c r="D715" s="55" t="str">
        <f>IF(دانش‌آموزان!C64="","",دانش‌آموزان!C64)</f>
        <v>0960546928</v>
      </c>
      <c r="E715" s="55" t="str">
        <f>IF(دانش‌آموزان!E64="","",دانش‌آموزان!E64&amp;" "&amp;دانش‌آموزان!F64)</f>
        <v>يونس عدالتي تبار</v>
      </c>
      <c r="F715" s="34">
        <f>IF(دانش‌آموزان!I64="","",دانش‌آموزان!I64)</f>
        <v>802</v>
      </c>
      <c r="G715" s="19">
        <v>19.64</v>
      </c>
      <c r="H715" s="20">
        <v>-7.6400000000000006</v>
      </c>
      <c r="I715" s="20">
        <v>5</v>
      </c>
      <c r="J715" s="20">
        <v>5</v>
      </c>
      <c r="K715" s="20">
        <v>5</v>
      </c>
      <c r="L715" s="20">
        <v>5</v>
      </c>
      <c r="M715" s="20">
        <v>5</v>
      </c>
      <c r="N715" s="20">
        <v>5</v>
      </c>
      <c r="O715" s="20">
        <v>5</v>
      </c>
      <c r="P715" s="20">
        <v>5</v>
      </c>
      <c r="Q715" s="20">
        <v>5</v>
      </c>
      <c r="R715" s="20">
        <v>5</v>
      </c>
      <c r="S715" s="20">
        <v>5</v>
      </c>
      <c r="T715" s="20">
        <v>5</v>
      </c>
      <c r="U715" s="20">
        <v>5</v>
      </c>
      <c r="V715" s="20">
        <v>5</v>
      </c>
      <c r="W715" s="20">
        <v>5</v>
      </c>
      <c r="X715" s="20">
        <v>5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 t="s">
        <v>371</v>
      </c>
      <c r="AE715" s="20" t="s">
        <v>371</v>
      </c>
      <c r="AF715" s="20" t="s">
        <v>371</v>
      </c>
      <c r="AG715" s="20" t="s">
        <v>371</v>
      </c>
      <c r="AH715" s="20" t="s">
        <v>371</v>
      </c>
      <c r="AI715" s="20" t="s">
        <v>371</v>
      </c>
      <c r="AJ715" s="20">
        <v>5</v>
      </c>
      <c r="AK715" s="20">
        <v>5</v>
      </c>
      <c r="AL715" s="20">
        <v>5</v>
      </c>
      <c r="AM715" s="20">
        <v>5</v>
      </c>
      <c r="AN715" s="20">
        <v>5</v>
      </c>
      <c r="AO715" s="20">
        <v>5</v>
      </c>
      <c r="AP715" s="20">
        <v>5</v>
      </c>
      <c r="AQ715" s="20" t="s">
        <v>371</v>
      </c>
      <c r="AR715" s="20" t="s">
        <v>371</v>
      </c>
      <c r="AS715" s="20" t="s">
        <v>371</v>
      </c>
      <c r="AT715" s="20" t="s">
        <v>371</v>
      </c>
      <c r="AU715" s="20" t="s">
        <v>371</v>
      </c>
      <c r="AV715" s="20" t="s">
        <v>371</v>
      </c>
      <c r="AW715" s="20" t="s">
        <v>371</v>
      </c>
      <c r="AX715" s="20" t="s">
        <v>371</v>
      </c>
      <c r="AY715" s="20" t="s">
        <v>371</v>
      </c>
      <c r="AZ715" s="20" t="s">
        <v>371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>
        <f t="shared" si="121"/>
        <v>21</v>
      </c>
      <c r="CD715" s="38">
        <f t="shared" si="122"/>
        <v>20</v>
      </c>
      <c r="CE715" s="38">
        <f t="shared" si="123"/>
        <v>20</v>
      </c>
      <c r="CF715" s="38">
        <f t="shared" si="124"/>
        <v>20</v>
      </c>
      <c r="CG715" s="38">
        <f t="shared" si="125"/>
        <v>20</v>
      </c>
      <c r="CH715" s="38" t="str">
        <f t="shared" si="126"/>
        <v/>
      </c>
      <c r="CI715" s="38">
        <f t="shared" si="127"/>
        <v>20</v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>موقت - اطلاعات ناقص</v>
      </c>
      <c r="CN715" s="38">
        <v>3</v>
      </c>
      <c r="CO715" s="28">
        <f t="shared" si="131"/>
        <v>0.65217391304347827</v>
      </c>
      <c r="CP715" s="58"/>
    </row>
    <row r="716" spans="1:94" hidden="1">
      <c r="A716" s="33">
        <v>712</v>
      </c>
      <c r="B716" s="55" t="s">
        <v>186</v>
      </c>
      <c r="C716" s="55">
        <f>IF(دانش‌آموزان!E64="","",دانش‌آموزان!B64)</f>
        <v>60</v>
      </c>
      <c r="D716" s="55" t="str">
        <f>IF(دانش‌آموزان!C64="","",دانش‌آموزان!C64)</f>
        <v>0960546928</v>
      </c>
      <c r="E716" s="55" t="str">
        <f>IF(دانش‌آموزان!E64="","",دانش‌آموزان!E64&amp;" "&amp;دانش‌آموزان!F64)</f>
        <v>يونس عدالتي تبار</v>
      </c>
      <c r="F716" s="34">
        <f>IF(دانش‌آموزان!I64="","",دانش‌آموزان!I64)</f>
        <v>802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 hidden="1">
      <c r="A717" s="33">
        <v>713</v>
      </c>
      <c r="B717" s="55" t="s">
        <v>187</v>
      </c>
      <c r="C717" s="55">
        <f>IF(دانش‌آموزان!E64="","",دانش‌آموزان!B64)</f>
        <v>60</v>
      </c>
      <c r="D717" s="55" t="str">
        <f>IF(دانش‌آموزان!C64="","",دانش‌آموزان!C64)</f>
        <v>0960546928</v>
      </c>
      <c r="E717" s="55" t="str">
        <f>IF(دانش‌آموزان!E64="","",دانش‌آموزان!E64&amp;" "&amp;دانش‌آموزان!F64)</f>
        <v>يونس عدالتي تبار</v>
      </c>
      <c r="F717" s="34">
        <f>IF(دانش‌آموزان!I64="","",دانش‌آموزان!I64)</f>
        <v>802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 hidden="1">
      <c r="A718" s="33">
        <v>714</v>
      </c>
      <c r="B718" s="55" t="s">
        <v>188</v>
      </c>
      <c r="C718" s="55">
        <f>IF(دانش‌آموزان!E64="","",دانش‌آموزان!B64)</f>
        <v>60</v>
      </c>
      <c r="D718" s="55" t="str">
        <f>IF(دانش‌آموزان!C64="","",دانش‌آموزان!C64)</f>
        <v>0960546928</v>
      </c>
      <c r="E718" s="55" t="str">
        <f>IF(دانش‌آموزان!E64="","",دانش‌آموزان!E64&amp;" "&amp;دانش‌آموزان!F64)</f>
        <v>يونس عدالتي تبار</v>
      </c>
      <c r="F718" s="34">
        <f>IF(دانش‌آموزان!I64="","",دانش‌آموزان!I64)</f>
        <v>802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 hidden="1">
      <c r="A719" s="33">
        <v>715</v>
      </c>
      <c r="B719" s="55" t="s">
        <v>189</v>
      </c>
      <c r="C719" s="55">
        <f>IF(دانش‌آموزان!E64="","",دانش‌آموزان!B64)</f>
        <v>60</v>
      </c>
      <c r="D719" s="55" t="str">
        <f>IF(دانش‌آموزان!C64="","",دانش‌آموزان!C64)</f>
        <v>0960546928</v>
      </c>
      <c r="E719" s="55" t="str">
        <f>IF(دانش‌آموزان!E64="","",دانش‌آموزان!E64&amp;" "&amp;دانش‌آموزان!F64)</f>
        <v>يونس عدالتي تبار</v>
      </c>
      <c r="F719" s="34">
        <f>IF(دانش‌آموزان!I64="","",دانش‌آموزان!I64)</f>
        <v>802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 hidden="1">
      <c r="A720" s="33">
        <v>716</v>
      </c>
      <c r="B720" s="55" t="s">
        <v>190</v>
      </c>
      <c r="C720" s="55">
        <f>IF(دانش‌آموزان!E64="","",دانش‌آموزان!B64)</f>
        <v>60</v>
      </c>
      <c r="D720" s="55" t="str">
        <f>IF(دانش‌آموزان!C64="","",دانش‌آموزان!C64)</f>
        <v>0960546928</v>
      </c>
      <c r="E720" s="55" t="str">
        <f>IF(دانش‌آموزان!E64="","",دانش‌آموزان!E64&amp;" "&amp;دانش‌آموزان!F64)</f>
        <v>يونس عدالتي تبار</v>
      </c>
      <c r="F720" s="34">
        <f>IF(دانش‌آموزان!I64="","",دانش‌آموزان!I64)</f>
        <v>802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 hidden="1">
      <c r="A721" s="33">
        <v>717</v>
      </c>
      <c r="B721" s="55" t="s">
        <v>191</v>
      </c>
      <c r="C721" s="55">
        <f>IF(دانش‌آموزان!E64="","",دانش‌آموزان!B64)</f>
        <v>60</v>
      </c>
      <c r="D721" s="55" t="str">
        <f>IF(دانش‌آموزان!C64="","",دانش‌آموزان!C64)</f>
        <v>0960546928</v>
      </c>
      <c r="E721" s="55" t="str">
        <f>IF(دانش‌آموزان!E64="","",دانش‌آموزان!E64&amp;" "&amp;دانش‌آموزان!F64)</f>
        <v>يونس عدالتي تبار</v>
      </c>
      <c r="F721" s="34">
        <f>IF(دانش‌آموزان!I64="","",دانش‌آموزان!I64)</f>
        <v>802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 hidden="1">
      <c r="A722" s="33">
        <v>718</v>
      </c>
      <c r="B722" s="55" t="s">
        <v>192</v>
      </c>
      <c r="C722" s="55">
        <f>IF(دانش‌آموزان!E64="","",دانش‌آموزان!B64)</f>
        <v>60</v>
      </c>
      <c r="D722" s="55" t="str">
        <f>IF(دانش‌آموزان!C64="","",دانش‌آموزان!C64)</f>
        <v>0960546928</v>
      </c>
      <c r="E722" s="55" t="str">
        <f>IF(دانش‌آموزان!E64="","",دانش‌آموزان!E64&amp;" "&amp;دانش‌آموزان!F64)</f>
        <v>يونس عدالتي تبار</v>
      </c>
      <c r="F722" s="34">
        <f>IF(دانش‌آموزان!I64="","",دانش‌آموزان!I64)</f>
        <v>802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 hidden="1">
      <c r="A723" s="33">
        <v>719</v>
      </c>
      <c r="B723" s="55" t="s">
        <v>193</v>
      </c>
      <c r="C723" s="55">
        <f>IF(دانش‌آموزان!E64="","",دانش‌آموزان!B64)</f>
        <v>60</v>
      </c>
      <c r="D723" s="55" t="str">
        <f>IF(دانش‌آموزان!C64="","",دانش‌آموزان!C64)</f>
        <v>0960546928</v>
      </c>
      <c r="E723" s="55" t="str">
        <f>IF(دانش‌آموزان!E64="","",دانش‌آموزان!E64&amp;" "&amp;دانش‌آموزان!F64)</f>
        <v>يونس عدالتي تبار</v>
      </c>
      <c r="F723" s="34">
        <f>IF(دانش‌آموزان!I64="","",دانش‌آموزان!I64)</f>
        <v>802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 hidden="1">
      <c r="A724" s="33">
        <v>720</v>
      </c>
      <c r="B724" s="55" t="s">
        <v>194</v>
      </c>
      <c r="C724" s="55">
        <f>IF(دانش‌آموزان!E64="","",دانش‌آموزان!B64)</f>
        <v>60</v>
      </c>
      <c r="D724" s="55" t="str">
        <f>IF(دانش‌آموزان!C64="","",دانش‌آموزان!C64)</f>
        <v>0960546928</v>
      </c>
      <c r="E724" s="55" t="str">
        <f>IF(دانش‌آموزان!E64="","",دانش‌آموزان!E64&amp;" "&amp;دانش‌آموزان!F64)</f>
        <v>يونس عدالتي تبار</v>
      </c>
      <c r="F724" s="34">
        <f>IF(دانش‌آموزان!I64="","",دانش‌آموزان!I64)</f>
        <v>802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 hidden="1">
      <c r="A725" s="33">
        <v>721</v>
      </c>
      <c r="B725" s="55" t="s">
        <v>183</v>
      </c>
      <c r="C725" s="55">
        <f>IF(دانش‌آموزان!E65="","",دانش‌آموزان!B65)</f>
        <v>61</v>
      </c>
      <c r="D725" s="55" t="str">
        <f>IF(دانش‌آموزان!C65="","",دانش‌آموزان!C65)</f>
        <v>0970754353</v>
      </c>
      <c r="E725" s="55" t="str">
        <f>IF(دانش‌آموزان!E65="","",دانش‌آموزان!E65&amp;" "&amp;دانش‌آموزان!F65)</f>
        <v>سيدمحمدپارسا فرشچي</v>
      </c>
      <c r="F725" s="34">
        <f>IF(دانش‌آموزان!I65="","",دانش‌آموزان!I65)</f>
        <v>802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>
        <f t="shared" si="131"/>
        <v>0</v>
      </c>
      <c r="CP725" s="58"/>
    </row>
    <row r="726" spans="1:94" hidden="1">
      <c r="A726" s="33">
        <v>722</v>
      </c>
      <c r="B726" s="55" t="s">
        <v>184</v>
      </c>
      <c r="C726" s="55">
        <f>IF(دانش‌آموزان!E65="","",دانش‌آموزان!B65)</f>
        <v>61</v>
      </c>
      <c r="D726" s="55" t="str">
        <f>IF(دانش‌آموزان!C65="","",دانش‌آموزان!C65)</f>
        <v>0970754353</v>
      </c>
      <c r="E726" s="55" t="str">
        <f>IF(دانش‌آموزان!E65="","",دانش‌آموزان!E65&amp;" "&amp;دانش‌آموزان!F65)</f>
        <v>سيدمحمدپارسا فرشچي</v>
      </c>
      <c r="F726" s="34">
        <f>IF(دانش‌آموزان!I65="","",دانش‌آموزان!I65)</f>
        <v>802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>
        <f t="shared" si="131"/>
        <v>0</v>
      </c>
      <c r="CP726" s="58"/>
    </row>
    <row r="727" spans="1:94">
      <c r="A727" s="33">
        <v>723</v>
      </c>
      <c r="B727" s="55" t="s">
        <v>185</v>
      </c>
      <c r="C727" s="55">
        <f>IF(دانش‌آموزان!E65="","",دانش‌آموزان!B65)</f>
        <v>61</v>
      </c>
      <c r="D727" s="55" t="str">
        <f>IF(دانش‌آموزان!C65="","",دانش‌آموزان!C65)</f>
        <v>0970754353</v>
      </c>
      <c r="E727" s="55" t="str">
        <f>IF(دانش‌آموزان!E65="","",دانش‌آموزان!E65&amp;" "&amp;دانش‌آموزان!F65)</f>
        <v>سيدمحمدپارسا فرشچي</v>
      </c>
      <c r="F727" s="34">
        <f>IF(دانش‌آموزان!I65="","",دانش‌آموزان!I65)</f>
        <v>802</v>
      </c>
      <c r="G727" s="19">
        <v>19.61</v>
      </c>
      <c r="H727" s="20">
        <v>-12.61</v>
      </c>
      <c r="I727" s="20">
        <v>5</v>
      </c>
      <c r="J727" s="20">
        <v>5</v>
      </c>
      <c r="K727" s="20">
        <v>5</v>
      </c>
      <c r="L727" s="20">
        <v>5</v>
      </c>
      <c r="M727" s="20">
        <v>5</v>
      </c>
      <c r="N727" s="20">
        <v>5</v>
      </c>
      <c r="O727" s="20">
        <v>5</v>
      </c>
      <c r="P727" s="20">
        <v>5</v>
      </c>
      <c r="Q727" s="20">
        <v>5</v>
      </c>
      <c r="R727" s="20">
        <v>5</v>
      </c>
      <c r="S727" s="20">
        <v>5</v>
      </c>
      <c r="T727" s="20">
        <v>5</v>
      </c>
      <c r="U727" s="20">
        <v>5</v>
      </c>
      <c r="V727" s="20">
        <v>5</v>
      </c>
      <c r="W727" s="20">
        <v>5</v>
      </c>
      <c r="X727" s="20">
        <v>5</v>
      </c>
      <c r="Y727" s="20">
        <v>5</v>
      </c>
      <c r="Z727" s="20">
        <v>5</v>
      </c>
      <c r="AA727" s="20">
        <v>5</v>
      </c>
      <c r="AB727" s="20">
        <v>5</v>
      </c>
      <c r="AC727" s="20">
        <v>5</v>
      </c>
      <c r="AD727" s="20" t="s">
        <v>371</v>
      </c>
      <c r="AE727" s="20" t="s">
        <v>371</v>
      </c>
      <c r="AF727" s="20" t="s">
        <v>371</v>
      </c>
      <c r="AG727" s="20" t="s">
        <v>371</v>
      </c>
      <c r="AH727" s="20" t="s">
        <v>371</v>
      </c>
      <c r="AI727" s="20" t="s">
        <v>371</v>
      </c>
      <c r="AJ727" s="20">
        <v>5</v>
      </c>
      <c r="AK727" s="20">
        <v>5</v>
      </c>
      <c r="AL727" s="20">
        <v>5</v>
      </c>
      <c r="AM727" s="20">
        <v>5</v>
      </c>
      <c r="AN727" s="20">
        <v>5</v>
      </c>
      <c r="AO727" s="20">
        <v>5</v>
      </c>
      <c r="AP727" s="20">
        <v>5</v>
      </c>
      <c r="AQ727" s="20" t="s">
        <v>371</v>
      </c>
      <c r="AR727" s="20" t="s">
        <v>371</v>
      </c>
      <c r="AS727" s="20" t="s">
        <v>371</v>
      </c>
      <c r="AT727" s="20" t="s">
        <v>371</v>
      </c>
      <c r="AU727" s="20" t="s">
        <v>371</v>
      </c>
      <c r="AV727" s="20" t="s">
        <v>371</v>
      </c>
      <c r="AW727" s="20" t="s">
        <v>371</v>
      </c>
      <c r="AX727" s="20" t="s">
        <v>371</v>
      </c>
      <c r="AY727" s="20" t="s">
        <v>371</v>
      </c>
      <c r="AZ727" s="20" t="s">
        <v>371</v>
      </c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>
        <f t="shared" si="121"/>
        <v>18.5</v>
      </c>
      <c r="CD727" s="38">
        <f t="shared" si="122"/>
        <v>20</v>
      </c>
      <c r="CE727" s="38">
        <f t="shared" si="123"/>
        <v>20</v>
      </c>
      <c r="CF727" s="38">
        <f t="shared" si="124"/>
        <v>20</v>
      </c>
      <c r="CG727" s="38">
        <f t="shared" si="125"/>
        <v>20</v>
      </c>
      <c r="CH727" s="38" t="str">
        <f t="shared" si="126"/>
        <v/>
      </c>
      <c r="CI727" s="38">
        <f t="shared" si="127"/>
        <v>20</v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>موقت - اطلاعات ناقص</v>
      </c>
      <c r="CN727" s="38">
        <v>3</v>
      </c>
      <c r="CO727" s="28">
        <f t="shared" si="131"/>
        <v>0.65217391304347827</v>
      </c>
      <c r="CP727" s="58"/>
    </row>
    <row r="728" spans="1:94" hidden="1">
      <c r="A728" s="33">
        <v>724</v>
      </c>
      <c r="B728" s="55" t="s">
        <v>186</v>
      </c>
      <c r="C728" s="55">
        <f>IF(دانش‌آموزان!E65="","",دانش‌آموزان!B65)</f>
        <v>61</v>
      </c>
      <c r="D728" s="55" t="str">
        <f>IF(دانش‌آموزان!C65="","",دانش‌آموزان!C65)</f>
        <v>0970754353</v>
      </c>
      <c r="E728" s="55" t="str">
        <f>IF(دانش‌آموزان!E65="","",دانش‌آموزان!E65&amp;" "&amp;دانش‌آموزان!F65)</f>
        <v>سيدمحمدپارسا فرشچي</v>
      </c>
      <c r="F728" s="34">
        <f>IF(دانش‌آموزان!I65="","",دانش‌آموزان!I65)</f>
        <v>802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>
        <f t="shared" si="131"/>
        <v>0</v>
      </c>
      <c r="CP728" s="58"/>
    </row>
    <row r="729" spans="1:94" hidden="1">
      <c r="A729" s="33">
        <v>725</v>
      </c>
      <c r="B729" s="55" t="s">
        <v>187</v>
      </c>
      <c r="C729" s="55">
        <f>IF(دانش‌آموزان!E65="","",دانش‌آموزان!B65)</f>
        <v>61</v>
      </c>
      <c r="D729" s="55" t="str">
        <f>IF(دانش‌آموزان!C65="","",دانش‌آموزان!C65)</f>
        <v>0970754353</v>
      </c>
      <c r="E729" s="55" t="str">
        <f>IF(دانش‌آموزان!E65="","",دانش‌آموزان!E65&amp;" "&amp;دانش‌آموزان!F65)</f>
        <v>سيدمحمدپارسا فرشچي</v>
      </c>
      <c r="F729" s="34">
        <f>IF(دانش‌آموزان!I65="","",دانش‌آموزان!I65)</f>
        <v>802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>
        <f t="shared" si="131"/>
        <v>0</v>
      </c>
      <c r="CP729" s="58"/>
    </row>
    <row r="730" spans="1:94" hidden="1">
      <c r="A730" s="33">
        <v>726</v>
      </c>
      <c r="B730" s="55" t="s">
        <v>188</v>
      </c>
      <c r="C730" s="55">
        <f>IF(دانش‌آموزان!E65="","",دانش‌آموزان!B65)</f>
        <v>61</v>
      </c>
      <c r="D730" s="55" t="str">
        <f>IF(دانش‌آموزان!C65="","",دانش‌آموزان!C65)</f>
        <v>0970754353</v>
      </c>
      <c r="E730" s="55" t="str">
        <f>IF(دانش‌آموزان!E65="","",دانش‌آموزان!E65&amp;" "&amp;دانش‌آموزان!F65)</f>
        <v>سيدمحمدپارسا فرشچي</v>
      </c>
      <c r="F730" s="34">
        <f>IF(دانش‌آموزان!I65="","",دانش‌آموزان!I65)</f>
        <v>802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>
        <f t="shared" si="131"/>
        <v>0</v>
      </c>
      <c r="CP730" s="58"/>
    </row>
    <row r="731" spans="1:94" hidden="1">
      <c r="A731" s="33">
        <v>727</v>
      </c>
      <c r="B731" s="55" t="s">
        <v>189</v>
      </c>
      <c r="C731" s="55">
        <f>IF(دانش‌آموزان!E65="","",دانش‌آموزان!B65)</f>
        <v>61</v>
      </c>
      <c r="D731" s="55" t="str">
        <f>IF(دانش‌آموزان!C65="","",دانش‌آموزان!C65)</f>
        <v>0970754353</v>
      </c>
      <c r="E731" s="55" t="str">
        <f>IF(دانش‌آموزان!E65="","",دانش‌آموزان!E65&amp;" "&amp;دانش‌آموزان!F65)</f>
        <v>سيدمحمدپارسا فرشچي</v>
      </c>
      <c r="F731" s="34">
        <f>IF(دانش‌آموزان!I65="","",دانش‌آموزان!I65)</f>
        <v>802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>
        <f t="shared" si="131"/>
        <v>0</v>
      </c>
      <c r="CP731" s="58"/>
    </row>
    <row r="732" spans="1:94" hidden="1">
      <c r="A732" s="33">
        <v>728</v>
      </c>
      <c r="B732" s="55" t="s">
        <v>190</v>
      </c>
      <c r="C732" s="55">
        <f>IF(دانش‌آموزان!E65="","",دانش‌آموزان!B65)</f>
        <v>61</v>
      </c>
      <c r="D732" s="55" t="str">
        <f>IF(دانش‌آموزان!C65="","",دانش‌آموزان!C65)</f>
        <v>0970754353</v>
      </c>
      <c r="E732" s="55" t="str">
        <f>IF(دانش‌آموزان!E65="","",دانش‌آموزان!E65&amp;" "&amp;دانش‌آموزان!F65)</f>
        <v>سيدمحمدپارسا فرشچي</v>
      </c>
      <c r="F732" s="34">
        <f>IF(دانش‌آموزان!I65="","",دانش‌آموزان!I65)</f>
        <v>802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>
        <f t="shared" si="131"/>
        <v>0</v>
      </c>
      <c r="CP732" s="58"/>
    </row>
    <row r="733" spans="1:94" hidden="1">
      <c r="A733" s="33">
        <v>729</v>
      </c>
      <c r="B733" s="55" t="s">
        <v>191</v>
      </c>
      <c r="C733" s="55">
        <f>IF(دانش‌آموزان!E65="","",دانش‌آموزان!B65)</f>
        <v>61</v>
      </c>
      <c r="D733" s="55" t="str">
        <f>IF(دانش‌آموزان!C65="","",دانش‌آموزان!C65)</f>
        <v>0970754353</v>
      </c>
      <c r="E733" s="55" t="str">
        <f>IF(دانش‌آموزان!E65="","",دانش‌آموزان!E65&amp;" "&amp;دانش‌آموزان!F65)</f>
        <v>سيدمحمدپارسا فرشچي</v>
      </c>
      <c r="F733" s="34">
        <f>IF(دانش‌آموزان!I65="","",دانش‌آموزان!I65)</f>
        <v>802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>
        <f t="shared" si="131"/>
        <v>0</v>
      </c>
      <c r="CP733" s="58"/>
    </row>
    <row r="734" spans="1:94" hidden="1">
      <c r="A734" s="33">
        <v>730</v>
      </c>
      <c r="B734" s="55" t="s">
        <v>192</v>
      </c>
      <c r="C734" s="55">
        <f>IF(دانش‌آموزان!E65="","",دانش‌آموزان!B65)</f>
        <v>61</v>
      </c>
      <c r="D734" s="55" t="str">
        <f>IF(دانش‌آموزان!C65="","",دانش‌آموزان!C65)</f>
        <v>0970754353</v>
      </c>
      <c r="E734" s="55" t="str">
        <f>IF(دانش‌آموزان!E65="","",دانش‌آموزان!E65&amp;" "&amp;دانش‌آموزان!F65)</f>
        <v>سيدمحمدپارسا فرشچي</v>
      </c>
      <c r="F734" s="34">
        <f>IF(دانش‌آموزان!I65="","",دانش‌آموزان!I65)</f>
        <v>802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>
        <f t="shared" si="131"/>
        <v>0</v>
      </c>
      <c r="CP734" s="58"/>
    </row>
    <row r="735" spans="1:94" hidden="1">
      <c r="A735" s="33">
        <v>731</v>
      </c>
      <c r="B735" s="55" t="s">
        <v>193</v>
      </c>
      <c r="C735" s="55">
        <f>IF(دانش‌آموزان!E65="","",دانش‌آموزان!B65)</f>
        <v>61</v>
      </c>
      <c r="D735" s="55" t="str">
        <f>IF(دانش‌آموزان!C65="","",دانش‌آموزان!C65)</f>
        <v>0970754353</v>
      </c>
      <c r="E735" s="55" t="str">
        <f>IF(دانش‌آموزان!E65="","",دانش‌آموزان!E65&amp;" "&amp;دانش‌آموزان!F65)</f>
        <v>سيدمحمدپارسا فرشچي</v>
      </c>
      <c r="F735" s="34">
        <f>IF(دانش‌آموزان!I65="","",دانش‌آموزان!I65)</f>
        <v>802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>
        <f t="shared" si="131"/>
        <v>0</v>
      </c>
      <c r="CP735" s="58"/>
    </row>
    <row r="736" spans="1:94" hidden="1">
      <c r="A736" s="33">
        <v>732</v>
      </c>
      <c r="B736" s="55" t="s">
        <v>194</v>
      </c>
      <c r="C736" s="55">
        <f>IF(دانش‌آموزان!E65="","",دانش‌آموزان!B65)</f>
        <v>61</v>
      </c>
      <c r="D736" s="55" t="str">
        <f>IF(دانش‌آموزان!C65="","",دانش‌آموزان!C65)</f>
        <v>0970754353</v>
      </c>
      <c r="E736" s="55" t="str">
        <f>IF(دانش‌آموزان!E65="","",دانش‌آموزان!E65&amp;" "&amp;دانش‌آموزان!F65)</f>
        <v>سيدمحمدپارسا فرشچي</v>
      </c>
      <c r="F736" s="34">
        <f>IF(دانش‌آموزان!I65="","",دانش‌آموزان!I65)</f>
        <v>802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>
        <f t="shared" si="131"/>
        <v>0</v>
      </c>
      <c r="CP736" s="58"/>
    </row>
    <row r="737" spans="1:94" hidden="1">
      <c r="A737" s="33">
        <v>733</v>
      </c>
      <c r="B737" s="55" t="s">
        <v>183</v>
      </c>
      <c r="C737" s="55">
        <f>IF(دانش‌آموزان!E66="","",دانش‌آموزان!B66)</f>
        <v>62</v>
      </c>
      <c r="D737" s="55" t="str">
        <f>IF(دانش‌آموزان!C66="","",دانش‌آموزان!C66)</f>
        <v>0970881649</v>
      </c>
      <c r="E737" s="55" t="str">
        <f>IF(دانش‌آموزان!E66="","",دانش‌آموزان!E66&amp;" "&amp;دانش‌آموزان!F66)</f>
        <v>اميركيان قرباني مقدم</v>
      </c>
      <c r="F737" s="34">
        <f>IF(دانش‌آموزان!I66="","",دانش‌آموزان!I66)</f>
        <v>802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>
        <f t="shared" si="131"/>
        <v>0</v>
      </c>
      <c r="CP737" s="58"/>
    </row>
    <row r="738" spans="1:94" hidden="1">
      <c r="A738" s="33">
        <v>734</v>
      </c>
      <c r="B738" s="55" t="s">
        <v>184</v>
      </c>
      <c r="C738" s="55">
        <f>IF(دانش‌آموزان!E66="","",دانش‌آموزان!B66)</f>
        <v>62</v>
      </c>
      <c r="D738" s="55" t="str">
        <f>IF(دانش‌آموزان!C66="","",دانش‌آموزان!C66)</f>
        <v>0970881649</v>
      </c>
      <c r="E738" s="55" t="str">
        <f>IF(دانش‌آموزان!E66="","",دانش‌آموزان!E66&amp;" "&amp;دانش‌آموزان!F66)</f>
        <v>اميركيان قرباني مقدم</v>
      </c>
      <c r="F738" s="34">
        <f>IF(دانش‌آموزان!I66="","",دانش‌آموزان!I66)</f>
        <v>802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>
        <f t="shared" si="131"/>
        <v>0</v>
      </c>
      <c r="CP738" s="58"/>
    </row>
    <row r="739" spans="1:94">
      <c r="A739" s="33">
        <v>735</v>
      </c>
      <c r="B739" s="55" t="s">
        <v>185</v>
      </c>
      <c r="C739" s="55">
        <f>IF(دانش‌آموزان!E66="","",دانش‌آموزان!B66)</f>
        <v>62</v>
      </c>
      <c r="D739" s="55" t="str">
        <f>IF(دانش‌آموزان!C66="","",دانش‌آموزان!C66)</f>
        <v>0970881649</v>
      </c>
      <c r="E739" s="55" t="str">
        <f>IF(دانش‌آموزان!E66="","",دانش‌آموزان!E66&amp;" "&amp;دانش‌آموزان!F66)</f>
        <v>اميركيان قرباني مقدم</v>
      </c>
      <c r="F739" s="34">
        <f>IF(دانش‌آموزان!I66="","",دانش‌آموزان!I66)</f>
        <v>802</v>
      </c>
      <c r="G739" s="19">
        <v>19.88</v>
      </c>
      <c r="H739" s="20">
        <v>-5.879999999999999</v>
      </c>
      <c r="I739" s="20">
        <v>5</v>
      </c>
      <c r="J739" s="20">
        <v>5</v>
      </c>
      <c r="K739" s="20">
        <v>5</v>
      </c>
      <c r="L739" s="20">
        <v>5</v>
      </c>
      <c r="M739" s="20">
        <v>5</v>
      </c>
      <c r="N739" s="20">
        <v>5</v>
      </c>
      <c r="O739" s="20">
        <v>5</v>
      </c>
      <c r="P739" s="20">
        <v>5</v>
      </c>
      <c r="Q739" s="20">
        <v>5</v>
      </c>
      <c r="R739" s="20">
        <v>5</v>
      </c>
      <c r="S739" s="20">
        <v>5</v>
      </c>
      <c r="T739" s="20">
        <v>5</v>
      </c>
      <c r="U739" s="20">
        <v>5</v>
      </c>
      <c r="V739" s="20">
        <v>5</v>
      </c>
      <c r="W739" s="20">
        <v>5</v>
      </c>
      <c r="X739" s="20">
        <v>5</v>
      </c>
      <c r="Y739" s="20">
        <v>5</v>
      </c>
      <c r="Z739" s="20">
        <v>5</v>
      </c>
      <c r="AA739" s="20">
        <v>5</v>
      </c>
      <c r="AB739" s="20">
        <v>5</v>
      </c>
      <c r="AC739" s="20">
        <v>5</v>
      </c>
      <c r="AD739" s="20" t="s">
        <v>371</v>
      </c>
      <c r="AE739" s="20" t="s">
        <v>371</v>
      </c>
      <c r="AF739" s="20" t="s">
        <v>371</v>
      </c>
      <c r="AG739" s="20" t="s">
        <v>371</v>
      </c>
      <c r="AH739" s="20" t="s">
        <v>371</v>
      </c>
      <c r="AI739" s="20" t="s">
        <v>371</v>
      </c>
      <c r="AJ739" s="20">
        <v>5</v>
      </c>
      <c r="AK739" s="20">
        <v>5</v>
      </c>
      <c r="AL739" s="20">
        <v>5</v>
      </c>
      <c r="AM739" s="20">
        <v>5</v>
      </c>
      <c r="AN739" s="20">
        <v>5</v>
      </c>
      <c r="AO739" s="20">
        <v>5</v>
      </c>
      <c r="AP739" s="20">
        <v>5</v>
      </c>
      <c r="AQ739" s="20" t="s">
        <v>371</v>
      </c>
      <c r="AR739" s="20" t="s">
        <v>371</v>
      </c>
      <c r="AS739" s="20" t="s">
        <v>371</v>
      </c>
      <c r="AT739" s="20" t="s">
        <v>371</v>
      </c>
      <c r="AU739" s="20" t="s">
        <v>371</v>
      </c>
      <c r="AV739" s="20" t="s">
        <v>371</v>
      </c>
      <c r="AW739" s="20" t="s">
        <v>371</v>
      </c>
      <c r="AX739" s="20" t="s">
        <v>371</v>
      </c>
      <c r="AY739" s="20" t="s">
        <v>371</v>
      </c>
      <c r="AZ739" s="20" t="s">
        <v>371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>
        <f t="shared" si="121"/>
        <v>22</v>
      </c>
      <c r="CD739" s="38">
        <f t="shared" si="122"/>
        <v>20</v>
      </c>
      <c r="CE739" s="38">
        <f t="shared" si="123"/>
        <v>20</v>
      </c>
      <c r="CF739" s="38">
        <f t="shared" si="124"/>
        <v>20</v>
      </c>
      <c r="CG739" s="38">
        <f t="shared" si="125"/>
        <v>20</v>
      </c>
      <c r="CH739" s="38" t="str">
        <f t="shared" si="126"/>
        <v/>
      </c>
      <c r="CI739" s="38">
        <f t="shared" si="127"/>
        <v>20</v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>موقت - اطلاعات ناقص</v>
      </c>
      <c r="CN739" s="38">
        <v>3</v>
      </c>
      <c r="CO739" s="28">
        <f t="shared" si="131"/>
        <v>0.65217391304347827</v>
      </c>
      <c r="CP739" s="58"/>
    </row>
    <row r="740" spans="1:94" hidden="1">
      <c r="A740" s="33">
        <v>736</v>
      </c>
      <c r="B740" s="55" t="s">
        <v>186</v>
      </c>
      <c r="C740" s="55">
        <f>IF(دانش‌آموزان!E66="","",دانش‌آموزان!B66)</f>
        <v>62</v>
      </c>
      <c r="D740" s="55" t="str">
        <f>IF(دانش‌آموزان!C66="","",دانش‌آموزان!C66)</f>
        <v>0970881649</v>
      </c>
      <c r="E740" s="55" t="str">
        <f>IF(دانش‌آموزان!E66="","",دانش‌آموزان!E66&amp;" "&amp;دانش‌آموزان!F66)</f>
        <v>اميركيان قرباني مقدم</v>
      </c>
      <c r="F740" s="34">
        <f>IF(دانش‌آموزان!I66="","",دانش‌آموزان!I66)</f>
        <v>802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>
        <f t="shared" si="131"/>
        <v>0</v>
      </c>
      <c r="CP740" s="58"/>
    </row>
    <row r="741" spans="1:94" hidden="1">
      <c r="A741" s="33">
        <v>737</v>
      </c>
      <c r="B741" s="55" t="s">
        <v>187</v>
      </c>
      <c r="C741" s="55">
        <f>IF(دانش‌آموزان!E66="","",دانش‌آموزان!B66)</f>
        <v>62</v>
      </c>
      <c r="D741" s="55" t="str">
        <f>IF(دانش‌آموزان!C66="","",دانش‌آموزان!C66)</f>
        <v>0970881649</v>
      </c>
      <c r="E741" s="55" t="str">
        <f>IF(دانش‌آموزان!E66="","",دانش‌آموزان!E66&amp;" "&amp;دانش‌آموزان!F66)</f>
        <v>اميركيان قرباني مقدم</v>
      </c>
      <c r="F741" s="34">
        <f>IF(دانش‌آموزان!I66="","",دانش‌آموزان!I66)</f>
        <v>802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>
        <f t="shared" si="131"/>
        <v>0</v>
      </c>
      <c r="CP741" s="58"/>
    </row>
    <row r="742" spans="1:94" hidden="1">
      <c r="A742" s="33">
        <v>738</v>
      </c>
      <c r="B742" s="55" t="s">
        <v>188</v>
      </c>
      <c r="C742" s="55">
        <f>IF(دانش‌آموزان!E66="","",دانش‌آموزان!B66)</f>
        <v>62</v>
      </c>
      <c r="D742" s="55" t="str">
        <f>IF(دانش‌آموزان!C66="","",دانش‌آموزان!C66)</f>
        <v>0970881649</v>
      </c>
      <c r="E742" s="55" t="str">
        <f>IF(دانش‌آموزان!E66="","",دانش‌آموزان!E66&amp;" "&amp;دانش‌آموزان!F66)</f>
        <v>اميركيان قرباني مقدم</v>
      </c>
      <c r="F742" s="34">
        <f>IF(دانش‌آموزان!I66="","",دانش‌آموزان!I66)</f>
        <v>802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>
        <f t="shared" si="131"/>
        <v>0</v>
      </c>
      <c r="CP742" s="58"/>
    </row>
    <row r="743" spans="1:94" hidden="1">
      <c r="A743" s="33">
        <v>739</v>
      </c>
      <c r="B743" s="55" t="s">
        <v>189</v>
      </c>
      <c r="C743" s="55">
        <f>IF(دانش‌آموزان!E66="","",دانش‌آموزان!B66)</f>
        <v>62</v>
      </c>
      <c r="D743" s="55" t="str">
        <f>IF(دانش‌آموزان!C66="","",دانش‌آموزان!C66)</f>
        <v>0970881649</v>
      </c>
      <c r="E743" s="55" t="str">
        <f>IF(دانش‌آموزان!E66="","",دانش‌آموزان!E66&amp;" "&amp;دانش‌آموزان!F66)</f>
        <v>اميركيان قرباني مقدم</v>
      </c>
      <c r="F743" s="34">
        <f>IF(دانش‌آموزان!I66="","",دانش‌آموزان!I66)</f>
        <v>802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>
        <f t="shared" si="131"/>
        <v>0</v>
      </c>
      <c r="CP743" s="58"/>
    </row>
    <row r="744" spans="1:94" hidden="1">
      <c r="A744" s="33">
        <v>740</v>
      </c>
      <c r="B744" s="55" t="s">
        <v>190</v>
      </c>
      <c r="C744" s="55">
        <f>IF(دانش‌آموزان!E66="","",دانش‌آموزان!B66)</f>
        <v>62</v>
      </c>
      <c r="D744" s="55" t="str">
        <f>IF(دانش‌آموزان!C66="","",دانش‌آموزان!C66)</f>
        <v>0970881649</v>
      </c>
      <c r="E744" s="55" t="str">
        <f>IF(دانش‌آموزان!E66="","",دانش‌آموزان!E66&amp;" "&amp;دانش‌آموزان!F66)</f>
        <v>اميركيان قرباني مقدم</v>
      </c>
      <c r="F744" s="34">
        <f>IF(دانش‌آموزان!I66="","",دانش‌آموزان!I66)</f>
        <v>802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>
        <f t="shared" si="131"/>
        <v>0</v>
      </c>
      <c r="CP744" s="58"/>
    </row>
    <row r="745" spans="1:94" hidden="1">
      <c r="A745" s="33">
        <v>741</v>
      </c>
      <c r="B745" s="55" t="s">
        <v>191</v>
      </c>
      <c r="C745" s="55">
        <f>IF(دانش‌آموزان!E66="","",دانش‌آموزان!B66)</f>
        <v>62</v>
      </c>
      <c r="D745" s="55" t="str">
        <f>IF(دانش‌آموزان!C66="","",دانش‌آموزان!C66)</f>
        <v>0970881649</v>
      </c>
      <c r="E745" s="55" t="str">
        <f>IF(دانش‌آموزان!E66="","",دانش‌آموزان!E66&amp;" "&amp;دانش‌آموزان!F66)</f>
        <v>اميركيان قرباني مقدم</v>
      </c>
      <c r="F745" s="34">
        <f>IF(دانش‌آموزان!I66="","",دانش‌آموزان!I66)</f>
        <v>802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>
        <f t="shared" si="131"/>
        <v>0</v>
      </c>
      <c r="CP745" s="58"/>
    </row>
    <row r="746" spans="1:94" hidden="1">
      <c r="A746" s="33">
        <v>742</v>
      </c>
      <c r="B746" s="55" t="s">
        <v>192</v>
      </c>
      <c r="C746" s="55">
        <f>IF(دانش‌آموزان!E66="","",دانش‌آموزان!B66)</f>
        <v>62</v>
      </c>
      <c r="D746" s="55" t="str">
        <f>IF(دانش‌آموزان!C66="","",دانش‌آموزان!C66)</f>
        <v>0970881649</v>
      </c>
      <c r="E746" s="55" t="str">
        <f>IF(دانش‌آموزان!E66="","",دانش‌آموزان!E66&amp;" "&amp;دانش‌آموزان!F66)</f>
        <v>اميركيان قرباني مقدم</v>
      </c>
      <c r="F746" s="34">
        <f>IF(دانش‌آموزان!I66="","",دانش‌آموزان!I66)</f>
        <v>802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>
        <f t="shared" si="131"/>
        <v>0</v>
      </c>
      <c r="CP746" s="58"/>
    </row>
    <row r="747" spans="1:94" hidden="1">
      <c r="A747" s="33">
        <v>743</v>
      </c>
      <c r="B747" s="55" t="s">
        <v>193</v>
      </c>
      <c r="C747" s="55">
        <f>IF(دانش‌آموزان!E66="","",دانش‌آموزان!B66)</f>
        <v>62</v>
      </c>
      <c r="D747" s="55" t="str">
        <f>IF(دانش‌آموزان!C66="","",دانش‌آموزان!C66)</f>
        <v>0970881649</v>
      </c>
      <c r="E747" s="55" t="str">
        <f>IF(دانش‌آموزان!E66="","",دانش‌آموزان!E66&amp;" "&amp;دانش‌آموزان!F66)</f>
        <v>اميركيان قرباني مقدم</v>
      </c>
      <c r="F747" s="34">
        <f>IF(دانش‌آموزان!I66="","",دانش‌آموزان!I66)</f>
        <v>802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>
        <f t="shared" si="131"/>
        <v>0</v>
      </c>
      <c r="CP747" s="58"/>
    </row>
    <row r="748" spans="1:94" hidden="1">
      <c r="A748" s="33">
        <v>744</v>
      </c>
      <c r="B748" s="55" t="s">
        <v>194</v>
      </c>
      <c r="C748" s="55">
        <f>IF(دانش‌آموزان!E66="","",دانش‌آموزان!B66)</f>
        <v>62</v>
      </c>
      <c r="D748" s="55" t="str">
        <f>IF(دانش‌آموزان!C66="","",دانش‌آموزان!C66)</f>
        <v>0970881649</v>
      </c>
      <c r="E748" s="55" t="str">
        <f>IF(دانش‌آموزان!E66="","",دانش‌آموزان!E66&amp;" "&amp;دانش‌آموزان!F66)</f>
        <v>اميركيان قرباني مقدم</v>
      </c>
      <c r="F748" s="34">
        <f>IF(دانش‌آموزان!I66="","",دانش‌آموزان!I66)</f>
        <v>802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>
        <f t="shared" si="131"/>
        <v>0</v>
      </c>
      <c r="CP748" s="58"/>
    </row>
    <row r="749" spans="1:94" hidden="1">
      <c r="A749" s="33">
        <v>745</v>
      </c>
      <c r="B749" s="55" t="s">
        <v>183</v>
      </c>
      <c r="C749" s="55">
        <f>IF(دانش‌آموزان!E67="","",دانش‌آموزان!B67)</f>
        <v>63</v>
      </c>
      <c r="D749" s="55" t="str">
        <f>IF(دانش‌آموزان!C67="","",دانش‌آموزان!C67)</f>
        <v>0980536839</v>
      </c>
      <c r="E749" s="55" t="str">
        <f>IF(دانش‌آموزان!E67="","",دانش‌آموزان!E67&amp;" "&amp;دانش‌آموزان!F67)</f>
        <v>اميرعلي كامكار سه قلعه</v>
      </c>
      <c r="F749" s="34">
        <f>IF(دانش‌آموزان!I67="","",دانش‌آموزان!I67)</f>
        <v>802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>
        <f t="shared" si="131"/>
        <v>0</v>
      </c>
      <c r="CP749" s="58"/>
    </row>
    <row r="750" spans="1:94" hidden="1">
      <c r="A750" s="33">
        <v>746</v>
      </c>
      <c r="B750" s="55" t="s">
        <v>184</v>
      </c>
      <c r="C750" s="55">
        <f>IF(دانش‌آموزان!E67="","",دانش‌آموزان!B67)</f>
        <v>63</v>
      </c>
      <c r="D750" s="55" t="str">
        <f>IF(دانش‌آموزان!C67="","",دانش‌آموزان!C67)</f>
        <v>0980536839</v>
      </c>
      <c r="E750" s="55" t="str">
        <f>IF(دانش‌آموزان!E67="","",دانش‌آموزان!E67&amp;" "&amp;دانش‌آموزان!F67)</f>
        <v>اميرعلي كامكار سه قلعه</v>
      </c>
      <c r="F750" s="34">
        <f>IF(دانش‌آموزان!I67="","",دانش‌آموزان!I67)</f>
        <v>802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>
        <f t="shared" si="131"/>
        <v>0</v>
      </c>
      <c r="CP750" s="58"/>
    </row>
    <row r="751" spans="1:94">
      <c r="A751" s="33">
        <v>747</v>
      </c>
      <c r="B751" s="55" t="s">
        <v>185</v>
      </c>
      <c r="C751" s="55">
        <f>IF(دانش‌آموزان!E67="","",دانش‌آموزان!B67)</f>
        <v>63</v>
      </c>
      <c r="D751" s="55" t="str">
        <f>IF(دانش‌آموزان!C67="","",دانش‌آموزان!C67)</f>
        <v>0980536839</v>
      </c>
      <c r="E751" s="55" t="str">
        <f>IF(دانش‌آموزان!E67="","",دانش‌آموزان!E67&amp;" "&amp;دانش‌آموزان!F67)</f>
        <v>اميرعلي كامكار سه قلعه</v>
      </c>
      <c r="F751" s="34">
        <f>IF(دانش‌آموزان!I67="","",دانش‌آموزان!I67)</f>
        <v>802</v>
      </c>
      <c r="G751" s="19">
        <v>20</v>
      </c>
      <c r="H751" s="20">
        <v>-5</v>
      </c>
      <c r="I751" s="20">
        <v>5</v>
      </c>
      <c r="J751" s="20">
        <v>5</v>
      </c>
      <c r="K751" s="20">
        <v>5</v>
      </c>
      <c r="L751" s="20">
        <v>5</v>
      </c>
      <c r="M751" s="20">
        <v>5</v>
      </c>
      <c r="N751" s="20">
        <v>5</v>
      </c>
      <c r="O751" s="20">
        <v>5</v>
      </c>
      <c r="P751" s="20">
        <v>5</v>
      </c>
      <c r="Q751" s="20">
        <v>5</v>
      </c>
      <c r="R751" s="20">
        <v>5</v>
      </c>
      <c r="S751" s="20">
        <v>5</v>
      </c>
      <c r="T751" s="20">
        <v>5</v>
      </c>
      <c r="U751" s="20">
        <v>5</v>
      </c>
      <c r="V751" s="20">
        <v>5</v>
      </c>
      <c r="W751" s="20">
        <v>5</v>
      </c>
      <c r="X751" s="20">
        <v>5</v>
      </c>
      <c r="Y751" s="20">
        <v>5</v>
      </c>
      <c r="Z751" s="20">
        <v>5</v>
      </c>
      <c r="AA751" s="20">
        <v>5</v>
      </c>
      <c r="AB751" s="20">
        <v>5</v>
      </c>
      <c r="AC751" s="20">
        <v>5</v>
      </c>
      <c r="AD751" s="20" t="s">
        <v>371</v>
      </c>
      <c r="AE751" s="20" t="s">
        <v>371</v>
      </c>
      <c r="AF751" s="20" t="s">
        <v>371</v>
      </c>
      <c r="AG751" s="20" t="s">
        <v>371</v>
      </c>
      <c r="AH751" s="20" t="s">
        <v>371</v>
      </c>
      <c r="AI751" s="20" t="s">
        <v>371</v>
      </c>
      <c r="AJ751" s="20">
        <v>5</v>
      </c>
      <c r="AK751" s="20">
        <v>5</v>
      </c>
      <c r="AL751" s="20">
        <v>5</v>
      </c>
      <c r="AM751" s="20">
        <v>5</v>
      </c>
      <c r="AN751" s="20">
        <v>5</v>
      </c>
      <c r="AO751" s="20">
        <v>5</v>
      </c>
      <c r="AP751" s="20">
        <v>5</v>
      </c>
      <c r="AQ751" s="20" t="s">
        <v>371</v>
      </c>
      <c r="AR751" s="20" t="s">
        <v>371</v>
      </c>
      <c r="AS751" s="20" t="s">
        <v>371</v>
      </c>
      <c r="AT751" s="20" t="s">
        <v>371</v>
      </c>
      <c r="AU751" s="20" t="s">
        <v>371</v>
      </c>
      <c r="AV751" s="20" t="s">
        <v>371</v>
      </c>
      <c r="AW751" s="20" t="s">
        <v>371</v>
      </c>
      <c r="AX751" s="20" t="s">
        <v>371</v>
      </c>
      <c r="AY751" s="20" t="s">
        <v>371</v>
      </c>
      <c r="AZ751" s="20" t="s">
        <v>371</v>
      </c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>
        <f t="shared" si="121"/>
        <v>22.5</v>
      </c>
      <c r="CD751" s="38">
        <f t="shared" si="122"/>
        <v>20</v>
      </c>
      <c r="CE751" s="38">
        <f t="shared" si="123"/>
        <v>20</v>
      </c>
      <c r="CF751" s="38">
        <f t="shared" si="124"/>
        <v>20</v>
      </c>
      <c r="CG751" s="38">
        <f t="shared" si="125"/>
        <v>20</v>
      </c>
      <c r="CH751" s="38" t="str">
        <f t="shared" si="126"/>
        <v/>
      </c>
      <c r="CI751" s="38">
        <f t="shared" si="127"/>
        <v>20</v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>موقت - اطلاعات ناقص</v>
      </c>
      <c r="CN751" s="38">
        <v>3</v>
      </c>
      <c r="CO751" s="28">
        <f t="shared" si="131"/>
        <v>0.65217391304347827</v>
      </c>
      <c r="CP751" s="58"/>
    </row>
    <row r="752" spans="1:94" hidden="1">
      <c r="A752" s="33">
        <v>748</v>
      </c>
      <c r="B752" s="55" t="s">
        <v>186</v>
      </c>
      <c r="C752" s="55">
        <f>IF(دانش‌آموزان!E67="","",دانش‌آموزان!B67)</f>
        <v>63</v>
      </c>
      <c r="D752" s="55" t="str">
        <f>IF(دانش‌آموزان!C67="","",دانش‌آموزان!C67)</f>
        <v>0980536839</v>
      </c>
      <c r="E752" s="55" t="str">
        <f>IF(دانش‌آموزان!E67="","",دانش‌آموزان!E67&amp;" "&amp;دانش‌آموزان!F67)</f>
        <v>اميرعلي كامكار سه قلعه</v>
      </c>
      <c r="F752" s="34">
        <f>IF(دانش‌آموزان!I67="","",دانش‌آموزان!I67)</f>
        <v>802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>
        <f t="shared" si="131"/>
        <v>0</v>
      </c>
      <c r="CP752" s="58"/>
    </row>
    <row r="753" spans="1:94" hidden="1">
      <c r="A753" s="33">
        <v>749</v>
      </c>
      <c r="B753" s="55" t="s">
        <v>187</v>
      </c>
      <c r="C753" s="55">
        <f>IF(دانش‌آموزان!E67="","",دانش‌آموزان!B67)</f>
        <v>63</v>
      </c>
      <c r="D753" s="55" t="str">
        <f>IF(دانش‌آموزان!C67="","",دانش‌آموزان!C67)</f>
        <v>0980536839</v>
      </c>
      <c r="E753" s="55" t="str">
        <f>IF(دانش‌آموزان!E67="","",دانش‌آموزان!E67&amp;" "&amp;دانش‌آموزان!F67)</f>
        <v>اميرعلي كامكار سه قلعه</v>
      </c>
      <c r="F753" s="34">
        <f>IF(دانش‌آموزان!I67="","",دانش‌آموزان!I67)</f>
        <v>802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>
        <f t="shared" si="131"/>
        <v>0</v>
      </c>
      <c r="CP753" s="58"/>
    </row>
    <row r="754" spans="1:94" hidden="1">
      <c r="A754" s="33">
        <v>750</v>
      </c>
      <c r="B754" s="55" t="s">
        <v>188</v>
      </c>
      <c r="C754" s="55">
        <f>IF(دانش‌آموزان!E67="","",دانش‌آموزان!B67)</f>
        <v>63</v>
      </c>
      <c r="D754" s="55" t="str">
        <f>IF(دانش‌آموزان!C67="","",دانش‌آموزان!C67)</f>
        <v>0980536839</v>
      </c>
      <c r="E754" s="55" t="str">
        <f>IF(دانش‌آموزان!E67="","",دانش‌آموزان!E67&amp;" "&amp;دانش‌آموزان!F67)</f>
        <v>اميرعلي كامكار سه قلعه</v>
      </c>
      <c r="F754" s="34">
        <f>IF(دانش‌آموزان!I67="","",دانش‌آموزان!I67)</f>
        <v>802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>
        <f t="shared" si="131"/>
        <v>0</v>
      </c>
      <c r="CP754" s="58"/>
    </row>
    <row r="755" spans="1:94" hidden="1">
      <c r="A755" s="33">
        <v>751</v>
      </c>
      <c r="B755" s="55" t="s">
        <v>189</v>
      </c>
      <c r="C755" s="55">
        <f>IF(دانش‌آموزان!E67="","",دانش‌آموزان!B67)</f>
        <v>63</v>
      </c>
      <c r="D755" s="55" t="str">
        <f>IF(دانش‌آموزان!C67="","",دانش‌آموزان!C67)</f>
        <v>0980536839</v>
      </c>
      <c r="E755" s="55" t="str">
        <f>IF(دانش‌آموزان!E67="","",دانش‌آموزان!E67&amp;" "&amp;دانش‌آموزان!F67)</f>
        <v>اميرعلي كامكار سه قلعه</v>
      </c>
      <c r="F755" s="34">
        <f>IF(دانش‌آموزان!I67="","",دانش‌آموزان!I67)</f>
        <v>802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>
        <f t="shared" si="131"/>
        <v>0</v>
      </c>
      <c r="CP755" s="58"/>
    </row>
    <row r="756" spans="1:94" hidden="1">
      <c r="A756" s="33">
        <v>752</v>
      </c>
      <c r="B756" s="55" t="s">
        <v>190</v>
      </c>
      <c r="C756" s="55">
        <f>IF(دانش‌آموزان!E67="","",دانش‌آموزان!B67)</f>
        <v>63</v>
      </c>
      <c r="D756" s="55" t="str">
        <f>IF(دانش‌آموزان!C67="","",دانش‌آموزان!C67)</f>
        <v>0980536839</v>
      </c>
      <c r="E756" s="55" t="str">
        <f>IF(دانش‌آموزان!E67="","",دانش‌آموزان!E67&amp;" "&amp;دانش‌آموزان!F67)</f>
        <v>اميرعلي كامكار سه قلعه</v>
      </c>
      <c r="F756" s="34">
        <f>IF(دانش‌آموزان!I67="","",دانش‌آموزان!I67)</f>
        <v>802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>
        <f t="shared" si="131"/>
        <v>0</v>
      </c>
      <c r="CP756" s="58"/>
    </row>
    <row r="757" spans="1:94" hidden="1">
      <c r="A757" s="33">
        <v>753</v>
      </c>
      <c r="B757" s="55" t="s">
        <v>191</v>
      </c>
      <c r="C757" s="55">
        <f>IF(دانش‌آموزان!E67="","",دانش‌آموزان!B67)</f>
        <v>63</v>
      </c>
      <c r="D757" s="55" t="str">
        <f>IF(دانش‌آموزان!C67="","",دانش‌آموزان!C67)</f>
        <v>0980536839</v>
      </c>
      <c r="E757" s="55" t="str">
        <f>IF(دانش‌آموزان!E67="","",دانش‌آموزان!E67&amp;" "&amp;دانش‌آموزان!F67)</f>
        <v>اميرعلي كامكار سه قلعه</v>
      </c>
      <c r="F757" s="34">
        <f>IF(دانش‌آموزان!I67="","",دانش‌آموزان!I67)</f>
        <v>802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>
        <f t="shared" si="131"/>
        <v>0</v>
      </c>
      <c r="CP757" s="58"/>
    </row>
    <row r="758" spans="1:94" hidden="1">
      <c r="A758" s="33">
        <v>754</v>
      </c>
      <c r="B758" s="55" t="s">
        <v>192</v>
      </c>
      <c r="C758" s="55">
        <f>IF(دانش‌آموزان!E67="","",دانش‌آموزان!B67)</f>
        <v>63</v>
      </c>
      <c r="D758" s="55" t="str">
        <f>IF(دانش‌آموزان!C67="","",دانش‌آموزان!C67)</f>
        <v>0980536839</v>
      </c>
      <c r="E758" s="55" t="str">
        <f>IF(دانش‌آموزان!E67="","",دانش‌آموزان!E67&amp;" "&amp;دانش‌آموزان!F67)</f>
        <v>اميرعلي كامكار سه قلعه</v>
      </c>
      <c r="F758" s="34">
        <f>IF(دانش‌آموزان!I67="","",دانش‌آموزان!I67)</f>
        <v>802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>
        <f t="shared" si="131"/>
        <v>0</v>
      </c>
      <c r="CP758" s="58"/>
    </row>
    <row r="759" spans="1:94" hidden="1">
      <c r="A759" s="33">
        <v>755</v>
      </c>
      <c r="B759" s="55" t="s">
        <v>193</v>
      </c>
      <c r="C759" s="55">
        <f>IF(دانش‌آموزان!E67="","",دانش‌آموزان!B67)</f>
        <v>63</v>
      </c>
      <c r="D759" s="55" t="str">
        <f>IF(دانش‌آموزان!C67="","",دانش‌آموزان!C67)</f>
        <v>0980536839</v>
      </c>
      <c r="E759" s="55" t="str">
        <f>IF(دانش‌آموزان!E67="","",دانش‌آموزان!E67&amp;" "&amp;دانش‌آموزان!F67)</f>
        <v>اميرعلي كامكار سه قلعه</v>
      </c>
      <c r="F759" s="34">
        <f>IF(دانش‌آموزان!I67="","",دانش‌آموزان!I67)</f>
        <v>802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>
        <f t="shared" si="131"/>
        <v>0</v>
      </c>
      <c r="CP759" s="58"/>
    </row>
    <row r="760" spans="1:94" hidden="1">
      <c r="A760" s="33">
        <v>756</v>
      </c>
      <c r="B760" s="55" t="s">
        <v>194</v>
      </c>
      <c r="C760" s="55">
        <f>IF(دانش‌آموزان!E67="","",دانش‌آموزان!B67)</f>
        <v>63</v>
      </c>
      <c r="D760" s="55" t="str">
        <f>IF(دانش‌آموزان!C67="","",دانش‌آموزان!C67)</f>
        <v>0980536839</v>
      </c>
      <c r="E760" s="55" t="str">
        <f>IF(دانش‌آموزان!E67="","",دانش‌آموزان!E67&amp;" "&amp;دانش‌آموزان!F67)</f>
        <v>اميرعلي كامكار سه قلعه</v>
      </c>
      <c r="F760" s="34">
        <f>IF(دانش‌آموزان!I67="","",دانش‌آموزان!I67)</f>
        <v>802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>
        <f t="shared" si="131"/>
        <v>0</v>
      </c>
      <c r="CP760" s="58"/>
    </row>
    <row r="761" spans="1:94" hidden="1">
      <c r="A761" s="33">
        <v>757</v>
      </c>
      <c r="B761" s="55" t="s">
        <v>183</v>
      </c>
      <c r="C761" s="55">
        <f>IF(دانش‌آموزان!E68="","",دانش‌آموزان!B68)</f>
        <v>64</v>
      </c>
      <c r="D761" s="55" t="str">
        <f>IF(دانش‌آموزان!C68="","",دانش‌آموزان!C68)</f>
        <v>0970811012</v>
      </c>
      <c r="E761" s="55" t="str">
        <f>IF(دانش‌آموزان!E68="","",دانش‌آموزان!E68&amp;" "&amp;دانش‌آموزان!F68)</f>
        <v>علي محمدي شكرانلويي</v>
      </c>
      <c r="F761" s="34">
        <f>IF(دانش‌آموزان!I68="","",دانش‌آموزان!I68)</f>
        <v>802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>
        <f t="shared" si="131"/>
        <v>0</v>
      </c>
      <c r="CP761" s="58"/>
    </row>
    <row r="762" spans="1:94" hidden="1">
      <c r="A762" s="33">
        <v>758</v>
      </c>
      <c r="B762" s="55" t="s">
        <v>184</v>
      </c>
      <c r="C762" s="55">
        <f>IF(دانش‌آموزان!E68="","",دانش‌آموزان!B68)</f>
        <v>64</v>
      </c>
      <c r="D762" s="55" t="str">
        <f>IF(دانش‌آموزان!C68="","",دانش‌آموزان!C68)</f>
        <v>0970811012</v>
      </c>
      <c r="E762" s="55" t="str">
        <f>IF(دانش‌آموزان!E68="","",دانش‌آموزان!E68&amp;" "&amp;دانش‌آموزان!F68)</f>
        <v>علي محمدي شكرانلويي</v>
      </c>
      <c r="F762" s="34">
        <f>IF(دانش‌آموزان!I68="","",دانش‌آموزان!I68)</f>
        <v>802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>
        <f t="shared" si="131"/>
        <v>0</v>
      </c>
      <c r="CP762" s="58"/>
    </row>
    <row r="763" spans="1:94">
      <c r="A763" s="33">
        <v>759</v>
      </c>
      <c r="B763" s="55" t="s">
        <v>185</v>
      </c>
      <c r="C763" s="55">
        <f>IF(دانش‌آموزان!E68="","",دانش‌آموزان!B68)</f>
        <v>64</v>
      </c>
      <c r="D763" s="55" t="str">
        <f>IF(دانش‌آموزان!C68="","",دانش‌آموزان!C68)</f>
        <v>0970811012</v>
      </c>
      <c r="E763" s="55" t="str">
        <f>IF(دانش‌آموزان!E68="","",دانش‌آموزان!E68&amp;" "&amp;دانش‌آموزان!F68)</f>
        <v>علي محمدي شكرانلويي</v>
      </c>
      <c r="F763" s="34">
        <f>IF(دانش‌آموزان!I68="","",دانش‌آموزان!I68)</f>
        <v>802</v>
      </c>
      <c r="G763" s="19">
        <v>19.95</v>
      </c>
      <c r="H763" s="20">
        <v>-4.9499999999999993</v>
      </c>
      <c r="I763" s="20">
        <v>5</v>
      </c>
      <c r="J763" s="20">
        <v>5</v>
      </c>
      <c r="K763" s="20">
        <v>5</v>
      </c>
      <c r="L763" s="20">
        <v>5</v>
      </c>
      <c r="M763" s="20">
        <v>5</v>
      </c>
      <c r="N763" s="20">
        <v>5</v>
      </c>
      <c r="O763" s="20">
        <v>5</v>
      </c>
      <c r="P763" s="20">
        <v>5</v>
      </c>
      <c r="Q763" s="20">
        <v>5</v>
      </c>
      <c r="R763" s="20">
        <v>5</v>
      </c>
      <c r="S763" s="20">
        <v>5</v>
      </c>
      <c r="T763" s="20">
        <v>5</v>
      </c>
      <c r="U763" s="20">
        <v>5</v>
      </c>
      <c r="V763" s="20">
        <v>5</v>
      </c>
      <c r="W763" s="20">
        <v>5</v>
      </c>
      <c r="X763" s="20">
        <v>5</v>
      </c>
      <c r="Y763" s="20">
        <v>5</v>
      </c>
      <c r="Z763" s="20">
        <v>5</v>
      </c>
      <c r="AA763" s="20">
        <v>5</v>
      </c>
      <c r="AB763" s="20">
        <v>5</v>
      </c>
      <c r="AC763" s="20">
        <v>5</v>
      </c>
      <c r="AD763" s="20" t="s">
        <v>371</v>
      </c>
      <c r="AE763" s="20" t="s">
        <v>371</v>
      </c>
      <c r="AF763" s="20" t="s">
        <v>371</v>
      </c>
      <c r="AG763" s="20" t="s">
        <v>371</v>
      </c>
      <c r="AH763" s="20" t="s">
        <v>371</v>
      </c>
      <c r="AI763" s="20" t="s">
        <v>371</v>
      </c>
      <c r="AJ763" s="20">
        <v>5</v>
      </c>
      <c r="AK763" s="20">
        <v>5</v>
      </c>
      <c r="AL763" s="20">
        <v>5</v>
      </c>
      <c r="AM763" s="20">
        <v>5</v>
      </c>
      <c r="AN763" s="20">
        <v>5</v>
      </c>
      <c r="AO763" s="20">
        <v>5</v>
      </c>
      <c r="AP763" s="20">
        <v>5</v>
      </c>
      <c r="AQ763" s="20" t="s">
        <v>371</v>
      </c>
      <c r="AR763" s="20" t="s">
        <v>371</v>
      </c>
      <c r="AS763" s="20" t="s">
        <v>371</v>
      </c>
      <c r="AT763" s="20" t="s">
        <v>371</v>
      </c>
      <c r="AU763" s="20" t="s">
        <v>371</v>
      </c>
      <c r="AV763" s="20" t="s">
        <v>371</v>
      </c>
      <c r="AW763" s="20" t="s">
        <v>371</v>
      </c>
      <c r="AX763" s="20" t="s">
        <v>371</v>
      </c>
      <c r="AY763" s="20" t="s">
        <v>371</v>
      </c>
      <c r="AZ763" s="20" t="s">
        <v>371</v>
      </c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>
        <f t="shared" si="121"/>
        <v>22.5</v>
      </c>
      <c r="CD763" s="38">
        <f t="shared" si="122"/>
        <v>20</v>
      </c>
      <c r="CE763" s="38">
        <f t="shared" si="123"/>
        <v>20</v>
      </c>
      <c r="CF763" s="38">
        <f t="shared" si="124"/>
        <v>20</v>
      </c>
      <c r="CG763" s="38">
        <f t="shared" si="125"/>
        <v>20</v>
      </c>
      <c r="CH763" s="38" t="str">
        <f t="shared" si="126"/>
        <v/>
      </c>
      <c r="CI763" s="38">
        <f t="shared" si="127"/>
        <v>20</v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>موقت - اطلاعات ناقص</v>
      </c>
      <c r="CN763" s="38">
        <v>3</v>
      </c>
      <c r="CO763" s="28">
        <f t="shared" si="131"/>
        <v>0.65217391304347827</v>
      </c>
      <c r="CP763" s="58"/>
    </row>
    <row r="764" spans="1:94" hidden="1">
      <c r="A764" s="33">
        <v>760</v>
      </c>
      <c r="B764" s="55" t="s">
        <v>186</v>
      </c>
      <c r="C764" s="55">
        <f>IF(دانش‌آموزان!E68="","",دانش‌آموزان!B68)</f>
        <v>64</v>
      </c>
      <c r="D764" s="55" t="str">
        <f>IF(دانش‌آموزان!C68="","",دانش‌آموزان!C68)</f>
        <v>0970811012</v>
      </c>
      <c r="E764" s="55" t="str">
        <f>IF(دانش‌آموزان!E68="","",دانش‌آموزان!E68&amp;" "&amp;دانش‌آموزان!F68)</f>
        <v>علي محمدي شكرانلويي</v>
      </c>
      <c r="F764" s="34">
        <f>IF(دانش‌آموزان!I68="","",دانش‌آموزان!I68)</f>
        <v>802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>
        <f t="shared" si="131"/>
        <v>0</v>
      </c>
      <c r="CP764" s="58"/>
    </row>
    <row r="765" spans="1:94" hidden="1">
      <c r="A765" s="33">
        <v>761</v>
      </c>
      <c r="B765" s="55" t="s">
        <v>187</v>
      </c>
      <c r="C765" s="55">
        <f>IF(دانش‌آموزان!E68="","",دانش‌آموزان!B68)</f>
        <v>64</v>
      </c>
      <c r="D765" s="55" t="str">
        <f>IF(دانش‌آموزان!C68="","",دانش‌آموزان!C68)</f>
        <v>0970811012</v>
      </c>
      <c r="E765" s="55" t="str">
        <f>IF(دانش‌آموزان!E68="","",دانش‌آموزان!E68&amp;" "&amp;دانش‌آموزان!F68)</f>
        <v>علي محمدي شكرانلويي</v>
      </c>
      <c r="F765" s="34">
        <f>IF(دانش‌آموزان!I68="","",دانش‌آموزان!I68)</f>
        <v>802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>
        <f t="shared" si="131"/>
        <v>0</v>
      </c>
      <c r="CP765" s="58"/>
    </row>
    <row r="766" spans="1:94" hidden="1">
      <c r="A766" s="33">
        <v>762</v>
      </c>
      <c r="B766" s="55" t="s">
        <v>188</v>
      </c>
      <c r="C766" s="55">
        <f>IF(دانش‌آموزان!E68="","",دانش‌آموزان!B68)</f>
        <v>64</v>
      </c>
      <c r="D766" s="55" t="str">
        <f>IF(دانش‌آموزان!C68="","",دانش‌آموزان!C68)</f>
        <v>0970811012</v>
      </c>
      <c r="E766" s="55" t="str">
        <f>IF(دانش‌آموزان!E68="","",دانش‌آموزان!E68&amp;" "&amp;دانش‌آموزان!F68)</f>
        <v>علي محمدي شكرانلويي</v>
      </c>
      <c r="F766" s="34">
        <f>IF(دانش‌آموزان!I68="","",دانش‌آموزان!I68)</f>
        <v>802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>
        <f t="shared" si="131"/>
        <v>0</v>
      </c>
      <c r="CP766" s="58"/>
    </row>
    <row r="767" spans="1:94" hidden="1">
      <c r="A767" s="33">
        <v>763</v>
      </c>
      <c r="B767" s="55" t="s">
        <v>189</v>
      </c>
      <c r="C767" s="55">
        <f>IF(دانش‌آموزان!E68="","",دانش‌آموزان!B68)</f>
        <v>64</v>
      </c>
      <c r="D767" s="55" t="str">
        <f>IF(دانش‌آموزان!C68="","",دانش‌آموزان!C68)</f>
        <v>0970811012</v>
      </c>
      <c r="E767" s="55" t="str">
        <f>IF(دانش‌آموزان!E68="","",دانش‌آموزان!E68&amp;" "&amp;دانش‌آموزان!F68)</f>
        <v>علي محمدي شكرانلويي</v>
      </c>
      <c r="F767" s="34">
        <f>IF(دانش‌آموزان!I68="","",دانش‌آموزان!I68)</f>
        <v>802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>
        <f t="shared" si="131"/>
        <v>0</v>
      </c>
      <c r="CP767" s="58"/>
    </row>
    <row r="768" spans="1:94" hidden="1">
      <c r="A768" s="33">
        <v>764</v>
      </c>
      <c r="B768" s="55" t="s">
        <v>190</v>
      </c>
      <c r="C768" s="55">
        <f>IF(دانش‌آموزان!E68="","",دانش‌آموزان!B68)</f>
        <v>64</v>
      </c>
      <c r="D768" s="55" t="str">
        <f>IF(دانش‌آموزان!C68="","",دانش‌آموزان!C68)</f>
        <v>0970811012</v>
      </c>
      <c r="E768" s="55" t="str">
        <f>IF(دانش‌آموزان!E68="","",دانش‌آموزان!E68&amp;" "&amp;دانش‌آموزان!F68)</f>
        <v>علي محمدي شكرانلويي</v>
      </c>
      <c r="F768" s="34">
        <f>IF(دانش‌آموزان!I68="","",دانش‌آموزان!I68)</f>
        <v>802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>
        <f t="shared" si="131"/>
        <v>0</v>
      </c>
      <c r="CP768" s="58"/>
    </row>
    <row r="769" spans="1:94" hidden="1">
      <c r="A769" s="33">
        <v>765</v>
      </c>
      <c r="B769" s="55" t="s">
        <v>191</v>
      </c>
      <c r="C769" s="55">
        <f>IF(دانش‌آموزان!E68="","",دانش‌آموزان!B68)</f>
        <v>64</v>
      </c>
      <c r="D769" s="55" t="str">
        <f>IF(دانش‌آموزان!C68="","",دانش‌آموزان!C68)</f>
        <v>0970811012</v>
      </c>
      <c r="E769" s="55" t="str">
        <f>IF(دانش‌آموزان!E68="","",دانش‌آموزان!E68&amp;" "&amp;دانش‌آموزان!F68)</f>
        <v>علي محمدي شكرانلويي</v>
      </c>
      <c r="F769" s="34">
        <f>IF(دانش‌آموزان!I68="","",دانش‌آموزان!I68)</f>
        <v>802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>
        <f t="shared" si="131"/>
        <v>0</v>
      </c>
      <c r="CP769" s="58"/>
    </row>
    <row r="770" spans="1:94" hidden="1">
      <c r="A770" s="33">
        <v>766</v>
      </c>
      <c r="B770" s="55" t="s">
        <v>192</v>
      </c>
      <c r="C770" s="55">
        <f>IF(دانش‌آموزان!E68="","",دانش‌آموزان!B68)</f>
        <v>64</v>
      </c>
      <c r="D770" s="55" t="str">
        <f>IF(دانش‌آموزان!C68="","",دانش‌آموزان!C68)</f>
        <v>0970811012</v>
      </c>
      <c r="E770" s="55" t="str">
        <f>IF(دانش‌آموزان!E68="","",دانش‌آموزان!E68&amp;" "&amp;دانش‌آموزان!F68)</f>
        <v>علي محمدي شكرانلويي</v>
      </c>
      <c r="F770" s="34">
        <f>IF(دانش‌آموزان!I68="","",دانش‌آموزان!I68)</f>
        <v>802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>
        <f t="shared" si="131"/>
        <v>0</v>
      </c>
      <c r="CP770" s="58"/>
    </row>
    <row r="771" spans="1:94" hidden="1">
      <c r="A771" s="33">
        <v>767</v>
      </c>
      <c r="B771" s="55" t="s">
        <v>193</v>
      </c>
      <c r="C771" s="55">
        <f>IF(دانش‌آموزان!E68="","",دانش‌آموزان!B68)</f>
        <v>64</v>
      </c>
      <c r="D771" s="55" t="str">
        <f>IF(دانش‌آموزان!C68="","",دانش‌آموزان!C68)</f>
        <v>0970811012</v>
      </c>
      <c r="E771" s="55" t="str">
        <f>IF(دانش‌آموزان!E68="","",دانش‌آموزان!E68&amp;" "&amp;دانش‌آموزان!F68)</f>
        <v>علي محمدي شكرانلويي</v>
      </c>
      <c r="F771" s="34">
        <f>IF(دانش‌آموزان!I68="","",دانش‌آموزان!I68)</f>
        <v>802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>
        <f t="shared" si="131"/>
        <v>0</v>
      </c>
      <c r="CP771" s="58"/>
    </row>
    <row r="772" spans="1:94" hidden="1">
      <c r="A772" s="33">
        <v>768</v>
      </c>
      <c r="B772" s="55" t="s">
        <v>194</v>
      </c>
      <c r="C772" s="55">
        <f>IF(دانش‌آموزان!E68="","",دانش‌آموزان!B68)</f>
        <v>64</v>
      </c>
      <c r="D772" s="55" t="str">
        <f>IF(دانش‌آموزان!C68="","",دانش‌آموزان!C68)</f>
        <v>0970811012</v>
      </c>
      <c r="E772" s="55" t="str">
        <f>IF(دانش‌آموزان!E68="","",دانش‌آموزان!E68&amp;" "&amp;دانش‌آموزان!F68)</f>
        <v>علي محمدي شكرانلويي</v>
      </c>
      <c r="F772" s="34">
        <f>IF(دانش‌آموزان!I68="","",دانش‌آموزان!I68)</f>
        <v>802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>
        <f t="shared" si="131"/>
        <v>0</v>
      </c>
      <c r="CP772" s="58"/>
    </row>
    <row r="773" spans="1:94" hidden="1">
      <c r="A773" s="33">
        <v>769</v>
      </c>
      <c r="B773" s="55" t="s">
        <v>183</v>
      </c>
      <c r="C773" s="55">
        <f>IF(دانش‌آموزان!E69="","",دانش‌آموزان!B69)</f>
        <v>65</v>
      </c>
      <c r="D773" s="55" t="str">
        <f>IF(دانش‌آموزان!C69="","",دانش‌آموزان!C69)</f>
        <v>0980566401</v>
      </c>
      <c r="E773" s="55" t="str">
        <f>IF(دانش‌آموزان!E69="","",دانش‌آموزان!E69&amp;" "&amp;دانش‌آموزان!F69)</f>
        <v>ايليا مشيري</v>
      </c>
      <c r="F773" s="34">
        <f>IF(دانش‌آموزان!I69="","",دانش‌آموزان!I69)</f>
        <v>802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>
        <f t="shared" ref="CO773:CO836" si="142">IF(C773="","",COUNT(G773:AZ773)/46)</f>
        <v>0</v>
      </c>
      <c r="CP773" s="58"/>
    </row>
    <row r="774" spans="1:94" hidden="1">
      <c r="A774" s="33">
        <v>770</v>
      </c>
      <c r="B774" s="55" t="s">
        <v>184</v>
      </c>
      <c r="C774" s="55">
        <f>IF(دانش‌آموزان!E69="","",دانش‌آموزان!B69)</f>
        <v>65</v>
      </c>
      <c r="D774" s="55" t="str">
        <f>IF(دانش‌آموزان!C69="","",دانش‌آموزان!C69)</f>
        <v>0980566401</v>
      </c>
      <c r="E774" s="55" t="str">
        <f>IF(دانش‌آموزان!E69="","",دانش‌آموزان!E69&amp;" "&amp;دانش‌آموزان!F69)</f>
        <v>ايليا مشيري</v>
      </c>
      <c r="F774" s="34">
        <f>IF(دانش‌آموزان!I69="","",دانش‌آموزان!I69)</f>
        <v>802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>
        <f t="shared" si="142"/>
        <v>0</v>
      </c>
      <c r="CP774" s="58"/>
    </row>
    <row r="775" spans="1:94">
      <c r="A775" s="33">
        <v>771</v>
      </c>
      <c r="B775" s="55" t="s">
        <v>185</v>
      </c>
      <c r="C775" s="55">
        <f>IF(دانش‌آموزان!E69="","",دانش‌آموزان!B69)</f>
        <v>65</v>
      </c>
      <c r="D775" s="55" t="str">
        <f>IF(دانش‌آموزان!C69="","",دانش‌آموزان!C69)</f>
        <v>0980566401</v>
      </c>
      <c r="E775" s="55" t="str">
        <f>IF(دانش‌آموزان!E69="","",دانش‌آموزان!E69&amp;" "&amp;دانش‌آموزان!F69)</f>
        <v>ايليا مشيري</v>
      </c>
      <c r="F775" s="34">
        <f>IF(دانش‌آموزان!I69="","",دانش‌آموزان!I69)</f>
        <v>802</v>
      </c>
      <c r="G775" s="19">
        <v>19.399999999999999</v>
      </c>
      <c r="H775" s="20">
        <v>-9.3999999999999986</v>
      </c>
      <c r="I775" s="20">
        <v>5</v>
      </c>
      <c r="J775" s="20">
        <v>5</v>
      </c>
      <c r="K775" s="20">
        <v>5</v>
      </c>
      <c r="L775" s="20">
        <v>5</v>
      </c>
      <c r="M775" s="20">
        <v>5</v>
      </c>
      <c r="N775" s="20">
        <v>5</v>
      </c>
      <c r="O775" s="20">
        <v>5</v>
      </c>
      <c r="P775" s="20">
        <v>5</v>
      </c>
      <c r="Q775" s="20">
        <v>5</v>
      </c>
      <c r="R775" s="20">
        <v>5</v>
      </c>
      <c r="S775" s="20">
        <v>5</v>
      </c>
      <c r="T775" s="20">
        <v>5</v>
      </c>
      <c r="U775" s="20">
        <v>5</v>
      </c>
      <c r="V775" s="20">
        <v>5</v>
      </c>
      <c r="W775" s="20">
        <v>5</v>
      </c>
      <c r="X775" s="20">
        <v>5</v>
      </c>
      <c r="Y775" s="20">
        <v>5</v>
      </c>
      <c r="Z775" s="20">
        <v>5</v>
      </c>
      <c r="AA775" s="20">
        <v>5</v>
      </c>
      <c r="AB775" s="20">
        <v>5</v>
      </c>
      <c r="AC775" s="20">
        <v>5</v>
      </c>
      <c r="AD775" s="20" t="s">
        <v>371</v>
      </c>
      <c r="AE775" s="20" t="s">
        <v>371</v>
      </c>
      <c r="AF775" s="20" t="s">
        <v>371</v>
      </c>
      <c r="AG775" s="20" t="s">
        <v>371</v>
      </c>
      <c r="AH775" s="20" t="s">
        <v>371</v>
      </c>
      <c r="AI775" s="20" t="s">
        <v>371</v>
      </c>
      <c r="AJ775" s="20">
        <v>5</v>
      </c>
      <c r="AK775" s="20">
        <v>5</v>
      </c>
      <c r="AL775" s="20">
        <v>5</v>
      </c>
      <c r="AM775" s="20">
        <v>5</v>
      </c>
      <c r="AN775" s="20">
        <v>5</v>
      </c>
      <c r="AO775" s="20">
        <v>5</v>
      </c>
      <c r="AP775" s="20">
        <v>5</v>
      </c>
      <c r="AQ775" s="20" t="s">
        <v>371</v>
      </c>
      <c r="AR775" s="20" t="s">
        <v>371</v>
      </c>
      <c r="AS775" s="20" t="s">
        <v>371</v>
      </c>
      <c r="AT775" s="20" t="s">
        <v>371</v>
      </c>
      <c r="AU775" s="20" t="s">
        <v>371</v>
      </c>
      <c r="AV775" s="20" t="s">
        <v>371</v>
      </c>
      <c r="AW775" s="20" t="s">
        <v>371</v>
      </c>
      <c r="AX775" s="20" t="s">
        <v>371</v>
      </c>
      <c r="AY775" s="20" t="s">
        <v>371</v>
      </c>
      <c r="AZ775" s="20" t="s">
        <v>371</v>
      </c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>
        <f t="shared" si="132"/>
        <v>20</v>
      </c>
      <c r="CD775" s="38">
        <f t="shared" si="133"/>
        <v>20</v>
      </c>
      <c r="CE775" s="38">
        <f t="shared" si="134"/>
        <v>20</v>
      </c>
      <c r="CF775" s="38">
        <f t="shared" si="135"/>
        <v>20</v>
      </c>
      <c r="CG775" s="38">
        <f t="shared" si="136"/>
        <v>20</v>
      </c>
      <c r="CH775" s="38" t="str">
        <f t="shared" si="137"/>
        <v/>
      </c>
      <c r="CI775" s="38">
        <f t="shared" si="138"/>
        <v>20</v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>موقت - اطلاعات ناقص</v>
      </c>
      <c r="CN775" s="38">
        <v>3</v>
      </c>
      <c r="CO775" s="28">
        <f t="shared" si="142"/>
        <v>0.65217391304347827</v>
      </c>
      <c r="CP775" s="58"/>
    </row>
    <row r="776" spans="1:94" hidden="1">
      <c r="A776" s="33">
        <v>772</v>
      </c>
      <c r="B776" s="55" t="s">
        <v>186</v>
      </c>
      <c r="C776" s="55">
        <f>IF(دانش‌آموزان!E69="","",دانش‌آموزان!B69)</f>
        <v>65</v>
      </c>
      <c r="D776" s="55" t="str">
        <f>IF(دانش‌آموزان!C69="","",دانش‌آموزان!C69)</f>
        <v>0980566401</v>
      </c>
      <c r="E776" s="55" t="str">
        <f>IF(دانش‌آموزان!E69="","",دانش‌آموزان!E69&amp;" "&amp;دانش‌آموزان!F69)</f>
        <v>ايليا مشيري</v>
      </c>
      <c r="F776" s="34">
        <f>IF(دانش‌آموزان!I69="","",دانش‌آموزان!I69)</f>
        <v>802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>
        <f t="shared" si="142"/>
        <v>0</v>
      </c>
      <c r="CP776" s="58"/>
    </row>
    <row r="777" spans="1:94" hidden="1">
      <c r="A777" s="33">
        <v>773</v>
      </c>
      <c r="B777" s="55" t="s">
        <v>187</v>
      </c>
      <c r="C777" s="55">
        <f>IF(دانش‌آموزان!E69="","",دانش‌آموزان!B69)</f>
        <v>65</v>
      </c>
      <c r="D777" s="55" t="str">
        <f>IF(دانش‌آموزان!C69="","",دانش‌آموزان!C69)</f>
        <v>0980566401</v>
      </c>
      <c r="E777" s="55" t="str">
        <f>IF(دانش‌آموزان!E69="","",دانش‌آموزان!E69&amp;" "&amp;دانش‌آموزان!F69)</f>
        <v>ايليا مشيري</v>
      </c>
      <c r="F777" s="34">
        <f>IF(دانش‌آموزان!I69="","",دانش‌آموزان!I69)</f>
        <v>802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>
        <f t="shared" si="142"/>
        <v>0</v>
      </c>
      <c r="CP777" s="58"/>
    </row>
    <row r="778" spans="1:94" hidden="1">
      <c r="A778" s="33">
        <v>774</v>
      </c>
      <c r="B778" s="55" t="s">
        <v>188</v>
      </c>
      <c r="C778" s="55">
        <f>IF(دانش‌آموزان!E69="","",دانش‌آموزان!B69)</f>
        <v>65</v>
      </c>
      <c r="D778" s="55" t="str">
        <f>IF(دانش‌آموزان!C69="","",دانش‌آموزان!C69)</f>
        <v>0980566401</v>
      </c>
      <c r="E778" s="55" t="str">
        <f>IF(دانش‌آموزان!E69="","",دانش‌آموزان!E69&amp;" "&amp;دانش‌آموزان!F69)</f>
        <v>ايليا مشيري</v>
      </c>
      <c r="F778" s="34">
        <f>IF(دانش‌آموزان!I69="","",دانش‌آموزان!I69)</f>
        <v>802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>
        <f t="shared" si="142"/>
        <v>0</v>
      </c>
      <c r="CP778" s="58"/>
    </row>
    <row r="779" spans="1:94" hidden="1">
      <c r="A779" s="33">
        <v>775</v>
      </c>
      <c r="B779" s="55" t="s">
        <v>189</v>
      </c>
      <c r="C779" s="55">
        <f>IF(دانش‌آموزان!E69="","",دانش‌آموزان!B69)</f>
        <v>65</v>
      </c>
      <c r="D779" s="55" t="str">
        <f>IF(دانش‌آموزان!C69="","",دانش‌آموزان!C69)</f>
        <v>0980566401</v>
      </c>
      <c r="E779" s="55" t="str">
        <f>IF(دانش‌آموزان!E69="","",دانش‌آموزان!E69&amp;" "&amp;دانش‌آموزان!F69)</f>
        <v>ايليا مشيري</v>
      </c>
      <c r="F779" s="34">
        <f>IF(دانش‌آموزان!I69="","",دانش‌آموزان!I69)</f>
        <v>802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>
        <f t="shared" si="142"/>
        <v>0</v>
      </c>
      <c r="CP779" s="58"/>
    </row>
    <row r="780" spans="1:94" hidden="1">
      <c r="A780" s="33">
        <v>776</v>
      </c>
      <c r="B780" s="55" t="s">
        <v>190</v>
      </c>
      <c r="C780" s="55">
        <f>IF(دانش‌آموزان!E69="","",دانش‌آموزان!B69)</f>
        <v>65</v>
      </c>
      <c r="D780" s="55" t="str">
        <f>IF(دانش‌آموزان!C69="","",دانش‌آموزان!C69)</f>
        <v>0980566401</v>
      </c>
      <c r="E780" s="55" t="str">
        <f>IF(دانش‌آموزان!E69="","",دانش‌آموزان!E69&amp;" "&amp;دانش‌آموزان!F69)</f>
        <v>ايليا مشيري</v>
      </c>
      <c r="F780" s="34">
        <f>IF(دانش‌آموزان!I69="","",دانش‌آموزان!I69)</f>
        <v>802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>
        <f t="shared" si="142"/>
        <v>0</v>
      </c>
      <c r="CP780" s="58"/>
    </row>
    <row r="781" spans="1:94" hidden="1">
      <c r="A781" s="33">
        <v>777</v>
      </c>
      <c r="B781" s="55" t="s">
        <v>191</v>
      </c>
      <c r="C781" s="55">
        <f>IF(دانش‌آموزان!E69="","",دانش‌آموزان!B69)</f>
        <v>65</v>
      </c>
      <c r="D781" s="55" t="str">
        <f>IF(دانش‌آموزان!C69="","",دانش‌آموزان!C69)</f>
        <v>0980566401</v>
      </c>
      <c r="E781" s="55" t="str">
        <f>IF(دانش‌آموزان!E69="","",دانش‌آموزان!E69&amp;" "&amp;دانش‌آموزان!F69)</f>
        <v>ايليا مشيري</v>
      </c>
      <c r="F781" s="34">
        <f>IF(دانش‌آموزان!I69="","",دانش‌آموزان!I69)</f>
        <v>802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>
        <f t="shared" si="142"/>
        <v>0</v>
      </c>
      <c r="CP781" s="58"/>
    </row>
    <row r="782" spans="1:94" hidden="1">
      <c r="A782" s="33">
        <v>778</v>
      </c>
      <c r="B782" s="55" t="s">
        <v>192</v>
      </c>
      <c r="C782" s="55">
        <f>IF(دانش‌آموزان!E69="","",دانش‌آموزان!B69)</f>
        <v>65</v>
      </c>
      <c r="D782" s="55" t="str">
        <f>IF(دانش‌آموزان!C69="","",دانش‌آموزان!C69)</f>
        <v>0980566401</v>
      </c>
      <c r="E782" s="55" t="str">
        <f>IF(دانش‌آموزان!E69="","",دانش‌آموزان!E69&amp;" "&amp;دانش‌آموزان!F69)</f>
        <v>ايليا مشيري</v>
      </c>
      <c r="F782" s="34">
        <f>IF(دانش‌آموزان!I69="","",دانش‌آموزان!I69)</f>
        <v>802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>
        <f t="shared" si="142"/>
        <v>0</v>
      </c>
      <c r="CP782" s="58"/>
    </row>
    <row r="783" spans="1:94" hidden="1">
      <c r="A783" s="33">
        <v>779</v>
      </c>
      <c r="B783" s="55" t="s">
        <v>193</v>
      </c>
      <c r="C783" s="55">
        <f>IF(دانش‌آموزان!E69="","",دانش‌آموزان!B69)</f>
        <v>65</v>
      </c>
      <c r="D783" s="55" t="str">
        <f>IF(دانش‌آموزان!C69="","",دانش‌آموزان!C69)</f>
        <v>0980566401</v>
      </c>
      <c r="E783" s="55" t="str">
        <f>IF(دانش‌آموزان!E69="","",دانش‌آموزان!E69&amp;" "&amp;دانش‌آموزان!F69)</f>
        <v>ايليا مشيري</v>
      </c>
      <c r="F783" s="34">
        <f>IF(دانش‌آموزان!I69="","",دانش‌آموزان!I69)</f>
        <v>802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>
        <f t="shared" si="142"/>
        <v>0</v>
      </c>
      <c r="CP783" s="58"/>
    </row>
    <row r="784" spans="1:94" hidden="1">
      <c r="A784" s="33">
        <v>780</v>
      </c>
      <c r="B784" s="55" t="s">
        <v>194</v>
      </c>
      <c r="C784" s="55">
        <f>IF(دانش‌آموزان!E69="","",دانش‌آموزان!B69)</f>
        <v>65</v>
      </c>
      <c r="D784" s="55" t="str">
        <f>IF(دانش‌آموزان!C69="","",دانش‌آموزان!C69)</f>
        <v>0980566401</v>
      </c>
      <c r="E784" s="55" t="str">
        <f>IF(دانش‌آموزان!E69="","",دانش‌آموزان!E69&amp;" "&amp;دانش‌آموزان!F69)</f>
        <v>ايليا مشيري</v>
      </c>
      <c r="F784" s="34">
        <f>IF(دانش‌آموزان!I69="","",دانش‌آموزان!I69)</f>
        <v>802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>
        <f t="shared" si="142"/>
        <v>0</v>
      </c>
      <c r="CP784" s="58"/>
    </row>
    <row r="785" spans="1:94" hidden="1">
      <c r="A785" s="33">
        <v>781</v>
      </c>
      <c r="B785" s="55" t="s">
        <v>183</v>
      </c>
      <c r="C785" s="55">
        <f>IF(دانش‌آموزان!E70="","",دانش‌آموزان!B70)</f>
        <v>66</v>
      </c>
      <c r="D785" s="55" t="str">
        <f>IF(دانش‌آموزان!C70="","",دانش‌آموزان!C70)</f>
        <v>0760725179</v>
      </c>
      <c r="E785" s="55" t="str">
        <f>IF(دانش‌آموزان!E70="","",دانش‌آموزان!E70&amp;" "&amp;دانش‌آموزان!F70)</f>
        <v>احمدرضا مصطفي پور</v>
      </c>
      <c r="F785" s="34">
        <f>IF(دانش‌آموزان!I70="","",دانش‌آموزان!I70)</f>
        <v>802</v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>
        <f t="shared" si="142"/>
        <v>0</v>
      </c>
      <c r="CP785" s="58"/>
    </row>
    <row r="786" spans="1:94" hidden="1">
      <c r="A786" s="33">
        <v>782</v>
      </c>
      <c r="B786" s="55" t="s">
        <v>184</v>
      </c>
      <c r="C786" s="55">
        <f>IF(دانش‌آموزان!E70="","",دانش‌آموزان!B70)</f>
        <v>66</v>
      </c>
      <c r="D786" s="55" t="str">
        <f>IF(دانش‌آموزان!C70="","",دانش‌آموزان!C70)</f>
        <v>0760725179</v>
      </c>
      <c r="E786" s="55" t="str">
        <f>IF(دانش‌آموزان!E70="","",دانش‌آموزان!E70&amp;" "&amp;دانش‌آموزان!F70)</f>
        <v>احمدرضا مصطفي پور</v>
      </c>
      <c r="F786" s="34">
        <f>IF(دانش‌آموزان!I70="","",دانش‌آموزان!I70)</f>
        <v>802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>
        <f t="shared" si="142"/>
        <v>0</v>
      </c>
      <c r="CP786" s="58"/>
    </row>
    <row r="787" spans="1:94">
      <c r="A787" s="33">
        <v>783</v>
      </c>
      <c r="B787" s="55" t="s">
        <v>185</v>
      </c>
      <c r="C787" s="55">
        <f>IF(دانش‌آموزان!E70="","",دانش‌آموزان!B70)</f>
        <v>66</v>
      </c>
      <c r="D787" s="55" t="str">
        <f>IF(دانش‌آموزان!C70="","",دانش‌آموزان!C70)</f>
        <v>0760725179</v>
      </c>
      <c r="E787" s="55" t="str">
        <f>IF(دانش‌آموزان!E70="","",دانش‌آموزان!E70&amp;" "&amp;دانش‌آموزان!F70)</f>
        <v>احمدرضا مصطفي پور</v>
      </c>
      <c r="F787" s="34">
        <f>IF(دانش‌آموزان!I70="","",دانش‌آموزان!I70)</f>
        <v>802</v>
      </c>
      <c r="G787" s="19">
        <v>19.760000000000002</v>
      </c>
      <c r="H787" s="20">
        <v>-10.760000000000002</v>
      </c>
      <c r="I787" s="20">
        <v>5</v>
      </c>
      <c r="J787" s="20">
        <v>5</v>
      </c>
      <c r="K787" s="20">
        <v>5</v>
      </c>
      <c r="L787" s="20">
        <v>5</v>
      </c>
      <c r="M787" s="20">
        <v>5</v>
      </c>
      <c r="N787" s="20">
        <v>5</v>
      </c>
      <c r="O787" s="20">
        <v>5</v>
      </c>
      <c r="P787" s="20">
        <v>5</v>
      </c>
      <c r="Q787" s="20">
        <v>5</v>
      </c>
      <c r="R787" s="20">
        <v>5</v>
      </c>
      <c r="S787" s="20">
        <v>5</v>
      </c>
      <c r="T787" s="20">
        <v>5</v>
      </c>
      <c r="U787" s="20">
        <v>5</v>
      </c>
      <c r="V787" s="20">
        <v>5</v>
      </c>
      <c r="W787" s="20">
        <v>5</v>
      </c>
      <c r="X787" s="20">
        <v>5</v>
      </c>
      <c r="Y787" s="20">
        <v>5</v>
      </c>
      <c r="Z787" s="20">
        <v>5</v>
      </c>
      <c r="AA787" s="20">
        <v>5</v>
      </c>
      <c r="AB787" s="20">
        <v>5</v>
      </c>
      <c r="AC787" s="20">
        <v>5</v>
      </c>
      <c r="AD787" s="20" t="s">
        <v>371</v>
      </c>
      <c r="AE787" s="20" t="s">
        <v>371</v>
      </c>
      <c r="AF787" s="20" t="s">
        <v>371</v>
      </c>
      <c r="AG787" s="20" t="s">
        <v>371</v>
      </c>
      <c r="AH787" s="20" t="s">
        <v>371</v>
      </c>
      <c r="AI787" s="20" t="s">
        <v>371</v>
      </c>
      <c r="AJ787" s="20">
        <v>5</v>
      </c>
      <c r="AK787" s="20">
        <v>5</v>
      </c>
      <c r="AL787" s="20">
        <v>5</v>
      </c>
      <c r="AM787" s="20">
        <v>5</v>
      </c>
      <c r="AN787" s="20">
        <v>5</v>
      </c>
      <c r="AO787" s="20">
        <v>5</v>
      </c>
      <c r="AP787" s="20">
        <v>5</v>
      </c>
      <c r="AQ787" s="20" t="s">
        <v>371</v>
      </c>
      <c r="AR787" s="20" t="s">
        <v>371</v>
      </c>
      <c r="AS787" s="20" t="s">
        <v>371</v>
      </c>
      <c r="AT787" s="20" t="s">
        <v>371</v>
      </c>
      <c r="AU787" s="20" t="s">
        <v>371</v>
      </c>
      <c r="AV787" s="20" t="s">
        <v>371</v>
      </c>
      <c r="AW787" s="20" t="s">
        <v>371</v>
      </c>
      <c r="AX787" s="20" t="s">
        <v>371</v>
      </c>
      <c r="AY787" s="20" t="s">
        <v>371</v>
      </c>
      <c r="AZ787" s="20" t="s">
        <v>371</v>
      </c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>
        <f t="shared" si="132"/>
        <v>19.5</v>
      </c>
      <c r="CD787" s="38">
        <f t="shared" si="133"/>
        <v>20</v>
      </c>
      <c r="CE787" s="38">
        <f t="shared" si="134"/>
        <v>20</v>
      </c>
      <c r="CF787" s="38">
        <f t="shared" si="135"/>
        <v>20</v>
      </c>
      <c r="CG787" s="38">
        <f t="shared" si="136"/>
        <v>20</v>
      </c>
      <c r="CH787" s="38" t="str">
        <f t="shared" si="137"/>
        <v/>
      </c>
      <c r="CI787" s="38">
        <f t="shared" si="138"/>
        <v>20</v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>موقت - اطلاعات ناقص</v>
      </c>
      <c r="CN787" s="38">
        <v>3</v>
      </c>
      <c r="CO787" s="28">
        <f t="shared" si="142"/>
        <v>0.65217391304347827</v>
      </c>
      <c r="CP787" s="58"/>
    </row>
    <row r="788" spans="1:94" hidden="1">
      <c r="A788" s="33">
        <v>784</v>
      </c>
      <c r="B788" s="55" t="s">
        <v>186</v>
      </c>
      <c r="C788" s="55">
        <f>IF(دانش‌آموزان!E70="","",دانش‌آموزان!B70)</f>
        <v>66</v>
      </c>
      <c r="D788" s="55" t="str">
        <f>IF(دانش‌آموزان!C70="","",دانش‌آموزان!C70)</f>
        <v>0760725179</v>
      </c>
      <c r="E788" s="55" t="str">
        <f>IF(دانش‌آموزان!E70="","",دانش‌آموزان!E70&amp;" "&amp;دانش‌آموزان!F70)</f>
        <v>احمدرضا مصطفي پور</v>
      </c>
      <c r="F788" s="34">
        <f>IF(دانش‌آموزان!I70="","",دانش‌آموزان!I70)</f>
        <v>802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>
        <f t="shared" si="142"/>
        <v>0</v>
      </c>
      <c r="CP788" s="58"/>
    </row>
    <row r="789" spans="1:94" hidden="1">
      <c r="A789" s="33">
        <v>785</v>
      </c>
      <c r="B789" s="55" t="s">
        <v>187</v>
      </c>
      <c r="C789" s="55">
        <f>IF(دانش‌آموزان!E70="","",دانش‌آموزان!B70)</f>
        <v>66</v>
      </c>
      <c r="D789" s="55" t="str">
        <f>IF(دانش‌آموزان!C70="","",دانش‌آموزان!C70)</f>
        <v>0760725179</v>
      </c>
      <c r="E789" s="55" t="str">
        <f>IF(دانش‌آموزان!E70="","",دانش‌آموزان!E70&amp;" "&amp;دانش‌آموزان!F70)</f>
        <v>احمدرضا مصطفي پور</v>
      </c>
      <c r="F789" s="34">
        <f>IF(دانش‌آموزان!I70="","",دانش‌آموزان!I70)</f>
        <v>802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>
        <f t="shared" si="142"/>
        <v>0</v>
      </c>
      <c r="CP789" s="58"/>
    </row>
    <row r="790" spans="1:94" hidden="1">
      <c r="A790" s="33">
        <v>786</v>
      </c>
      <c r="B790" s="55" t="s">
        <v>188</v>
      </c>
      <c r="C790" s="55">
        <f>IF(دانش‌آموزان!E70="","",دانش‌آموزان!B70)</f>
        <v>66</v>
      </c>
      <c r="D790" s="55" t="str">
        <f>IF(دانش‌آموزان!C70="","",دانش‌آموزان!C70)</f>
        <v>0760725179</v>
      </c>
      <c r="E790" s="55" t="str">
        <f>IF(دانش‌آموزان!E70="","",دانش‌آموزان!E70&amp;" "&amp;دانش‌آموزان!F70)</f>
        <v>احمدرضا مصطفي پور</v>
      </c>
      <c r="F790" s="34">
        <f>IF(دانش‌آموزان!I70="","",دانش‌آموزان!I70)</f>
        <v>802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>
        <f t="shared" si="142"/>
        <v>0</v>
      </c>
      <c r="CP790" s="58"/>
    </row>
    <row r="791" spans="1:94" hidden="1">
      <c r="A791" s="33">
        <v>787</v>
      </c>
      <c r="B791" s="55" t="s">
        <v>189</v>
      </c>
      <c r="C791" s="55">
        <f>IF(دانش‌آموزان!E70="","",دانش‌آموزان!B70)</f>
        <v>66</v>
      </c>
      <c r="D791" s="55" t="str">
        <f>IF(دانش‌آموزان!C70="","",دانش‌آموزان!C70)</f>
        <v>0760725179</v>
      </c>
      <c r="E791" s="55" t="str">
        <f>IF(دانش‌آموزان!E70="","",دانش‌آموزان!E70&amp;" "&amp;دانش‌آموزان!F70)</f>
        <v>احمدرضا مصطفي پور</v>
      </c>
      <c r="F791" s="34">
        <f>IF(دانش‌آموزان!I70="","",دانش‌آموزان!I70)</f>
        <v>802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>
        <f t="shared" si="142"/>
        <v>0</v>
      </c>
      <c r="CP791" s="58"/>
    </row>
    <row r="792" spans="1:94" hidden="1">
      <c r="A792" s="33">
        <v>788</v>
      </c>
      <c r="B792" s="55" t="s">
        <v>190</v>
      </c>
      <c r="C792" s="55">
        <f>IF(دانش‌آموزان!E70="","",دانش‌آموزان!B70)</f>
        <v>66</v>
      </c>
      <c r="D792" s="55" t="str">
        <f>IF(دانش‌آموزان!C70="","",دانش‌آموزان!C70)</f>
        <v>0760725179</v>
      </c>
      <c r="E792" s="55" t="str">
        <f>IF(دانش‌آموزان!E70="","",دانش‌آموزان!E70&amp;" "&amp;دانش‌آموزان!F70)</f>
        <v>احمدرضا مصطفي پور</v>
      </c>
      <c r="F792" s="34">
        <f>IF(دانش‌آموزان!I70="","",دانش‌آموزان!I70)</f>
        <v>802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>
        <f t="shared" si="142"/>
        <v>0</v>
      </c>
      <c r="CP792" s="58"/>
    </row>
    <row r="793" spans="1:94" hidden="1">
      <c r="A793" s="33">
        <v>789</v>
      </c>
      <c r="B793" s="55" t="s">
        <v>191</v>
      </c>
      <c r="C793" s="55">
        <f>IF(دانش‌آموزان!E70="","",دانش‌آموزان!B70)</f>
        <v>66</v>
      </c>
      <c r="D793" s="55" t="str">
        <f>IF(دانش‌آموزان!C70="","",دانش‌آموزان!C70)</f>
        <v>0760725179</v>
      </c>
      <c r="E793" s="55" t="str">
        <f>IF(دانش‌آموزان!E70="","",دانش‌آموزان!E70&amp;" "&amp;دانش‌آموزان!F70)</f>
        <v>احمدرضا مصطفي پور</v>
      </c>
      <c r="F793" s="34">
        <f>IF(دانش‌آموزان!I70="","",دانش‌آموزان!I70)</f>
        <v>802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>
        <f t="shared" si="142"/>
        <v>0</v>
      </c>
      <c r="CP793" s="58"/>
    </row>
    <row r="794" spans="1:94" hidden="1">
      <c r="A794" s="33">
        <v>790</v>
      </c>
      <c r="B794" s="55" t="s">
        <v>192</v>
      </c>
      <c r="C794" s="55">
        <f>IF(دانش‌آموزان!E70="","",دانش‌آموزان!B70)</f>
        <v>66</v>
      </c>
      <c r="D794" s="55" t="str">
        <f>IF(دانش‌آموزان!C70="","",دانش‌آموزان!C70)</f>
        <v>0760725179</v>
      </c>
      <c r="E794" s="55" t="str">
        <f>IF(دانش‌آموزان!E70="","",دانش‌آموزان!E70&amp;" "&amp;دانش‌آموزان!F70)</f>
        <v>احمدرضا مصطفي پور</v>
      </c>
      <c r="F794" s="34">
        <f>IF(دانش‌آموزان!I70="","",دانش‌آموزان!I70)</f>
        <v>802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>
        <f t="shared" si="142"/>
        <v>0</v>
      </c>
      <c r="CP794" s="58"/>
    </row>
    <row r="795" spans="1:94" hidden="1">
      <c r="A795" s="33">
        <v>791</v>
      </c>
      <c r="B795" s="55" t="s">
        <v>193</v>
      </c>
      <c r="C795" s="55">
        <f>IF(دانش‌آموزان!E70="","",دانش‌آموزان!B70)</f>
        <v>66</v>
      </c>
      <c r="D795" s="55" t="str">
        <f>IF(دانش‌آموزان!C70="","",دانش‌آموزان!C70)</f>
        <v>0760725179</v>
      </c>
      <c r="E795" s="55" t="str">
        <f>IF(دانش‌آموزان!E70="","",دانش‌آموزان!E70&amp;" "&amp;دانش‌آموزان!F70)</f>
        <v>احمدرضا مصطفي پور</v>
      </c>
      <c r="F795" s="34">
        <f>IF(دانش‌آموزان!I70="","",دانش‌آموزان!I70)</f>
        <v>802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>
        <f t="shared" si="142"/>
        <v>0</v>
      </c>
      <c r="CP795" s="58"/>
    </row>
    <row r="796" spans="1:94" hidden="1">
      <c r="A796" s="33">
        <v>792</v>
      </c>
      <c r="B796" s="55" t="s">
        <v>194</v>
      </c>
      <c r="C796" s="55">
        <f>IF(دانش‌آموزان!E70="","",دانش‌آموزان!B70)</f>
        <v>66</v>
      </c>
      <c r="D796" s="55" t="str">
        <f>IF(دانش‌آموزان!C70="","",دانش‌آموزان!C70)</f>
        <v>0760725179</v>
      </c>
      <c r="E796" s="55" t="str">
        <f>IF(دانش‌آموزان!E70="","",دانش‌آموزان!E70&amp;" "&amp;دانش‌آموزان!F70)</f>
        <v>احمدرضا مصطفي پور</v>
      </c>
      <c r="F796" s="34">
        <f>IF(دانش‌آموزان!I70="","",دانش‌آموزان!I70)</f>
        <v>802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>
        <f t="shared" si="142"/>
        <v>0</v>
      </c>
      <c r="CP796" s="58"/>
    </row>
    <row r="797" spans="1:94" hidden="1">
      <c r="A797" s="33">
        <v>793</v>
      </c>
      <c r="B797" s="55" t="s">
        <v>183</v>
      </c>
      <c r="C797" s="55">
        <f>IF(دانش‌آموزان!E71="","",دانش‌آموزان!B71)</f>
        <v>67</v>
      </c>
      <c r="D797" s="55" t="str">
        <f>IF(دانش‌آموزان!C71="","",دانش‌آموزان!C71)</f>
        <v>0980629063</v>
      </c>
      <c r="E797" s="55" t="str">
        <f>IF(دانش‌آموزان!E71="","",دانش‌آموزان!E71&amp;" "&amp;دانش‌آموزان!F71)</f>
        <v>سيد مرتضي موسوي</v>
      </c>
      <c r="F797" s="34">
        <f>IF(دانش‌آموزان!I71="","",دانش‌آموزان!I71)</f>
        <v>802</v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>
        <f t="shared" si="142"/>
        <v>0</v>
      </c>
      <c r="CP797" s="58"/>
    </row>
    <row r="798" spans="1:94" hidden="1">
      <c r="A798" s="33">
        <v>794</v>
      </c>
      <c r="B798" s="55" t="s">
        <v>184</v>
      </c>
      <c r="C798" s="55">
        <f>IF(دانش‌آموزان!E71="","",دانش‌آموزان!B71)</f>
        <v>67</v>
      </c>
      <c r="D798" s="55" t="str">
        <f>IF(دانش‌آموزان!C71="","",دانش‌آموزان!C71)</f>
        <v>0980629063</v>
      </c>
      <c r="E798" s="55" t="str">
        <f>IF(دانش‌آموزان!E71="","",دانش‌آموزان!E71&amp;" "&amp;دانش‌آموزان!F71)</f>
        <v>سيد مرتضي موسوي</v>
      </c>
      <c r="F798" s="34">
        <f>IF(دانش‌آموزان!I71="","",دانش‌آموزان!I71)</f>
        <v>802</v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>
        <f t="shared" si="142"/>
        <v>0</v>
      </c>
      <c r="CP798" s="58"/>
    </row>
    <row r="799" spans="1:94">
      <c r="A799" s="33">
        <v>795</v>
      </c>
      <c r="B799" s="55" t="s">
        <v>185</v>
      </c>
      <c r="C799" s="55">
        <f>IF(دانش‌آموزان!E71="","",دانش‌آموزان!B71)</f>
        <v>67</v>
      </c>
      <c r="D799" s="55" t="str">
        <f>IF(دانش‌آموزان!C71="","",دانش‌آموزان!C71)</f>
        <v>0980629063</v>
      </c>
      <c r="E799" s="55" t="str">
        <f>IF(دانش‌آموزان!E71="","",دانش‌آموزان!E71&amp;" "&amp;دانش‌آموزان!F71)</f>
        <v>سيد مرتضي موسوي</v>
      </c>
      <c r="F799" s="34">
        <f>IF(دانش‌آموزان!I71="","",دانش‌آموزان!I71)</f>
        <v>802</v>
      </c>
      <c r="G799" s="19">
        <v>19.07</v>
      </c>
      <c r="H799" s="20">
        <v>-8.07</v>
      </c>
      <c r="I799" s="20">
        <v>5</v>
      </c>
      <c r="J799" s="20">
        <v>5</v>
      </c>
      <c r="K799" s="20">
        <v>5</v>
      </c>
      <c r="L799" s="20">
        <v>5</v>
      </c>
      <c r="M799" s="20">
        <v>5</v>
      </c>
      <c r="N799" s="20">
        <v>5</v>
      </c>
      <c r="O799" s="20">
        <v>5</v>
      </c>
      <c r="P799" s="20">
        <v>5</v>
      </c>
      <c r="Q799" s="20">
        <v>5</v>
      </c>
      <c r="R799" s="20">
        <v>5</v>
      </c>
      <c r="S799" s="20">
        <v>5</v>
      </c>
      <c r="T799" s="20">
        <v>5</v>
      </c>
      <c r="U799" s="20">
        <v>5</v>
      </c>
      <c r="V799" s="20">
        <v>5</v>
      </c>
      <c r="W799" s="20">
        <v>5</v>
      </c>
      <c r="X799" s="20">
        <v>5</v>
      </c>
      <c r="Y799" s="20">
        <v>5</v>
      </c>
      <c r="Z799" s="20">
        <v>5</v>
      </c>
      <c r="AA799" s="20">
        <v>5</v>
      </c>
      <c r="AB799" s="20">
        <v>5</v>
      </c>
      <c r="AC799" s="20">
        <v>5</v>
      </c>
      <c r="AD799" s="20" t="s">
        <v>371</v>
      </c>
      <c r="AE799" s="20" t="s">
        <v>371</v>
      </c>
      <c r="AF799" s="20" t="s">
        <v>371</v>
      </c>
      <c r="AG799" s="20" t="s">
        <v>371</v>
      </c>
      <c r="AH799" s="20" t="s">
        <v>371</v>
      </c>
      <c r="AI799" s="20" t="s">
        <v>371</v>
      </c>
      <c r="AJ799" s="20">
        <v>5</v>
      </c>
      <c r="AK799" s="20">
        <v>5</v>
      </c>
      <c r="AL799" s="20">
        <v>5</v>
      </c>
      <c r="AM799" s="20">
        <v>5</v>
      </c>
      <c r="AN799" s="20">
        <v>5</v>
      </c>
      <c r="AO799" s="20">
        <v>5</v>
      </c>
      <c r="AP799" s="20">
        <v>5</v>
      </c>
      <c r="AQ799" s="20" t="s">
        <v>371</v>
      </c>
      <c r="AR799" s="20" t="s">
        <v>371</v>
      </c>
      <c r="AS799" s="20" t="s">
        <v>371</v>
      </c>
      <c r="AT799" s="20" t="s">
        <v>371</v>
      </c>
      <c r="AU799" s="20" t="s">
        <v>371</v>
      </c>
      <c r="AV799" s="20" t="s">
        <v>371</v>
      </c>
      <c r="AW799" s="20" t="s">
        <v>371</v>
      </c>
      <c r="AX799" s="20" t="s">
        <v>371</v>
      </c>
      <c r="AY799" s="20" t="s">
        <v>371</v>
      </c>
      <c r="AZ799" s="20" t="s">
        <v>371</v>
      </c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>
        <f t="shared" si="132"/>
        <v>20.5</v>
      </c>
      <c r="CD799" s="38">
        <f t="shared" si="133"/>
        <v>20</v>
      </c>
      <c r="CE799" s="38">
        <f t="shared" si="134"/>
        <v>20</v>
      </c>
      <c r="CF799" s="38">
        <f t="shared" si="135"/>
        <v>20</v>
      </c>
      <c r="CG799" s="38">
        <f t="shared" si="136"/>
        <v>20</v>
      </c>
      <c r="CH799" s="38" t="str">
        <f t="shared" si="137"/>
        <v/>
      </c>
      <c r="CI799" s="38">
        <f t="shared" si="138"/>
        <v>20</v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>موقت - اطلاعات ناقص</v>
      </c>
      <c r="CN799" s="38">
        <v>3</v>
      </c>
      <c r="CO799" s="28">
        <f t="shared" si="142"/>
        <v>0.65217391304347827</v>
      </c>
      <c r="CP799" s="58"/>
    </row>
    <row r="800" spans="1:94" hidden="1">
      <c r="A800" s="33">
        <v>796</v>
      </c>
      <c r="B800" s="55" t="s">
        <v>186</v>
      </c>
      <c r="C800" s="55">
        <f>IF(دانش‌آموزان!E71="","",دانش‌آموزان!B71)</f>
        <v>67</v>
      </c>
      <c r="D800" s="55" t="str">
        <f>IF(دانش‌آموزان!C71="","",دانش‌آموزان!C71)</f>
        <v>0980629063</v>
      </c>
      <c r="E800" s="55" t="str">
        <f>IF(دانش‌آموزان!E71="","",دانش‌آموزان!E71&amp;" "&amp;دانش‌آموزان!F71)</f>
        <v>سيد مرتضي موسوي</v>
      </c>
      <c r="F800" s="34">
        <f>IF(دانش‌آموزان!I71="","",دانش‌آموزان!I71)</f>
        <v>802</v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>
        <f t="shared" si="142"/>
        <v>0</v>
      </c>
      <c r="CP800" s="58"/>
    </row>
    <row r="801" spans="1:94" hidden="1">
      <c r="A801" s="33">
        <v>797</v>
      </c>
      <c r="B801" s="55" t="s">
        <v>187</v>
      </c>
      <c r="C801" s="55">
        <f>IF(دانش‌آموزان!E71="","",دانش‌آموزان!B71)</f>
        <v>67</v>
      </c>
      <c r="D801" s="55" t="str">
        <f>IF(دانش‌آموزان!C71="","",دانش‌آموزان!C71)</f>
        <v>0980629063</v>
      </c>
      <c r="E801" s="55" t="str">
        <f>IF(دانش‌آموزان!E71="","",دانش‌آموزان!E71&amp;" "&amp;دانش‌آموزان!F71)</f>
        <v>سيد مرتضي موسوي</v>
      </c>
      <c r="F801" s="34">
        <f>IF(دانش‌آموزان!I71="","",دانش‌آموزان!I71)</f>
        <v>802</v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>
        <f t="shared" si="142"/>
        <v>0</v>
      </c>
      <c r="CP801" s="58"/>
    </row>
    <row r="802" spans="1:94" hidden="1">
      <c r="A802" s="33">
        <v>798</v>
      </c>
      <c r="B802" s="55" t="s">
        <v>188</v>
      </c>
      <c r="C802" s="55">
        <f>IF(دانش‌آموزان!E71="","",دانش‌آموزان!B71)</f>
        <v>67</v>
      </c>
      <c r="D802" s="55" t="str">
        <f>IF(دانش‌آموزان!C71="","",دانش‌آموزان!C71)</f>
        <v>0980629063</v>
      </c>
      <c r="E802" s="55" t="str">
        <f>IF(دانش‌آموزان!E71="","",دانش‌آموزان!E71&amp;" "&amp;دانش‌آموزان!F71)</f>
        <v>سيد مرتضي موسوي</v>
      </c>
      <c r="F802" s="34">
        <f>IF(دانش‌آموزان!I71="","",دانش‌آموزان!I71)</f>
        <v>802</v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>
        <f t="shared" si="142"/>
        <v>0</v>
      </c>
      <c r="CP802" s="58"/>
    </row>
    <row r="803" spans="1:94" hidden="1">
      <c r="A803" s="33">
        <v>799</v>
      </c>
      <c r="B803" s="55" t="s">
        <v>189</v>
      </c>
      <c r="C803" s="55">
        <f>IF(دانش‌آموزان!E71="","",دانش‌آموزان!B71)</f>
        <v>67</v>
      </c>
      <c r="D803" s="55" t="str">
        <f>IF(دانش‌آموزان!C71="","",دانش‌آموزان!C71)</f>
        <v>0980629063</v>
      </c>
      <c r="E803" s="55" t="str">
        <f>IF(دانش‌آموزان!E71="","",دانش‌آموزان!E71&amp;" "&amp;دانش‌آموزان!F71)</f>
        <v>سيد مرتضي موسوي</v>
      </c>
      <c r="F803" s="34">
        <f>IF(دانش‌آموزان!I71="","",دانش‌آموزان!I71)</f>
        <v>802</v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>
        <f t="shared" si="142"/>
        <v>0</v>
      </c>
      <c r="CP803" s="58"/>
    </row>
    <row r="804" spans="1:94" hidden="1">
      <c r="A804" s="33">
        <v>800</v>
      </c>
      <c r="B804" s="55" t="s">
        <v>190</v>
      </c>
      <c r="C804" s="55">
        <f>IF(دانش‌آموزان!E71="","",دانش‌آموزان!B71)</f>
        <v>67</v>
      </c>
      <c r="D804" s="55" t="str">
        <f>IF(دانش‌آموزان!C71="","",دانش‌آموزان!C71)</f>
        <v>0980629063</v>
      </c>
      <c r="E804" s="55" t="str">
        <f>IF(دانش‌آموزان!E71="","",دانش‌آموزان!E71&amp;" "&amp;دانش‌آموزان!F71)</f>
        <v>سيد مرتضي موسوي</v>
      </c>
      <c r="F804" s="34">
        <f>IF(دانش‌آموزان!I71="","",دانش‌آموزان!I71)</f>
        <v>802</v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>
        <f t="shared" si="142"/>
        <v>0</v>
      </c>
      <c r="CP804" s="58"/>
    </row>
    <row r="805" spans="1:94" hidden="1">
      <c r="A805" s="33">
        <v>801</v>
      </c>
      <c r="B805" s="55" t="s">
        <v>191</v>
      </c>
      <c r="C805" s="55">
        <f>IF(دانش‌آموزان!E71="","",دانش‌آموزان!B71)</f>
        <v>67</v>
      </c>
      <c r="D805" s="55" t="str">
        <f>IF(دانش‌آموزان!C71="","",دانش‌آموزان!C71)</f>
        <v>0980629063</v>
      </c>
      <c r="E805" s="55" t="str">
        <f>IF(دانش‌آموزان!E71="","",دانش‌آموزان!E71&amp;" "&amp;دانش‌آموزان!F71)</f>
        <v>سيد مرتضي موسوي</v>
      </c>
      <c r="F805" s="34">
        <f>IF(دانش‌آموزان!I71="","",دانش‌آموزان!I71)</f>
        <v>802</v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>
        <f t="shared" si="142"/>
        <v>0</v>
      </c>
      <c r="CP805" s="58"/>
    </row>
    <row r="806" spans="1:94" hidden="1">
      <c r="A806" s="33">
        <v>802</v>
      </c>
      <c r="B806" s="55" t="s">
        <v>192</v>
      </c>
      <c r="C806" s="55">
        <f>IF(دانش‌آموزان!E71="","",دانش‌آموزان!B71)</f>
        <v>67</v>
      </c>
      <c r="D806" s="55" t="str">
        <f>IF(دانش‌آموزان!C71="","",دانش‌آموزان!C71)</f>
        <v>0980629063</v>
      </c>
      <c r="E806" s="55" t="str">
        <f>IF(دانش‌آموزان!E71="","",دانش‌آموزان!E71&amp;" "&amp;دانش‌آموزان!F71)</f>
        <v>سيد مرتضي موسوي</v>
      </c>
      <c r="F806" s="34">
        <f>IF(دانش‌آموزان!I71="","",دانش‌آموزان!I71)</f>
        <v>802</v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>
        <f t="shared" si="142"/>
        <v>0</v>
      </c>
      <c r="CP806" s="58"/>
    </row>
    <row r="807" spans="1:94" hidden="1">
      <c r="A807" s="33">
        <v>803</v>
      </c>
      <c r="B807" s="55" t="s">
        <v>193</v>
      </c>
      <c r="C807" s="55">
        <f>IF(دانش‌آموزان!E71="","",دانش‌آموزان!B71)</f>
        <v>67</v>
      </c>
      <c r="D807" s="55" t="str">
        <f>IF(دانش‌آموزان!C71="","",دانش‌آموزان!C71)</f>
        <v>0980629063</v>
      </c>
      <c r="E807" s="55" t="str">
        <f>IF(دانش‌آموزان!E71="","",دانش‌آموزان!E71&amp;" "&amp;دانش‌آموزان!F71)</f>
        <v>سيد مرتضي موسوي</v>
      </c>
      <c r="F807" s="34">
        <f>IF(دانش‌آموزان!I71="","",دانش‌آموزان!I71)</f>
        <v>802</v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>
        <f t="shared" si="142"/>
        <v>0</v>
      </c>
      <c r="CP807" s="58"/>
    </row>
    <row r="808" spans="1:94" hidden="1">
      <c r="A808" s="33">
        <v>804</v>
      </c>
      <c r="B808" s="55" t="s">
        <v>194</v>
      </c>
      <c r="C808" s="55">
        <f>IF(دانش‌آموزان!E71="","",دانش‌آموزان!B71)</f>
        <v>67</v>
      </c>
      <c r="D808" s="55" t="str">
        <f>IF(دانش‌آموزان!C71="","",دانش‌آموزان!C71)</f>
        <v>0980629063</v>
      </c>
      <c r="E808" s="55" t="str">
        <f>IF(دانش‌آموزان!E71="","",دانش‌آموزان!E71&amp;" "&amp;دانش‌آموزان!F71)</f>
        <v>سيد مرتضي موسوي</v>
      </c>
      <c r="F808" s="34">
        <f>IF(دانش‌آموزان!I71="","",دانش‌آموزان!I71)</f>
        <v>802</v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>
        <f t="shared" si="142"/>
        <v>0</v>
      </c>
      <c r="CP808" s="58"/>
    </row>
    <row r="809" spans="1:94" hidden="1">
      <c r="A809" s="33">
        <v>805</v>
      </c>
      <c r="B809" s="55" t="s">
        <v>183</v>
      </c>
      <c r="C809" s="55">
        <f>IF(دانش‌آموزان!E72="","",دانش‌آموزان!B72)</f>
        <v>68</v>
      </c>
      <c r="D809" s="55" t="str">
        <f>IF(دانش‌آموزان!C72="","",دانش‌آموزان!C72)</f>
        <v>0960448357</v>
      </c>
      <c r="E809" s="55" t="str">
        <f>IF(دانش‌آموزان!E72="","",دانش‌آموزان!E72&amp;" "&amp;دانش‌آموزان!F72)</f>
        <v>اميرعلي نظري</v>
      </c>
      <c r="F809" s="34">
        <f>IF(دانش‌آموزان!I72="","",دانش‌آموزان!I72)</f>
        <v>802</v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>
        <f t="shared" si="142"/>
        <v>0</v>
      </c>
      <c r="CP809" s="58"/>
    </row>
    <row r="810" spans="1:94" hidden="1">
      <c r="A810" s="33">
        <v>806</v>
      </c>
      <c r="B810" s="55" t="s">
        <v>184</v>
      </c>
      <c r="C810" s="55">
        <f>IF(دانش‌آموزان!E72="","",دانش‌آموزان!B72)</f>
        <v>68</v>
      </c>
      <c r="D810" s="55" t="str">
        <f>IF(دانش‌آموزان!C72="","",دانش‌آموزان!C72)</f>
        <v>0960448357</v>
      </c>
      <c r="E810" s="55" t="str">
        <f>IF(دانش‌آموزان!E72="","",دانش‌آموزان!E72&amp;" "&amp;دانش‌آموزان!F72)</f>
        <v>اميرعلي نظري</v>
      </c>
      <c r="F810" s="34">
        <f>IF(دانش‌آموزان!I72="","",دانش‌آموزان!I72)</f>
        <v>802</v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>
        <f t="shared" si="142"/>
        <v>0</v>
      </c>
      <c r="CP810" s="58"/>
    </row>
    <row r="811" spans="1:94">
      <c r="A811" s="33">
        <v>807</v>
      </c>
      <c r="B811" s="55" t="s">
        <v>185</v>
      </c>
      <c r="C811" s="55">
        <f>IF(دانش‌آموزان!E72="","",دانش‌آموزان!B72)</f>
        <v>68</v>
      </c>
      <c r="D811" s="55" t="str">
        <f>IF(دانش‌آموزان!C72="","",دانش‌آموزان!C72)</f>
        <v>0960448357</v>
      </c>
      <c r="E811" s="55" t="str">
        <f>IF(دانش‌آموزان!E72="","",دانش‌آموزان!E72&amp;" "&amp;دانش‌آموزان!F72)</f>
        <v>اميرعلي نظري</v>
      </c>
      <c r="F811" s="34">
        <f>IF(دانش‌آموزان!I72="","",دانش‌آموزان!I72)</f>
        <v>802</v>
      </c>
      <c r="G811" s="19">
        <v>19.739999999999998</v>
      </c>
      <c r="H811" s="20">
        <v>-7.7399999999999984</v>
      </c>
      <c r="I811" s="20">
        <v>5</v>
      </c>
      <c r="J811" s="20">
        <v>5</v>
      </c>
      <c r="K811" s="20">
        <v>5</v>
      </c>
      <c r="L811" s="20">
        <v>5</v>
      </c>
      <c r="M811" s="20">
        <v>5</v>
      </c>
      <c r="N811" s="20">
        <v>5</v>
      </c>
      <c r="O811" s="20">
        <v>5</v>
      </c>
      <c r="P811" s="20">
        <v>5</v>
      </c>
      <c r="Q811" s="20">
        <v>5</v>
      </c>
      <c r="R811" s="20">
        <v>5</v>
      </c>
      <c r="S811" s="20">
        <v>5</v>
      </c>
      <c r="T811" s="20">
        <v>5</v>
      </c>
      <c r="U811" s="20">
        <v>5</v>
      </c>
      <c r="V811" s="20">
        <v>5</v>
      </c>
      <c r="W811" s="20">
        <v>5</v>
      </c>
      <c r="X811" s="20">
        <v>5</v>
      </c>
      <c r="Y811" s="20">
        <v>5</v>
      </c>
      <c r="Z811" s="20">
        <v>5</v>
      </c>
      <c r="AA811" s="20">
        <v>5</v>
      </c>
      <c r="AB811" s="20">
        <v>5</v>
      </c>
      <c r="AC811" s="20">
        <v>5</v>
      </c>
      <c r="AD811" s="20" t="s">
        <v>371</v>
      </c>
      <c r="AE811" s="20" t="s">
        <v>371</v>
      </c>
      <c r="AF811" s="20" t="s">
        <v>371</v>
      </c>
      <c r="AG811" s="20" t="s">
        <v>371</v>
      </c>
      <c r="AH811" s="20" t="s">
        <v>371</v>
      </c>
      <c r="AI811" s="20" t="s">
        <v>371</v>
      </c>
      <c r="AJ811" s="20">
        <v>5</v>
      </c>
      <c r="AK811" s="20">
        <v>5</v>
      </c>
      <c r="AL811" s="20">
        <v>5</v>
      </c>
      <c r="AM811" s="20">
        <v>5</v>
      </c>
      <c r="AN811" s="20">
        <v>5</v>
      </c>
      <c r="AO811" s="20">
        <v>5</v>
      </c>
      <c r="AP811" s="20">
        <v>5</v>
      </c>
      <c r="AQ811" s="20" t="s">
        <v>371</v>
      </c>
      <c r="AR811" s="20" t="s">
        <v>371</v>
      </c>
      <c r="AS811" s="20" t="s">
        <v>371</v>
      </c>
      <c r="AT811" s="20" t="s">
        <v>371</v>
      </c>
      <c r="AU811" s="20" t="s">
        <v>371</v>
      </c>
      <c r="AV811" s="20" t="s">
        <v>371</v>
      </c>
      <c r="AW811" s="20" t="s">
        <v>371</v>
      </c>
      <c r="AX811" s="20" t="s">
        <v>371</v>
      </c>
      <c r="AY811" s="20" t="s">
        <v>371</v>
      </c>
      <c r="AZ811" s="20" t="s">
        <v>371</v>
      </c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>
        <f t="shared" si="132"/>
        <v>21</v>
      </c>
      <c r="CD811" s="38">
        <f t="shared" si="133"/>
        <v>20</v>
      </c>
      <c r="CE811" s="38">
        <f t="shared" si="134"/>
        <v>20</v>
      </c>
      <c r="CF811" s="38">
        <f t="shared" si="135"/>
        <v>20</v>
      </c>
      <c r="CG811" s="38">
        <f t="shared" si="136"/>
        <v>20</v>
      </c>
      <c r="CH811" s="38" t="str">
        <f t="shared" si="137"/>
        <v/>
      </c>
      <c r="CI811" s="38">
        <f t="shared" si="138"/>
        <v>20</v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>موقت - اطلاعات ناقص</v>
      </c>
      <c r="CN811" s="38">
        <v>3</v>
      </c>
      <c r="CO811" s="28">
        <f t="shared" si="142"/>
        <v>0.65217391304347827</v>
      </c>
      <c r="CP811" s="58"/>
    </row>
    <row r="812" spans="1:94" hidden="1">
      <c r="A812" s="33">
        <v>808</v>
      </c>
      <c r="B812" s="55" t="s">
        <v>186</v>
      </c>
      <c r="C812" s="55">
        <f>IF(دانش‌آموزان!E72="","",دانش‌آموزان!B72)</f>
        <v>68</v>
      </c>
      <c r="D812" s="55" t="str">
        <f>IF(دانش‌آموزان!C72="","",دانش‌آموزان!C72)</f>
        <v>0960448357</v>
      </c>
      <c r="E812" s="55" t="str">
        <f>IF(دانش‌آموزان!E72="","",دانش‌آموزان!E72&amp;" "&amp;دانش‌آموزان!F72)</f>
        <v>اميرعلي نظري</v>
      </c>
      <c r="F812" s="34">
        <f>IF(دانش‌آموزان!I72="","",دانش‌آموزان!I72)</f>
        <v>802</v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>
        <f t="shared" si="142"/>
        <v>0</v>
      </c>
      <c r="CP812" s="58"/>
    </row>
    <row r="813" spans="1:94" hidden="1">
      <c r="A813" s="33">
        <v>809</v>
      </c>
      <c r="B813" s="55" t="s">
        <v>187</v>
      </c>
      <c r="C813" s="55">
        <f>IF(دانش‌آموزان!E72="","",دانش‌آموزان!B72)</f>
        <v>68</v>
      </c>
      <c r="D813" s="55" t="str">
        <f>IF(دانش‌آموزان!C72="","",دانش‌آموزان!C72)</f>
        <v>0960448357</v>
      </c>
      <c r="E813" s="55" t="str">
        <f>IF(دانش‌آموزان!E72="","",دانش‌آموزان!E72&amp;" "&amp;دانش‌آموزان!F72)</f>
        <v>اميرعلي نظري</v>
      </c>
      <c r="F813" s="34">
        <f>IF(دانش‌آموزان!I72="","",دانش‌آموزان!I72)</f>
        <v>802</v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>
        <f t="shared" si="142"/>
        <v>0</v>
      </c>
      <c r="CP813" s="58"/>
    </row>
    <row r="814" spans="1:94" hidden="1">
      <c r="A814" s="33">
        <v>810</v>
      </c>
      <c r="B814" s="55" t="s">
        <v>188</v>
      </c>
      <c r="C814" s="55">
        <f>IF(دانش‌آموزان!E72="","",دانش‌آموزان!B72)</f>
        <v>68</v>
      </c>
      <c r="D814" s="55" t="str">
        <f>IF(دانش‌آموزان!C72="","",دانش‌آموزان!C72)</f>
        <v>0960448357</v>
      </c>
      <c r="E814" s="55" t="str">
        <f>IF(دانش‌آموزان!E72="","",دانش‌آموزان!E72&amp;" "&amp;دانش‌آموزان!F72)</f>
        <v>اميرعلي نظري</v>
      </c>
      <c r="F814" s="34">
        <f>IF(دانش‌آموزان!I72="","",دانش‌آموزان!I72)</f>
        <v>802</v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>
        <f t="shared" si="142"/>
        <v>0</v>
      </c>
      <c r="CP814" s="58"/>
    </row>
    <row r="815" spans="1:94" hidden="1">
      <c r="A815" s="33">
        <v>811</v>
      </c>
      <c r="B815" s="55" t="s">
        <v>189</v>
      </c>
      <c r="C815" s="55">
        <f>IF(دانش‌آموزان!E72="","",دانش‌آموزان!B72)</f>
        <v>68</v>
      </c>
      <c r="D815" s="55" t="str">
        <f>IF(دانش‌آموزان!C72="","",دانش‌آموزان!C72)</f>
        <v>0960448357</v>
      </c>
      <c r="E815" s="55" t="str">
        <f>IF(دانش‌آموزان!E72="","",دانش‌آموزان!E72&amp;" "&amp;دانش‌آموزان!F72)</f>
        <v>اميرعلي نظري</v>
      </c>
      <c r="F815" s="34">
        <f>IF(دانش‌آموزان!I72="","",دانش‌آموزان!I72)</f>
        <v>802</v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>
        <f t="shared" si="142"/>
        <v>0</v>
      </c>
      <c r="CP815" s="58"/>
    </row>
    <row r="816" spans="1:94" hidden="1">
      <c r="A816" s="33">
        <v>812</v>
      </c>
      <c r="B816" s="55" t="s">
        <v>190</v>
      </c>
      <c r="C816" s="55">
        <f>IF(دانش‌آموزان!E72="","",دانش‌آموزان!B72)</f>
        <v>68</v>
      </c>
      <c r="D816" s="55" t="str">
        <f>IF(دانش‌آموزان!C72="","",دانش‌آموزان!C72)</f>
        <v>0960448357</v>
      </c>
      <c r="E816" s="55" t="str">
        <f>IF(دانش‌آموزان!E72="","",دانش‌آموزان!E72&amp;" "&amp;دانش‌آموزان!F72)</f>
        <v>اميرعلي نظري</v>
      </c>
      <c r="F816" s="34">
        <f>IF(دانش‌آموزان!I72="","",دانش‌آموزان!I72)</f>
        <v>802</v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>
        <f t="shared" si="142"/>
        <v>0</v>
      </c>
      <c r="CP816" s="58"/>
    </row>
    <row r="817" spans="1:94" hidden="1">
      <c r="A817" s="33">
        <v>813</v>
      </c>
      <c r="B817" s="55" t="s">
        <v>191</v>
      </c>
      <c r="C817" s="55">
        <f>IF(دانش‌آموزان!E72="","",دانش‌آموزان!B72)</f>
        <v>68</v>
      </c>
      <c r="D817" s="55" t="str">
        <f>IF(دانش‌آموزان!C72="","",دانش‌آموزان!C72)</f>
        <v>0960448357</v>
      </c>
      <c r="E817" s="55" t="str">
        <f>IF(دانش‌آموزان!E72="","",دانش‌آموزان!E72&amp;" "&amp;دانش‌آموزان!F72)</f>
        <v>اميرعلي نظري</v>
      </c>
      <c r="F817" s="34">
        <f>IF(دانش‌آموزان!I72="","",دانش‌آموزان!I72)</f>
        <v>802</v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>
        <f t="shared" si="142"/>
        <v>0</v>
      </c>
      <c r="CP817" s="58"/>
    </row>
    <row r="818" spans="1:94" hidden="1">
      <c r="A818" s="33">
        <v>814</v>
      </c>
      <c r="B818" s="55" t="s">
        <v>192</v>
      </c>
      <c r="C818" s="55">
        <f>IF(دانش‌آموزان!E72="","",دانش‌آموزان!B72)</f>
        <v>68</v>
      </c>
      <c r="D818" s="55" t="str">
        <f>IF(دانش‌آموزان!C72="","",دانش‌آموزان!C72)</f>
        <v>0960448357</v>
      </c>
      <c r="E818" s="55" t="str">
        <f>IF(دانش‌آموزان!E72="","",دانش‌آموزان!E72&amp;" "&amp;دانش‌آموزان!F72)</f>
        <v>اميرعلي نظري</v>
      </c>
      <c r="F818" s="34">
        <f>IF(دانش‌آموزان!I72="","",دانش‌آموزان!I72)</f>
        <v>802</v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>
        <f t="shared" si="142"/>
        <v>0</v>
      </c>
      <c r="CP818" s="58"/>
    </row>
    <row r="819" spans="1:94" hidden="1">
      <c r="A819" s="33">
        <v>815</v>
      </c>
      <c r="B819" s="55" t="s">
        <v>193</v>
      </c>
      <c r="C819" s="55">
        <f>IF(دانش‌آموزان!E72="","",دانش‌آموزان!B72)</f>
        <v>68</v>
      </c>
      <c r="D819" s="55" t="str">
        <f>IF(دانش‌آموزان!C72="","",دانش‌آموزان!C72)</f>
        <v>0960448357</v>
      </c>
      <c r="E819" s="55" t="str">
        <f>IF(دانش‌آموزان!E72="","",دانش‌آموزان!E72&amp;" "&amp;دانش‌آموزان!F72)</f>
        <v>اميرعلي نظري</v>
      </c>
      <c r="F819" s="34">
        <f>IF(دانش‌آموزان!I72="","",دانش‌آموزان!I72)</f>
        <v>802</v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>
        <f t="shared" si="142"/>
        <v>0</v>
      </c>
      <c r="CP819" s="58"/>
    </row>
    <row r="820" spans="1:94" hidden="1">
      <c r="A820" s="33">
        <v>816</v>
      </c>
      <c r="B820" s="55" t="s">
        <v>194</v>
      </c>
      <c r="C820" s="55">
        <f>IF(دانش‌آموزان!E72="","",دانش‌آموزان!B72)</f>
        <v>68</v>
      </c>
      <c r="D820" s="55" t="str">
        <f>IF(دانش‌آموزان!C72="","",دانش‌آموزان!C72)</f>
        <v>0960448357</v>
      </c>
      <c r="E820" s="55" t="str">
        <f>IF(دانش‌آموزان!E72="","",دانش‌آموزان!E72&amp;" "&amp;دانش‌آموزان!F72)</f>
        <v>اميرعلي نظري</v>
      </c>
      <c r="F820" s="34">
        <f>IF(دانش‌آموزان!I72="","",دانش‌آموزان!I72)</f>
        <v>802</v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>
        <f t="shared" si="142"/>
        <v>0</v>
      </c>
      <c r="CP820" s="58"/>
    </row>
    <row r="821" spans="1:94" hidden="1">
      <c r="A821" s="33">
        <v>817</v>
      </c>
      <c r="B821" s="55" t="s">
        <v>183</v>
      </c>
      <c r="C821" s="55">
        <f>IF(دانش‌آموزان!E73="","",دانش‌آموزان!B73)</f>
        <v>69</v>
      </c>
      <c r="D821" s="55" t="str">
        <f>IF(دانش‌آموزان!C73="","",دانش‌آموزان!C73)</f>
        <v>0970831919</v>
      </c>
      <c r="E821" s="55" t="str">
        <f>IF(دانش‌آموزان!E73="","",دانش‌آموزان!E73&amp;" "&amp;دانش‌آموزان!F73)</f>
        <v>محمدمحسن نعيمي</v>
      </c>
      <c r="F821" s="34">
        <f>IF(دانش‌آموزان!I73="","",دانش‌آموزان!I73)</f>
        <v>802</v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>
        <f t="shared" si="142"/>
        <v>0</v>
      </c>
      <c r="CP821" s="58"/>
    </row>
    <row r="822" spans="1:94" hidden="1">
      <c r="A822" s="33">
        <v>818</v>
      </c>
      <c r="B822" s="55" t="s">
        <v>184</v>
      </c>
      <c r="C822" s="55">
        <f>IF(دانش‌آموزان!E73="","",دانش‌آموزان!B73)</f>
        <v>69</v>
      </c>
      <c r="D822" s="55" t="str">
        <f>IF(دانش‌آموزان!C73="","",دانش‌آموزان!C73)</f>
        <v>0970831919</v>
      </c>
      <c r="E822" s="55" t="str">
        <f>IF(دانش‌آموزان!E73="","",دانش‌آموزان!E73&amp;" "&amp;دانش‌آموزان!F73)</f>
        <v>محمدمحسن نعيمي</v>
      </c>
      <c r="F822" s="34">
        <f>IF(دانش‌آموزان!I73="","",دانش‌آموزان!I73)</f>
        <v>802</v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>
        <f t="shared" si="142"/>
        <v>0</v>
      </c>
      <c r="CP822" s="58"/>
    </row>
    <row r="823" spans="1:94">
      <c r="A823" s="33">
        <v>819</v>
      </c>
      <c r="B823" s="55" t="s">
        <v>185</v>
      </c>
      <c r="C823" s="55">
        <f>IF(دانش‌آموزان!E73="","",دانش‌آموزان!B73)</f>
        <v>69</v>
      </c>
      <c r="D823" s="55" t="str">
        <f>IF(دانش‌آموزان!C73="","",دانش‌آموزان!C73)</f>
        <v>0970831919</v>
      </c>
      <c r="E823" s="55" t="str">
        <f>IF(دانش‌آموزان!E73="","",دانش‌آموزان!E73&amp;" "&amp;دانش‌آموزان!F73)</f>
        <v>محمدمحسن نعيمي</v>
      </c>
      <c r="F823" s="34">
        <f>IF(دانش‌آموزان!I73="","",دانش‌آموزان!I73)</f>
        <v>802</v>
      </c>
      <c r="G823" s="19">
        <v>19.73</v>
      </c>
      <c r="H823" s="20">
        <v>-5.73</v>
      </c>
      <c r="I823" s="20">
        <v>5</v>
      </c>
      <c r="J823" s="20">
        <v>5</v>
      </c>
      <c r="K823" s="20">
        <v>5</v>
      </c>
      <c r="L823" s="20">
        <v>5</v>
      </c>
      <c r="M823" s="20">
        <v>5</v>
      </c>
      <c r="N823" s="20">
        <v>5</v>
      </c>
      <c r="O823" s="20">
        <v>5</v>
      </c>
      <c r="P823" s="20">
        <v>5</v>
      </c>
      <c r="Q823" s="20">
        <v>5</v>
      </c>
      <c r="R823" s="20">
        <v>5</v>
      </c>
      <c r="S823" s="20">
        <v>5</v>
      </c>
      <c r="T823" s="20">
        <v>5</v>
      </c>
      <c r="U823" s="20">
        <v>5</v>
      </c>
      <c r="V823" s="20">
        <v>5</v>
      </c>
      <c r="W823" s="20">
        <v>5</v>
      </c>
      <c r="X823" s="20">
        <v>5</v>
      </c>
      <c r="Y823" s="20">
        <v>5</v>
      </c>
      <c r="Z823" s="20">
        <v>5</v>
      </c>
      <c r="AA823" s="20">
        <v>5</v>
      </c>
      <c r="AB823" s="20">
        <v>5</v>
      </c>
      <c r="AC823" s="20">
        <v>5</v>
      </c>
      <c r="AD823" s="20" t="s">
        <v>371</v>
      </c>
      <c r="AE823" s="20" t="s">
        <v>371</v>
      </c>
      <c r="AF823" s="20" t="s">
        <v>371</v>
      </c>
      <c r="AG823" s="20" t="s">
        <v>371</v>
      </c>
      <c r="AH823" s="20" t="s">
        <v>371</v>
      </c>
      <c r="AI823" s="20" t="s">
        <v>371</v>
      </c>
      <c r="AJ823" s="20">
        <v>5</v>
      </c>
      <c r="AK823" s="20">
        <v>5</v>
      </c>
      <c r="AL823" s="20">
        <v>5</v>
      </c>
      <c r="AM823" s="20">
        <v>5</v>
      </c>
      <c r="AN823" s="20">
        <v>5</v>
      </c>
      <c r="AO823" s="20">
        <v>5</v>
      </c>
      <c r="AP823" s="20">
        <v>5</v>
      </c>
      <c r="AQ823" s="20" t="s">
        <v>371</v>
      </c>
      <c r="AR823" s="20" t="s">
        <v>371</v>
      </c>
      <c r="AS823" s="20" t="s">
        <v>371</v>
      </c>
      <c r="AT823" s="20" t="s">
        <v>371</v>
      </c>
      <c r="AU823" s="20" t="s">
        <v>371</v>
      </c>
      <c r="AV823" s="20" t="s">
        <v>371</v>
      </c>
      <c r="AW823" s="20" t="s">
        <v>371</v>
      </c>
      <c r="AX823" s="20" t="s">
        <v>371</v>
      </c>
      <c r="AY823" s="20" t="s">
        <v>371</v>
      </c>
      <c r="AZ823" s="20" t="s">
        <v>371</v>
      </c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>
        <f t="shared" si="132"/>
        <v>22</v>
      </c>
      <c r="CD823" s="38">
        <f t="shared" si="133"/>
        <v>20</v>
      </c>
      <c r="CE823" s="38">
        <f t="shared" si="134"/>
        <v>20</v>
      </c>
      <c r="CF823" s="38">
        <f t="shared" si="135"/>
        <v>20</v>
      </c>
      <c r="CG823" s="38">
        <f t="shared" si="136"/>
        <v>20</v>
      </c>
      <c r="CH823" s="38" t="str">
        <f t="shared" si="137"/>
        <v/>
      </c>
      <c r="CI823" s="38">
        <f t="shared" si="138"/>
        <v>20</v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>موقت - اطلاعات ناقص</v>
      </c>
      <c r="CN823" s="38">
        <v>3</v>
      </c>
      <c r="CO823" s="28">
        <f t="shared" si="142"/>
        <v>0.65217391304347827</v>
      </c>
      <c r="CP823" s="58"/>
    </row>
    <row r="824" spans="1:94" hidden="1">
      <c r="A824" s="33">
        <v>820</v>
      </c>
      <c r="B824" s="55" t="s">
        <v>186</v>
      </c>
      <c r="C824" s="55">
        <f>IF(دانش‌آموزان!E73="","",دانش‌آموزان!B73)</f>
        <v>69</v>
      </c>
      <c r="D824" s="55" t="str">
        <f>IF(دانش‌آموزان!C73="","",دانش‌آموزان!C73)</f>
        <v>0970831919</v>
      </c>
      <c r="E824" s="55" t="str">
        <f>IF(دانش‌آموزان!E73="","",دانش‌آموزان!E73&amp;" "&amp;دانش‌آموزان!F73)</f>
        <v>محمدمحسن نعيمي</v>
      </c>
      <c r="F824" s="34">
        <f>IF(دانش‌آموزان!I73="","",دانش‌آموزان!I73)</f>
        <v>802</v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>
        <f t="shared" si="142"/>
        <v>0</v>
      </c>
      <c r="CP824" s="58"/>
    </row>
    <row r="825" spans="1:94" hidden="1">
      <c r="A825" s="33">
        <v>821</v>
      </c>
      <c r="B825" s="55" t="s">
        <v>187</v>
      </c>
      <c r="C825" s="55">
        <f>IF(دانش‌آموزان!E73="","",دانش‌آموزان!B73)</f>
        <v>69</v>
      </c>
      <c r="D825" s="55" t="str">
        <f>IF(دانش‌آموزان!C73="","",دانش‌آموزان!C73)</f>
        <v>0970831919</v>
      </c>
      <c r="E825" s="55" t="str">
        <f>IF(دانش‌آموزان!E73="","",دانش‌آموزان!E73&amp;" "&amp;دانش‌آموزان!F73)</f>
        <v>محمدمحسن نعيمي</v>
      </c>
      <c r="F825" s="34">
        <f>IF(دانش‌آموزان!I73="","",دانش‌آموزان!I73)</f>
        <v>802</v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>
        <f t="shared" si="142"/>
        <v>0</v>
      </c>
      <c r="CP825" s="58"/>
    </row>
    <row r="826" spans="1:94" hidden="1">
      <c r="A826" s="33">
        <v>822</v>
      </c>
      <c r="B826" s="55" t="s">
        <v>188</v>
      </c>
      <c r="C826" s="55">
        <f>IF(دانش‌آموزان!E73="","",دانش‌آموزان!B73)</f>
        <v>69</v>
      </c>
      <c r="D826" s="55" t="str">
        <f>IF(دانش‌آموزان!C73="","",دانش‌آموزان!C73)</f>
        <v>0970831919</v>
      </c>
      <c r="E826" s="55" t="str">
        <f>IF(دانش‌آموزان!E73="","",دانش‌آموزان!E73&amp;" "&amp;دانش‌آموزان!F73)</f>
        <v>محمدمحسن نعيمي</v>
      </c>
      <c r="F826" s="34">
        <f>IF(دانش‌آموزان!I73="","",دانش‌آموزان!I73)</f>
        <v>802</v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>
        <f t="shared" si="142"/>
        <v>0</v>
      </c>
      <c r="CP826" s="58"/>
    </row>
    <row r="827" spans="1:94" hidden="1">
      <c r="A827" s="33">
        <v>823</v>
      </c>
      <c r="B827" s="55" t="s">
        <v>189</v>
      </c>
      <c r="C827" s="55">
        <f>IF(دانش‌آموزان!E73="","",دانش‌آموزان!B73)</f>
        <v>69</v>
      </c>
      <c r="D827" s="55" t="str">
        <f>IF(دانش‌آموزان!C73="","",دانش‌آموزان!C73)</f>
        <v>0970831919</v>
      </c>
      <c r="E827" s="55" t="str">
        <f>IF(دانش‌آموزان!E73="","",دانش‌آموزان!E73&amp;" "&amp;دانش‌آموزان!F73)</f>
        <v>محمدمحسن نعيمي</v>
      </c>
      <c r="F827" s="34">
        <f>IF(دانش‌آموزان!I73="","",دانش‌آموزان!I73)</f>
        <v>802</v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>
        <f t="shared" si="142"/>
        <v>0</v>
      </c>
      <c r="CP827" s="58"/>
    </row>
    <row r="828" spans="1:94" hidden="1">
      <c r="A828" s="33">
        <v>824</v>
      </c>
      <c r="B828" s="55" t="s">
        <v>190</v>
      </c>
      <c r="C828" s="55">
        <f>IF(دانش‌آموزان!E73="","",دانش‌آموزان!B73)</f>
        <v>69</v>
      </c>
      <c r="D828" s="55" t="str">
        <f>IF(دانش‌آموزان!C73="","",دانش‌آموزان!C73)</f>
        <v>0970831919</v>
      </c>
      <c r="E828" s="55" t="str">
        <f>IF(دانش‌آموزان!E73="","",دانش‌آموزان!E73&amp;" "&amp;دانش‌آموزان!F73)</f>
        <v>محمدمحسن نعيمي</v>
      </c>
      <c r="F828" s="34">
        <f>IF(دانش‌آموزان!I73="","",دانش‌آموزان!I73)</f>
        <v>802</v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>
        <f t="shared" si="142"/>
        <v>0</v>
      </c>
      <c r="CP828" s="58"/>
    </row>
    <row r="829" spans="1:94" hidden="1">
      <c r="A829" s="33">
        <v>825</v>
      </c>
      <c r="B829" s="55" t="s">
        <v>191</v>
      </c>
      <c r="C829" s="55">
        <f>IF(دانش‌آموزان!E73="","",دانش‌آموزان!B73)</f>
        <v>69</v>
      </c>
      <c r="D829" s="55" t="str">
        <f>IF(دانش‌آموزان!C73="","",دانش‌آموزان!C73)</f>
        <v>0970831919</v>
      </c>
      <c r="E829" s="55" t="str">
        <f>IF(دانش‌آموزان!E73="","",دانش‌آموزان!E73&amp;" "&amp;دانش‌آموزان!F73)</f>
        <v>محمدمحسن نعيمي</v>
      </c>
      <c r="F829" s="34">
        <f>IF(دانش‌آموزان!I73="","",دانش‌آموزان!I73)</f>
        <v>802</v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>
        <f t="shared" si="142"/>
        <v>0</v>
      </c>
      <c r="CP829" s="58"/>
    </row>
    <row r="830" spans="1:94" hidden="1">
      <c r="A830" s="33">
        <v>826</v>
      </c>
      <c r="B830" s="55" t="s">
        <v>192</v>
      </c>
      <c r="C830" s="55">
        <f>IF(دانش‌آموزان!E73="","",دانش‌آموزان!B73)</f>
        <v>69</v>
      </c>
      <c r="D830" s="55" t="str">
        <f>IF(دانش‌آموزان!C73="","",دانش‌آموزان!C73)</f>
        <v>0970831919</v>
      </c>
      <c r="E830" s="55" t="str">
        <f>IF(دانش‌آموزان!E73="","",دانش‌آموزان!E73&amp;" "&amp;دانش‌آموزان!F73)</f>
        <v>محمدمحسن نعيمي</v>
      </c>
      <c r="F830" s="34">
        <f>IF(دانش‌آموزان!I73="","",دانش‌آموزان!I73)</f>
        <v>802</v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>
        <f t="shared" si="142"/>
        <v>0</v>
      </c>
      <c r="CP830" s="58"/>
    </row>
    <row r="831" spans="1:94" hidden="1">
      <c r="A831" s="33">
        <v>827</v>
      </c>
      <c r="B831" s="55" t="s">
        <v>193</v>
      </c>
      <c r="C831" s="55">
        <f>IF(دانش‌آموزان!E73="","",دانش‌آموزان!B73)</f>
        <v>69</v>
      </c>
      <c r="D831" s="55" t="str">
        <f>IF(دانش‌آموزان!C73="","",دانش‌آموزان!C73)</f>
        <v>0970831919</v>
      </c>
      <c r="E831" s="55" t="str">
        <f>IF(دانش‌آموزان!E73="","",دانش‌آموزان!E73&amp;" "&amp;دانش‌آموزان!F73)</f>
        <v>محمدمحسن نعيمي</v>
      </c>
      <c r="F831" s="34">
        <f>IF(دانش‌آموزان!I73="","",دانش‌آموزان!I73)</f>
        <v>802</v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>
        <f t="shared" si="142"/>
        <v>0</v>
      </c>
      <c r="CP831" s="58"/>
    </row>
    <row r="832" spans="1:94" hidden="1">
      <c r="A832" s="33">
        <v>828</v>
      </c>
      <c r="B832" s="55" t="s">
        <v>194</v>
      </c>
      <c r="C832" s="55">
        <f>IF(دانش‌آموزان!E73="","",دانش‌آموزان!B73)</f>
        <v>69</v>
      </c>
      <c r="D832" s="55" t="str">
        <f>IF(دانش‌آموزان!C73="","",دانش‌آموزان!C73)</f>
        <v>0970831919</v>
      </c>
      <c r="E832" s="55" t="str">
        <f>IF(دانش‌آموزان!E73="","",دانش‌آموزان!E73&amp;" "&amp;دانش‌آموزان!F73)</f>
        <v>محمدمحسن نعيمي</v>
      </c>
      <c r="F832" s="34">
        <f>IF(دانش‌آموزان!I73="","",دانش‌آموزان!I73)</f>
        <v>802</v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>
        <f t="shared" si="142"/>
        <v>0</v>
      </c>
      <c r="CP832" s="58"/>
    </row>
    <row r="833" spans="1:94" hidden="1">
      <c r="A833" s="33">
        <v>829</v>
      </c>
      <c r="B833" s="55" t="s">
        <v>183</v>
      </c>
      <c r="C833" s="55" t="str">
        <f>IF(دانش‌آموزان!E74="","",دانش‌آموزان!B74)</f>
        <v/>
      </c>
      <c r="D833" s="55" t="str">
        <f>IF(دانش‌آموزان!C74="","",دانش‌آموزان!C74)</f>
        <v/>
      </c>
      <c r="E833" s="55" t="str">
        <f>IF(دانش‌آموزان!E74="","",دانش‌آموزان!E74&amp;" "&amp;دانش‌آموزان!F74)</f>
        <v/>
      </c>
      <c r="F833" s="34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idden="1">
      <c r="A834" s="33">
        <v>830</v>
      </c>
      <c r="B834" s="55" t="s">
        <v>184</v>
      </c>
      <c r="C834" s="55" t="str">
        <f>IF(دانش‌آموزان!E74="","",دانش‌آموزان!B74)</f>
        <v/>
      </c>
      <c r="D834" s="55" t="str">
        <f>IF(دانش‌آموزان!C74="","",دانش‌آموزان!C74)</f>
        <v/>
      </c>
      <c r="E834" s="55" t="str">
        <f>IF(دانش‌آموزان!E74="","",دانش‌آموزان!E74&amp;" "&amp;دانش‌آموزان!F74)</f>
        <v/>
      </c>
      <c r="F834" s="34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>
      <c r="A835" s="33">
        <v>831</v>
      </c>
      <c r="B835" s="55" t="s">
        <v>185</v>
      </c>
      <c r="C835" s="55" t="str">
        <f>IF(دانش‌آموزان!E74="","",دانش‌آموزان!B74)</f>
        <v/>
      </c>
      <c r="D835" s="55" t="str">
        <f>IF(دانش‌آموزان!C74="","",دانش‌آموزان!C74)</f>
        <v/>
      </c>
      <c r="E835" s="55" t="str">
        <f>IF(دانش‌آموزان!E74="","",دانش‌آموزان!E74&amp;" "&amp;دانش‌آموزان!F74)</f>
        <v/>
      </c>
      <c r="F835" s="34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idden="1">
      <c r="A836" s="33">
        <v>832</v>
      </c>
      <c r="B836" s="55" t="s">
        <v>186</v>
      </c>
      <c r="C836" s="55" t="str">
        <f>IF(دانش‌آموزان!E74="","",دانش‌آموزان!B74)</f>
        <v/>
      </c>
      <c r="D836" s="55" t="str">
        <f>IF(دانش‌آموزان!C74="","",دانش‌آموزان!C74)</f>
        <v/>
      </c>
      <c r="E836" s="55" t="str">
        <f>IF(دانش‌آموزان!E74="","",دانش‌آموزان!E74&amp;" "&amp;دانش‌آموزان!F74)</f>
        <v/>
      </c>
      <c r="F836" s="34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idden="1">
      <c r="A837" s="33">
        <v>833</v>
      </c>
      <c r="B837" s="55" t="s">
        <v>187</v>
      </c>
      <c r="C837" s="55" t="str">
        <f>IF(دانش‌آموزان!E74="","",دانش‌آموزان!B74)</f>
        <v/>
      </c>
      <c r="D837" s="55" t="str">
        <f>IF(دانش‌آموزان!C74="","",دانش‌آموزان!C74)</f>
        <v/>
      </c>
      <c r="E837" s="55" t="str">
        <f>IF(دانش‌آموزان!E74="","",دانش‌آموزان!E74&amp;" "&amp;دانش‌آموزان!F74)</f>
        <v/>
      </c>
      <c r="F837" s="34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idden="1">
      <c r="A838" s="33">
        <v>834</v>
      </c>
      <c r="B838" s="55" t="s">
        <v>188</v>
      </c>
      <c r="C838" s="55" t="str">
        <f>IF(دانش‌آموزان!E74="","",دانش‌آموزان!B74)</f>
        <v/>
      </c>
      <c r="D838" s="55" t="str">
        <f>IF(دانش‌آموزان!C74="","",دانش‌آموزان!C74)</f>
        <v/>
      </c>
      <c r="E838" s="55" t="str">
        <f>IF(دانش‌آموزان!E74="","",دانش‌آموزان!E74&amp;" "&amp;دانش‌آموزان!F74)</f>
        <v/>
      </c>
      <c r="F838" s="34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idden="1">
      <c r="A839" s="33">
        <v>835</v>
      </c>
      <c r="B839" s="55" t="s">
        <v>189</v>
      </c>
      <c r="C839" s="55" t="str">
        <f>IF(دانش‌آموزان!E74="","",دانش‌آموزان!B74)</f>
        <v/>
      </c>
      <c r="D839" s="55" t="str">
        <f>IF(دانش‌آموزان!C74="","",دانش‌آموزان!C74)</f>
        <v/>
      </c>
      <c r="E839" s="55" t="str">
        <f>IF(دانش‌آموزان!E74="","",دانش‌آموزان!E74&amp;" "&amp;دانش‌آموزان!F74)</f>
        <v/>
      </c>
      <c r="F839" s="34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idden="1">
      <c r="A840" s="33">
        <v>836</v>
      </c>
      <c r="B840" s="55" t="s">
        <v>190</v>
      </c>
      <c r="C840" s="55" t="str">
        <f>IF(دانش‌آموزان!E74="","",دانش‌آموزان!B74)</f>
        <v/>
      </c>
      <c r="D840" s="55" t="str">
        <f>IF(دانش‌آموزان!C74="","",دانش‌آموزان!C74)</f>
        <v/>
      </c>
      <c r="E840" s="55" t="str">
        <f>IF(دانش‌آموزان!E74="","",دانش‌آموزان!E74&amp;" "&amp;دانش‌آموزان!F74)</f>
        <v/>
      </c>
      <c r="F840" s="34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idden="1">
      <c r="A841" s="33">
        <v>837</v>
      </c>
      <c r="B841" s="55" t="s">
        <v>191</v>
      </c>
      <c r="C841" s="55" t="str">
        <f>IF(دانش‌آموزان!E74="","",دانش‌آموزان!B74)</f>
        <v/>
      </c>
      <c r="D841" s="55" t="str">
        <f>IF(دانش‌آموزان!C74="","",دانش‌آموزان!C74)</f>
        <v/>
      </c>
      <c r="E841" s="55" t="str">
        <f>IF(دانش‌آموزان!E74="","",دانش‌آموزان!E74&amp;" "&amp;دانش‌آموزان!F74)</f>
        <v/>
      </c>
      <c r="F841" s="34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idden="1">
      <c r="A842" s="33">
        <v>838</v>
      </c>
      <c r="B842" s="55" t="s">
        <v>192</v>
      </c>
      <c r="C842" s="55" t="str">
        <f>IF(دانش‌آموزان!E74="","",دانش‌آموزان!B74)</f>
        <v/>
      </c>
      <c r="D842" s="55" t="str">
        <f>IF(دانش‌آموزان!C74="","",دانش‌آموزان!C74)</f>
        <v/>
      </c>
      <c r="E842" s="55" t="str">
        <f>IF(دانش‌آموزان!E74="","",دانش‌آموزان!E74&amp;" "&amp;دانش‌آموزان!F74)</f>
        <v/>
      </c>
      <c r="F842" s="34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idden="1">
      <c r="A843" s="33">
        <v>839</v>
      </c>
      <c r="B843" s="55" t="s">
        <v>193</v>
      </c>
      <c r="C843" s="55" t="str">
        <f>IF(دانش‌آموزان!E74="","",دانش‌آموزان!B74)</f>
        <v/>
      </c>
      <c r="D843" s="55" t="str">
        <f>IF(دانش‌آموزان!C74="","",دانش‌آموزان!C74)</f>
        <v/>
      </c>
      <c r="E843" s="55" t="str">
        <f>IF(دانش‌آموزان!E74="","",دانش‌آموزان!E74&amp;" "&amp;دانش‌آموزان!F74)</f>
        <v/>
      </c>
      <c r="F843" s="34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idden="1">
      <c r="A844" s="33">
        <v>840</v>
      </c>
      <c r="B844" s="55" t="s">
        <v>194</v>
      </c>
      <c r="C844" s="55" t="str">
        <f>IF(دانش‌آموزان!E74="","",دانش‌آموزان!B74)</f>
        <v/>
      </c>
      <c r="D844" s="55" t="str">
        <f>IF(دانش‌آموزان!C74="","",دانش‌آموزان!C74)</f>
        <v/>
      </c>
      <c r="E844" s="55" t="str">
        <f>IF(دانش‌آموزان!E74="","",دانش‌آموزان!E74&amp;" "&amp;دانش‌آموزان!F74)</f>
        <v/>
      </c>
      <c r="F844" s="34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idden="1">
      <c r="A845" s="33">
        <v>841</v>
      </c>
      <c r="B845" s="55" t="s">
        <v>183</v>
      </c>
      <c r="C845" s="55" t="str">
        <f>IF(دانش‌آموزان!E75="","",دانش‌آموزان!B75)</f>
        <v/>
      </c>
      <c r="D845" s="55" t="str">
        <f>IF(دانش‌آموزان!C75="","",دانش‌آموزان!C75)</f>
        <v/>
      </c>
      <c r="E845" s="55" t="str">
        <f>IF(دانش‌آموزان!E75="","",دانش‌آموزان!E75&amp;" "&amp;دانش‌آموزان!F75)</f>
        <v/>
      </c>
      <c r="F845" s="34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idden="1">
      <c r="A846" s="33">
        <v>842</v>
      </c>
      <c r="B846" s="55" t="s">
        <v>184</v>
      </c>
      <c r="C846" s="55" t="str">
        <f>IF(دانش‌آموزان!E75="","",دانش‌آموزان!B75)</f>
        <v/>
      </c>
      <c r="D846" s="55" t="str">
        <f>IF(دانش‌آموزان!C75="","",دانش‌آموزان!C75)</f>
        <v/>
      </c>
      <c r="E846" s="55" t="str">
        <f>IF(دانش‌آموزان!E75="","",دانش‌آموزان!E75&amp;" "&amp;دانش‌آموزان!F75)</f>
        <v/>
      </c>
      <c r="F846" s="34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>
      <c r="A847" s="33">
        <v>843</v>
      </c>
      <c r="B847" s="55" t="s">
        <v>185</v>
      </c>
      <c r="C847" s="55" t="str">
        <f>IF(دانش‌آموزان!E75="","",دانش‌آموزان!B75)</f>
        <v/>
      </c>
      <c r="D847" s="55" t="str">
        <f>IF(دانش‌آموزان!C75="","",دانش‌آموزان!C75)</f>
        <v/>
      </c>
      <c r="E847" s="55" t="str">
        <f>IF(دانش‌آموزان!E75="","",دانش‌آموزان!E75&amp;" "&amp;دانش‌آموزان!F75)</f>
        <v/>
      </c>
      <c r="F847" s="34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idden="1">
      <c r="A848" s="33">
        <v>844</v>
      </c>
      <c r="B848" s="55" t="s">
        <v>186</v>
      </c>
      <c r="C848" s="55" t="str">
        <f>IF(دانش‌آموزان!E75="","",دانش‌آموزان!B75)</f>
        <v/>
      </c>
      <c r="D848" s="55" t="str">
        <f>IF(دانش‌آموزان!C75="","",دانش‌آموزان!C75)</f>
        <v/>
      </c>
      <c r="E848" s="55" t="str">
        <f>IF(دانش‌آموزان!E75="","",دانش‌آموزان!E75&amp;" "&amp;دانش‌آموزان!F75)</f>
        <v/>
      </c>
      <c r="F848" s="34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idden="1">
      <c r="A849" s="33">
        <v>845</v>
      </c>
      <c r="B849" s="55" t="s">
        <v>187</v>
      </c>
      <c r="C849" s="55" t="str">
        <f>IF(دانش‌آموزان!E75="","",دانش‌آموزان!B75)</f>
        <v/>
      </c>
      <c r="D849" s="55" t="str">
        <f>IF(دانش‌آموزان!C75="","",دانش‌آموزان!C75)</f>
        <v/>
      </c>
      <c r="E849" s="55" t="str">
        <f>IF(دانش‌آموزان!E75="","",دانش‌آموزان!E75&amp;" "&amp;دانش‌آموزان!F75)</f>
        <v/>
      </c>
      <c r="F849" s="34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idden="1">
      <c r="A850" s="33">
        <v>846</v>
      </c>
      <c r="B850" s="55" t="s">
        <v>188</v>
      </c>
      <c r="C850" s="55" t="str">
        <f>IF(دانش‌آموزان!E75="","",دانش‌آموزان!B75)</f>
        <v/>
      </c>
      <c r="D850" s="55" t="str">
        <f>IF(دانش‌آموزان!C75="","",دانش‌آموزان!C75)</f>
        <v/>
      </c>
      <c r="E850" s="55" t="str">
        <f>IF(دانش‌آموزان!E75="","",دانش‌آموزان!E75&amp;" "&amp;دانش‌آموزان!F75)</f>
        <v/>
      </c>
      <c r="F850" s="34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idden="1">
      <c r="A851" s="33">
        <v>847</v>
      </c>
      <c r="B851" s="55" t="s">
        <v>189</v>
      </c>
      <c r="C851" s="55" t="str">
        <f>IF(دانش‌آموزان!E75="","",دانش‌آموزان!B75)</f>
        <v/>
      </c>
      <c r="D851" s="55" t="str">
        <f>IF(دانش‌آموزان!C75="","",دانش‌آموزان!C75)</f>
        <v/>
      </c>
      <c r="E851" s="55" t="str">
        <f>IF(دانش‌آموزان!E75="","",دانش‌آموزان!E75&amp;" "&amp;دانش‌آموزان!F75)</f>
        <v/>
      </c>
      <c r="F851" s="34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idden="1">
      <c r="A852" s="33">
        <v>848</v>
      </c>
      <c r="B852" s="55" t="s">
        <v>190</v>
      </c>
      <c r="C852" s="55" t="str">
        <f>IF(دانش‌آموزان!E75="","",دانش‌آموزان!B75)</f>
        <v/>
      </c>
      <c r="D852" s="55" t="str">
        <f>IF(دانش‌آموزان!C75="","",دانش‌آموزان!C75)</f>
        <v/>
      </c>
      <c r="E852" s="55" t="str">
        <f>IF(دانش‌آموزان!E75="","",دانش‌آموزان!E75&amp;" "&amp;دانش‌آموزان!F75)</f>
        <v/>
      </c>
      <c r="F852" s="34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idden="1">
      <c r="A853" s="33">
        <v>849</v>
      </c>
      <c r="B853" s="55" t="s">
        <v>191</v>
      </c>
      <c r="C853" s="55" t="str">
        <f>IF(دانش‌آموزان!E75="","",دانش‌آموزان!B75)</f>
        <v/>
      </c>
      <c r="D853" s="55" t="str">
        <f>IF(دانش‌آموزان!C75="","",دانش‌آموزان!C75)</f>
        <v/>
      </c>
      <c r="E853" s="55" t="str">
        <f>IF(دانش‌آموزان!E75="","",دانش‌آموزان!E75&amp;" "&amp;دانش‌آموزان!F75)</f>
        <v/>
      </c>
      <c r="F853" s="34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idden="1">
      <c r="A854" s="33">
        <v>850</v>
      </c>
      <c r="B854" s="55" t="s">
        <v>192</v>
      </c>
      <c r="C854" s="55" t="str">
        <f>IF(دانش‌آموزان!E75="","",دانش‌آموزان!B75)</f>
        <v/>
      </c>
      <c r="D854" s="55" t="str">
        <f>IF(دانش‌آموزان!C75="","",دانش‌آموزان!C75)</f>
        <v/>
      </c>
      <c r="E854" s="55" t="str">
        <f>IF(دانش‌آموزان!E75="","",دانش‌آموزان!E75&amp;" "&amp;دانش‌آموزان!F75)</f>
        <v/>
      </c>
      <c r="F854" s="34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idden="1">
      <c r="A855" s="33">
        <v>851</v>
      </c>
      <c r="B855" s="55" t="s">
        <v>193</v>
      </c>
      <c r="C855" s="55" t="str">
        <f>IF(دانش‌آموزان!E75="","",دانش‌آموزان!B75)</f>
        <v/>
      </c>
      <c r="D855" s="55" t="str">
        <f>IF(دانش‌آموزان!C75="","",دانش‌آموزان!C75)</f>
        <v/>
      </c>
      <c r="E855" s="55" t="str">
        <f>IF(دانش‌آموزان!E75="","",دانش‌آموزان!E75&amp;" "&amp;دانش‌آموزان!F75)</f>
        <v/>
      </c>
      <c r="F855" s="34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idden="1">
      <c r="A856" s="33">
        <v>852</v>
      </c>
      <c r="B856" s="55" t="s">
        <v>194</v>
      </c>
      <c r="C856" s="55" t="str">
        <f>IF(دانش‌آموزان!E75="","",دانش‌آموزان!B75)</f>
        <v/>
      </c>
      <c r="D856" s="55" t="str">
        <f>IF(دانش‌آموزان!C75="","",دانش‌آموزان!C75)</f>
        <v/>
      </c>
      <c r="E856" s="55" t="str">
        <f>IF(دانش‌آموزان!E75="","",دانش‌آموزان!E75&amp;" "&amp;دانش‌آموزان!F75)</f>
        <v/>
      </c>
      <c r="F856" s="34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idden="1">
      <c r="A857" s="33">
        <v>853</v>
      </c>
      <c r="B857" s="55" t="s">
        <v>183</v>
      </c>
      <c r="C857" s="55" t="str">
        <f>IF(دانش‌آموزان!E76="","",دانش‌آموزان!B76)</f>
        <v/>
      </c>
      <c r="D857" s="55" t="str">
        <f>IF(دانش‌آموزان!C76="","",دانش‌آموزان!C76)</f>
        <v/>
      </c>
      <c r="E857" s="55" t="str">
        <f>IF(دانش‌آموزان!E76="","",دانش‌آموزان!E76&amp;" "&amp;دانش‌آموزان!F76)</f>
        <v/>
      </c>
      <c r="F857" s="34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idden="1">
      <c r="A858" s="33">
        <v>854</v>
      </c>
      <c r="B858" s="55" t="s">
        <v>184</v>
      </c>
      <c r="C858" s="55" t="str">
        <f>IF(دانش‌آموزان!E76="","",دانش‌آموزان!B76)</f>
        <v/>
      </c>
      <c r="D858" s="55" t="str">
        <f>IF(دانش‌آموزان!C76="","",دانش‌آموزان!C76)</f>
        <v/>
      </c>
      <c r="E858" s="55" t="str">
        <f>IF(دانش‌آموزان!E76="","",دانش‌آموزان!E76&amp;" "&amp;دانش‌آموزان!F76)</f>
        <v/>
      </c>
      <c r="F858" s="34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>
      <c r="A859" s="33">
        <v>855</v>
      </c>
      <c r="B859" s="55" t="s">
        <v>185</v>
      </c>
      <c r="C859" s="55" t="str">
        <f>IF(دانش‌آموزان!E76="","",دانش‌آموزان!B76)</f>
        <v/>
      </c>
      <c r="D859" s="55" t="str">
        <f>IF(دانش‌آموزان!C76="","",دانش‌آموزان!C76)</f>
        <v/>
      </c>
      <c r="E859" s="55" t="str">
        <f>IF(دانش‌آموزان!E76="","",دانش‌آموزان!E76&amp;" "&amp;دانش‌آموزان!F76)</f>
        <v/>
      </c>
      <c r="F859" s="34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idden="1">
      <c r="A860" s="33">
        <v>856</v>
      </c>
      <c r="B860" s="55" t="s">
        <v>186</v>
      </c>
      <c r="C860" s="55" t="str">
        <f>IF(دانش‌آموزان!E76="","",دانش‌آموزان!B76)</f>
        <v/>
      </c>
      <c r="D860" s="55" t="str">
        <f>IF(دانش‌آموزان!C76="","",دانش‌آموزان!C76)</f>
        <v/>
      </c>
      <c r="E860" s="55" t="str">
        <f>IF(دانش‌آموزان!E76="","",دانش‌آموزان!E76&amp;" "&amp;دانش‌آموزان!F76)</f>
        <v/>
      </c>
      <c r="F860" s="34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idden="1">
      <c r="A861" s="33">
        <v>857</v>
      </c>
      <c r="B861" s="55" t="s">
        <v>187</v>
      </c>
      <c r="C861" s="55" t="str">
        <f>IF(دانش‌آموزان!E76="","",دانش‌آموزان!B76)</f>
        <v/>
      </c>
      <c r="D861" s="55" t="str">
        <f>IF(دانش‌آموزان!C76="","",دانش‌آموزان!C76)</f>
        <v/>
      </c>
      <c r="E861" s="55" t="str">
        <f>IF(دانش‌آموزان!E76="","",دانش‌آموزان!E76&amp;" "&amp;دانش‌آموزان!F76)</f>
        <v/>
      </c>
      <c r="F861" s="34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idden="1">
      <c r="A862" s="33">
        <v>858</v>
      </c>
      <c r="B862" s="55" t="s">
        <v>188</v>
      </c>
      <c r="C862" s="55" t="str">
        <f>IF(دانش‌آموزان!E76="","",دانش‌آموزان!B76)</f>
        <v/>
      </c>
      <c r="D862" s="55" t="str">
        <f>IF(دانش‌آموزان!C76="","",دانش‌آموزان!C76)</f>
        <v/>
      </c>
      <c r="E862" s="55" t="str">
        <f>IF(دانش‌آموزان!E76="","",دانش‌آموزان!E76&amp;" "&amp;دانش‌آموزان!F76)</f>
        <v/>
      </c>
      <c r="F862" s="34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idden="1">
      <c r="A863" s="33">
        <v>859</v>
      </c>
      <c r="B863" s="55" t="s">
        <v>189</v>
      </c>
      <c r="C863" s="55" t="str">
        <f>IF(دانش‌آموزان!E76="","",دانش‌آموزان!B76)</f>
        <v/>
      </c>
      <c r="D863" s="55" t="str">
        <f>IF(دانش‌آموزان!C76="","",دانش‌آموزان!C76)</f>
        <v/>
      </c>
      <c r="E863" s="55" t="str">
        <f>IF(دانش‌آموزان!E76="","",دانش‌آموزان!E76&amp;" "&amp;دانش‌آموزان!F76)</f>
        <v/>
      </c>
      <c r="F863" s="34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idden="1">
      <c r="A864" s="33">
        <v>860</v>
      </c>
      <c r="B864" s="55" t="s">
        <v>190</v>
      </c>
      <c r="C864" s="55" t="str">
        <f>IF(دانش‌آموزان!E76="","",دانش‌آموزان!B76)</f>
        <v/>
      </c>
      <c r="D864" s="55" t="str">
        <f>IF(دانش‌آموزان!C76="","",دانش‌آموزان!C76)</f>
        <v/>
      </c>
      <c r="E864" s="55" t="str">
        <f>IF(دانش‌آموزان!E76="","",دانش‌آموزان!E76&amp;" "&amp;دانش‌آموزان!F76)</f>
        <v/>
      </c>
      <c r="F864" s="34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idden="1">
      <c r="A865" s="33">
        <v>861</v>
      </c>
      <c r="B865" s="55" t="s">
        <v>191</v>
      </c>
      <c r="C865" s="55" t="str">
        <f>IF(دانش‌آموزان!E76="","",دانش‌آموزان!B76)</f>
        <v/>
      </c>
      <c r="D865" s="55" t="str">
        <f>IF(دانش‌آموزان!C76="","",دانش‌آموزان!C76)</f>
        <v/>
      </c>
      <c r="E865" s="55" t="str">
        <f>IF(دانش‌آموزان!E76="","",دانش‌آموزان!E76&amp;" "&amp;دانش‌آموزان!F76)</f>
        <v/>
      </c>
      <c r="F865" s="34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idden="1">
      <c r="A866" s="33">
        <v>862</v>
      </c>
      <c r="B866" s="55" t="s">
        <v>192</v>
      </c>
      <c r="C866" s="55" t="str">
        <f>IF(دانش‌آموزان!E76="","",دانش‌آموزان!B76)</f>
        <v/>
      </c>
      <c r="D866" s="55" t="str">
        <f>IF(دانش‌آموزان!C76="","",دانش‌آموزان!C76)</f>
        <v/>
      </c>
      <c r="E866" s="55" t="str">
        <f>IF(دانش‌آموزان!E76="","",دانش‌آموزان!E76&amp;" "&amp;دانش‌آموزان!F76)</f>
        <v/>
      </c>
      <c r="F866" s="34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idden="1">
      <c r="A867" s="33">
        <v>863</v>
      </c>
      <c r="B867" s="55" t="s">
        <v>193</v>
      </c>
      <c r="C867" s="55" t="str">
        <f>IF(دانش‌آموزان!E76="","",دانش‌آموزان!B76)</f>
        <v/>
      </c>
      <c r="D867" s="55" t="str">
        <f>IF(دانش‌آموزان!C76="","",دانش‌آموزان!C76)</f>
        <v/>
      </c>
      <c r="E867" s="55" t="str">
        <f>IF(دانش‌آموزان!E76="","",دانش‌آموزان!E76&amp;" "&amp;دانش‌آموزان!F76)</f>
        <v/>
      </c>
      <c r="F867" s="34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idden="1">
      <c r="A868" s="33">
        <v>864</v>
      </c>
      <c r="B868" s="55" t="s">
        <v>194</v>
      </c>
      <c r="C868" s="55" t="str">
        <f>IF(دانش‌آموزان!E76="","",دانش‌آموزان!B76)</f>
        <v/>
      </c>
      <c r="D868" s="55" t="str">
        <f>IF(دانش‌آموزان!C76="","",دانش‌آموزان!C76)</f>
        <v/>
      </c>
      <c r="E868" s="55" t="str">
        <f>IF(دانش‌آموزان!E76="","",دانش‌آموزان!E76&amp;" "&amp;دانش‌آموزان!F76)</f>
        <v/>
      </c>
      <c r="F868" s="34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idden="1">
      <c r="A869" s="33">
        <v>865</v>
      </c>
      <c r="B869" s="55" t="s">
        <v>183</v>
      </c>
      <c r="C869" s="55" t="str">
        <f>IF(دانش‌آموزان!E77="","",دانش‌آموزان!B77)</f>
        <v/>
      </c>
      <c r="D869" s="55" t="str">
        <f>IF(دانش‌آموزان!C77="","",دانش‌آموزان!C77)</f>
        <v/>
      </c>
      <c r="E869" s="55" t="str">
        <f>IF(دانش‌آموزان!E77="","",دانش‌آموزان!E77&amp;" "&amp;دانش‌آموزان!F77)</f>
        <v/>
      </c>
      <c r="F869" s="34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idden="1">
      <c r="A870" s="33">
        <v>866</v>
      </c>
      <c r="B870" s="55" t="s">
        <v>184</v>
      </c>
      <c r="C870" s="55" t="str">
        <f>IF(دانش‌آموزان!E77="","",دانش‌آموزان!B77)</f>
        <v/>
      </c>
      <c r="D870" s="55" t="str">
        <f>IF(دانش‌آموزان!C77="","",دانش‌آموزان!C77)</f>
        <v/>
      </c>
      <c r="E870" s="55" t="str">
        <f>IF(دانش‌آموزان!E77="","",دانش‌آموزان!E77&amp;" "&amp;دانش‌آموزان!F77)</f>
        <v/>
      </c>
      <c r="F870" s="34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>
      <c r="A871" s="33">
        <v>867</v>
      </c>
      <c r="B871" s="55" t="s">
        <v>185</v>
      </c>
      <c r="C871" s="55" t="str">
        <f>IF(دانش‌آموزان!E77="","",دانش‌آموزان!B77)</f>
        <v/>
      </c>
      <c r="D871" s="55" t="str">
        <f>IF(دانش‌آموزان!C77="","",دانش‌آموزان!C77)</f>
        <v/>
      </c>
      <c r="E871" s="55" t="str">
        <f>IF(دانش‌آموزان!E77="","",دانش‌آموزان!E77&amp;" "&amp;دانش‌آموزان!F77)</f>
        <v/>
      </c>
      <c r="F871" s="34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idden="1">
      <c r="A872" s="33">
        <v>868</v>
      </c>
      <c r="B872" s="55" t="s">
        <v>186</v>
      </c>
      <c r="C872" s="55" t="str">
        <f>IF(دانش‌آموزان!E77="","",دانش‌آموزان!B77)</f>
        <v/>
      </c>
      <c r="D872" s="55" t="str">
        <f>IF(دانش‌آموزان!C77="","",دانش‌آموزان!C77)</f>
        <v/>
      </c>
      <c r="E872" s="55" t="str">
        <f>IF(دانش‌آموزان!E77="","",دانش‌آموزان!E77&amp;" "&amp;دانش‌آموزان!F77)</f>
        <v/>
      </c>
      <c r="F872" s="34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idden="1">
      <c r="A873" s="33">
        <v>869</v>
      </c>
      <c r="B873" s="55" t="s">
        <v>187</v>
      </c>
      <c r="C873" s="55" t="str">
        <f>IF(دانش‌آموزان!E77="","",دانش‌آموزان!B77)</f>
        <v/>
      </c>
      <c r="D873" s="55" t="str">
        <f>IF(دانش‌آموزان!C77="","",دانش‌آموزان!C77)</f>
        <v/>
      </c>
      <c r="E873" s="55" t="str">
        <f>IF(دانش‌آموزان!E77="","",دانش‌آموزان!E77&amp;" "&amp;دانش‌آموزان!F77)</f>
        <v/>
      </c>
      <c r="F873" s="34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idden="1">
      <c r="A874" s="33">
        <v>870</v>
      </c>
      <c r="B874" s="55" t="s">
        <v>188</v>
      </c>
      <c r="C874" s="55" t="str">
        <f>IF(دانش‌آموزان!E77="","",دانش‌آموزان!B77)</f>
        <v/>
      </c>
      <c r="D874" s="55" t="str">
        <f>IF(دانش‌آموزان!C77="","",دانش‌آموزان!C77)</f>
        <v/>
      </c>
      <c r="E874" s="55" t="str">
        <f>IF(دانش‌آموزان!E77="","",دانش‌آموزان!E77&amp;" "&amp;دانش‌آموزان!F77)</f>
        <v/>
      </c>
      <c r="F874" s="34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idden="1">
      <c r="A875" s="33">
        <v>871</v>
      </c>
      <c r="B875" s="55" t="s">
        <v>189</v>
      </c>
      <c r="C875" s="55" t="str">
        <f>IF(دانش‌آموزان!E77="","",دانش‌آموزان!B77)</f>
        <v/>
      </c>
      <c r="D875" s="55" t="str">
        <f>IF(دانش‌آموزان!C77="","",دانش‌آموزان!C77)</f>
        <v/>
      </c>
      <c r="E875" s="55" t="str">
        <f>IF(دانش‌آموزان!E77="","",دانش‌آموزان!E77&amp;" "&amp;دانش‌آموزان!F77)</f>
        <v/>
      </c>
      <c r="F875" s="34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idden="1">
      <c r="A876" s="33">
        <v>872</v>
      </c>
      <c r="B876" s="55" t="s">
        <v>190</v>
      </c>
      <c r="C876" s="55" t="str">
        <f>IF(دانش‌آموزان!E77="","",دانش‌آموزان!B77)</f>
        <v/>
      </c>
      <c r="D876" s="55" t="str">
        <f>IF(دانش‌آموزان!C77="","",دانش‌آموزان!C77)</f>
        <v/>
      </c>
      <c r="E876" s="55" t="str">
        <f>IF(دانش‌آموزان!E77="","",دانش‌آموزان!E77&amp;" "&amp;دانش‌آموزان!F77)</f>
        <v/>
      </c>
      <c r="F876" s="34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idden="1">
      <c r="A877" s="33">
        <v>873</v>
      </c>
      <c r="B877" s="55" t="s">
        <v>191</v>
      </c>
      <c r="C877" s="55" t="str">
        <f>IF(دانش‌آموزان!E77="","",دانش‌آموزان!B77)</f>
        <v/>
      </c>
      <c r="D877" s="55" t="str">
        <f>IF(دانش‌آموزان!C77="","",دانش‌آموزان!C77)</f>
        <v/>
      </c>
      <c r="E877" s="55" t="str">
        <f>IF(دانش‌آموزان!E77="","",دانش‌آموزان!E77&amp;" "&amp;دانش‌آموزان!F77)</f>
        <v/>
      </c>
      <c r="F877" s="34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idden="1">
      <c r="A878" s="33">
        <v>874</v>
      </c>
      <c r="B878" s="55" t="s">
        <v>192</v>
      </c>
      <c r="C878" s="55" t="str">
        <f>IF(دانش‌آموزان!E77="","",دانش‌آموزان!B77)</f>
        <v/>
      </c>
      <c r="D878" s="55" t="str">
        <f>IF(دانش‌آموزان!C77="","",دانش‌آموزان!C77)</f>
        <v/>
      </c>
      <c r="E878" s="55" t="str">
        <f>IF(دانش‌آموزان!E77="","",دانش‌آموزان!E77&amp;" "&amp;دانش‌آموزان!F77)</f>
        <v/>
      </c>
      <c r="F878" s="34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idden="1">
      <c r="A879" s="33">
        <v>875</v>
      </c>
      <c r="B879" s="55" t="s">
        <v>193</v>
      </c>
      <c r="C879" s="55" t="str">
        <f>IF(دانش‌آموزان!E77="","",دانش‌آموزان!B77)</f>
        <v/>
      </c>
      <c r="D879" s="55" t="str">
        <f>IF(دانش‌آموزان!C77="","",دانش‌آموزان!C77)</f>
        <v/>
      </c>
      <c r="E879" s="55" t="str">
        <f>IF(دانش‌آموزان!E77="","",دانش‌آموزان!E77&amp;" "&amp;دانش‌آموزان!F77)</f>
        <v/>
      </c>
      <c r="F879" s="34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idden="1">
      <c r="A880" s="33">
        <v>876</v>
      </c>
      <c r="B880" s="55" t="s">
        <v>194</v>
      </c>
      <c r="C880" s="55" t="str">
        <f>IF(دانش‌آموزان!E77="","",دانش‌آموزان!B77)</f>
        <v/>
      </c>
      <c r="D880" s="55" t="str">
        <f>IF(دانش‌آموزان!C77="","",دانش‌آموزان!C77)</f>
        <v/>
      </c>
      <c r="E880" s="55" t="str">
        <f>IF(دانش‌آموزان!E77="","",دانش‌آموزان!E77&amp;" "&amp;دانش‌آموزان!F77)</f>
        <v/>
      </c>
      <c r="F880" s="34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idden="1">
      <c r="A881" s="33">
        <v>877</v>
      </c>
      <c r="B881" s="55" t="s">
        <v>183</v>
      </c>
      <c r="C881" s="55" t="str">
        <f>IF(دانش‌آموزان!E78="","",دانش‌آموزان!B78)</f>
        <v/>
      </c>
      <c r="D881" s="55" t="str">
        <f>IF(دانش‌آموزان!C78="","",دانش‌آموزان!C78)</f>
        <v/>
      </c>
      <c r="E881" s="55" t="str">
        <f>IF(دانش‌آموزان!E78="","",دانش‌آموزان!E78&amp;" "&amp;دانش‌آموزان!F78)</f>
        <v/>
      </c>
      <c r="F881" s="34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idden="1">
      <c r="A882" s="33">
        <v>878</v>
      </c>
      <c r="B882" s="55" t="s">
        <v>184</v>
      </c>
      <c r="C882" s="55" t="str">
        <f>IF(دانش‌آموزان!E78="","",دانش‌آموزان!B78)</f>
        <v/>
      </c>
      <c r="D882" s="55" t="str">
        <f>IF(دانش‌آموزان!C78="","",دانش‌آموزان!C78)</f>
        <v/>
      </c>
      <c r="E882" s="55" t="str">
        <f>IF(دانش‌آموزان!E78="","",دانش‌آموزان!E78&amp;" "&amp;دانش‌آموزان!F78)</f>
        <v/>
      </c>
      <c r="F882" s="34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>
      <c r="A883" s="33">
        <v>879</v>
      </c>
      <c r="B883" s="55" t="s">
        <v>185</v>
      </c>
      <c r="C883" s="55" t="str">
        <f>IF(دانش‌آموزان!E78="","",دانش‌آموزان!B78)</f>
        <v/>
      </c>
      <c r="D883" s="55" t="str">
        <f>IF(دانش‌آموزان!C78="","",دانش‌آموزان!C78)</f>
        <v/>
      </c>
      <c r="E883" s="55" t="str">
        <f>IF(دانش‌آموزان!E78="","",دانش‌آموزان!E78&amp;" "&amp;دانش‌آموزان!F78)</f>
        <v/>
      </c>
      <c r="F883" s="34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idden="1">
      <c r="A884" s="33">
        <v>880</v>
      </c>
      <c r="B884" s="55" t="s">
        <v>186</v>
      </c>
      <c r="C884" s="55" t="str">
        <f>IF(دانش‌آموزان!E78="","",دانش‌آموزان!B78)</f>
        <v/>
      </c>
      <c r="D884" s="55" t="str">
        <f>IF(دانش‌آموزان!C78="","",دانش‌آموزان!C78)</f>
        <v/>
      </c>
      <c r="E884" s="55" t="str">
        <f>IF(دانش‌آموزان!E78="","",دانش‌آموزان!E78&amp;" "&amp;دانش‌آموزان!F78)</f>
        <v/>
      </c>
      <c r="F884" s="34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idden="1">
      <c r="A885" s="33">
        <v>881</v>
      </c>
      <c r="B885" s="55" t="s">
        <v>187</v>
      </c>
      <c r="C885" s="55" t="str">
        <f>IF(دانش‌آموزان!E78="","",دانش‌آموزان!B78)</f>
        <v/>
      </c>
      <c r="D885" s="55" t="str">
        <f>IF(دانش‌آموزان!C78="","",دانش‌آموزان!C78)</f>
        <v/>
      </c>
      <c r="E885" s="55" t="str">
        <f>IF(دانش‌آموزان!E78="","",دانش‌آموزان!E78&amp;" "&amp;دانش‌آموزان!F78)</f>
        <v/>
      </c>
      <c r="F885" s="34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idden="1">
      <c r="A886" s="33">
        <v>882</v>
      </c>
      <c r="B886" s="55" t="s">
        <v>188</v>
      </c>
      <c r="C886" s="55" t="str">
        <f>IF(دانش‌آموزان!E78="","",دانش‌آموزان!B78)</f>
        <v/>
      </c>
      <c r="D886" s="55" t="str">
        <f>IF(دانش‌آموزان!C78="","",دانش‌آموزان!C78)</f>
        <v/>
      </c>
      <c r="E886" s="55" t="str">
        <f>IF(دانش‌آموزان!E78="","",دانش‌آموزان!E78&amp;" "&amp;دانش‌آموزان!F78)</f>
        <v/>
      </c>
      <c r="F886" s="34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idden="1">
      <c r="A887" s="33">
        <v>883</v>
      </c>
      <c r="B887" s="55" t="s">
        <v>189</v>
      </c>
      <c r="C887" s="55" t="str">
        <f>IF(دانش‌آموزان!E78="","",دانش‌آموزان!B78)</f>
        <v/>
      </c>
      <c r="D887" s="55" t="str">
        <f>IF(دانش‌آموزان!C78="","",دانش‌آموزان!C78)</f>
        <v/>
      </c>
      <c r="E887" s="55" t="str">
        <f>IF(دانش‌آموزان!E78="","",دانش‌آموزان!E78&amp;" "&amp;دانش‌آموزان!F78)</f>
        <v/>
      </c>
      <c r="F887" s="34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idden="1">
      <c r="A888" s="33">
        <v>884</v>
      </c>
      <c r="B888" s="55" t="s">
        <v>190</v>
      </c>
      <c r="C888" s="55" t="str">
        <f>IF(دانش‌آموزان!E78="","",دانش‌آموزان!B78)</f>
        <v/>
      </c>
      <c r="D888" s="55" t="str">
        <f>IF(دانش‌آموزان!C78="","",دانش‌آموزان!C78)</f>
        <v/>
      </c>
      <c r="E888" s="55" t="str">
        <f>IF(دانش‌آموزان!E78="","",دانش‌آموزان!E78&amp;" "&amp;دانش‌آموزان!F78)</f>
        <v/>
      </c>
      <c r="F888" s="34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idden="1">
      <c r="A889" s="33">
        <v>885</v>
      </c>
      <c r="B889" s="55" t="s">
        <v>191</v>
      </c>
      <c r="C889" s="55" t="str">
        <f>IF(دانش‌آموزان!E78="","",دانش‌آموزان!B78)</f>
        <v/>
      </c>
      <c r="D889" s="55" t="str">
        <f>IF(دانش‌آموزان!C78="","",دانش‌آموزان!C78)</f>
        <v/>
      </c>
      <c r="E889" s="55" t="str">
        <f>IF(دانش‌آموزان!E78="","",دانش‌آموزان!E78&amp;" "&amp;دانش‌آموزان!F78)</f>
        <v/>
      </c>
      <c r="F889" s="34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idden="1">
      <c r="A890" s="33">
        <v>886</v>
      </c>
      <c r="B890" s="55" t="s">
        <v>192</v>
      </c>
      <c r="C890" s="55" t="str">
        <f>IF(دانش‌آموزان!E78="","",دانش‌آموزان!B78)</f>
        <v/>
      </c>
      <c r="D890" s="55" t="str">
        <f>IF(دانش‌آموزان!C78="","",دانش‌آموزان!C78)</f>
        <v/>
      </c>
      <c r="E890" s="55" t="str">
        <f>IF(دانش‌آموزان!E78="","",دانش‌آموزان!E78&amp;" "&amp;دانش‌آموزان!F78)</f>
        <v/>
      </c>
      <c r="F890" s="34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idden="1">
      <c r="A891" s="33">
        <v>887</v>
      </c>
      <c r="B891" s="55" t="s">
        <v>193</v>
      </c>
      <c r="C891" s="55" t="str">
        <f>IF(دانش‌آموزان!E78="","",دانش‌آموزان!B78)</f>
        <v/>
      </c>
      <c r="D891" s="55" t="str">
        <f>IF(دانش‌آموزان!C78="","",دانش‌آموزان!C78)</f>
        <v/>
      </c>
      <c r="E891" s="55" t="str">
        <f>IF(دانش‌آموزان!E78="","",دانش‌آموزان!E78&amp;" "&amp;دانش‌آموزان!F78)</f>
        <v/>
      </c>
      <c r="F891" s="34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idden="1">
      <c r="A892" s="33">
        <v>888</v>
      </c>
      <c r="B892" s="55" t="s">
        <v>194</v>
      </c>
      <c r="C892" s="55" t="str">
        <f>IF(دانش‌آموزان!E78="","",دانش‌آموزان!B78)</f>
        <v/>
      </c>
      <c r="D892" s="55" t="str">
        <f>IF(دانش‌آموزان!C78="","",دانش‌آموزان!C78)</f>
        <v/>
      </c>
      <c r="E892" s="55" t="str">
        <f>IF(دانش‌آموزان!E78="","",دانش‌آموزان!E78&amp;" "&amp;دانش‌آموزان!F78)</f>
        <v/>
      </c>
      <c r="F892" s="34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idden="1">
      <c r="A893" s="33">
        <v>889</v>
      </c>
      <c r="B893" s="55" t="s">
        <v>183</v>
      </c>
      <c r="C893" s="55" t="str">
        <f>IF(دانش‌آموزان!E79="","",دانش‌آموزان!B79)</f>
        <v/>
      </c>
      <c r="D893" s="55" t="str">
        <f>IF(دانش‌آموزان!C79="","",دانش‌آموزان!C79)</f>
        <v/>
      </c>
      <c r="E893" s="55" t="str">
        <f>IF(دانش‌آموزان!E79="","",دانش‌آموزان!E79&amp;" "&amp;دانش‌آموزان!F79)</f>
        <v/>
      </c>
      <c r="F893" s="34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idden="1">
      <c r="A894" s="33">
        <v>890</v>
      </c>
      <c r="B894" s="55" t="s">
        <v>184</v>
      </c>
      <c r="C894" s="55" t="str">
        <f>IF(دانش‌آموزان!E79="","",دانش‌آموزان!B79)</f>
        <v/>
      </c>
      <c r="D894" s="55" t="str">
        <f>IF(دانش‌آموزان!C79="","",دانش‌آموزان!C79)</f>
        <v/>
      </c>
      <c r="E894" s="55" t="str">
        <f>IF(دانش‌آموزان!E79="","",دانش‌آموزان!E79&amp;" "&amp;دانش‌آموزان!F79)</f>
        <v/>
      </c>
      <c r="F894" s="34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>
      <c r="A895" s="33">
        <v>891</v>
      </c>
      <c r="B895" s="55" t="s">
        <v>185</v>
      </c>
      <c r="C895" s="55" t="str">
        <f>IF(دانش‌آموزان!E79="","",دانش‌آموزان!B79)</f>
        <v/>
      </c>
      <c r="D895" s="55" t="str">
        <f>IF(دانش‌آموزان!C79="","",دانش‌آموزان!C79)</f>
        <v/>
      </c>
      <c r="E895" s="55" t="str">
        <f>IF(دانش‌آموزان!E79="","",دانش‌آموزان!E79&amp;" "&amp;دانش‌آموزان!F79)</f>
        <v/>
      </c>
      <c r="F895" s="34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idden="1">
      <c r="A896" s="33">
        <v>892</v>
      </c>
      <c r="B896" s="55" t="s">
        <v>186</v>
      </c>
      <c r="C896" s="55" t="str">
        <f>IF(دانش‌آموزان!E79="","",دانش‌آموزان!B79)</f>
        <v/>
      </c>
      <c r="D896" s="55" t="str">
        <f>IF(دانش‌آموزان!C79="","",دانش‌آموزان!C79)</f>
        <v/>
      </c>
      <c r="E896" s="55" t="str">
        <f>IF(دانش‌آموزان!E79="","",دانش‌آموزان!E79&amp;" "&amp;دانش‌آموزان!F79)</f>
        <v/>
      </c>
      <c r="F896" s="34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idden="1">
      <c r="A897" s="33">
        <v>893</v>
      </c>
      <c r="B897" s="55" t="s">
        <v>187</v>
      </c>
      <c r="C897" s="55" t="str">
        <f>IF(دانش‌آموزان!E79="","",دانش‌آموزان!B79)</f>
        <v/>
      </c>
      <c r="D897" s="55" t="str">
        <f>IF(دانش‌آموزان!C79="","",دانش‌آموزان!C79)</f>
        <v/>
      </c>
      <c r="E897" s="55" t="str">
        <f>IF(دانش‌آموزان!E79="","",دانش‌آموزان!E79&amp;" "&amp;دانش‌آموزان!F79)</f>
        <v/>
      </c>
      <c r="F897" s="34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idden="1">
      <c r="A898" s="33">
        <v>894</v>
      </c>
      <c r="B898" s="55" t="s">
        <v>188</v>
      </c>
      <c r="C898" s="55" t="str">
        <f>IF(دانش‌آموزان!E79="","",دانش‌آموزان!B79)</f>
        <v/>
      </c>
      <c r="D898" s="55" t="str">
        <f>IF(دانش‌آموزان!C79="","",دانش‌آموزان!C79)</f>
        <v/>
      </c>
      <c r="E898" s="55" t="str">
        <f>IF(دانش‌آموزان!E79="","",دانش‌آموزان!E79&amp;" "&amp;دانش‌آموزان!F79)</f>
        <v/>
      </c>
      <c r="F898" s="34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idden="1">
      <c r="A899" s="33">
        <v>895</v>
      </c>
      <c r="B899" s="55" t="s">
        <v>189</v>
      </c>
      <c r="C899" s="55" t="str">
        <f>IF(دانش‌آموزان!E79="","",دانش‌آموزان!B79)</f>
        <v/>
      </c>
      <c r="D899" s="55" t="str">
        <f>IF(دانش‌آموزان!C79="","",دانش‌آموزان!C79)</f>
        <v/>
      </c>
      <c r="E899" s="55" t="str">
        <f>IF(دانش‌آموزان!E79="","",دانش‌آموزان!E79&amp;" "&amp;دانش‌آموزان!F79)</f>
        <v/>
      </c>
      <c r="F899" s="34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idden="1">
      <c r="A900" s="33">
        <v>896</v>
      </c>
      <c r="B900" s="55" t="s">
        <v>190</v>
      </c>
      <c r="C900" s="55" t="str">
        <f>IF(دانش‌آموزان!E79="","",دانش‌آموزان!B79)</f>
        <v/>
      </c>
      <c r="D900" s="55" t="str">
        <f>IF(دانش‌آموزان!C79="","",دانش‌آموزان!C79)</f>
        <v/>
      </c>
      <c r="E900" s="55" t="str">
        <f>IF(دانش‌آموزان!E79="","",دانش‌آموزان!E79&amp;" "&amp;دانش‌آموزان!F79)</f>
        <v/>
      </c>
      <c r="F900" s="34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idden="1">
      <c r="A901" s="33">
        <v>897</v>
      </c>
      <c r="B901" s="55" t="s">
        <v>191</v>
      </c>
      <c r="C901" s="55" t="str">
        <f>IF(دانش‌آموزان!E79="","",دانش‌آموزان!B79)</f>
        <v/>
      </c>
      <c r="D901" s="55" t="str">
        <f>IF(دانش‌آموزان!C79="","",دانش‌آموزان!C79)</f>
        <v/>
      </c>
      <c r="E901" s="55" t="str">
        <f>IF(دانش‌آموزان!E79="","",دانش‌آموزان!E79&amp;" "&amp;دانش‌آموزان!F79)</f>
        <v/>
      </c>
      <c r="F901" s="34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idden="1">
      <c r="A902" s="33">
        <v>898</v>
      </c>
      <c r="B902" s="55" t="s">
        <v>192</v>
      </c>
      <c r="C902" s="55" t="str">
        <f>IF(دانش‌آموزان!E79="","",دانش‌آموزان!B79)</f>
        <v/>
      </c>
      <c r="D902" s="55" t="str">
        <f>IF(دانش‌آموزان!C79="","",دانش‌آموزان!C79)</f>
        <v/>
      </c>
      <c r="E902" s="55" t="str">
        <f>IF(دانش‌آموزان!E79="","",دانش‌آموزان!E79&amp;" "&amp;دانش‌آموزان!F79)</f>
        <v/>
      </c>
      <c r="F902" s="34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idden="1">
      <c r="A903" s="33">
        <v>899</v>
      </c>
      <c r="B903" s="55" t="s">
        <v>193</v>
      </c>
      <c r="C903" s="55" t="str">
        <f>IF(دانش‌آموزان!E79="","",دانش‌آموزان!B79)</f>
        <v/>
      </c>
      <c r="D903" s="55" t="str">
        <f>IF(دانش‌آموزان!C79="","",دانش‌آموزان!C79)</f>
        <v/>
      </c>
      <c r="E903" s="55" t="str">
        <f>IF(دانش‌آموزان!E79="","",دانش‌آموزان!E79&amp;" "&amp;دانش‌آموزان!F79)</f>
        <v/>
      </c>
      <c r="F903" s="34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idden="1">
      <c r="A904" s="33">
        <v>900</v>
      </c>
      <c r="B904" s="55" t="s">
        <v>194</v>
      </c>
      <c r="C904" s="55" t="str">
        <f>IF(دانش‌آموزان!E79="","",دانش‌آموزان!B79)</f>
        <v/>
      </c>
      <c r="D904" s="55" t="str">
        <f>IF(دانش‌آموزان!C79="","",دانش‌آموزان!C79)</f>
        <v/>
      </c>
      <c r="E904" s="55" t="str">
        <f>IF(دانش‌آموزان!E79="","",دانش‌آموزان!E79&amp;" "&amp;دانش‌آموزان!F79)</f>
        <v/>
      </c>
      <c r="F904" s="34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idden="1">
      <c r="A905" s="33">
        <v>901</v>
      </c>
      <c r="B905" s="55" t="s">
        <v>183</v>
      </c>
      <c r="C905" s="55" t="str">
        <f>IF(دانش‌آموزان!E80="","",دانش‌آموزان!B80)</f>
        <v/>
      </c>
      <c r="D905" s="55" t="str">
        <f>IF(دانش‌آموزان!C80="","",دانش‌آموزان!C80)</f>
        <v/>
      </c>
      <c r="E905" s="55" t="str">
        <f>IF(دانش‌آموزان!E80="","",دانش‌آموزان!E80&amp;" "&amp;دانش‌آموزان!F80)</f>
        <v/>
      </c>
      <c r="F905" s="34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idden="1">
      <c r="A906" s="33">
        <v>902</v>
      </c>
      <c r="B906" s="55" t="s">
        <v>184</v>
      </c>
      <c r="C906" s="55" t="str">
        <f>IF(دانش‌آموزان!E80="","",دانش‌آموزان!B80)</f>
        <v/>
      </c>
      <c r="D906" s="55" t="str">
        <f>IF(دانش‌آموزان!C80="","",دانش‌آموزان!C80)</f>
        <v/>
      </c>
      <c r="E906" s="55" t="str">
        <f>IF(دانش‌آموزان!E80="","",دانش‌آموزان!E80&amp;" "&amp;دانش‌آموزان!F80)</f>
        <v/>
      </c>
      <c r="F906" s="34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>
      <c r="A907" s="33">
        <v>903</v>
      </c>
      <c r="B907" s="55" t="s">
        <v>185</v>
      </c>
      <c r="C907" s="55" t="str">
        <f>IF(دانش‌آموزان!E80="","",دانش‌آموزان!B80)</f>
        <v/>
      </c>
      <c r="D907" s="55" t="str">
        <f>IF(دانش‌آموزان!C80="","",دانش‌آموزان!C80)</f>
        <v/>
      </c>
      <c r="E907" s="55" t="str">
        <f>IF(دانش‌آموزان!E80="","",دانش‌آموزان!E80&amp;" "&amp;دانش‌آموزان!F80)</f>
        <v/>
      </c>
      <c r="F907" s="34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idden="1">
      <c r="A908" s="33">
        <v>904</v>
      </c>
      <c r="B908" s="55" t="s">
        <v>186</v>
      </c>
      <c r="C908" s="55" t="str">
        <f>IF(دانش‌آموزان!E80="","",دانش‌آموزان!B80)</f>
        <v/>
      </c>
      <c r="D908" s="55" t="str">
        <f>IF(دانش‌آموزان!C80="","",دانش‌آموزان!C80)</f>
        <v/>
      </c>
      <c r="E908" s="55" t="str">
        <f>IF(دانش‌آموزان!E80="","",دانش‌آموزان!E80&amp;" "&amp;دانش‌آموزان!F80)</f>
        <v/>
      </c>
      <c r="F908" s="34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idden="1">
      <c r="A909" s="33">
        <v>905</v>
      </c>
      <c r="B909" s="55" t="s">
        <v>187</v>
      </c>
      <c r="C909" s="55" t="str">
        <f>IF(دانش‌آموزان!E80="","",دانش‌آموزان!B80)</f>
        <v/>
      </c>
      <c r="D909" s="55" t="str">
        <f>IF(دانش‌آموزان!C80="","",دانش‌آموزان!C80)</f>
        <v/>
      </c>
      <c r="E909" s="55" t="str">
        <f>IF(دانش‌آموزان!E80="","",دانش‌آموزان!E80&amp;" "&amp;دانش‌آموزان!F80)</f>
        <v/>
      </c>
      <c r="F909" s="34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idden="1">
      <c r="A910" s="33">
        <v>906</v>
      </c>
      <c r="B910" s="55" t="s">
        <v>188</v>
      </c>
      <c r="C910" s="55" t="str">
        <f>IF(دانش‌آموزان!E80="","",دانش‌آموزان!B80)</f>
        <v/>
      </c>
      <c r="D910" s="55" t="str">
        <f>IF(دانش‌آموزان!C80="","",دانش‌آموزان!C80)</f>
        <v/>
      </c>
      <c r="E910" s="55" t="str">
        <f>IF(دانش‌آموزان!E80="","",دانش‌آموزان!E80&amp;" "&amp;دانش‌آموزان!F80)</f>
        <v/>
      </c>
      <c r="F910" s="34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idden="1">
      <c r="A911" s="33">
        <v>907</v>
      </c>
      <c r="B911" s="55" t="s">
        <v>189</v>
      </c>
      <c r="C911" s="55" t="str">
        <f>IF(دانش‌آموزان!E80="","",دانش‌آموزان!B80)</f>
        <v/>
      </c>
      <c r="D911" s="55" t="str">
        <f>IF(دانش‌آموزان!C80="","",دانش‌آموزان!C80)</f>
        <v/>
      </c>
      <c r="E911" s="55" t="str">
        <f>IF(دانش‌آموزان!E80="","",دانش‌آموزان!E80&amp;" "&amp;دانش‌آموزان!F80)</f>
        <v/>
      </c>
      <c r="F911" s="34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idden="1">
      <c r="A912" s="33">
        <v>908</v>
      </c>
      <c r="B912" s="55" t="s">
        <v>190</v>
      </c>
      <c r="C912" s="55" t="str">
        <f>IF(دانش‌آموزان!E80="","",دانش‌آموزان!B80)</f>
        <v/>
      </c>
      <c r="D912" s="55" t="str">
        <f>IF(دانش‌آموزان!C80="","",دانش‌آموزان!C80)</f>
        <v/>
      </c>
      <c r="E912" s="55" t="str">
        <f>IF(دانش‌آموزان!E80="","",دانش‌آموزان!E80&amp;" "&amp;دانش‌آموزان!F80)</f>
        <v/>
      </c>
      <c r="F912" s="34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idden="1">
      <c r="A913" s="33">
        <v>909</v>
      </c>
      <c r="B913" s="55" t="s">
        <v>191</v>
      </c>
      <c r="C913" s="55" t="str">
        <f>IF(دانش‌آموزان!E80="","",دانش‌آموزان!B80)</f>
        <v/>
      </c>
      <c r="D913" s="55" t="str">
        <f>IF(دانش‌آموزان!C80="","",دانش‌آموزان!C80)</f>
        <v/>
      </c>
      <c r="E913" s="55" t="str">
        <f>IF(دانش‌آموزان!E80="","",دانش‌آموزان!E80&amp;" "&amp;دانش‌آموزان!F80)</f>
        <v/>
      </c>
      <c r="F913" s="34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idden="1">
      <c r="A914" s="33">
        <v>910</v>
      </c>
      <c r="B914" s="55" t="s">
        <v>192</v>
      </c>
      <c r="C914" s="55" t="str">
        <f>IF(دانش‌آموزان!E80="","",دانش‌آموزان!B80)</f>
        <v/>
      </c>
      <c r="D914" s="55" t="str">
        <f>IF(دانش‌آموزان!C80="","",دانش‌آموزان!C80)</f>
        <v/>
      </c>
      <c r="E914" s="55" t="str">
        <f>IF(دانش‌آموزان!E80="","",دانش‌آموزان!E80&amp;" "&amp;دانش‌آموزان!F80)</f>
        <v/>
      </c>
      <c r="F914" s="34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idden="1">
      <c r="A915" s="33">
        <v>911</v>
      </c>
      <c r="B915" s="55" t="s">
        <v>193</v>
      </c>
      <c r="C915" s="55" t="str">
        <f>IF(دانش‌آموزان!E80="","",دانش‌آموزان!B80)</f>
        <v/>
      </c>
      <c r="D915" s="55" t="str">
        <f>IF(دانش‌آموزان!C80="","",دانش‌آموزان!C80)</f>
        <v/>
      </c>
      <c r="E915" s="55" t="str">
        <f>IF(دانش‌آموزان!E80="","",دانش‌آموزان!E80&amp;" "&amp;دانش‌آموزان!F80)</f>
        <v/>
      </c>
      <c r="F915" s="34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idden="1">
      <c r="A916" s="33">
        <v>912</v>
      </c>
      <c r="B916" s="55" t="s">
        <v>194</v>
      </c>
      <c r="C916" s="55" t="str">
        <f>IF(دانش‌آموزان!E80="","",دانش‌آموزان!B80)</f>
        <v/>
      </c>
      <c r="D916" s="55" t="str">
        <f>IF(دانش‌آموزان!C80="","",دانش‌آموزان!C80)</f>
        <v/>
      </c>
      <c r="E916" s="55" t="str">
        <f>IF(دانش‌آموزان!E80="","",دانش‌آموزان!E80&amp;" "&amp;دانش‌آموزان!F80)</f>
        <v/>
      </c>
      <c r="F916" s="34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idden="1">
      <c r="A917" s="33">
        <v>913</v>
      </c>
      <c r="B917" s="55" t="s">
        <v>183</v>
      </c>
      <c r="C917" s="55" t="str">
        <f>IF(دانش‌آموزان!E81="","",دانش‌آموزان!B81)</f>
        <v/>
      </c>
      <c r="D917" s="55" t="str">
        <f>IF(دانش‌آموزان!C81="","",دانش‌آموزان!C81)</f>
        <v/>
      </c>
      <c r="E917" s="55" t="str">
        <f>IF(دانش‌آموزان!E81="","",دانش‌آموزان!E81&amp;" "&amp;دانش‌آموزان!F81)</f>
        <v/>
      </c>
      <c r="F917" s="34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idden="1">
      <c r="A918" s="33">
        <v>914</v>
      </c>
      <c r="B918" s="55" t="s">
        <v>184</v>
      </c>
      <c r="C918" s="55" t="str">
        <f>IF(دانش‌آموزان!E81="","",دانش‌آموزان!B81)</f>
        <v/>
      </c>
      <c r="D918" s="55" t="str">
        <f>IF(دانش‌آموزان!C81="","",دانش‌آموزان!C81)</f>
        <v/>
      </c>
      <c r="E918" s="55" t="str">
        <f>IF(دانش‌آموزان!E81="","",دانش‌آموزان!E81&amp;" "&amp;دانش‌آموزان!F81)</f>
        <v/>
      </c>
      <c r="F918" s="34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>
      <c r="A919" s="33">
        <v>915</v>
      </c>
      <c r="B919" s="55" t="s">
        <v>185</v>
      </c>
      <c r="C919" s="55" t="str">
        <f>IF(دانش‌آموزان!E81="","",دانش‌آموزان!B81)</f>
        <v/>
      </c>
      <c r="D919" s="55" t="str">
        <f>IF(دانش‌آموزان!C81="","",دانش‌آموزان!C81)</f>
        <v/>
      </c>
      <c r="E919" s="55" t="str">
        <f>IF(دانش‌آموزان!E81="","",دانش‌آموزان!E81&amp;" "&amp;دانش‌آموزان!F81)</f>
        <v/>
      </c>
      <c r="F919" s="34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idden="1">
      <c r="A920" s="33">
        <v>916</v>
      </c>
      <c r="B920" s="55" t="s">
        <v>186</v>
      </c>
      <c r="C920" s="55" t="str">
        <f>IF(دانش‌آموزان!E81="","",دانش‌آموزان!B81)</f>
        <v/>
      </c>
      <c r="D920" s="55" t="str">
        <f>IF(دانش‌آموزان!C81="","",دانش‌آموزان!C81)</f>
        <v/>
      </c>
      <c r="E920" s="55" t="str">
        <f>IF(دانش‌آموزان!E81="","",دانش‌آموزان!E81&amp;" "&amp;دانش‌آموزان!F81)</f>
        <v/>
      </c>
      <c r="F920" s="34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idden="1">
      <c r="A921" s="33">
        <v>917</v>
      </c>
      <c r="B921" s="55" t="s">
        <v>187</v>
      </c>
      <c r="C921" s="55" t="str">
        <f>IF(دانش‌آموزان!E81="","",دانش‌آموزان!B81)</f>
        <v/>
      </c>
      <c r="D921" s="55" t="str">
        <f>IF(دانش‌آموزان!C81="","",دانش‌آموزان!C81)</f>
        <v/>
      </c>
      <c r="E921" s="55" t="str">
        <f>IF(دانش‌آموزان!E81="","",دانش‌آموزان!E81&amp;" "&amp;دانش‌آموزان!F81)</f>
        <v/>
      </c>
      <c r="F921" s="34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idden="1">
      <c r="A922" s="33">
        <v>918</v>
      </c>
      <c r="B922" s="55" t="s">
        <v>188</v>
      </c>
      <c r="C922" s="55" t="str">
        <f>IF(دانش‌آموزان!E81="","",دانش‌آموزان!B81)</f>
        <v/>
      </c>
      <c r="D922" s="55" t="str">
        <f>IF(دانش‌آموزان!C81="","",دانش‌آموزان!C81)</f>
        <v/>
      </c>
      <c r="E922" s="55" t="str">
        <f>IF(دانش‌آموزان!E81="","",دانش‌آموزان!E81&amp;" "&amp;دانش‌آموزان!F81)</f>
        <v/>
      </c>
      <c r="F922" s="34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idden="1">
      <c r="A923" s="33">
        <v>919</v>
      </c>
      <c r="B923" s="55" t="s">
        <v>189</v>
      </c>
      <c r="C923" s="55" t="str">
        <f>IF(دانش‌آموزان!E81="","",دانش‌آموزان!B81)</f>
        <v/>
      </c>
      <c r="D923" s="55" t="str">
        <f>IF(دانش‌آموزان!C81="","",دانش‌آموزان!C81)</f>
        <v/>
      </c>
      <c r="E923" s="55" t="str">
        <f>IF(دانش‌آموزان!E81="","",دانش‌آموزان!E81&amp;" "&amp;دانش‌آموزان!F81)</f>
        <v/>
      </c>
      <c r="F923" s="34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idden="1">
      <c r="A924" s="33">
        <v>920</v>
      </c>
      <c r="B924" s="55" t="s">
        <v>190</v>
      </c>
      <c r="C924" s="55" t="str">
        <f>IF(دانش‌آموزان!E81="","",دانش‌آموزان!B81)</f>
        <v/>
      </c>
      <c r="D924" s="55" t="str">
        <f>IF(دانش‌آموزان!C81="","",دانش‌آموزان!C81)</f>
        <v/>
      </c>
      <c r="E924" s="55" t="str">
        <f>IF(دانش‌آموزان!E81="","",دانش‌آموزان!E81&amp;" "&amp;دانش‌آموزان!F81)</f>
        <v/>
      </c>
      <c r="F924" s="34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idden="1">
      <c r="A925" s="33">
        <v>921</v>
      </c>
      <c r="B925" s="55" t="s">
        <v>191</v>
      </c>
      <c r="C925" s="55" t="str">
        <f>IF(دانش‌آموزان!E81="","",دانش‌آموزان!B81)</f>
        <v/>
      </c>
      <c r="D925" s="55" t="str">
        <f>IF(دانش‌آموزان!C81="","",دانش‌آموزان!C81)</f>
        <v/>
      </c>
      <c r="E925" s="55" t="str">
        <f>IF(دانش‌آموزان!E81="","",دانش‌آموزان!E81&amp;" "&amp;دانش‌آموزان!F81)</f>
        <v/>
      </c>
      <c r="F925" s="34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idden="1">
      <c r="A926" s="33">
        <v>922</v>
      </c>
      <c r="B926" s="55" t="s">
        <v>192</v>
      </c>
      <c r="C926" s="55" t="str">
        <f>IF(دانش‌آموزان!E81="","",دانش‌آموزان!B81)</f>
        <v/>
      </c>
      <c r="D926" s="55" t="str">
        <f>IF(دانش‌آموزان!C81="","",دانش‌آموزان!C81)</f>
        <v/>
      </c>
      <c r="E926" s="55" t="str">
        <f>IF(دانش‌آموزان!E81="","",دانش‌آموزان!E81&amp;" "&amp;دانش‌آموزان!F81)</f>
        <v/>
      </c>
      <c r="F926" s="34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idden="1">
      <c r="A927" s="33">
        <v>923</v>
      </c>
      <c r="B927" s="55" t="s">
        <v>193</v>
      </c>
      <c r="C927" s="55" t="str">
        <f>IF(دانش‌آموزان!E81="","",دانش‌آموزان!B81)</f>
        <v/>
      </c>
      <c r="D927" s="55" t="str">
        <f>IF(دانش‌آموزان!C81="","",دانش‌آموزان!C81)</f>
        <v/>
      </c>
      <c r="E927" s="55" t="str">
        <f>IF(دانش‌آموزان!E81="","",دانش‌آموزان!E81&amp;" "&amp;دانش‌آموزان!F81)</f>
        <v/>
      </c>
      <c r="F927" s="34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idden="1">
      <c r="A928" s="33">
        <v>924</v>
      </c>
      <c r="B928" s="55" t="s">
        <v>194</v>
      </c>
      <c r="C928" s="55" t="str">
        <f>IF(دانش‌آموزان!E81="","",دانش‌آموزان!B81)</f>
        <v/>
      </c>
      <c r="D928" s="55" t="str">
        <f>IF(دانش‌آموزان!C81="","",دانش‌آموزان!C81)</f>
        <v/>
      </c>
      <c r="E928" s="55" t="str">
        <f>IF(دانش‌آموزان!E81="","",دانش‌آموزان!E81&amp;" "&amp;دانش‌آموزان!F81)</f>
        <v/>
      </c>
      <c r="F928" s="34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idden="1">
      <c r="A929" s="33">
        <v>925</v>
      </c>
      <c r="B929" s="55" t="s">
        <v>183</v>
      </c>
      <c r="C929" s="55" t="str">
        <f>IF(دانش‌آموزان!E82="","",دانش‌آموزان!B82)</f>
        <v/>
      </c>
      <c r="D929" s="55" t="str">
        <f>IF(دانش‌آموزان!C82="","",دانش‌آموزان!C82)</f>
        <v/>
      </c>
      <c r="E929" s="55" t="str">
        <f>IF(دانش‌آموزان!E82="","",دانش‌آموزان!E82&amp;" "&amp;دانش‌آموزان!F82)</f>
        <v/>
      </c>
      <c r="F929" s="34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idden="1">
      <c r="A930" s="33">
        <v>926</v>
      </c>
      <c r="B930" s="55" t="s">
        <v>184</v>
      </c>
      <c r="C930" s="55" t="str">
        <f>IF(دانش‌آموزان!E82="","",دانش‌آموزان!B82)</f>
        <v/>
      </c>
      <c r="D930" s="55" t="str">
        <f>IF(دانش‌آموزان!C82="","",دانش‌آموزان!C82)</f>
        <v/>
      </c>
      <c r="E930" s="55" t="str">
        <f>IF(دانش‌آموزان!E82="","",دانش‌آموزان!E82&amp;" "&amp;دانش‌آموزان!F82)</f>
        <v/>
      </c>
      <c r="F930" s="34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>
      <c r="A931" s="33">
        <v>927</v>
      </c>
      <c r="B931" s="55" t="s">
        <v>185</v>
      </c>
      <c r="C931" s="55" t="str">
        <f>IF(دانش‌آموزان!E82="","",دانش‌آموزان!B82)</f>
        <v/>
      </c>
      <c r="D931" s="55" t="str">
        <f>IF(دانش‌آموزان!C82="","",دانش‌آموزان!C82)</f>
        <v/>
      </c>
      <c r="E931" s="55" t="str">
        <f>IF(دانش‌آموزان!E82="","",دانش‌آموزان!E82&amp;" "&amp;دانش‌آموزان!F82)</f>
        <v/>
      </c>
      <c r="F931" s="34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idden="1">
      <c r="A932" s="33">
        <v>928</v>
      </c>
      <c r="B932" s="55" t="s">
        <v>186</v>
      </c>
      <c r="C932" s="55" t="str">
        <f>IF(دانش‌آموزان!E82="","",دانش‌آموزان!B82)</f>
        <v/>
      </c>
      <c r="D932" s="55" t="str">
        <f>IF(دانش‌آموزان!C82="","",دانش‌آموزان!C82)</f>
        <v/>
      </c>
      <c r="E932" s="55" t="str">
        <f>IF(دانش‌آموزان!E82="","",دانش‌آموزان!E82&amp;" "&amp;دانش‌آموزان!F82)</f>
        <v/>
      </c>
      <c r="F932" s="34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idden="1">
      <c r="A933" s="33">
        <v>929</v>
      </c>
      <c r="B933" s="55" t="s">
        <v>187</v>
      </c>
      <c r="C933" s="55" t="str">
        <f>IF(دانش‌آموزان!E82="","",دانش‌آموزان!B82)</f>
        <v/>
      </c>
      <c r="D933" s="55" t="str">
        <f>IF(دانش‌آموزان!C82="","",دانش‌آموزان!C82)</f>
        <v/>
      </c>
      <c r="E933" s="55" t="str">
        <f>IF(دانش‌آموزان!E82="","",دانش‌آموزان!E82&amp;" "&amp;دانش‌آموزان!F82)</f>
        <v/>
      </c>
      <c r="F933" s="34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idden="1">
      <c r="A934" s="33">
        <v>930</v>
      </c>
      <c r="B934" s="55" t="s">
        <v>188</v>
      </c>
      <c r="C934" s="55" t="str">
        <f>IF(دانش‌آموزان!E82="","",دانش‌آموزان!B82)</f>
        <v/>
      </c>
      <c r="D934" s="55" t="str">
        <f>IF(دانش‌آموزان!C82="","",دانش‌آموزان!C82)</f>
        <v/>
      </c>
      <c r="E934" s="55" t="str">
        <f>IF(دانش‌آموزان!E82="","",دانش‌آموزان!E82&amp;" "&amp;دانش‌آموزان!F82)</f>
        <v/>
      </c>
      <c r="F934" s="34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idden="1">
      <c r="A935" s="33">
        <v>931</v>
      </c>
      <c r="B935" s="55" t="s">
        <v>189</v>
      </c>
      <c r="C935" s="55" t="str">
        <f>IF(دانش‌آموزان!E82="","",دانش‌آموزان!B82)</f>
        <v/>
      </c>
      <c r="D935" s="55" t="str">
        <f>IF(دانش‌آموزان!C82="","",دانش‌آموزان!C82)</f>
        <v/>
      </c>
      <c r="E935" s="55" t="str">
        <f>IF(دانش‌آموزان!E82="","",دانش‌آموزان!E82&amp;" "&amp;دانش‌آموزان!F82)</f>
        <v/>
      </c>
      <c r="F935" s="34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idden="1">
      <c r="A936" s="33">
        <v>932</v>
      </c>
      <c r="B936" s="55" t="s">
        <v>190</v>
      </c>
      <c r="C936" s="55" t="str">
        <f>IF(دانش‌آموزان!E82="","",دانش‌آموزان!B82)</f>
        <v/>
      </c>
      <c r="D936" s="55" t="str">
        <f>IF(دانش‌آموزان!C82="","",دانش‌آموزان!C82)</f>
        <v/>
      </c>
      <c r="E936" s="55" t="str">
        <f>IF(دانش‌آموزان!E82="","",دانش‌آموزان!E82&amp;" "&amp;دانش‌آموزان!F82)</f>
        <v/>
      </c>
      <c r="F936" s="34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idden="1">
      <c r="A937" s="33">
        <v>933</v>
      </c>
      <c r="B937" s="55" t="s">
        <v>191</v>
      </c>
      <c r="C937" s="55" t="str">
        <f>IF(دانش‌آموزان!E82="","",دانش‌آموزان!B82)</f>
        <v/>
      </c>
      <c r="D937" s="55" t="str">
        <f>IF(دانش‌آموزان!C82="","",دانش‌آموزان!C82)</f>
        <v/>
      </c>
      <c r="E937" s="55" t="str">
        <f>IF(دانش‌آموزان!E82="","",دانش‌آموزان!E82&amp;" "&amp;دانش‌آموزان!F82)</f>
        <v/>
      </c>
      <c r="F937" s="34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idden="1">
      <c r="A938" s="33">
        <v>934</v>
      </c>
      <c r="B938" s="55" t="s">
        <v>192</v>
      </c>
      <c r="C938" s="55" t="str">
        <f>IF(دانش‌آموزان!E82="","",دانش‌آموزان!B82)</f>
        <v/>
      </c>
      <c r="D938" s="55" t="str">
        <f>IF(دانش‌آموزان!C82="","",دانش‌آموزان!C82)</f>
        <v/>
      </c>
      <c r="E938" s="55" t="str">
        <f>IF(دانش‌آموزان!E82="","",دانش‌آموزان!E82&amp;" "&amp;دانش‌آموزان!F82)</f>
        <v/>
      </c>
      <c r="F938" s="34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idden="1">
      <c r="A939" s="33">
        <v>935</v>
      </c>
      <c r="B939" s="55" t="s">
        <v>193</v>
      </c>
      <c r="C939" s="55" t="str">
        <f>IF(دانش‌آموزان!E82="","",دانش‌آموزان!B82)</f>
        <v/>
      </c>
      <c r="D939" s="55" t="str">
        <f>IF(دانش‌آموزان!C82="","",دانش‌آموزان!C82)</f>
        <v/>
      </c>
      <c r="E939" s="55" t="str">
        <f>IF(دانش‌آموزان!E82="","",دانش‌آموزان!E82&amp;" "&amp;دانش‌آموزان!F82)</f>
        <v/>
      </c>
      <c r="F939" s="34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idden="1">
      <c r="A940" s="33">
        <v>936</v>
      </c>
      <c r="B940" s="55" t="s">
        <v>194</v>
      </c>
      <c r="C940" s="55" t="str">
        <f>IF(دانش‌آموزان!E82="","",دانش‌آموزان!B82)</f>
        <v/>
      </c>
      <c r="D940" s="55" t="str">
        <f>IF(دانش‌آموزان!C82="","",دانش‌آموزان!C82)</f>
        <v/>
      </c>
      <c r="E940" s="55" t="str">
        <f>IF(دانش‌آموزان!E82="","",دانش‌آموزان!E82&amp;" "&amp;دانش‌آموزان!F82)</f>
        <v/>
      </c>
      <c r="F940" s="34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idden="1">
      <c r="A941" s="33">
        <v>937</v>
      </c>
      <c r="B941" s="55" t="s">
        <v>183</v>
      </c>
      <c r="C941" s="55" t="str">
        <f>IF(دانش‌آموزان!E83="","",دانش‌آموزان!B83)</f>
        <v/>
      </c>
      <c r="D941" s="55" t="str">
        <f>IF(دانش‌آموزان!C83="","",دانش‌آموزان!C83)</f>
        <v/>
      </c>
      <c r="E941" s="55" t="str">
        <f>IF(دانش‌آموزان!E83="","",دانش‌آموزان!E83&amp;" "&amp;دانش‌آموزان!F83)</f>
        <v/>
      </c>
      <c r="F941" s="34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idden="1">
      <c r="A942" s="33">
        <v>938</v>
      </c>
      <c r="B942" s="55" t="s">
        <v>184</v>
      </c>
      <c r="C942" s="55" t="str">
        <f>IF(دانش‌آموزان!E83="","",دانش‌آموزان!B83)</f>
        <v/>
      </c>
      <c r="D942" s="55" t="str">
        <f>IF(دانش‌آموزان!C83="","",دانش‌آموزان!C83)</f>
        <v/>
      </c>
      <c r="E942" s="55" t="str">
        <f>IF(دانش‌آموزان!E83="","",دانش‌آموزان!E83&amp;" "&amp;دانش‌آموزان!F83)</f>
        <v/>
      </c>
      <c r="F942" s="34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>
      <c r="A943" s="33">
        <v>939</v>
      </c>
      <c r="B943" s="55" t="s">
        <v>185</v>
      </c>
      <c r="C943" s="55" t="str">
        <f>IF(دانش‌آموزان!E83="","",دانش‌آموزان!B83)</f>
        <v/>
      </c>
      <c r="D943" s="55" t="str">
        <f>IF(دانش‌آموزان!C83="","",دانش‌آموزان!C83)</f>
        <v/>
      </c>
      <c r="E943" s="55" t="str">
        <f>IF(دانش‌آموزان!E83="","",دانش‌آموزان!E83&amp;" "&amp;دانش‌آموزان!F83)</f>
        <v/>
      </c>
      <c r="F943" s="34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idden="1">
      <c r="A944" s="33">
        <v>940</v>
      </c>
      <c r="B944" s="55" t="s">
        <v>186</v>
      </c>
      <c r="C944" s="55" t="str">
        <f>IF(دانش‌آموزان!E83="","",دانش‌آموزان!B83)</f>
        <v/>
      </c>
      <c r="D944" s="55" t="str">
        <f>IF(دانش‌آموزان!C83="","",دانش‌آموزان!C83)</f>
        <v/>
      </c>
      <c r="E944" s="55" t="str">
        <f>IF(دانش‌آموزان!E83="","",دانش‌آموزان!E83&amp;" "&amp;دانش‌آموزان!F83)</f>
        <v/>
      </c>
      <c r="F944" s="34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idden="1">
      <c r="A945" s="33">
        <v>941</v>
      </c>
      <c r="B945" s="55" t="s">
        <v>187</v>
      </c>
      <c r="C945" s="55" t="str">
        <f>IF(دانش‌آموزان!E83="","",دانش‌آموزان!B83)</f>
        <v/>
      </c>
      <c r="D945" s="55" t="str">
        <f>IF(دانش‌آموزان!C83="","",دانش‌آموزان!C83)</f>
        <v/>
      </c>
      <c r="E945" s="55" t="str">
        <f>IF(دانش‌آموزان!E83="","",دانش‌آموزان!E83&amp;" "&amp;دانش‌آموزان!F83)</f>
        <v/>
      </c>
      <c r="F945" s="34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idden="1">
      <c r="A946" s="33">
        <v>942</v>
      </c>
      <c r="B946" s="55" t="s">
        <v>188</v>
      </c>
      <c r="C946" s="55" t="str">
        <f>IF(دانش‌آموزان!E83="","",دانش‌آموزان!B83)</f>
        <v/>
      </c>
      <c r="D946" s="55" t="str">
        <f>IF(دانش‌آموزان!C83="","",دانش‌آموزان!C83)</f>
        <v/>
      </c>
      <c r="E946" s="55" t="str">
        <f>IF(دانش‌آموزان!E83="","",دانش‌آموزان!E83&amp;" "&amp;دانش‌آموزان!F83)</f>
        <v/>
      </c>
      <c r="F946" s="34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idden="1">
      <c r="A947" s="33">
        <v>943</v>
      </c>
      <c r="B947" s="55" t="s">
        <v>189</v>
      </c>
      <c r="C947" s="55" t="str">
        <f>IF(دانش‌آموزان!E83="","",دانش‌آموزان!B83)</f>
        <v/>
      </c>
      <c r="D947" s="55" t="str">
        <f>IF(دانش‌آموزان!C83="","",دانش‌آموزان!C83)</f>
        <v/>
      </c>
      <c r="E947" s="55" t="str">
        <f>IF(دانش‌آموزان!E83="","",دانش‌آموزان!E83&amp;" "&amp;دانش‌آموزان!F83)</f>
        <v/>
      </c>
      <c r="F947" s="34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idden="1">
      <c r="A948" s="33">
        <v>944</v>
      </c>
      <c r="B948" s="55" t="s">
        <v>190</v>
      </c>
      <c r="C948" s="55" t="str">
        <f>IF(دانش‌آموزان!E83="","",دانش‌آموزان!B83)</f>
        <v/>
      </c>
      <c r="D948" s="55" t="str">
        <f>IF(دانش‌آموزان!C83="","",دانش‌آموزان!C83)</f>
        <v/>
      </c>
      <c r="E948" s="55" t="str">
        <f>IF(دانش‌آموزان!E83="","",دانش‌آموزان!E83&amp;" "&amp;دانش‌آموزان!F83)</f>
        <v/>
      </c>
      <c r="F948" s="34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idden="1">
      <c r="A949" s="33">
        <v>945</v>
      </c>
      <c r="B949" s="55" t="s">
        <v>191</v>
      </c>
      <c r="C949" s="55" t="str">
        <f>IF(دانش‌آموزان!E83="","",دانش‌آموزان!B83)</f>
        <v/>
      </c>
      <c r="D949" s="55" t="str">
        <f>IF(دانش‌آموزان!C83="","",دانش‌آموزان!C83)</f>
        <v/>
      </c>
      <c r="E949" s="55" t="str">
        <f>IF(دانش‌آموزان!E83="","",دانش‌آموزان!E83&amp;" "&amp;دانش‌آموزان!F83)</f>
        <v/>
      </c>
      <c r="F949" s="34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idden="1">
      <c r="A950" s="33">
        <v>946</v>
      </c>
      <c r="B950" s="55" t="s">
        <v>192</v>
      </c>
      <c r="C950" s="55" t="str">
        <f>IF(دانش‌آموزان!E83="","",دانش‌آموزان!B83)</f>
        <v/>
      </c>
      <c r="D950" s="55" t="str">
        <f>IF(دانش‌آموزان!C83="","",دانش‌آموزان!C83)</f>
        <v/>
      </c>
      <c r="E950" s="55" t="str">
        <f>IF(دانش‌آموزان!E83="","",دانش‌آموزان!E83&amp;" "&amp;دانش‌آموزان!F83)</f>
        <v/>
      </c>
      <c r="F950" s="34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idden="1">
      <c r="A951" s="33">
        <v>947</v>
      </c>
      <c r="B951" s="55" t="s">
        <v>193</v>
      </c>
      <c r="C951" s="55" t="str">
        <f>IF(دانش‌آموزان!E83="","",دانش‌آموزان!B83)</f>
        <v/>
      </c>
      <c r="D951" s="55" t="str">
        <f>IF(دانش‌آموزان!C83="","",دانش‌آموزان!C83)</f>
        <v/>
      </c>
      <c r="E951" s="55" t="str">
        <f>IF(دانش‌آموزان!E83="","",دانش‌آموزان!E83&amp;" "&amp;دانش‌آموزان!F83)</f>
        <v/>
      </c>
      <c r="F951" s="34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idden="1">
      <c r="A952" s="33">
        <v>948</v>
      </c>
      <c r="B952" s="55" t="s">
        <v>194</v>
      </c>
      <c r="C952" s="55" t="str">
        <f>IF(دانش‌آموزان!E83="","",دانش‌آموزان!B83)</f>
        <v/>
      </c>
      <c r="D952" s="55" t="str">
        <f>IF(دانش‌آموزان!C83="","",دانش‌آموزان!C83)</f>
        <v/>
      </c>
      <c r="E952" s="55" t="str">
        <f>IF(دانش‌آموزان!E83="","",دانش‌آموزان!E83&amp;" "&amp;دانش‌آموزان!F83)</f>
        <v/>
      </c>
      <c r="F952" s="34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idden="1">
      <c r="A953" s="33">
        <v>949</v>
      </c>
      <c r="B953" s="55" t="s">
        <v>183</v>
      </c>
      <c r="C953" s="55" t="str">
        <f>IF(دانش‌آموزان!E84="","",دانش‌آموزان!B84)</f>
        <v/>
      </c>
      <c r="D953" s="55" t="str">
        <f>IF(دانش‌آموزان!C84="","",دانش‌آموزان!C84)</f>
        <v/>
      </c>
      <c r="E953" s="55" t="str">
        <f>IF(دانش‌آموزان!E84="","",دانش‌آموزان!E84&amp;" "&amp;دانش‌آموزان!F84)</f>
        <v/>
      </c>
      <c r="F953" s="34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idden="1">
      <c r="A954" s="33">
        <v>950</v>
      </c>
      <c r="B954" s="55" t="s">
        <v>184</v>
      </c>
      <c r="C954" s="55" t="str">
        <f>IF(دانش‌آموزان!E84="","",دانش‌آموزان!B84)</f>
        <v/>
      </c>
      <c r="D954" s="55" t="str">
        <f>IF(دانش‌آموزان!C84="","",دانش‌آموزان!C84)</f>
        <v/>
      </c>
      <c r="E954" s="55" t="str">
        <f>IF(دانش‌آموزان!E84="","",دانش‌آموزان!E84&amp;" "&amp;دانش‌آموزان!F84)</f>
        <v/>
      </c>
      <c r="F954" s="34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>
      <c r="A955" s="33">
        <v>951</v>
      </c>
      <c r="B955" s="55" t="s">
        <v>185</v>
      </c>
      <c r="C955" s="55" t="str">
        <f>IF(دانش‌آموزان!E84="","",دانش‌آموزان!B84)</f>
        <v/>
      </c>
      <c r="D955" s="55" t="str">
        <f>IF(دانش‌آموزان!C84="","",دانش‌آموزان!C84)</f>
        <v/>
      </c>
      <c r="E955" s="55" t="str">
        <f>IF(دانش‌آموزان!E84="","",دانش‌آموزان!E84&amp;" "&amp;دانش‌آموزان!F84)</f>
        <v/>
      </c>
      <c r="F955" s="34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idden="1">
      <c r="A956" s="33">
        <v>952</v>
      </c>
      <c r="B956" s="55" t="s">
        <v>186</v>
      </c>
      <c r="C956" s="55" t="str">
        <f>IF(دانش‌آموزان!E84="","",دانش‌آموزان!B84)</f>
        <v/>
      </c>
      <c r="D956" s="55" t="str">
        <f>IF(دانش‌آموزان!C84="","",دانش‌آموزان!C84)</f>
        <v/>
      </c>
      <c r="E956" s="55" t="str">
        <f>IF(دانش‌آموزان!E84="","",دانش‌آموزان!E84&amp;" "&amp;دانش‌آموزان!F84)</f>
        <v/>
      </c>
      <c r="F956" s="34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idden="1">
      <c r="A957" s="33">
        <v>953</v>
      </c>
      <c r="B957" s="55" t="s">
        <v>187</v>
      </c>
      <c r="C957" s="55" t="str">
        <f>IF(دانش‌آموزان!E84="","",دانش‌آموزان!B84)</f>
        <v/>
      </c>
      <c r="D957" s="55" t="str">
        <f>IF(دانش‌آموزان!C84="","",دانش‌آموزان!C84)</f>
        <v/>
      </c>
      <c r="E957" s="55" t="str">
        <f>IF(دانش‌آموزان!E84="","",دانش‌آموزان!E84&amp;" "&amp;دانش‌آموزان!F84)</f>
        <v/>
      </c>
      <c r="F957" s="34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idden="1">
      <c r="A958" s="33">
        <v>954</v>
      </c>
      <c r="B958" s="55" t="s">
        <v>188</v>
      </c>
      <c r="C958" s="55" t="str">
        <f>IF(دانش‌آموزان!E84="","",دانش‌آموزان!B84)</f>
        <v/>
      </c>
      <c r="D958" s="55" t="str">
        <f>IF(دانش‌آموزان!C84="","",دانش‌آموزان!C84)</f>
        <v/>
      </c>
      <c r="E958" s="55" t="str">
        <f>IF(دانش‌آموزان!E84="","",دانش‌آموزان!E84&amp;" "&amp;دانش‌آموزان!F84)</f>
        <v/>
      </c>
      <c r="F958" s="34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idden="1">
      <c r="A959" s="33">
        <v>955</v>
      </c>
      <c r="B959" s="55" t="s">
        <v>189</v>
      </c>
      <c r="C959" s="55" t="str">
        <f>IF(دانش‌آموزان!E84="","",دانش‌آموزان!B84)</f>
        <v/>
      </c>
      <c r="D959" s="55" t="str">
        <f>IF(دانش‌آموزان!C84="","",دانش‌آموزان!C84)</f>
        <v/>
      </c>
      <c r="E959" s="55" t="str">
        <f>IF(دانش‌آموزان!E84="","",دانش‌آموزان!E84&amp;" "&amp;دانش‌آموزان!F84)</f>
        <v/>
      </c>
      <c r="F959" s="34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idden="1">
      <c r="A960" s="33">
        <v>956</v>
      </c>
      <c r="B960" s="55" t="s">
        <v>190</v>
      </c>
      <c r="C960" s="55" t="str">
        <f>IF(دانش‌آموزان!E84="","",دانش‌آموزان!B84)</f>
        <v/>
      </c>
      <c r="D960" s="55" t="str">
        <f>IF(دانش‌آموزان!C84="","",دانش‌آموزان!C84)</f>
        <v/>
      </c>
      <c r="E960" s="55" t="str">
        <f>IF(دانش‌آموزان!E84="","",دانش‌آموزان!E84&amp;" "&amp;دانش‌آموزان!F84)</f>
        <v/>
      </c>
      <c r="F960" s="34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idden="1">
      <c r="A961" s="33">
        <v>957</v>
      </c>
      <c r="B961" s="55" t="s">
        <v>191</v>
      </c>
      <c r="C961" s="55" t="str">
        <f>IF(دانش‌آموزان!E84="","",دانش‌آموزان!B84)</f>
        <v/>
      </c>
      <c r="D961" s="55" t="str">
        <f>IF(دانش‌آموزان!C84="","",دانش‌آموزان!C84)</f>
        <v/>
      </c>
      <c r="E961" s="55" t="str">
        <f>IF(دانش‌آموزان!E84="","",دانش‌آموزان!E84&amp;" "&amp;دانش‌آموزان!F84)</f>
        <v/>
      </c>
      <c r="F961" s="34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idden="1">
      <c r="A962" s="33">
        <v>958</v>
      </c>
      <c r="B962" s="55" t="s">
        <v>192</v>
      </c>
      <c r="C962" s="55" t="str">
        <f>IF(دانش‌آموزان!E84="","",دانش‌آموزان!B84)</f>
        <v/>
      </c>
      <c r="D962" s="55" t="str">
        <f>IF(دانش‌آموزان!C84="","",دانش‌آموزان!C84)</f>
        <v/>
      </c>
      <c r="E962" s="55" t="str">
        <f>IF(دانش‌آموزان!E84="","",دانش‌آموزان!E84&amp;" "&amp;دانش‌آموزان!F84)</f>
        <v/>
      </c>
      <c r="F962" s="34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idden="1">
      <c r="A963" s="33">
        <v>959</v>
      </c>
      <c r="B963" s="55" t="s">
        <v>193</v>
      </c>
      <c r="C963" s="55" t="str">
        <f>IF(دانش‌آموزان!E84="","",دانش‌آموزان!B84)</f>
        <v/>
      </c>
      <c r="D963" s="55" t="str">
        <f>IF(دانش‌آموزان!C84="","",دانش‌آموزان!C84)</f>
        <v/>
      </c>
      <c r="E963" s="55" t="str">
        <f>IF(دانش‌آموزان!E84="","",دانش‌آموزان!E84&amp;" "&amp;دانش‌آموزان!F84)</f>
        <v/>
      </c>
      <c r="F963" s="34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idden="1">
      <c r="A964" s="33">
        <v>960</v>
      </c>
      <c r="B964" s="55" t="s">
        <v>194</v>
      </c>
      <c r="C964" s="55" t="str">
        <f>IF(دانش‌آموزان!E84="","",دانش‌آموزان!B84)</f>
        <v/>
      </c>
      <c r="D964" s="55" t="str">
        <f>IF(دانش‌آموزان!C84="","",دانش‌آموزان!C84)</f>
        <v/>
      </c>
      <c r="E964" s="55" t="str">
        <f>IF(دانش‌آموزان!E84="","",دانش‌آموزان!E84&amp;" "&amp;دانش‌آموزان!F84)</f>
        <v/>
      </c>
      <c r="F964" s="34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idden="1">
      <c r="A965" s="33">
        <v>961</v>
      </c>
      <c r="B965" s="55" t="s">
        <v>183</v>
      </c>
      <c r="C965" s="55" t="str">
        <f>IF(دانش‌آموزان!E85="","",دانش‌آموزان!B85)</f>
        <v/>
      </c>
      <c r="D965" s="55" t="str">
        <f>IF(دانش‌آموزان!C85="","",دانش‌آموزان!C85)</f>
        <v/>
      </c>
      <c r="E965" s="55" t="str">
        <f>IF(دانش‌آموزان!E85="","",دانش‌آموزان!E85&amp;" "&amp;دانش‌آموزان!F85)</f>
        <v/>
      </c>
      <c r="F965" s="34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idden="1">
      <c r="A966" s="33">
        <v>962</v>
      </c>
      <c r="B966" s="55" t="s">
        <v>184</v>
      </c>
      <c r="C966" s="55" t="str">
        <f>IF(دانش‌آموزان!E85="","",دانش‌آموزان!B85)</f>
        <v/>
      </c>
      <c r="D966" s="55" t="str">
        <f>IF(دانش‌آموزان!C85="","",دانش‌آموزان!C85)</f>
        <v/>
      </c>
      <c r="E966" s="55" t="str">
        <f>IF(دانش‌آموزان!E85="","",دانش‌آموزان!E85&amp;" "&amp;دانش‌آموزان!F85)</f>
        <v/>
      </c>
      <c r="F966" s="34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963</v>
      </c>
      <c r="B967" s="55" t="s">
        <v>185</v>
      </c>
      <c r="C967" s="55" t="str">
        <f>IF(دانش‌آموزان!E85="","",دانش‌آموزان!B85)</f>
        <v/>
      </c>
      <c r="D967" s="55" t="str">
        <f>IF(دانش‌آموزان!C85="","",دانش‌آموزان!C85)</f>
        <v/>
      </c>
      <c r="E967" s="55" t="str">
        <f>IF(دانش‌آموزان!E85="","",دانش‌آموزان!E85&amp;" "&amp;دانش‌آموزان!F85)</f>
        <v/>
      </c>
      <c r="F967" s="34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idden="1">
      <c r="A968" s="33">
        <v>964</v>
      </c>
      <c r="B968" s="55" t="s">
        <v>186</v>
      </c>
      <c r="C968" s="55" t="str">
        <f>IF(دانش‌آموزان!E85="","",دانش‌آموزان!B85)</f>
        <v/>
      </c>
      <c r="D968" s="55" t="str">
        <f>IF(دانش‌آموزان!C85="","",دانش‌آموزان!C85)</f>
        <v/>
      </c>
      <c r="E968" s="55" t="str">
        <f>IF(دانش‌آموزان!E85="","",دانش‌آموزان!E85&amp;" "&amp;دانش‌آموزان!F85)</f>
        <v/>
      </c>
      <c r="F968" s="34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idden="1">
      <c r="A969" s="33">
        <v>965</v>
      </c>
      <c r="B969" s="55" t="s">
        <v>187</v>
      </c>
      <c r="C969" s="55" t="str">
        <f>IF(دانش‌آموزان!E85="","",دانش‌آموزان!B85)</f>
        <v/>
      </c>
      <c r="D969" s="55" t="str">
        <f>IF(دانش‌آموزان!C85="","",دانش‌آموزان!C85)</f>
        <v/>
      </c>
      <c r="E969" s="55" t="str">
        <f>IF(دانش‌آموزان!E85="","",دانش‌آموزان!E85&amp;" "&amp;دانش‌آموزان!F85)</f>
        <v/>
      </c>
      <c r="F969" s="34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idden="1">
      <c r="A970" s="33">
        <v>966</v>
      </c>
      <c r="B970" s="55" t="s">
        <v>188</v>
      </c>
      <c r="C970" s="55" t="str">
        <f>IF(دانش‌آموزان!E85="","",دانش‌آموزان!B85)</f>
        <v/>
      </c>
      <c r="D970" s="55" t="str">
        <f>IF(دانش‌آموزان!C85="","",دانش‌آموزان!C85)</f>
        <v/>
      </c>
      <c r="E970" s="55" t="str">
        <f>IF(دانش‌آموزان!E85="","",دانش‌آموزان!E85&amp;" "&amp;دانش‌آموزان!F85)</f>
        <v/>
      </c>
      <c r="F970" s="34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idden="1">
      <c r="A971" s="33">
        <v>967</v>
      </c>
      <c r="B971" s="55" t="s">
        <v>189</v>
      </c>
      <c r="C971" s="55" t="str">
        <f>IF(دانش‌آموزان!E85="","",دانش‌آموزان!B85)</f>
        <v/>
      </c>
      <c r="D971" s="55" t="str">
        <f>IF(دانش‌آموزان!C85="","",دانش‌آموزان!C85)</f>
        <v/>
      </c>
      <c r="E971" s="55" t="str">
        <f>IF(دانش‌آموزان!E85="","",دانش‌آموزان!E85&amp;" "&amp;دانش‌آموزان!F85)</f>
        <v/>
      </c>
      <c r="F971" s="34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idden="1">
      <c r="A972" s="33">
        <v>968</v>
      </c>
      <c r="B972" s="55" t="s">
        <v>190</v>
      </c>
      <c r="C972" s="55" t="str">
        <f>IF(دانش‌آموزان!E85="","",دانش‌آموزان!B85)</f>
        <v/>
      </c>
      <c r="D972" s="55" t="str">
        <f>IF(دانش‌آموزان!C85="","",دانش‌آموزان!C85)</f>
        <v/>
      </c>
      <c r="E972" s="55" t="str">
        <f>IF(دانش‌آموزان!E85="","",دانش‌آموزان!E85&amp;" "&amp;دانش‌آموزان!F85)</f>
        <v/>
      </c>
      <c r="F972" s="34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idden="1">
      <c r="A973" s="33">
        <v>969</v>
      </c>
      <c r="B973" s="55" t="s">
        <v>191</v>
      </c>
      <c r="C973" s="55" t="str">
        <f>IF(دانش‌آموزان!E85="","",دانش‌آموزان!B85)</f>
        <v/>
      </c>
      <c r="D973" s="55" t="str">
        <f>IF(دانش‌آموزان!C85="","",دانش‌آموزان!C85)</f>
        <v/>
      </c>
      <c r="E973" s="55" t="str">
        <f>IF(دانش‌آموزان!E85="","",دانش‌آموزان!E85&amp;" "&amp;دانش‌آموزان!F85)</f>
        <v/>
      </c>
      <c r="F973" s="34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idden="1">
      <c r="A974" s="33">
        <v>970</v>
      </c>
      <c r="B974" s="55" t="s">
        <v>192</v>
      </c>
      <c r="C974" s="55" t="str">
        <f>IF(دانش‌آموزان!E85="","",دانش‌آموزان!B85)</f>
        <v/>
      </c>
      <c r="D974" s="55" t="str">
        <f>IF(دانش‌آموزان!C85="","",دانش‌آموزان!C85)</f>
        <v/>
      </c>
      <c r="E974" s="55" t="str">
        <f>IF(دانش‌آموزان!E85="","",دانش‌آموزان!E85&amp;" "&amp;دانش‌آموزان!F85)</f>
        <v/>
      </c>
      <c r="F974" s="34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idden="1">
      <c r="A975" s="33">
        <v>971</v>
      </c>
      <c r="B975" s="55" t="s">
        <v>193</v>
      </c>
      <c r="C975" s="55" t="str">
        <f>IF(دانش‌آموزان!E85="","",دانش‌آموزان!B85)</f>
        <v/>
      </c>
      <c r="D975" s="55" t="str">
        <f>IF(دانش‌آموزان!C85="","",دانش‌آموزان!C85)</f>
        <v/>
      </c>
      <c r="E975" s="55" t="str">
        <f>IF(دانش‌آموزان!E85="","",دانش‌آموزان!E85&amp;" "&amp;دانش‌آموزان!F85)</f>
        <v/>
      </c>
      <c r="F975" s="34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idden="1">
      <c r="A976" s="33">
        <v>972</v>
      </c>
      <c r="B976" s="55" t="s">
        <v>194</v>
      </c>
      <c r="C976" s="55" t="str">
        <f>IF(دانش‌آموزان!E85="","",دانش‌آموزان!B85)</f>
        <v/>
      </c>
      <c r="D976" s="55" t="str">
        <f>IF(دانش‌آموزان!C85="","",دانش‌آموزان!C85)</f>
        <v/>
      </c>
      <c r="E976" s="55" t="str">
        <f>IF(دانش‌آموزان!E85="","",دانش‌آموزان!E85&amp;" "&amp;دانش‌آموزان!F85)</f>
        <v/>
      </c>
      <c r="F976" s="34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idden="1">
      <c r="A977" s="33">
        <v>973</v>
      </c>
      <c r="B977" s="55" t="s">
        <v>183</v>
      </c>
      <c r="C977" s="55" t="str">
        <f>IF(دانش‌آموزان!E86="","",دانش‌آموزان!B86)</f>
        <v/>
      </c>
      <c r="D977" s="55" t="str">
        <f>IF(دانش‌آموزان!C86="","",دانش‌آموزان!C86)</f>
        <v/>
      </c>
      <c r="E977" s="55" t="str">
        <f>IF(دانش‌آموزان!E86="","",دانش‌آموزان!E86&amp;" "&amp;دانش‌آموزان!F86)</f>
        <v/>
      </c>
      <c r="F977" s="34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idden="1">
      <c r="A978" s="33">
        <v>974</v>
      </c>
      <c r="B978" s="55" t="s">
        <v>184</v>
      </c>
      <c r="C978" s="55" t="str">
        <f>IF(دانش‌آموزان!E86="","",دانش‌آموزان!B86)</f>
        <v/>
      </c>
      <c r="D978" s="55" t="str">
        <f>IF(دانش‌آموزان!C86="","",دانش‌آموزان!C86)</f>
        <v/>
      </c>
      <c r="E978" s="55" t="str">
        <f>IF(دانش‌آموزان!E86="","",دانش‌آموزان!E86&amp;" "&amp;دانش‌آموزان!F86)</f>
        <v/>
      </c>
      <c r="F978" s="34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975</v>
      </c>
      <c r="B979" s="55" t="s">
        <v>185</v>
      </c>
      <c r="C979" s="55" t="str">
        <f>IF(دانش‌آموزان!E86="","",دانش‌آموزان!B86)</f>
        <v/>
      </c>
      <c r="D979" s="55" t="str">
        <f>IF(دانش‌آموزان!C86="","",دانش‌آموزان!C86)</f>
        <v/>
      </c>
      <c r="E979" s="55" t="str">
        <f>IF(دانش‌آموزان!E86="","",دانش‌آموزان!E86&amp;" "&amp;دانش‌آموزان!F86)</f>
        <v/>
      </c>
      <c r="F979" s="34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idden="1">
      <c r="A980" s="33">
        <v>976</v>
      </c>
      <c r="B980" s="55" t="s">
        <v>186</v>
      </c>
      <c r="C980" s="55" t="str">
        <f>IF(دانش‌آموزان!E86="","",دانش‌آموزان!B86)</f>
        <v/>
      </c>
      <c r="D980" s="55" t="str">
        <f>IF(دانش‌آموزان!C86="","",دانش‌آموزان!C86)</f>
        <v/>
      </c>
      <c r="E980" s="55" t="str">
        <f>IF(دانش‌آموزان!E86="","",دانش‌آموزان!E86&amp;" "&amp;دانش‌آموزان!F86)</f>
        <v/>
      </c>
      <c r="F980" s="34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idden="1">
      <c r="A981" s="33">
        <v>977</v>
      </c>
      <c r="B981" s="55" t="s">
        <v>187</v>
      </c>
      <c r="C981" s="55" t="str">
        <f>IF(دانش‌آموزان!E86="","",دانش‌آموزان!B86)</f>
        <v/>
      </c>
      <c r="D981" s="55" t="str">
        <f>IF(دانش‌آموزان!C86="","",دانش‌آموزان!C86)</f>
        <v/>
      </c>
      <c r="E981" s="55" t="str">
        <f>IF(دانش‌آموزان!E86="","",دانش‌آموزان!E86&amp;" "&amp;دانش‌آموزان!F86)</f>
        <v/>
      </c>
      <c r="F981" s="34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idden="1">
      <c r="A982" s="33">
        <v>978</v>
      </c>
      <c r="B982" s="55" t="s">
        <v>188</v>
      </c>
      <c r="C982" s="55" t="str">
        <f>IF(دانش‌آموزان!E86="","",دانش‌آموزان!B86)</f>
        <v/>
      </c>
      <c r="D982" s="55" t="str">
        <f>IF(دانش‌آموزان!C86="","",دانش‌آموزان!C86)</f>
        <v/>
      </c>
      <c r="E982" s="55" t="str">
        <f>IF(دانش‌آموزان!E86="","",دانش‌آموزان!E86&amp;" "&amp;دانش‌آموزان!F86)</f>
        <v/>
      </c>
      <c r="F982" s="34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idden="1">
      <c r="A983" s="33">
        <v>979</v>
      </c>
      <c r="B983" s="55" t="s">
        <v>189</v>
      </c>
      <c r="C983" s="55" t="str">
        <f>IF(دانش‌آموزان!E86="","",دانش‌آموزان!B86)</f>
        <v/>
      </c>
      <c r="D983" s="55" t="str">
        <f>IF(دانش‌آموزان!C86="","",دانش‌آموزان!C86)</f>
        <v/>
      </c>
      <c r="E983" s="55" t="str">
        <f>IF(دانش‌آموزان!E86="","",دانش‌آموزان!E86&amp;" "&amp;دانش‌آموزان!F86)</f>
        <v/>
      </c>
      <c r="F983" s="34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idden="1">
      <c r="A984" s="33">
        <v>980</v>
      </c>
      <c r="B984" s="55" t="s">
        <v>190</v>
      </c>
      <c r="C984" s="55" t="str">
        <f>IF(دانش‌آموزان!E86="","",دانش‌آموزان!B86)</f>
        <v/>
      </c>
      <c r="D984" s="55" t="str">
        <f>IF(دانش‌آموزان!C86="","",دانش‌آموزان!C86)</f>
        <v/>
      </c>
      <c r="E984" s="55" t="str">
        <f>IF(دانش‌آموزان!E86="","",دانش‌آموزان!E86&amp;" "&amp;دانش‌آموزان!F86)</f>
        <v/>
      </c>
      <c r="F984" s="34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idden="1">
      <c r="A985" s="33">
        <v>981</v>
      </c>
      <c r="B985" s="55" t="s">
        <v>191</v>
      </c>
      <c r="C985" s="55" t="str">
        <f>IF(دانش‌آموزان!E86="","",دانش‌آموزان!B86)</f>
        <v/>
      </c>
      <c r="D985" s="55" t="str">
        <f>IF(دانش‌آموزان!C86="","",دانش‌آموزان!C86)</f>
        <v/>
      </c>
      <c r="E985" s="55" t="str">
        <f>IF(دانش‌آموزان!E86="","",دانش‌آموزان!E86&amp;" "&amp;دانش‌آموزان!F86)</f>
        <v/>
      </c>
      <c r="F985" s="34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idden="1">
      <c r="A986" s="33">
        <v>982</v>
      </c>
      <c r="B986" s="55" t="s">
        <v>192</v>
      </c>
      <c r="C986" s="55" t="str">
        <f>IF(دانش‌آموزان!E86="","",دانش‌آموزان!B86)</f>
        <v/>
      </c>
      <c r="D986" s="55" t="str">
        <f>IF(دانش‌آموزان!C86="","",دانش‌آموزان!C86)</f>
        <v/>
      </c>
      <c r="E986" s="55" t="str">
        <f>IF(دانش‌آموزان!E86="","",دانش‌آموزان!E86&amp;" "&amp;دانش‌آموزان!F86)</f>
        <v/>
      </c>
      <c r="F986" s="34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idden="1">
      <c r="A987" s="33">
        <v>983</v>
      </c>
      <c r="B987" s="55" t="s">
        <v>193</v>
      </c>
      <c r="C987" s="55" t="str">
        <f>IF(دانش‌آموزان!E86="","",دانش‌آموزان!B86)</f>
        <v/>
      </c>
      <c r="D987" s="55" t="str">
        <f>IF(دانش‌آموزان!C86="","",دانش‌آموزان!C86)</f>
        <v/>
      </c>
      <c r="E987" s="55" t="str">
        <f>IF(دانش‌آموزان!E86="","",دانش‌آموزان!E86&amp;" "&amp;دانش‌آموزان!F86)</f>
        <v/>
      </c>
      <c r="F987" s="34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idden="1">
      <c r="A988" s="33">
        <v>984</v>
      </c>
      <c r="B988" s="55" t="s">
        <v>194</v>
      </c>
      <c r="C988" s="55" t="str">
        <f>IF(دانش‌آموزان!E86="","",دانش‌آموزان!B86)</f>
        <v/>
      </c>
      <c r="D988" s="55" t="str">
        <f>IF(دانش‌آموزان!C86="","",دانش‌آموزان!C86)</f>
        <v/>
      </c>
      <c r="E988" s="55" t="str">
        <f>IF(دانش‌آموزان!E86="","",دانش‌آموزان!E86&amp;" "&amp;دانش‌آموزان!F86)</f>
        <v/>
      </c>
      <c r="F988" s="34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idden="1">
      <c r="A989" s="33">
        <v>985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idden="1">
      <c r="A990" s="33">
        <v>986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987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idden="1">
      <c r="A992" s="33">
        <v>988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idden="1">
      <c r="A993" s="33">
        <v>989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idden="1">
      <c r="A994" s="33">
        <v>990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idden="1">
      <c r="A995" s="33">
        <v>991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idden="1">
      <c r="A996" s="33">
        <v>992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idden="1">
      <c r="A997" s="33">
        <v>993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idden="1">
      <c r="A998" s="33">
        <v>994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idden="1">
      <c r="A999" s="33">
        <v>995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idden="1">
      <c r="A1000" s="33">
        <v>996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idden="1">
      <c r="A1001" s="33">
        <v>997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idden="1">
      <c r="A1002" s="33">
        <v>998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999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idden="1">
      <c r="A1004" s="33">
        <v>1000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idden="1">
      <c r="A1005" s="33">
        <v>1001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idden="1">
      <c r="A1006" s="33">
        <v>1002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idden="1">
      <c r="A1007" s="33">
        <v>1003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idden="1">
      <c r="A1008" s="33">
        <v>1004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idden="1">
      <c r="A1009" s="33">
        <v>1005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idden="1">
      <c r="A1010" s="33">
        <v>1006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idden="1">
      <c r="A1011" s="33">
        <v>1007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idden="1">
      <c r="A1012" s="33">
        <v>1008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idden="1">
      <c r="A1013" s="33">
        <v>1009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idden="1">
      <c r="A1014" s="33">
        <v>1010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1011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idden="1">
      <c r="A1016" s="33">
        <v>1012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idden="1">
      <c r="A1017" s="33">
        <v>1013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idden="1">
      <c r="A1018" s="33">
        <v>1014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idden="1">
      <c r="A1019" s="33">
        <v>1015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idden="1">
      <c r="A1020" s="33">
        <v>1016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idden="1">
      <c r="A1021" s="33">
        <v>1017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idden="1">
      <c r="A1022" s="33">
        <v>1018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idden="1">
      <c r="A1023" s="33">
        <v>1019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idden="1">
      <c r="A1024" s="33">
        <v>1020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idden="1">
      <c r="A1025" s="33">
        <v>1021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idden="1">
      <c r="A1026" s="33">
        <v>1022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>
      <c r="A1027" s="33">
        <v>1023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idden="1">
      <c r="A1028" s="33">
        <v>1024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idden="1">
      <c r="A1029" s="33">
        <v>1025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idden="1">
      <c r="A1030" s="33">
        <v>1026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idden="1">
      <c r="A1031" s="33">
        <v>1027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idden="1">
      <c r="A1032" s="33">
        <v>1028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idden="1">
      <c r="A1033" s="33">
        <v>1029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idden="1">
      <c r="A1034" s="33">
        <v>1030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idden="1">
      <c r="A1035" s="33">
        <v>1031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idden="1">
      <c r="A1036" s="33">
        <v>1032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idden="1">
      <c r="A1037" s="33">
        <v>1033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idden="1">
      <c r="A1038" s="33">
        <v>1034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1035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idden="1">
      <c r="A1040" s="33">
        <v>1036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idden="1">
      <c r="A1041" s="33">
        <v>1037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idden="1">
      <c r="A1042" s="33">
        <v>1038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idden="1">
      <c r="A1043" s="33">
        <v>1039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idden="1">
      <c r="A1044" s="33">
        <v>1040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idden="1">
      <c r="A1045" s="33">
        <v>1041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idden="1">
      <c r="A1046" s="33">
        <v>1042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idden="1">
      <c r="A1047" s="33">
        <v>1043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idden="1">
      <c r="A1048" s="33">
        <v>1044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idden="1">
      <c r="A1049" s="33">
        <v>1045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idden="1">
      <c r="A1050" s="33">
        <v>1046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1047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idden="1">
      <c r="A1052" s="33">
        <v>1048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idden="1">
      <c r="A1053" s="33">
        <v>1049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idden="1">
      <c r="A1054" s="33">
        <v>1050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idden="1">
      <c r="A1055" s="33">
        <v>1051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idden="1">
      <c r="A1056" s="33">
        <v>1052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idden="1">
      <c r="A1057" s="33">
        <v>1053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idden="1">
      <c r="A1058" s="33">
        <v>1054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idden="1">
      <c r="A1059" s="33">
        <v>1055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idden="1">
      <c r="A1060" s="33">
        <v>1056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idden="1">
      <c r="A1061" s="33">
        <v>1057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idden="1">
      <c r="A1062" s="33">
        <v>1058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1059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idden="1">
      <c r="A1064" s="33">
        <v>1060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idden="1">
      <c r="A1065" s="33">
        <v>1061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idden="1">
      <c r="A1066" s="33">
        <v>1062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idden="1">
      <c r="A1067" s="33">
        <v>1063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idden="1">
      <c r="A1068" s="33">
        <v>1064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idden="1">
      <c r="A1069" s="33">
        <v>1065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idden="1">
      <c r="A1070" s="33">
        <v>1066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idden="1">
      <c r="A1071" s="33">
        <v>1067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idden="1">
      <c r="A1072" s="33">
        <v>1068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idden="1">
      <c r="A1073" s="33">
        <v>1069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idden="1">
      <c r="A1074" s="33">
        <v>1070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1071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idden="1">
      <c r="A1076" s="33">
        <v>1072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idden="1">
      <c r="A1077" s="33">
        <v>1073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idden="1">
      <c r="A1078" s="33">
        <v>1074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idden="1">
      <c r="A1079" s="33">
        <v>1075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idden="1">
      <c r="A1080" s="33">
        <v>1076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idden="1">
      <c r="A1081" s="33">
        <v>1077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idden="1">
      <c r="A1082" s="33">
        <v>1078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idden="1">
      <c r="A1083" s="33">
        <v>1079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idden="1">
      <c r="A1084" s="33">
        <v>1080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idden="1">
      <c r="A1085" s="33">
        <v>1081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idden="1">
      <c r="A1086" s="33">
        <v>1082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>
      <c r="A1087" s="33">
        <v>1083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idden="1">
      <c r="A1088" s="33">
        <v>1084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idden="1">
      <c r="A1089" s="33">
        <v>1085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idden="1">
      <c r="A1090" s="33">
        <v>1086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idden="1">
      <c r="A1091" s="33">
        <v>1087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idden="1">
      <c r="A1092" s="33">
        <v>1088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idden="1">
      <c r="A1093" s="33">
        <v>1089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idden="1">
      <c r="A1094" s="33">
        <v>1090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idden="1">
      <c r="A1095" s="33">
        <v>1091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idden="1">
      <c r="A1096" s="33">
        <v>1092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idden="1">
      <c r="A1097" s="33">
        <v>1093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idden="1">
      <c r="A1098" s="33">
        <v>1094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1095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idden="1">
      <c r="A1100" s="33">
        <v>1096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idden="1">
      <c r="A1101" s="33">
        <v>1097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idden="1">
      <c r="A1102" s="33">
        <v>1098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idden="1">
      <c r="A1103" s="33">
        <v>1099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idden="1">
      <c r="A1104" s="33">
        <v>1100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idden="1">
      <c r="A1105" s="33">
        <v>1101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idden="1">
      <c r="A1106" s="33">
        <v>1102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idden="1">
      <c r="A1107" s="33">
        <v>1103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idden="1">
      <c r="A1108" s="33">
        <v>1104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idden="1">
      <c r="A1109" s="33">
        <v>1105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idden="1">
      <c r="A1110" s="33">
        <v>1106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1107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idden="1">
      <c r="A1112" s="33">
        <v>1108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idden="1">
      <c r="A1113" s="33">
        <v>1109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idden="1">
      <c r="A1114" s="33">
        <v>1110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idden="1">
      <c r="A1115" s="33">
        <v>1111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idden="1">
      <c r="A1116" s="33">
        <v>1112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idden="1">
      <c r="A1117" s="33">
        <v>1113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idden="1">
      <c r="A1118" s="33">
        <v>1114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idden="1">
      <c r="A1119" s="33">
        <v>1115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idden="1">
      <c r="A1120" s="33">
        <v>1116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idden="1">
      <c r="A1121" s="33">
        <v>1117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idden="1">
      <c r="A1122" s="33">
        <v>1118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1119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idden="1">
      <c r="A1124" s="33">
        <v>1120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idden="1">
      <c r="A1125" s="33">
        <v>1121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idden="1">
      <c r="A1126" s="33">
        <v>1122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idden="1">
      <c r="A1127" s="33">
        <v>1123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idden="1">
      <c r="A1128" s="33">
        <v>1124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idden="1">
      <c r="A1129" s="33">
        <v>1125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idden="1">
      <c r="A1130" s="33">
        <v>1126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idden="1">
      <c r="A1131" s="33">
        <v>1127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idden="1">
      <c r="A1132" s="33">
        <v>1128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idden="1">
      <c r="A1133" s="33">
        <v>1129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idden="1">
      <c r="A1134" s="33">
        <v>1130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1131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idden="1">
      <c r="A1136" s="33">
        <v>1132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idden="1">
      <c r="A1137" s="33">
        <v>1133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idden="1">
      <c r="A1138" s="33">
        <v>1134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idden="1">
      <c r="A1139" s="33">
        <v>1135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idden="1">
      <c r="A1140" s="33">
        <v>1136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idden="1">
      <c r="A1141" s="33">
        <v>1137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idden="1">
      <c r="A1142" s="33">
        <v>1138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idden="1">
      <c r="A1143" s="33">
        <v>1139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idden="1">
      <c r="A1144" s="33">
        <v>1140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idden="1">
      <c r="A1145" s="33">
        <v>1141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idden="1">
      <c r="A1146" s="33">
        <v>1142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>
      <c r="A1147" s="33">
        <v>1143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idden="1">
      <c r="A1148" s="33">
        <v>1144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idden="1">
      <c r="A1149" s="33">
        <v>1145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idden="1">
      <c r="A1150" s="33">
        <v>1146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idden="1">
      <c r="A1151" s="33">
        <v>1147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idden="1">
      <c r="A1152" s="33">
        <v>1148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idden="1">
      <c r="A1153" s="33">
        <v>1149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idden="1">
      <c r="A1154" s="33">
        <v>1150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idden="1">
      <c r="A1155" s="33">
        <v>1151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idden="1">
      <c r="A1156" s="33">
        <v>1152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idden="1">
      <c r="A1157" s="33">
        <v>1153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idden="1">
      <c r="A1158" s="33">
        <v>1154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1155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idden="1">
      <c r="A1160" s="33">
        <v>1156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idden="1">
      <c r="A1161" s="33">
        <v>1157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idden="1">
      <c r="A1162" s="33">
        <v>1158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idden="1">
      <c r="A1163" s="33">
        <v>1159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idden="1">
      <c r="A1164" s="33">
        <v>1160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idden="1">
      <c r="A1165" s="33">
        <v>1161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idden="1">
      <c r="A1166" s="33">
        <v>1162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idden="1">
      <c r="A1167" s="33">
        <v>1163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idden="1">
      <c r="A1168" s="33">
        <v>1164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idden="1">
      <c r="A1169" s="33">
        <v>1165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idden="1">
      <c r="A1170" s="33">
        <v>1166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1167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idden="1">
      <c r="A1172" s="33">
        <v>1168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idden="1">
      <c r="A1173" s="33">
        <v>1169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idden="1">
      <c r="A1174" s="33">
        <v>1170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idden="1">
      <c r="A1175" s="33">
        <v>1171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idden="1">
      <c r="A1176" s="33">
        <v>1172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idden="1">
      <c r="A1177" s="33">
        <v>1173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idden="1">
      <c r="A1178" s="33">
        <v>1174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idden="1">
      <c r="A1179" s="33">
        <v>1175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idden="1">
      <c r="A1180" s="33">
        <v>1176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idden="1">
      <c r="A1181" s="33">
        <v>1177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idden="1">
      <c r="A1182" s="33">
        <v>1178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1179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idden="1">
      <c r="A1184" s="33">
        <v>1180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idden="1">
      <c r="A1185" s="33">
        <v>1181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idden="1">
      <c r="A1186" s="33">
        <v>1182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idden="1">
      <c r="A1187" s="33">
        <v>1183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idden="1">
      <c r="A1188" s="33">
        <v>1184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idden="1">
      <c r="A1189" s="33">
        <v>1185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idden="1">
      <c r="A1190" s="33">
        <v>1186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idden="1">
      <c r="A1191" s="33">
        <v>1187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idden="1">
      <c r="A1192" s="33">
        <v>1188</v>
      </c>
      <c r="B1192" s="55" t="s">
        <v>194</v>
      </c>
      <c r="C1192" s="55" t="str">
        <f>IF(دانش‌آموزان!E103="","",دانش‌آموزان!B103)</f>
        <v/>
      </c>
      <c r="D1192" s="55" t="str">
        <f>IF(دانش‌آموزان!C103="","",دانش‌آموزان!C103)</f>
        <v/>
      </c>
      <c r="E1192" s="55" t="str">
        <f>IF(دانش‌آموزان!E103="","",دانش‌آموزان!E103&amp;" "&amp;دانش‌آموزان!F103)</f>
        <v/>
      </c>
      <c r="F1192" s="34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idden="1">
      <c r="A1193" s="33">
        <v>1189</v>
      </c>
      <c r="B1193" s="55" t="s">
        <v>183</v>
      </c>
      <c r="C1193" s="55" t="str">
        <f>IF(دانش‌آموزان!E104="","",دانش‌آموزان!B104)</f>
        <v/>
      </c>
      <c r="D1193" s="55" t="str">
        <f>IF(دانش‌آموزان!C104="","",دانش‌آموزان!C104)</f>
        <v/>
      </c>
      <c r="E1193" s="55" t="str">
        <f>IF(دانش‌آموزان!E104="","",دانش‌آموزان!E104&amp;" "&amp;دانش‌آموزان!F104)</f>
        <v/>
      </c>
      <c r="F1193" s="34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idden="1">
      <c r="A1194" s="33">
        <v>1190</v>
      </c>
      <c r="B1194" s="55" t="s">
        <v>184</v>
      </c>
      <c r="C1194" s="55" t="str">
        <f>IF(دانش‌آموزان!E104="","",دانش‌آموزان!B104)</f>
        <v/>
      </c>
      <c r="D1194" s="55" t="str">
        <f>IF(دانش‌آموزان!C104="","",دانش‌آموزان!C104)</f>
        <v/>
      </c>
      <c r="E1194" s="55" t="str">
        <f>IF(دانش‌آموزان!E104="","",دانش‌آموزان!E104&amp;" "&amp;دانش‌آموزان!F104)</f>
        <v/>
      </c>
      <c r="F1194" s="34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>
      <c r="A1195" s="33">
        <v>1191</v>
      </c>
      <c r="B1195" s="55" t="s">
        <v>185</v>
      </c>
      <c r="C1195" s="55" t="str">
        <f>IF(دانش‌آموزان!E104="","",دانش‌آموزان!B104)</f>
        <v/>
      </c>
      <c r="D1195" s="55" t="str">
        <f>IF(دانش‌آموزان!C104="","",دانش‌آموزان!C104)</f>
        <v/>
      </c>
      <c r="E1195" s="55" t="str">
        <f>IF(دانش‌آموزان!E104="","",دانش‌آموزان!E104&amp;" "&amp;دانش‌آموزان!F104)</f>
        <v/>
      </c>
      <c r="F1195" s="34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idden="1">
      <c r="A1196" s="33">
        <v>1192</v>
      </c>
      <c r="B1196" s="55" t="s">
        <v>186</v>
      </c>
      <c r="C1196" s="55" t="str">
        <f>IF(دانش‌آموزان!E104="","",دانش‌آموزان!B104)</f>
        <v/>
      </c>
      <c r="D1196" s="55" t="str">
        <f>IF(دانش‌آموزان!C104="","",دانش‌آموزان!C104)</f>
        <v/>
      </c>
      <c r="E1196" s="55" t="str">
        <f>IF(دانش‌آموزان!E104="","",دانش‌آموزان!E104&amp;" "&amp;دانش‌آموزان!F104)</f>
        <v/>
      </c>
      <c r="F1196" s="34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idden="1">
      <c r="A1197" s="33">
        <v>1193</v>
      </c>
      <c r="B1197" s="55" t="s">
        <v>187</v>
      </c>
      <c r="C1197" s="55" t="str">
        <f>IF(دانش‌آموزان!E104="","",دانش‌آموزان!B104)</f>
        <v/>
      </c>
      <c r="D1197" s="55" t="str">
        <f>IF(دانش‌آموزان!C104="","",دانش‌آموزان!C104)</f>
        <v/>
      </c>
      <c r="E1197" s="55" t="str">
        <f>IF(دانش‌آموزان!E104="","",دانش‌آموزان!E104&amp;" "&amp;دانش‌آموزان!F104)</f>
        <v/>
      </c>
      <c r="F1197" s="34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idden="1">
      <c r="A1198" s="33">
        <v>1194</v>
      </c>
      <c r="B1198" s="55" t="s">
        <v>188</v>
      </c>
      <c r="C1198" s="55" t="str">
        <f>IF(دانش‌آموزان!E104="","",دانش‌آموزان!B104)</f>
        <v/>
      </c>
      <c r="D1198" s="55" t="str">
        <f>IF(دانش‌آموزان!C104="","",دانش‌آموزان!C104)</f>
        <v/>
      </c>
      <c r="E1198" s="55" t="str">
        <f>IF(دانش‌آموزان!E104="","",دانش‌آموزان!E104&amp;" "&amp;دانش‌آموزان!F104)</f>
        <v/>
      </c>
      <c r="F1198" s="34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idden="1">
      <c r="A1199" s="33">
        <v>1195</v>
      </c>
      <c r="B1199" s="55" t="s">
        <v>189</v>
      </c>
      <c r="C1199" s="55" t="str">
        <f>IF(دانش‌آموزان!E104="","",دانش‌آموزان!B104)</f>
        <v/>
      </c>
      <c r="D1199" s="55" t="str">
        <f>IF(دانش‌آموزان!C104="","",دانش‌آموزان!C104)</f>
        <v/>
      </c>
      <c r="E1199" s="55" t="str">
        <f>IF(دانش‌آموزان!E104="","",دانش‌آموزان!E104&amp;" "&amp;دانش‌آموزان!F104)</f>
        <v/>
      </c>
      <c r="F1199" s="34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idden="1">
      <c r="A1200" s="33">
        <v>1196</v>
      </c>
      <c r="B1200" s="55" t="s">
        <v>190</v>
      </c>
      <c r="C1200" s="55" t="str">
        <f>IF(دانش‌آموزان!E104="","",دانش‌آموزان!B104)</f>
        <v/>
      </c>
      <c r="D1200" s="55" t="str">
        <f>IF(دانش‌آموزان!C104="","",دانش‌آموزان!C104)</f>
        <v/>
      </c>
      <c r="E1200" s="55" t="str">
        <f>IF(دانش‌آموزان!E104="","",دانش‌آموزان!E104&amp;" "&amp;دانش‌آموزان!F104)</f>
        <v/>
      </c>
      <c r="F1200" s="34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idden="1">
      <c r="A1201" s="33">
        <v>1197</v>
      </c>
      <c r="B1201" s="55" t="s">
        <v>191</v>
      </c>
      <c r="C1201" s="55" t="str">
        <f>IF(دانش‌آموزان!E104="","",دانش‌آموزان!B104)</f>
        <v/>
      </c>
      <c r="D1201" s="55" t="str">
        <f>IF(دانش‌آموزان!C104="","",دانش‌آموزان!C104)</f>
        <v/>
      </c>
      <c r="E1201" s="55" t="str">
        <f>IF(دانش‌آموزان!E104="","",دانش‌آموزان!E104&amp;" "&amp;دانش‌آموزان!F104)</f>
        <v/>
      </c>
      <c r="F1201" s="34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idden="1">
      <c r="A1202" s="33">
        <v>1198</v>
      </c>
      <c r="B1202" s="55" t="s">
        <v>192</v>
      </c>
      <c r="C1202" s="55" t="str">
        <f>IF(دانش‌آموزان!E104="","",دانش‌آموزان!B104)</f>
        <v/>
      </c>
      <c r="D1202" s="55" t="str">
        <f>IF(دانش‌آموزان!C104="","",دانش‌آموزان!C104)</f>
        <v/>
      </c>
      <c r="E1202" s="55" t="str">
        <f>IF(دانش‌آموزان!E104="","",دانش‌آموزان!E104&amp;" "&amp;دانش‌آموزان!F104)</f>
        <v/>
      </c>
      <c r="F1202" s="34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idden="1">
      <c r="A1203" s="33">
        <v>1199</v>
      </c>
      <c r="B1203" s="55" t="s">
        <v>193</v>
      </c>
      <c r="C1203" s="55" t="str">
        <f>IF(دانش‌آموزان!E104="","",دانش‌آموزان!B104)</f>
        <v/>
      </c>
      <c r="D1203" s="55" t="str">
        <f>IF(دانش‌آموزان!C104="","",دانش‌آموزان!C104)</f>
        <v/>
      </c>
      <c r="E1203" s="55" t="str">
        <f>IF(دانش‌آموزان!E104="","",دانش‌آموزان!E104&amp;" "&amp;دانش‌آموزان!F104)</f>
        <v/>
      </c>
      <c r="F1203" s="34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idden="1">
      <c r="A1204" s="35">
        <v>1200</v>
      </c>
      <c r="B1204" s="56" t="s">
        <v>194</v>
      </c>
      <c r="C1204" s="56" t="str">
        <f>IF(دانش‌آموزان!E104="","",دانش‌آموزان!B104)</f>
        <v/>
      </c>
      <c r="D1204" s="56" t="str">
        <f>IF(دانش‌آموزان!C104="","",دانش‌آموزان!C104)</f>
        <v/>
      </c>
      <c r="E1204" s="56" t="str">
        <f>IF(دانش‌آموزان!E104="","",دانش‌آموزان!E104&amp;" "&amp;دانش‌آموزان!F104)</f>
        <v/>
      </c>
      <c r="F1204" s="36" t="str">
        <f>IF(دانش‌آموزان!I104="","",دانش‌آموزان!I104)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B4:B1204">
    <filterColumn colId="0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G1204 H5:H54 H56:H1204 I5:CB1204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showGridLines="0" rightToLeft="1" zoomScale="85" zoomScaleNormal="85" workbookViewId="0">
      <selection sqref="A1:Y1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106" t="s">
        <v>195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</row>
    <row r="2" spans="1:25" ht="32.1" customHeight="1">
      <c r="A2" s="108" t="s">
        <v>196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0960551832</v>
      </c>
      <c r="C5" s="54" t="str">
        <f>IF(A5="","",دانش‌آموزان!E5&amp;" "&amp;دانش‌آموزان!F5)</f>
        <v>پارسا ادياني راد</v>
      </c>
      <c r="D5" s="32">
        <f>IF(A5="","",دانش‌آموزان!I5)</f>
        <v>801</v>
      </c>
      <c r="E5" s="25">
        <f>IF(A5="","",IFERROR(AVERAGEIFS('ثبت اطلاعات'!$CC$5:$CC$1204,'ثبت اطلاعات'!$C$5:$C$1204,A5,'ثبت اطلاعات'!$CL$5:$CL$1204,"&lt;&gt;"),""))</f>
        <v>28.228571428571428</v>
      </c>
      <c r="F5" s="37">
        <f>IF(A5="","",IFERROR(AVERAGEIFS('ثبت اطلاعات'!$CD$5:$CD$1204,'ثبت اطلاعات'!$C$5:$C$1204,A5,'ثبت اطلاعات'!$CL$5:$CL$1204,"&lt;&gt;"),""))</f>
        <v>20</v>
      </c>
      <c r="G5" s="37">
        <f>IF(A5="","",IFERROR(AVERAGEIFS('ثبت اطلاعات'!$CE$5:$CE$1204,'ثبت اطلاعات'!$C$5:$C$1204,A5,'ثبت اطلاعات'!$CL$5:$CL$1204,"&lt;&gt;"),""))</f>
        <v>20</v>
      </c>
      <c r="H5" s="37">
        <f>IF(A5="","",IFERROR(AVERAGEIFS('ثبت اطلاعات'!$CF$5:$CF$1204,'ثبت اطلاعات'!$C$5:$C$1204,A5,'ثبت اطلاعات'!$CL$5:$CL$1204,"&lt;&gt;"),""))</f>
        <v>20</v>
      </c>
      <c r="I5" s="37">
        <f>IF(A5="","",IFERROR(AVERAGEIFS('ثبت اطلاعات'!$CG$5:$CG$1204,'ثبت اطلاعات'!$C$5:$C$1204,A5,'ثبت اطلاعات'!$CL$5:$CL$1204,"&lt;&gt;"),""))</f>
        <v>20</v>
      </c>
      <c r="J5" s="37" t="str">
        <f>IF(A5="","",IFERROR(AVERAGEIFS('ثبت اطلاعات'!$CH$5:$CH$1204,'ثبت اطلاعات'!$C$5:$C$1204,A5,'ثبت اطلاعات'!$CL$5:$CL$1204,"&lt;&gt;"),""))</f>
        <v/>
      </c>
      <c r="K5" s="37">
        <f>IF(A5="","",IFERROR(AVERAGEIFS('ثبت اطلاعات'!$CI$5:$CI$1204,'ثبت اطلاعات'!$C$5:$C$1204,A5,'ثبت اطلاعات'!$CL$5:$CL$1204,"&lt;&gt;"),""))</f>
        <v>20</v>
      </c>
      <c r="L5" s="37" t="str">
        <f>IF(A5="","",IFERROR(AVERAGEIFS('ثبت اطلاعات'!$CJ$5:$CJ$1204,'ثبت اطلاعات'!$C$5:$C$1204,A5,'ثبت اطلاعات'!$CL$5:$CL$1204,"&lt;&gt;"),""))</f>
        <v/>
      </c>
      <c r="M5" s="37" t="str">
        <f>IF(A5="","",IFERROR(AVERAGEIFS('ثبت اطلاعات'!$CK$5:$CK$1204,'ثبت اطلاعات'!$C$5:$C$1204,A5,'ثبت اطلاعات'!$CL$5:$CL$1204,"&lt;&gt;"),""))</f>
        <v/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IF(O5=0,"",MINIFS('ثبت اطلاعات'!$CN$5:$CN$1204,'ثبت اطلاعات'!$C$5:$C$1204,A5,'ثبت اطلاعات'!$CL$5:$CL$1204,"&lt;&gt;"))</f>
        <v>#NAME?</v>
      </c>
      <c r="Q5" s="37" t="e">
        <f ca="1">IF(O5=0,"",MAXIFS('ثبت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0960568107</v>
      </c>
      <c r="C6" s="55" t="str">
        <f>IF(A6="","",دانش‌آموزان!E6&amp;" "&amp;دانش‌آموزان!F6)</f>
        <v>علي اصغرزاده</v>
      </c>
      <c r="D6" s="34">
        <f>IF(A6="","",دانش‌آموزان!I6)</f>
        <v>801</v>
      </c>
      <c r="E6" s="27">
        <f>IF(A6="","",IFERROR(AVERAGEIFS('ثبت اطلاعات'!$CC$5:$CC$1204,'ثبت اطلاعات'!$C$5:$C$1204,A6,'ثبت اطلاعات'!$CL$5:$CL$1204,"&lt;&gt;"),""))</f>
        <v>18.5</v>
      </c>
      <c r="F6" s="38">
        <f>IF(A6="","",IFERROR(AVERAGEIFS('ثبت اطلاعات'!$CD$5:$CD$1204,'ثبت اطلاعات'!$C$5:$C$1204,A6,'ثبت اطلاعات'!$CL$5:$CL$1204,"&lt;&gt;"),""))</f>
        <v>20</v>
      </c>
      <c r="G6" s="38">
        <f>IF(A6="","",IFERROR(AVERAGEIFS('ثبت اطلاعات'!$CE$5:$CE$1204,'ثبت اطلاعات'!$C$5:$C$1204,A6,'ثبت اطلاعات'!$CL$5:$CL$1204,"&lt;&gt;"),""))</f>
        <v>20</v>
      </c>
      <c r="H6" s="38">
        <f>IF(A6="","",IFERROR(AVERAGEIFS('ثبت اطلاعات'!$CF$5:$CF$1204,'ثبت اطلاعات'!$C$5:$C$1204,A6,'ثبت اطلاعات'!$CL$5:$CL$1204,"&lt;&gt;"),""))</f>
        <v>20</v>
      </c>
      <c r="I6" s="38">
        <f>IF(A6="","",IFERROR(AVERAGEIFS('ثبت اطلاعات'!$CG$5:$CG$1204,'ثبت اطلاعات'!$C$5:$C$1204,A6,'ثبت اطلاعات'!$CL$5:$CL$1204,"&lt;&gt;"),""))</f>
        <v>20</v>
      </c>
      <c r="J6" s="38" t="str">
        <f>IF(A6="","",IFERROR(AVERAGEIFS('ثبت اطلاعات'!$CH$5:$CH$1204,'ثبت اطلاعات'!$C$5:$C$1204,A6,'ثبت اطلاعات'!$CL$5:$CL$1204,"&lt;&gt;"),""))</f>
        <v/>
      </c>
      <c r="K6" s="38">
        <f>IF(A6="","",IFERROR(AVERAGEIFS('ثبت اطلاعات'!$CI$5:$CI$1204,'ثبت اطلاعات'!$C$5:$C$1204,A6,'ثبت اطلاعات'!$CL$5:$CL$1204,"&lt;&gt;"),""))</f>
        <v>20</v>
      </c>
      <c r="L6" s="38" t="str">
        <f>IF(A6="","",IFERROR(AVERAGEIFS('ثبت اطلاعات'!$CJ$5:$CJ$1204,'ثبت اطلاعات'!$C$5:$C$1204,A6,'ثبت اطلاعات'!$CL$5:$CL$1204,"&lt;&gt;"),""))</f>
        <v/>
      </c>
      <c r="M6" s="38" t="str">
        <f>IF(A6="","",IFERROR(AVERAGEIFS('ثبت اطلاعات'!$CK$5:$CK$1204,'ثبت اطلاعات'!$C$5:$C$1204,A6,'ثبت اطلاعات'!$CL$5:$CL$1204,"&lt;&gt;"),""))</f>
        <v/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IF(O6=0,"",MINIFS('ثبت اطلاعات'!$CN$5:$CN$1204,'ثبت اطلاعات'!$C$5:$C$1204,A6,'ثبت اطلاعات'!$CL$5:$CL$1204,"&lt;&gt;"))</f>
        <v>#NAME?</v>
      </c>
      <c r="Q6" s="38" t="e">
        <f ca="1">IF(O6=0,"",MAXIFS('ثبت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>
        <f>IF(A7="","",دانش‌آموزان!C7)</f>
        <v>94100017036</v>
      </c>
      <c r="C7" s="55" t="str">
        <f>IF(A7="","",دانش‌آموزان!E7&amp;" "&amp;دانش‌آموزان!F7)</f>
        <v>حسين السعداني</v>
      </c>
      <c r="D7" s="34">
        <f>IF(A7="","",دانش‌آموزان!I7)</f>
        <v>801</v>
      </c>
      <c r="E7" s="27">
        <f>IF(A7="","",IFERROR(AVERAGEIFS('ثبت اطلاعات'!$CC$5:$CC$1204,'ثبت اطلاعات'!$C$5:$C$1204,A7,'ثبت اطلاعات'!$CL$5:$CL$1204,"&lt;&gt;"),""))</f>
        <v>21</v>
      </c>
      <c r="F7" s="38">
        <f>IF(A7="","",IFERROR(AVERAGEIFS('ثبت اطلاعات'!$CD$5:$CD$1204,'ثبت اطلاعات'!$C$5:$C$1204,A7,'ثبت اطلاعات'!$CL$5:$CL$1204,"&lt;&gt;"),""))</f>
        <v>20</v>
      </c>
      <c r="G7" s="38">
        <f>IF(A7="","",IFERROR(AVERAGEIFS('ثبت اطلاعات'!$CE$5:$CE$1204,'ثبت اطلاعات'!$C$5:$C$1204,A7,'ثبت اطلاعات'!$CL$5:$CL$1204,"&lt;&gt;"),""))</f>
        <v>20</v>
      </c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 t="str">
        <f>IF(A7="","",IFERROR(AVERAGEIFS('ثبت اطلاعات'!$CH$5:$CH$1204,'ثبت اطلاعات'!$C$5:$C$1204,A7,'ثبت اطلاعات'!$CL$5:$CL$1204,"&lt;&gt;"),""))</f>
        <v/>
      </c>
      <c r="K7" s="38">
        <f>IF(A7="","",IFERROR(AVERAGEIFS('ثبت اطلاعات'!$CI$5:$CI$1204,'ثبت اطلاعات'!$C$5:$C$1204,A7,'ثبت اطلاعات'!$CL$5:$CL$1204,"&lt;&gt;"),""))</f>
        <v>20</v>
      </c>
      <c r="L7" s="38" t="str">
        <f>IF(A7="","",IFERROR(AVERAGEIFS('ثبت اطلاعات'!$CJ$5:$CJ$1204,'ثبت اطلاعات'!$C$5:$C$1204,A7,'ثبت اطلاعات'!$CL$5:$CL$1204,"&lt;&gt;"),""))</f>
        <v/>
      </c>
      <c r="M7" s="38" t="str">
        <f>IF(A7="","",IFERROR(AVERAGEIFS('ثبت اطلاعات'!$CK$5:$CK$1204,'ثبت اطلاعات'!$C$5:$C$1204,A7,'ثبت اطلاعات'!$CL$5:$CL$1204,"&lt;&gt;"),""))</f>
        <v/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IF(O7=0,"",MINIFS('ثبت اطلاعات'!$CN$5:$CN$1204,'ثبت اطلاعات'!$C$5:$C$1204,A7,'ثبت اطلاعات'!$CL$5:$CL$1204,"&lt;&gt;"))</f>
        <v>#NAME?</v>
      </c>
      <c r="Q7" s="38" t="e">
        <f ca="1">IF(O7=0,"",MAXIFS('ثبت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0970971788</v>
      </c>
      <c r="C8" s="55" t="str">
        <f>IF(A8="","",دانش‌آموزان!E8&amp;" "&amp;دانش‌آموزان!F8)</f>
        <v>جواد ثقفي</v>
      </c>
      <c r="D8" s="34">
        <f>IF(A8="","",دانش‌آموزان!I8)</f>
        <v>801</v>
      </c>
      <c r="E8" s="27">
        <f>IF(A8="","",IFERROR(AVERAGEIFS('ثبت اطلاعات'!$CC$5:$CC$1204,'ثبت اطلاعات'!$C$5:$C$1204,A8,'ثبت اطلاعات'!$CL$5:$CL$1204,"&lt;&gt;"),""))</f>
        <v>27.57714285714286</v>
      </c>
      <c r="F8" s="38">
        <f>IF(A8="","",IFERROR(AVERAGEIFS('ثبت اطلاعات'!$CD$5:$CD$1204,'ثبت اطلاعات'!$C$5:$C$1204,A8,'ثبت اطلاعات'!$CL$5:$CL$1204,"&lt;&gt;"),""))</f>
        <v>20</v>
      </c>
      <c r="G8" s="38">
        <f>IF(A8="","",IFERROR(AVERAGEIFS('ثبت اطلاعات'!$CE$5:$CE$1204,'ثبت اطلاعات'!$C$5:$C$1204,A8,'ثبت اطلاعات'!$CL$5:$CL$1204,"&lt;&gt;"),""))</f>
        <v>20</v>
      </c>
      <c r="H8" s="38">
        <f>IF(A8="","",IFERROR(AVERAGEIFS('ثبت اطلاعات'!$CF$5:$CF$1204,'ثبت اطلاعات'!$C$5:$C$1204,A8,'ثبت اطلاعات'!$CL$5:$CL$1204,"&lt;&gt;"),""))</f>
        <v>20</v>
      </c>
      <c r="I8" s="38">
        <f>IF(A8="","",IFERROR(AVERAGEIFS('ثبت اطلاعات'!$CG$5:$CG$1204,'ثبت اطلاعات'!$C$5:$C$1204,A8,'ثبت اطلاعات'!$CL$5:$CL$1204,"&lt;&gt;"),""))</f>
        <v>20</v>
      </c>
      <c r="J8" s="38" t="str">
        <f>IF(A8="","",IFERROR(AVERAGEIFS('ثبت اطلاعات'!$CH$5:$CH$1204,'ثبت اطلاعات'!$C$5:$C$1204,A8,'ثبت اطلاعات'!$CL$5:$CL$1204,"&lt;&gt;"),""))</f>
        <v/>
      </c>
      <c r="K8" s="38">
        <f>IF(A8="","",IFERROR(AVERAGEIFS('ثبت اطلاعات'!$CI$5:$CI$1204,'ثبت اطلاعات'!$C$5:$C$1204,A8,'ثبت اطلاعات'!$CL$5:$CL$1204,"&lt;&gt;"),""))</f>
        <v>20</v>
      </c>
      <c r="L8" s="38" t="str">
        <f>IF(A8="","",IFERROR(AVERAGEIFS('ثبت اطلاعات'!$CJ$5:$CJ$1204,'ثبت اطلاعات'!$C$5:$C$1204,A8,'ثبت اطلاعات'!$CL$5:$CL$1204,"&lt;&gt;"),""))</f>
        <v/>
      </c>
      <c r="M8" s="38" t="str">
        <f>IF(A8="","",IFERROR(AVERAGEIFS('ثبت اطلاعات'!$CK$5:$CK$1204,'ثبت اطلاعات'!$C$5:$C$1204,A8,'ثبت اطلاعات'!$CL$5:$CL$1204,"&lt;&gt;"),""))</f>
        <v/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IF(O8=0,"",MINIFS('ثبت اطلاعات'!$CN$5:$CN$1204,'ثبت اطلاعات'!$C$5:$C$1204,A8,'ثبت اطلاعات'!$CL$5:$CL$1204,"&lt;&gt;"))</f>
        <v>#NAME?</v>
      </c>
      <c r="Q8" s="38" t="e">
        <f ca="1">IF(O8=0,"",MAXIFS('ثبت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0980728177</v>
      </c>
      <c r="C9" s="55" t="str">
        <f>IF(A9="","",دانش‌آموزان!E9&amp;" "&amp;دانش‌آموزان!F9)</f>
        <v>سيدمهديار جوادي</v>
      </c>
      <c r="D9" s="34">
        <f>IF(A9="","",دانش‌آموزان!I9)</f>
        <v>801</v>
      </c>
      <c r="E9" s="27">
        <f>IF(A9="","",IFERROR(AVERAGEIFS('ثبت اطلاعات'!$CC$5:$CC$1204,'ثبت اطلاعات'!$C$5:$C$1204,A9,'ثبت اطلاعات'!$CL$5:$CL$1204,"&lt;&gt;"),""))</f>
        <v>21</v>
      </c>
      <c r="F9" s="38">
        <f>IF(A9="","",IFERROR(AVERAGEIFS('ثبت اطلاعات'!$CD$5:$CD$1204,'ثبت اطلاعات'!$C$5:$C$1204,A9,'ثبت اطلاعات'!$CL$5:$CL$1204,"&lt;&gt;"),""))</f>
        <v>20</v>
      </c>
      <c r="G9" s="38">
        <f>IF(A9="","",IFERROR(AVERAGEIFS('ثبت اطلاعات'!$CE$5:$CE$1204,'ثبت اطلاعات'!$C$5:$C$1204,A9,'ثبت اطلاعات'!$CL$5:$CL$1204,"&lt;&gt;"),""))</f>
        <v>20</v>
      </c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 t="str">
        <f>IF(A9="","",IFERROR(AVERAGEIFS('ثبت اطلاعات'!$CH$5:$CH$1204,'ثبت اطلاعات'!$C$5:$C$1204,A9,'ثبت اطلاعات'!$CL$5:$CL$1204,"&lt;&gt;"),""))</f>
        <v/>
      </c>
      <c r="K9" s="38">
        <f>IF(A9="","",IFERROR(AVERAGEIFS('ثبت اطلاعات'!$CI$5:$CI$1204,'ثبت اطلاعات'!$C$5:$C$1204,A9,'ثبت اطلاعات'!$CL$5:$CL$1204,"&lt;&gt;"),""))</f>
        <v>20</v>
      </c>
      <c r="L9" s="38" t="str">
        <f>IF(A9="","",IFERROR(AVERAGEIFS('ثبت اطلاعات'!$CJ$5:$CJ$1204,'ثبت اطلاعات'!$C$5:$C$1204,A9,'ثبت اطلاعات'!$CL$5:$CL$1204,"&lt;&gt;"),""))</f>
        <v/>
      </c>
      <c r="M9" s="38" t="str">
        <f>IF(A9="","",IFERROR(AVERAGEIFS('ثبت اطلاعات'!$CK$5:$CK$1204,'ثبت اطلاعات'!$C$5:$C$1204,A9,'ثبت اطلاعات'!$CL$5:$CL$1204,"&lt;&gt;"),""))</f>
        <v/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IF(O9=0,"",MINIFS('ثبت اطلاعات'!$CN$5:$CN$1204,'ثبت اطلاعات'!$C$5:$C$1204,A9,'ثبت اطلاعات'!$CL$5:$CL$1204,"&lt;&gt;"))</f>
        <v>#NAME?</v>
      </c>
      <c r="Q9" s="38" t="e">
        <f ca="1">IF(O9=0,"",MAXIFS('ثبت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0960526307</v>
      </c>
      <c r="C10" s="55" t="str">
        <f>IF(A10="","",دانش‌آموزان!E10&amp;" "&amp;دانش‌آموزان!F10)</f>
        <v>آيدين چرخكار</v>
      </c>
      <c r="D10" s="34">
        <f>IF(A10="","",دانش‌آموزان!I10)</f>
        <v>801</v>
      </c>
      <c r="E10" s="27">
        <f>IF(A10="","",IFERROR(AVERAGEIFS('ثبت اطلاعات'!$CC$5:$CC$1204,'ثبت اطلاعات'!$C$5:$C$1204,A10,'ثبت اطلاعات'!$CL$5:$CL$1204,"&lt;&gt;"),""))</f>
        <v>20.5</v>
      </c>
      <c r="F10" s="38">
        <f>IF(A10="","",IFERROR(AVERAGEIFS('ثبت اطلاعات'!$CD$5:$CD$1204,'ثبت اطلاعات'!$C$5:$C$1204,A10,'ثبت اطلاعات'!$CL$5:$CL$1204,"&lt;&gt;"),""))</f>
        <v>20</v>
      </c>
      <c r="G10" s="38">
        <f>IF(A10="","",IFERROR(AVERAGEIFS('ثبت اطلاعات'!$CE$5:$CE$1204,'ثبت اطلاعات'!$C$5:$C$1204,A10,'ثبت اطلاعات'!$CL$5:$CL$1204,"&lt;&gt;"),""))</f>
        <v>20</v>
      </c>
      <c r="H10" s="38">
        <f>IF(A10="","",IFERROR(AVERAGEIFS('ثبت اطلاعات'!$CF$5:$CF$1204,'ثبت اطلاعات'!$C$5:$C$1204,A10,'ثبت اطلاعات'!$CL$5:$CL$1204,"&lt;&gt;"),""))</f>
        <v>20</v>
      </c>
      <c r="I10" s="38">
        <f>IF(A10="","",IFERROR(AVERAGEIFS('ثبت اطلاعات'!$CG$5:$CG$1204,'ثبت اطلاعات'!$C$5:$C$1204,A10,'ثبت اطلاعات'!$CL$5:$CL$1204,"&lt;&gt;"),""))</f>
        <v>20</v>
      </c>
      <c r="J10" s="38" t="str">
        <f>IF(A10="","",IFERROR(AVERAGEIFS('ثبت اطلاعات'!$CH$5:$CH$1204,'ثبت اطلاعات'!$C$5:$C$1204,A10,'ثبت اطلاعات'!$CL$5:$CL$1204,"&lt;&gt;"),""))</f>
        <v/>
      </c>
      <c r="K10" s="38">
        <f>IF(A10="","",IFERROR(AVERAGEIFS('ثبت اطلاعات'!$CI$5:$CI$1204,'ثبت اطلاعات'!$C$5:$C$1204,A10,'ثبت اطلاعات'!$CL$5:$CL$1204,"&lt;&gt;"),""))</f>
        <v>20</v>
      </c>
      <c r="L10" s="38" t="str">
        <f>IF(A10="","",IFERROR(AVERAGEIFS('ثبت اطلاعات'!$CJ$5:$CJ$1204,'ثبت اطلاعات'!$C$5:$C$1204,A10,'ثبت اطلاعات'!$CL$5:$CL$1204,"&lt;&gt;"),""))</f>
        <v/>
      </c>
      <c r="M10" s="38" t="str">
        <f>IF(A10="","",IFERROR(AVERAGEIFS('ثبت اطلاعات'!$CK$5:$CK$1204,'ثبت اطلاعات'!$C$5:$C$1204,A10,'ثبت اطلاعات'!$CL$5:$CL$1204,"&lt;&gt;"),""))</f>
        <v/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IF(O10=0,"",MINIFS('ثبت اطلاعات'!$CN$5:$CN$1204,'ثبت اطلاعات'!$C$5:$C$1204,A10,'ثبت اطلاعات'!$CL$5:$CL$1204,"&lt;&gt;"))</f>
        <v>#NAME?</v>
      </c>
      <c r="Q10" s="38" t="e">
        <f ca="1">IF(O10=0,"",MAXIFS('ثبت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0960565329</v>
      </c>
      <c r="C11" s="55" t="str">
        <f>IF(A11="","",دانش‌آموزان!E11&amp;" "&amp;دانش‌آموزان!F11)</f>
        <v>محمدطاها حشمتي</v>
      </c>
      <c r="D11" s="34">
        <f>IF(A11="","",دانش‌آموزان!I11)</f>
        <v>801</v>
      </c>
      <c r="E11" s="27">
        <f>IF(A11="","",IFERROR(AVERAGEIFS('ثبت اطلاعات'!$CC$5:$CC$1204,'ثبت اطلاعات'!$C$5:$C$1204,A11,'ثبت اطلاعات'!$CL$5:$CL$1204,"&lt;&gt;"),""))</f>
        <v>19.5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20</v>
      </c>
      <c r="H11" s="38">
        <f>IF(A11="","",IFERROR(AVERAGEIFS('ثبت اطلاعات'!$CF$5:$CF$1204,'ثبت اطلاعات'!$C$5:$C$1204,A11,'ثبت اطلاعات'!$CL$5:$CL$1204,"&lt;&gt;"),""))</f>
        <v>20</v>
      </c>
      <c r="I11" s="38">
        <f>IF(A11="","",IFERROR(AVERAGEIFS('ثبت اطلاعات'!$CG$5:$CG$1204,'ثبت اطلاعات'!$C$5:$C$1204,A11,'ثبت اطلاعات'!$CL$5:$CL$1204,"&lt;&gt;"),""))</f>
        <v>20</v>
      </c>
      <c r="J11" s="38" t="str">
        <f>IF(A11="","",IFERROR(AVERAGEIFS('ثبت اطلاعات'!$CH$5:$CH$1204,'ثبت اطلاعات'!$C$5:$C$1204,A11,'ثبت اطلاعات'!$CL$5:$CL$1204,"&lt;&gt;"),""))</f>
        <v/>
      </c>
      <c r="K11" s="38">
        <f>IF(A11="","",IFERROR(AVERAGEIFS('ثبت اطلاعات'!$CI$5:$CI$1204,'ثبت اطلاعات'!$C$5:$C$1204,A11,'ثبت اطلاعات'!$CL$5:$CL$1204,"&lt;&gt;"),""))</f>
        <v>20</v>
      </c>
      <c r="L11" s="38" t="str">
        <f>IF(A11="","",IFERROR(AVERAGEIFS('ثبت اطلاعات'!$CJ$5:$CJ$1204,'ثبت اطلاعات'!$C$5:$C$1204,A11,'ثبت اطلاعات'!$CL$5:$CL$1204,"&lt;&gt;"),""))</f>
        <v/>
      </c>
      <c r="M11" s="38" t="str">
        <f>IF(A11="","",IFERROR(AVERAGEIFS('ثبت اطلاعات'!$CK$5:$CK$1204,'ثبت اطلاعات'!$C$5:$C$1204,A11,'ثبت اطلاعات'!$CL$5:$CL$1204,"&lt;&gt;"),""))</f>
        <v/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IF(O11=0,"",MINIFS('ثبت اطلاعات'!$CN$5:$CN$1204,'ثبت اطلاعات'!$C$5:$C$1204,A11,'ثبت اطلاعات'!$CL$5:$CL$1204,"&lt;&gt;"))</f>
        <v>#NAME?</v>
      </c>
      <c r="Q11" s="38" t="e">
        <f ca="1">IF(O11=0,"",MAXIFS('ثبت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0960592393</v>
      </c>
      <c r="C12" s="55" t="str">
        <f>IF(A12="","",دانش‌آموزان!E12&amp;" "&amp;دانش‌آموزان!F12)</f>
        <v>مهديار حيدرزاده</v>
      </c>
      <c r="D12" s="34">
        <f>IF(A12="","",دانش‌آموزان!I12)</f>
        <v>801</v>
      </c>
      <c r="E12" s="27">
        <f>IF(A12="","",IFERROR(AVERAGEIFS('ثبت اطلاعات'!$CC$5:$CC$1204,'ثبت اطلاعات'!$C$5:$C$1204,A12,'ثبت اطلاعات'!$CL$5:$CL$1204,"&lt;&gt;"),""))</f>
        <v>18.5</v>
      </c>
      <c r="F12" s="38">
        <f>IF(A12="","",IFERROR(AVERAGEIFS('ثبت اطلاعات'!$CD$5:$CD$1204,'ثبت اطلاعات'!$C$5:$C$1204,A12,'ثبت اطلاعات'!$CL$5:$CL$1204,"&lt;&gt;"),""))</f>
        <v>20</v>
      </c>
      <c r="G12" s="38">
        <f>IF(A12="","",IFERROR(AVERAGEIFS('ثبت اطلاعات'!$CE$5:$CE$1204,'ثبت اطلاعات'!$C$5:$C$1204,A12,'ثبت اطلاعات'!$CL$5:$CL$1204,"&lt;&gt;"),""))</f>
        <v>20</v>
      </c>
      <c r="H12" s="38">
        <f>IF(A12="","",IFERROR(AVERAGEIFS('ثبت اطلاعات'!$CF$5:$CF$1204,'ثبت اطلاعات'!$C$5:$C$1204,A12,'ثبت اطلاعات'!$CL$5:$CL$1204,"&lt;&gt;"),""))</f>
        <v>20</v>
      </c>
      <c r="I12" s="38">
        <f>IF(A12="","",IFERROR(AVERAGEIFS('ثبت اطلاعات'!$CG$5:$CG$1204,'ثبت اطلاعات'!$C$5:$C$1204,A12,'ثبت اطلاعات'!$CL$5:$CL$1204,"&lt;&gt;"),""))</f>
        <v>20</v>
      </c>
      <c r="J12" s="38" t="str">
        <f>IF(A12="","",IFERROR(AVERAGEIFS('ثبت اطلاعات'!$CH$5:$CH$1204,'ثبت اطلاعات'!$C$5:$C$1204,A12,'ثبت اطلاعات'!$CL$5:$CL$1204,"&lt;&gt;"),""))</f>
        <v/>
      </c>
      <c r="K12" s="38">
        <f>IF(A12="","",IFERROR(AVERAGEIFS('ثبت اطلاعات'!$CI$5:$CI$1204,'ثبت اطلاعات'!$C$5:$C$1204,A12,'ثبت اطلاعات'!$CL$5:$CL$1204,"&lt;&gt;"),""))</f>
        <v>20</v>
      </c>
      <c r="L12" s="38" t="str">
        <f>IF(A12="","",IFERROR(AVERAGEIFS('ثبت اطلاعات'!$CJ$5:$CJ$1204,'ثبت اطلاعات'!$C$5:$C$1204,A12,'ثبت اطلاعات'!$CL$5:$CL$1204,"&lt;&gt;"),""))</f>
        <v/>
      </c>
      <c r="M12" s="38" t="str">
        <f>IF(A12="","",IFERROR(AVERAGEIFS('ثبت اطلاعات'!$CK$5:$CK$1204,'ثبت اطلاعات'!$C$5:$C$1204,A12,'ثبت اطلاعات'!$CL$5:$CL$1204,"&lt;&gt;"),""))</f>
        <v/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IF(O12=0,"",MINIFS('ثبت اطلاعات'!$CN$5:$CN$1204,'ثبت اطلاعات'!$C$5:$C$1204,A12,'ثبت اطلاعات'!$CL$5:$CL$1204,"&lt;&gt;"))</f>
        <v>#NAME?</v>
      </c>
      <c r="Q12" s="38" t="e">
        <f ca="1">IF(O12=0,"",MAXIFS('ثبت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0980638951</v>
      </c>
      <c r="C13" s="55" t="str">
        <f>IF(A13="","",دانش‌آموزان!E13&amp;" "&amp;دانش‌آموزان!F13)</f>
        <v>اميرحسين دائي صراف</v>
      </c>
      <c r="D13" s="34">
        <f>IF(A13="","",دانش‌آموزان!I13)</f>
        <v>801</v>
      </c>
      <c r="E13" s="27">
        <f>IF(A13="","",IFERROR(AVERAGEIFS('ثبت اطلاعات'!$CC$5:$CC$1204,'ثبت اطلاعات'!$C$5:$C$1204,A13,'ثبت اطلاعات'!$CL$5:$CL$1204,"&lt;&gt;"),""))</f>
        <v>27.90285714285714</v>
      </c>
      <c r="F13" s="38">
        <f>IF(A13="","",IFERROR(AVERAGEIFS('ثبت اطلاعات'!$CD$5:$CD$1204,'ثبت اطلاعات'!$C$5:$C$1204,A13,'ثبت اطلاعات'!$CL$5:$CL$1204,"&lt;&gt;"),""))</f>
        <v>20</v>
      </c>
      <c r="G13" s="38">
        <f>IF(A13="","",IFERROR(AVERAGEIFS('ثبت اطلاعات'!$CE$5:$CE$1204,'ثبت اطلاعات'!$C$5:$C$1204,A13,'ثبت اطلاعات'!$CL$5:$CL$1204,"&lt;&gt;"),""))</f>
        <v>20</v>
      </c>
      <c r="H13" s="38">
        <f>IF(A13="","",IFERROR(AVERAGEIFS('ثبت اطلاعات'!$CF$5:$CF$1204,'ثبت اطلاعات'!$C$5:$C$1204,A13,'ثبت اطلاعات'!$CL$5:$CL$1204,"&lt;&gt;"),""))</f>
        <v>20</v>
      </c>
      <c r="I13" s="38">
        <f>IF(A13="","",IFERROR(AVERAGEIFS('ثبت اطلاعات'!$CG$5:$CG$1204,'ثبت اطلاعات'!$C$5:$C$1204,A13,'ثبت اطلاعات'!$CL$5:$CL$1204,"&lt;&gt;"),""))</f>
        <v>20</v>
      </c>
      <c r="J13" s="38" t="str">
        <f>IF(A13="","",IFERROR(AVERAGEIFS('ثبت اطلاعات'!$CH$5:$CH$1204,'ثبت اطلاعات'!$C$5:$C$1204,A13,'ثبت اطلاعات'!$CL$5:$CL$1204,"&lt;&gt;"),""))</f>
        <v/>
      </c>
      <c r="K13" s="38" t="str">
        <f>IF(A13="","",IFERROR(AVERAGEIFS('ثبت اطلاعات'!$CI$5:$CI$1204,'ثبت اطلاعات'!$C$5:$C$1204,A13,'ثبت اطلاعات'!$CL$5:$CL$1204,"&lt;&gt;"),""))</f>
        <v/>
      </c>
      <c r="L13" s="38" t="str">
        <f>IF(A13="","",IFERROR(AVERAGEIFS('ثبت اطلاعات'!$CJ$5:$CJ$1204,'ثبت اطلاعات'!$C$5:$C$1204,A13,'ثبت اطلاعات'!$CL$5:$CL$1204,"&lt;&gt;"),""))</f>
        <v/>
      </c>
      <c r="M13" s="38" t="str">
        <f>IF(A13="","",IFERROR(AVERAGEIFS('ثبت اطلاعات'!$CK$5:$CK$1204,'ثبت اطلاعات'!$C$5:$C$1204,A13,'ثبت اطلاعات'!$CL$5:$CL$1204,"&lt;&gt;"),""))</f>
        <v/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IF(O13=0,"",MINIFS('ثبت اطلاعات'!$CN$5:$CN$1204,'ثبت اطلاعات'!$C$5:$C$1204,A13,'ثبت اطلاعات'!$CL$5:$CL$1204,"&lt;&gt;"))</f>
        <v>#NAME?</v>
      </c>
      <c r="Q13" s="38" t="e">
        <f ca="1">IF(O13=0,"",MAXIFS('ثبت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0960493670</v>
      </c>
      <c r="C14" s="55" t="str">
        <f>IF(A14="","",دانش‌آموزان!E14&amp;" "&amp;دانش‌آموزان!F14)</f>
        <v>حامد روحي</v>
      </c>
      <c r="D14" s="34">
        <f>IF(A14="","",دانش‌آموزان!I14)</f>
        <v>801</v>
      </c>
      <c r="E14" s="27">
        <f>IF(A14="","",IFERROR(AVERAGEIFS('ثبت اطلاعات'!$CC$5:$CC$1204,'ثبت اطلاعات'!$C$5:$C$1204,A14,'ثبت اطلاعات'!$CL$5:$CL$1204,"&lt;&gt;"),""))</f>
        <v>27.942857142857143</v>
      </c>
      <c r="F14" s="38">
        <f>IF(A14="","",IFERROR(AVERAGEIFS('ثبت اطلاعات'!$CD$5:$CD$1204,'ثبت اطلاعات'!$C$5:$C$1204,A14,'ثبت اطلاعات'!$CL$5:$CL$1204,"&lt;&gt;"),""))</f>
        <v>20</v>
      </c>
      <c r="G14" s="38">
        <f>IF(A14="","",IFERROR(AVERAGEIFS('ثبت اطلاعات'!$CE$5:$CE$1204,'ثبت اطلاعات'!$C$5:$C$1204,A14,'ثبت اطلاعات'!$CL$5:$CL$1204,"&lt;&gt;"),""))</f>
        <v>20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20</v>
      </c>
      <c r="J14" s="38" t="str">
        <f>IF(A14="","",IFERROR(AVERAGEIFS('ثبت اطلاعات'!$CH$5:$CH$1204,'ثبت اطلاعات'!$C$5:$C$1204,A14,'ثبت اطلاعات'!$CL$5:$CL$1204,"&lt;&gt;"),""))</f>
        <v/>
      </c>
      <c r="K14" s="38">
        <f>IF(A14="","",IFERROR(AVERAGEIFS('ثبت اطلاعات'!$CI$5:$CI$1204,'ثبت اطلاعات'!$C$5:$C$1204,A14,'ثبت اطلاعات'!$CL$5:$CL$1204,"&lt;&gt;"),""))</f>
        <v>20</v>
      </c>
      <c r="L14" s="38" t="str">
        <f>IF(A14="","",IFERROR(AVERAGEIFS('ثبت اطلاعات'!$CJ$5:$CJ$1204,'ثبت اطلاعات'!$C$5:$C$1204,A14,'ثبت اطلاعات'!$CL$5:$CL$1204,"&lt;&gt;"),""))</f>
        <v/>
      </c>
      <c r="M14" s="38" t="str">
        <f>IF(A14="","",IFERROR(AVERAGEIFS('ثبت اطلاعات'!$CK$5:$CK$1204,'ثبت اطلاعات'!$C$5:$C$1204,A14,'ثبت اطلاعات'!$CL$5:$CL$1204,"&lt;&gt;"),""))</f>
        <v/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IF(O14=0,"",MINIFS('ثبت اطلاعات'!$CN$5:$CN$1204,'ثبت اطلاعات'!$C$5:$C$1204,A14,'ثبت اطلاعات'!$CL$5:$CL$1204,"&lt;&gt;"))</f>
        <v>#NAME?</v>
      </c>
      <c r="Q14" s="38" t="e">
        <f ca="1">IF(O14=0,"",MAXIFS('ثبت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0252128788</v>
      </c>
      <c r="C15" s="55" t="str">
        <f>IF(A15="","",دانش‌آموزان!E15&amp;" "&amp;دانش‌آموزان!F15)</f>
        <v>مبين زمانزاده دربان</v>
      </c>
      <c r="D15" s="34">
        <f>IF(A15="","",دانش‌آموزان!I15)</f>
        <v>801</v>
      </c>
      <c r="E15" s="27">
        <f>IF(A15="","",IFERROR(AVERAGEIFS('ثبت اطلاعات'!$CC$5:$CC$1204,'ثبت اطلاعات'!$C$5:$C$1204,A15,'ثبت اطلاعات'!$CL$5:$CL$1204,"&lt;&gt;"),""))</f>
        <v>20</v>
      </c>
      <c r="F15" s="38">
        <f>IF(A15="","",IFERROR(AVERAGEIFS('ثبت اطلاعات'!$CD$5:$CD$1204,'ثبت اطلاعات'!$C$5:$C$1204,A15,'ثبت اطلاعات'!$CL$5:$CL$1204,"&lt;&gt;"),""))</f>
        <v>20</v>
      </c>
      <c r="G15" s="38">
        <f>IF(A15="","",IFERROR(AVERAGEIFS('ثبت اطلاعات'!$CE$5:$CE$1204,'ثبت اطلاعات'!$C$5:$C$1204,A15,'ثبت اطلاعات'!$CL$5:$CL$1204,"&lt;&gt;"),""))</f>
        <v>20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20</v>
      </c>
      <c r="J15" s="38" t="str">
        <f>IF(A15="","",IFERROR(AVERAGEIFS('ثبت اطلاعات'!$CH$5:$CH$1204,'ثبت اطلاعات'!$C$5:$C$1204,A15,'ثبت اطلاعات'!$CL$5:$CL$1204,"&lt;&gt;"),""))</f>
        <v/>
      </c>
      <c r="K15" s="38">
        <f>IF(A15="","",IFERROR(AVERAGEIFS('ثبت اطلاعات'!$CI$5:$CI$1204,'ثبت اطلاعات'!$C$5:$C$1204,A15,'ثبت اطلاعات'!$CL$5:$CL$1204,"&lt;&gt;"),""))</f>
        <v>20</v>
      </c>
      <c r="L15" s="38" t="str">
        <f>IF(A15="","",IFERROR(AVERAGEIFS('ثبت اطلاعات'!$CJ$5:$CJ$1204,'ثبت اطلاعات'!$C$5:$C$1204,A15,'ثبت اطلاعات'!$CL$5:$CL$1204,"&lt;&gt;"),""))</f>
        <v/>
      </c>
      <c r="M15" s="38" t="str">
        <f>IF(A15="","",IFERROR(AVERAGEIFS('ثبت اطلاعات'!$CK$5:$CK$1204,'ثبت اطلاعات'!$C$5:$C$1204,A15,'ثبت اطلاعات'!$CL$5:$CL$1204,"&lt;&gt;"),""))</f>
        <v/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IF(O15=0,"",MINIFS('ثبت اطلاعات'!$CN$5:$CN$1204,'ثبت اطلاعات'!$C$5:$C$1204,A15,'ثبت اطلاعات'!$CL$5:$CL$1204,"&lt;&gt;"))</f>
        <v>#NAME?</v>
      </c>
      <c r="Q15" s="38" t="e">
        <f ca="1">IF(O15=0,"",MAXIFS('ثبت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0980597838</v>
      </c>
      <c r="C16" s="55" t="str">
        <f>IF(A16="","",دانش‌آموزان!E16&amp;" "&amp;دانش‌آموزان!F16)</f>
        <v>كوروش سالاري هدكي</v>
      </c>
      <c r="D16" s="34">
        <f>IF(A16="","",دانش‌آموزان!I16)</f>
        <v>801</v>
      </c>
      <c r="E16" s="27">
        <f>IF(A16="","",IFERROR(AVERAGEIFS('ثبت اطلاعات'!$CC$5:$CC$1204,'ثبت اطلاعات'!$C$5:$C$1204,A16,'ثبت اطلاعات'!$CL$5:$CL$1204,"&lt;&gt;"),""))</f>
        <v>21</v>
      </c>
      <c r="F16" s="38">
        <f>IF(A16="","",IFERROR(AVERAGEIFS('ثبت اطلاعات'!$CD$5:$CD$1204,'ثبت اطلاعات'!$C$5:$C$1204,A16,'ثبت اطلاعات'!$CL$5:$CL$1204,"&lt;&gt;"),""))</f>
        <v>20</v>
      </c>
      <c r="G16" s="38">
        <f>IF(A16="","",IFERROR(AVERAGEIFS('ثبت اطلاعات'!$CE$5:$CE$1204,'ثبت اطلاعات'!$C$5:$C$1204,A16,'ثبت اطلاعات'!$CL$5:$CL$1204,"&lt;&gt;"),""))</f>
        <v>20</v>
      </c>
      <c r="H16" s="38">
        <f>IF(A16="","",IFERROR(AVERAGEIFS('ثبت اطلاعات'!$CF$5:$CF$1204,'ثبت اطلاعات'!$C$5:$C$1204,A16,'ثبت اطلاعات'!$CL$5:$CL$1204,"&lt;&gt;"),""))</f>
        <v>20</v>
      </c>
      <c r="I16" s="38">
        <f>IF(A16="","",IFERROR(AVERAGEIFS('ثبت اطلاعات'!$CG$5:$CG$1204,'ثبت اطلاعات'!$C$5:$C$1204,A16,'ثبت اطلاعات'!$CL$5:$CL$1204,"&lt;&gt;"),""))</f>
        <v>20</v>
      </c>
      <c r="J16" s="38" t="str">
        <f>IF(A16="","",IFERROR(AVERAGEIFS('ثبت اطلاعات'!$CH$5:$CH$1204,'ثبت اطلاعات'!$C$5:$C$1204,A16,'ثبت اطلاعات'!$CL$5:$CL$1204,"&lt;&gt;"),""))</f>
        <v/>
      </c>
      <c r="K16" s="38">
        <f>IF(A16="","",IFERROR(AVERAGEIFS('ثبت اطلاعات'!$CI$5:$CI$1204,'ثبت اطلاعات'!$C$5:$C$1204,A16,'ثبت اطلاعات'!$CL$5:$CL$1204,"&lt;&gt;"),""))</f>
        <v>20</v>
      </c>
      <c r="L16" s="38" t="str">
        <f>IF(A16="","",IFERROR(AVERAGEIFS('ثبت اطلاعات'!$CJ$5:$CJ$1204,'ثبت اطلاعات'!$C$5:$C$1204,A16,'ثبت اطلاعات'!$CL$5:$CL$1204,"&lt;&gt;"),""))</f>
        <v/>
      </c>
      <c r="M16" s="38" t="str">
        <f>IF(A16="","",IFERROR(AVERAGEIFS('ثبت اطلاعات'!$CK$5:$CK$1204,'ثبت اطلاعات'!$C$5:$C$1204,A16,'ثبت اطلاعات'!$CL$5:$CL$1204,"&lt;&gt;"),""))</f>
        <v/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IF(O16=0,"",MINIFS('ثبت اطلاعات'!$CN$5:$CN$1204,'ثبت اطلاعات'!$C$5:$C$1204,A16,'ثبت اطلاعات'!$CL$5:$CL$1204,"&lt;&gt;"))</f>
        <v>#NAME?</v>
      </c>
      <c r="Q16" s="38" t="e">
        <f ca="1">IF(O16=0,"",MAXIFS('ثبت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 t="str">
        <f>IF(A17="","",دانش‌آموزان!C17)</f>
        <v>0960491090</v>
      </c>
      <c r="C17" s="55" t="str">
        <f>IF(A17="","",دانش‌آموزان!E17&amp;" "&amp;دانش‌آموزان!F17)</f>
        <v>پوريا شوشتري</v>
      </c>
      <c r="D17" s="34">
        <f>IF(A17="","",دانش‌آموزان!I17)</f>
        <v>801</v>
      </c>
      <c r="E17" s="27">
        <f>IF(A17="","",IFERROR(AVERAGEIFS('ثبت اطلاعات'!$CC$5:$CC$1204,'ثبت اطلاعات'!$C$5:$C$1204,A17,'ثبت اطلاعات'!$CL$5:$CL$1204,"&lt;&gt;"),""))</f>
        <v>21.5</v>
      </c>
      <c r="F17" s="38">
        <f>IF(A17="","",IFERROR(AVERAGEIFS('ثبت اطلاعات'!$CD$5:$CD$1204,'ثبت اطلاعات'!$C$5:$C$1204,A17,'ثبت اطلاعات'!$CL$5:$CL$1204,"&lt;&gt;"),""))</f>
        <v>20</v>
      </c>
      <c r="G17" s="38">
        <f>IF(A17="","",IFERROR(AVERAGEIFS('ثبت اطلاعات'!$CE$5:$CE$1204,'ثبت اطلاعات'!$C$5:$C$1204,A17,'ثبت اطلاعات'!$CL$5:$CL$1204,"&lt;&gt;"),""))</f>
        <v>20</v>
      </c>
      <c r="H17" s="38">
        <f>IF(A17="","",IFERROR(AVERAGEIFS('ثبت اطلاعات'!$CF$5:$CF$1204,'ثبت اطلاعات'!$C$5:$C$1204,A17,'ثبت اطلاعات'!$CL$5:$CL$1204,"&lt;&gt;"),""))</f>
        <v>20</v>
      </c>
      <c r="I17" s="38">
        <f>IF(A17="","",IFERROR(AVERAGEIFS('ثبت اطلاعات'!$CG$5:$CG$1204,'ثبت اطلاعات'!$C$5:$C$1204,A17,'ثبت اطلاعات'!$CL$5:$CL$1204,"&lt;&gt;"),""))</f>
        <v>20</v>
      </c>
      <c r="J17" s="38" t="str">
        <f>IF(A17="","",IFERROR(AVERAGEIFS('ثبت اطلاعات'!$CH$5:$CH$1204,'ثبت اطلاعات'!$C$5:$C$1204,A17,'ثبت اطلاعات'!$CL$5:$CL$1204,"&lt;&gt;"),""))</f>
        <v/>
      </c>
      <c r="K17" s="38">
        <f>IF(A17="","",IFERROR(AVERAGEIFS('ثبت اطلاعات'!$CI$5:$CI$1204,'ثبت اطلاعات'!$C$5:$C$1204,A17,'ثبت اطلاعات'!$CL$5:$CL$1204,"&lt;&gt;"),""))</f>
        <v>20</v>
      </c>
      <c r="L17" s="38" t="str">
        <f>IF(A17="","",IFERROR(AVERAGEIFS('ثبت اطلاعات'!$CJ$5:$CJ$1204,'ثبت اطلاعات'!$C$5:$C$1204,A17,'ثبت اطلاعات'!$CL$5:$CL$1204,"&lt;&gt;"),""))</f>
        <v/>
      </c>
      <c r="M17" s="38" t="str">
        <f>IF(A17="","",IFERROR(AVERAGEIFS('ثبت اطلاعات'!$CK$5:$CK$1204,'ثبت اطلاعات'!$C$5:$C$1204,A17,'ثبت اطلاعات'!$CL$5:$CL$1204,"&lt;&gt;"),""))</f>
        <v/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IF(O17=0,"",MINIFS('ثبت اطلاعات'!$CN$5:$CN$1204,'ثبت اطلاعات'!$C$5:$C$1204,A17,'ثبت اطلاعات'!$CL$5:$CL$1204,"&lt;&gt;"))</f>
        <v>#NAME?</v>
      </c>
      <c r="Q17" s="38" t="e">
        <f ca="1">IF(O17=0,"",MAXIFS('ثبت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 t="str">
        <f>IF(A18="","",دانش‌آموزان!C18)</f>
        <v>0960555821</v>
      </c>
      <c r="C18" s="55" t="str">
        <f>IF(A18="","",دانش‌آموزان!E18&amp;" "&amp;دانش‌آموزان!F18)</f>
        <v>ياسين صادقي تازه كندي</v>
      </c>
      <c r="D18" s="34">
        <f>IF(A18="","",دانش‌آموزان!I18)</f>
        <v>801</v>
      </c>
      <c r="E18" s="27">
        <f>IF(A18="","",IFERROR(AVERAGEIFS('ثبت اطلاعات'!$CC$5:$CC$1204,'ثبت اطلاعات'!$C$5:$C$1204,A18,'ثبت اطلاعات'!$CL$5:$CL$1204,"&lt;&gt;"),""))</f>
        <v>21</v>
      </c>
      <c r="F18" s="38">
        <f>IF(A18="","",IFERROR(AVERAGEIFS('ثبت اطلاعات'!$CD$5:$CD$1204,'ثبت اطلاعات'!$C$5:$C$1204,A18,'ثبت اطلاعات'!$CL$5:$CL$1204,"&lt;&gt;"),""))</f>
        <v>20</v>
      </c>
      <c r="G18" s="38">
        <f>IF(A18="","",IFERROR(AVERAGEIFS('ثبت اطلاعات'!$CE$5:$CE$1204,'ثبت اطلاعات'!$C$5:$C$1204,A18,'ثبت اطلاعات'!$CL$5:$CL$1204,"&lt;&gt;"),""))</f>
        <v>20</v>
      </c>
      <c r="H18" s="38">
        <f>IF(A18="","",IFERROR(AVERAGEIFS('ثبت اطلاعات'!$CF$5:$CF$1204,'ثبت اطلاعات'!$C$5:$C$1204,A18,'ثبت اطلاعات'!$CL$5:$CL$1204,"&lt;&gt;"),""))</f>
        <v>20</v>
      </c>
      <c r="I18" s="38">
        <f>IF(A18="","",IFERROR(AVERAGEIFS('ثبت اطلاعات'!$CG$5:$CG$1204,'ثبت اطلاعات'!$C$5:$C$1204,A18,'ثبت اطلاعات'!$CL$5:$CL$1204,"&lt;&gt;"),""))</f>
        <v>20</v>
      </c>
      <c r="J18" s="38" t="str">
        <f>IF(A18="","",IFERROR(AVERAGEIFS('ثبت اطلاعات'!$CH$5:$CH$1204,'ثبت اطلاعات'!$C$5:$C$1204,A18,'ثبت اطلاعات'!$CL$5:$CL$1204,"&lt;&gt;"),""))</f>
        <v/>
      </c>
      <c r="K18" s="38">
        <f>IF(A18="","",IFERROR(AVERAGEIFS('ثبت اطلاعات'!$CI$5:$CI$1204,'ثبت اطلاعات'!$C$5:$C$1204,A18,'ثبت اطلاعات'!$CL$5:$CL$1204,"&lt;&gt;"),""))</f>
        <v>20</v>
      </c>
      <c r="L18" s="38" t="str">
        <f>IF(A18="","",IFERROR(AVERAGEIFS('ثبت اطلاعات'!$CJ$5:$CJ$1204,'ثبت اطلاعات'!$C$5:$C$1204,A18,'ثبت اطلاعات'!$CL$5:$CL$1204,"&lt;&gt;"),""))</f>
        <v/>
      </c>
      <c r="M18" s="38" t="str">
        <f>IF(A18="","",IFERROR(AVERAGEIFS('ثبت اطلاعات'!$CK$5:$CK$1204,'ثبت اطلاعات'!$C$5:$C$1204,A18,'ثبت اطلاعات'!$CL$5:$CL$1204,"&lt;&gt;"),""))</f>
        <v/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IF(O18=0,"",MINIFS('ثبت اطلاعات'!$CN$5:$CN$1204,'ثبت اطلاعات'!$C$5:$C$1204,A18,'ثبت اطلاعات'!$CL$5:$CL$1204,"&lt;&gt;"))</f>
        <v>#NAME?</v>
      </c>
      <c r="Q18" s="38" t="e">
        <f ca="1">IF(O18=0,"",MAXIFS('ثبت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IF(A19="","",دانش‌آموزان!C19)</f>
        <v>0960501711</v>
      </c>
      <c r="C19" s="55" t="str">
        <f>IF(A19="","",دانش‌آموزان!E19&amp;" "&amp;دانش‌آموزان!F19)</f>
        <v>امير حسين ضيافتي محرابي</v>
      </c>
      <c r="D19" s="34">
        <f>IF(A19="","",دانش‌آموزان!I19)</f>
        <v>801</v>
      </c>
      <c r="E19" s="27">
        <f>IF(A19="","",IFERROR(AVERAGEIFS('ثبت اطلاعات'!$CC$5:$CC$1204,'ثبت اطلاعات'!$C$5:$C$1204,A19,'ثبت اطلاعات'!$CL$5:$CL$1204,"&lt;&gt;"),""))</f>
        <v>79.12</v>
      </c>
      <c r="F19" s="38" t="str">
        <f>IF(A19="","",IFERROR(AVERAGEIFS('ثبت اطلاعات'!$CD$5:$CD$1204,'ثبت اطلاعات'!$C$5:$C$1204,A19,'ثبت اطلاعات'!$CL$5:$CL$1204,"&lt;&gt;"),""))</f>
        <v/>
      </c>
      <c r="G19" s="38" t="str">
        <f>IF(A19="","",IFERROR(AVERAGEIFS('ثبت اطلاعات'!$CE$5:$CE$1204,'ثبت اطلاعات'!$C$5:$C$1204,A19,'ثبت اطلاعات'!$CL$5:$CL$1204,"&lt;&gt;"),""))</f>
        <v/>
      </c>
      <c r="H19" s="38" t="str">
        <f>IF(A19="","",IFERROR(AVERAGEIFS('ثبت اطلاعات'!$CF$5:$CF$1204,'ثبت اطلاعات'!$C$5:$C$1204,A19,'ثبت اطلاعات'!$CL$5:$CL$1204,"&lt;&gt;"),""))</f>
        <v/>
      </c>
      <c r="I19" s="38" t="str">
        <f>IF(A19="","",IFERROR(AVERAGEIFS('ثبت اطلاعات'!$CG$5:$CG$1204,'ثبت اطلاعات'!$C$5:$C$1204,A19,'ثبت اطلاعات'!$CL$5:$CL$1204,"&lt;&gt;"),""))</f>
        <v/>
      </c>
      <c r="J19" s="38" t="str">
        <f>IF(A19="","",IFERROR(AVERAGEIFS('ثبت اطلاعات'!$CH$5:$CH$1204,'ثبت اطلاعات'!$C$5:$C$1204,A19,'ثبت اطلاعات'!$CL$5:$CL$1204,"&lt;&gt;"),""))</f>
        <v/>
      </c>
      <c r="K19" s="38">
        <f>IF(A19="","",IFERROR(AVERAGEIFS('ثبت اطلاعات'!$CI$5:$CI$1204,'ثبت اطلاعات'!$C$5:$C$1204,A19,'ثبت اطلاعات'!$CL$5:$CL$1204,"&lt;&gt;"),""))</f>
        <v>20</v>
      </c>
      <c r="L19" s="38" t="str">
        <f>IF(A19="","",IFERROR(AVERAGEIFS('ثبت اطلاعات'!$CJ$5:$CJ$1204,'ثبت اطلاعات'!$C$5:$C$1204,A19,'ثبت اطلاعات'!$CL$5:$CL$1204,"&lt;&gt;"),""))</f>
        <v/>
      </c>
      <c r="M19" s="38" t="str">
        <f>IF(A19="","",IFERROR(AVERAGEIFS('ثبت اطلاعات'!$CK$5:$CK$1204,'ثبت اطلاعات'!$C$5:$C$1204,A19,'ثبت اطلاعات'!$CL$5:$CL$1204,"&lt;&gt;"),""))</f>
        <v/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IF(O19=0,"",MINIFS('ثبت اطلاعات'!$CN$5:$CN$1204,'ثبت اطلاعات'!$C$5:$C$1204,A19,'ثبت اطلاعات'!$CL$5:$CL$1204,"&lt;&gt;"))</f>
        <v>#NAME?</v>
      </c>
      <c r="Q19" s="38" t="e">
        <f ca="1">IF(O19=0,"",MAXIFS('ثبت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 t="str">
        <f>IF(A20="","",دانش‌آموزان!C20)</f>
        <v>0960632591</v>
      </c>
      <c r="C20" s="55" t="str">
        <f>IF(A20="","",دانش‌آموزان!E20&amp;" "&amp;دانش‌آموزان!F20)</f>
        <v>اميررضا عبدالهي خوشمردان</v>
      </c>
      <c r="D20" s="34">
        <f>IF(A20="","",دانش‌آموزان!I20)</f>
        <v>801</v>
      </c>
      <c r="E20" s="27">
        <f>IF(A20="","",IFERROR(AVERAGEIFS('ثبت اطلاعات'!$CC$5:$CC$1204,'ثبت اطلاعات'!$C$5:$C$1204,A20,'ثبت اطلاعات'!$CL$5:$CL$1204,"&lt;&gt;"),""))</f>
        <v>21</v>
      </c>
      <c r="F20" s="38">
        <f>IF(A20="","",IFERROR(AVERAGEIFS('ثبت اطلاعات'!$CD$5:$CD$1204,'ثبت اطلاعات'!$C$5:$C$1204,A20,'ثبت اطلاعات'!$CL$5:$CL$1204,"&lt;&gt;"),""))</f>
        <v>20</v>
      </c>
      <c r="G20" s="38">
        <f>IF(A20="","",IFERROR(AVERAGEIFS('ثبت اطلاعات'!$CE$5:$CE$1204,'ثبت اطلاعات'!$C$5:$C$1204,A20,'ثبت اطلاعات'!$CL$5:$CL$1204,"&lt;&gt;"),""))</f>
        <v>20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20</v>
      </c>
      <c r="J20" s="38" t="str">
        <f>IF(A20="","",IFERROR(AVERAGEIFS('ثبت اطلاعات'!$CH$5:$CH$1204,'ثبت اطلاعات'!$C$5:$C$1204,A20,'ثبت اطلاعات'!$CL$5:$CL$1204,"&lt;&gt;"),""))</f>
        <v/>
      </c>
      <c r="K20" s="38">
        <f>IF(A20="","",IFERROR(AVERAGEIFS('ثبت اطلاعات'!$CI$5:$CI$1204,'ثبت اطلاعات'!$C$5:$C$1204,A20,'ثبت اطلاعات'!$CL$5:$CL$1204,"&lt;&gt;"),""))</f>
        <v>20</v>
      </c>
      <c r="L20" s="38" t="str">
        <f>IF(A20="","",IFERROR(AVERAGEIFS('ثبت اطلاعات'!$CJ$5:$CJ$1204,'ثبت اطلاعات'!$C$5:$C$1204,A20,'ثبت اطلاعات'!$CL$5:$CL$1204,"&lt;&gt;"),""))</f>
        <v/>
      </c>
      <c r="M20" s="38" t="str">
        <f>IF(A20="","",IFERROR(AVERAGEIFS('ثبت اطلاعات'!$CK$5:$CK$1204,'ثبت اطلاعات'!$C$5:$C$1204,A20,'ثبت اطلاعات'!$CL$5:$CL$1204,"&lt;&gt;"),""))</f>
        <v/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IF(O20=0,"",MINIFS('ثبت اطلاعات'!$CN$5:$CN$1204,'ثبت اطلاعات'!$C$5:$C$1204,A20,'ثبت اطلاعات'!$CL$5:$CL$1204,"&lt;&gt;"))</f>
        <v>#NAME?</v>
      </c>
      <c r="Q20" s="38" t="e">
        <f ca="1">IF(O20=0,"",MAXIFS('ثبت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0960505350</v>
      </c>
      <c r="C21" s="55" t="str">
        <f>IF(A21="","",دانش‌آموزان!E21&amp;" "&amp;دانش‌آموزان!F21)</f>
        <v>كيان عرفانيان امدادي</v>
      </c>
      <c r="D21" s="34">
        <f>IF(A21="","",دانش‌آموزان!I21)</f>
        <v>801</v>
      </c>
      <c r="E21" s="27">
        <f>IF(A21="","",IFERROR(AVERAGEIFS('ثبت اطلاعات'!$CC$5:$CC$1204,'ثبت اطلاعات'!$C$5:$C$1204,A21,'ثبت اطلاعات'!$CL$5:$CL$1204,"&lt;&gt;"),""))</f>
        <v>19.5</v>
      </c>
      <c r="F21" s="38">
        <f>IF(A21="","",IFERROR(AVERAGEIFS('ثبت اطلاعات'!$CD$5:$CD$1204,'ثبت اطلاعات'!$C$5:$C$1204,A21,'ثبت اطلاعات'!$CL$5:$CL$1204,"&lt;&gt;"),""))</f>
        <v>20</v>
      </c>
      <c r="G21" s="38">
        <f>IF(A21="","",IFERROR(AVERAGEIFS('ثبت اطلاعات'!$CE$5:$CE$1204,'ثبت اطلاعات'!$C$5:$C$1204,A21,'ثبت اطلاعات'!$CL$5:$CL$1204,"&lt;&gt;"),""))</f>
        <v>20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 t="str">
        <f>IF(A21="","",IFERROR(AVERAGEIFS('ثبت اطلاعات'!$CH$5:$CH$1204,'ثبت اطلاعات'!$C$5:$C$1204,A21,'ثبت اطلاعات'!$CL$5:$CL$1204,"&lt;&gt;"),""))</f>
        <v/>
      </c>
      <c r="K21" s="38">
        <f>IF(A21="","",IFERROR(AVERAGEIFS('ثبت اطلاعات'!$CI$5:$CI$1204,'ثبت اطلاعات'!$C$5:$C$1204,A21,'ثبت اطلاعات'!$CL$5:$CL$1204,"&lt;&gt;"),""))</f>
        <v>20</v>
      </c>
      <c r="L21" s="38" t="str">
        <f>IF(A21="","",IFERROR(AVERAGEIFS('ثبت اطلاعات'!$CJ$5:$CJ$1204,'ثبت اطلاعات'!$C$5:$C$1204,A21,'ثبت اطلاعات'!$CL$5:$CL$1204,"&lt;&gt;"),""))</f>
        <v/>
      </c>
      <c r="M21" s="38" t="str">
        <f>IF(A21="","",IFERROR(AVERAGEIFS('ثبت اطلاعات'!$CK$5:$CK$1204,'ثبت اطلاعات'!$C$5:$C$1204,A21,'ثبت اطلاعات'!$CL$5:$CL$1204,"&lt;&gt;"),""))</f>
        <v/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IF(O21=0,"",MINIFS('ثبت اطلاعات'!$CN$5:$CN$1204,'ثبت اطلاعات'!$C$5:$C$1204,A21,'ثبت اطلاعات'!$CL$5:$CL$1204,"&lt;&gt;"))</f>
        <v>#NAME?</v>
      </c>
      <c r="Q21" s="38" t="e">
        <f ca="1">IF(O21=0,"",MAXIFS('ثبت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4712679727</v>
      </c>
      <c r="C22" s="55" t="str">
        <f>IF(A22="","",دانش‌آموزان!E22&amp;" "&amp;دانش‌آموزان!F22)</f>
        <v>مهدي عضدالملكي</v>
      </c>
      <c r="D22" s="34">
        <f>IF(A22="","",دانش‌آموزان!I22)</f>
        <v>801</v>
      </c>
      <c r="E22" s="27">
        <f>IF(A22="","",IFERROR(AVERAGEIFS('ثبت اطلاعات'!$CC$5:$CC$1204,'ثبت اطلاعات'!$C$5:$C$1204,A22,'ثبت اطلاعات'!$CL$5:$CL$1204,"&lt;&gt;"),""))</f>
        <v>18.5</v>
      </c>
      <c r="F22" s="38">
        <f>IF(A22="","",IFERROR(AVERAGEIFS('ثبت اطلاعات'!$CD$5:$CD$1204,'ثبت اطلاعات'!$C$5:$C$1204,A22,'ثبت اطلاعات'!$CL$5:$CL$1204,"&lt;&gt;"),""))</f>
        <v>20</v>
      </c>
      <c r="G22" s="38">
        <f>IF(A22="","",IFERROR(AVERAGEIFS('ثبت اطلاعات'!$CE$5:$CE$1204,'ثبت اطلاعات'!$C$5:$C$1204,A22,'ثبت اطلاعات'!$CL$5:$CL$1204,"&lt;&gt;"),""))</f>
        <v>20</v>
      </c>
      <c r="H22" s="38">
        <f>IF(A22="","",IFERROR(AVERAGEIFS('ثبت اطلاعات'!$CF$5:$CF$1204,'ثبت اطلاعات'!$C$5:$C$1204,A22,'ثبت اطلاعات'!$CL$5:$CL$1204,"&lt;&gt;"),""))</f>
        <v>20</v>
      </c>
      <c r="I22" s="38">
        <f>IF(A22="","",IFERROR(AVERAGEIFS('ثبت اطلاعات'!$CG$5:$CG$1204,'ثبت اطلاعات'!$C$5:$C$1204,A22,'ثبت اطلاعات'!$CL$5:$CL$1204,"&lt;&gt;"),""))</f>
        <v>20</v>
      </c>
      <c r="J22" s="38" t="str">
        <f>IF(A22="","",IFERROR(AVERAGEIFS('ثبت اطلاعات'!$CH$5:$CH$1204,'ثبت اطلاعات'!$C$5:$C$1204,A22,'ثبت اطلاعات'!$CL$5:$CL$1204,"&lt;&gt;"),""))</f>
        <v/>
      </c>
      <c r="K22" s="38">
        <f>IF(A22="","",IFERROR(AVERAGEIFS('ثبت اطلاعات'!$CI$5:$CI$1204,'ثبت اطلاعات'!$C$5:$C$1204,A22,'ثبت اطلاعات'!$CL$5:$CL$1204,"&lt;&gt;"),""))</f>
        <v>20</v>
      </c>
      <c r="L22" s="38" t="str">
        <f>IF(A22="","",IFERROR(AVERAGEIFS('ثبت اطلاعات'!$CJ$5:$CJ$1204,'ثبت اطلاعات'!$C$5:$C$1204,A22,'ثبت اطلاعات'!$CL$5:$CL$1204,"&lt;&gt;"),""))</f>
        <v/>
      </c>
      <c r="M22" s="38" t="str">
        <f>IF(A22="","",IFERROR(AVERAGEIFS('ثبت اطلاعات'!$CK$5:$CK$1204,'ثبت اطلاعات'!$C$5:$C$1204,A22,'ثبت اطلاعات'!$CL$5:$CL$1204,"&lt;&gt;"),""))</f>
        <v/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IF(O22=0,"",MINIFS('ثبت اطلاعات'!$CN$5:$CN$1204,'ثبت اطلاعات'!$C$5:$C$1204,A22,'ثبت اطلاعات'!$CL$5:$CL$1204,"&lt;&gt;"))</f>
        <v>#NAME?</v>
      </c>
      <c r="Q22" s="38" t="e">
        <f ca="1">IF(O22=0,"",MAXIFS('ثبت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0960494790</v>
      </c>
      <c r="C23" s="55" t="str">
        <f>IF(A23="","",دانش‌آموزان!E23&amp;" "&amp;دانش‌آموزان!F23)</f>
        <v>ايمان عظيمي</v>
      </c>
      <c r="D23" s="34">
        <f>IF(A23="","",دانش‌آموزان!I23)</f>
        <v>801</v>
      </c>
      <c r="E23" s="27">
        <f>IF(A23="","",IFERROR(AVERAGEIFS('ثبت اطلاعات'!$CC$5:$CC$1204,'ثبت اطلاعات'!$C$5:$C$1204,A23,'ثبت اطلاعات'!$CL$5:$CL$1204,"&lt;&gt;"),""))</f>
        <v>27.274285714285718</v>
      </c>
      <c r="F23" s="38">
        <f>IF(A23="","",IFERROR(AVERAGEIFS('ثبت اطلاعات'!$CD$5:$CD$1204,'ثبت اطلاعات'!$C$5:$C$1204,A23,'ثبت اطلاعات'!$CL$5:$CL$1204,"&lt;&gt;"),""))</f>
        <v>20</v>
      </c>
      <c r="G23" s="38">
        <f>IF(A23="","",IFERROR(AVERAGEIFS('ثبت اطلاعات'!$CE$5:$CE$1204,'ثبت اطلاعات'!$C$5:$C$1204,A23,'ثبت اطلاعات'!$CL$5:$CL$1204,"&lt;&gt;"),""))</f>
        <v>20</v>
      </c>
      <c r="H23" s="38">
        <f>IF(A23="","",IFERROR(AVERAGEIFS('ثبت اطلاعات'!$CF$5:$CF$1204,'ثبت اطلاعات'!$C$5:$C$1204,A23,'ثبت اطلاعات'!$CL$5:$CL$1204,"&lt;&gt;"),""))</f>
        <v>20</v>
      </c>
      <c r="I23" s="38">
        <f>IF(A23="","",IFERROR(AVERAGEIFS('ثبت اطلاعات'!$CG$5:$CG$1204,'ثبت اطلاعات'!$C$5:$C$1204,A23,'ثبت اطلاعات'!$CL$5:$CL$1204,"&lt;&gt;"),""))</f>
        <v>20</v>
      </c>
      <c r="J23" s="38" t="str">
        <f>IF(A23="","",IFERROR(AVERAGEIFS('ثبت اطلاعات'!$CH$5:$CH$1204,'ثبت اطلاعات'!$C$5:$C$1204,A23,'ثبت اطلاعات'!$CL$5:$CL$1204,"&lt;&gt;"),""))</f>
        <v/>
      </c>
      <c r="K23" s="38">
        <f>IF(A23="","",IFERROR(AVERAGEIFS('ثبت اطلاعات'!$CI$5:$CI$1204,'ثبت اطلاعات'!$C$5:$C$1204,A23,'ثبت اطلاعات'!$CL$5:$CL$1204,"&lt;&gt;"),""))</f>
        <v>20</v>
      </c>
      <c r="L23" s="38" t="str">
        <f>IF(A23="","",IFERROR(AVERAGEIFS('ثبت اطلاعات'!$CJ$5:$CJ$1204,'ثبت اطلاعات'!$C$5:$C$1204,A23,'ثبت اطلاعات'!$CL$5:$CL$1204,"&lt;&gt;"),""))</f>
        <v/>
      </c>
      <c r="M23" s="38" t="str">
        <f>IF(A23="","",IFERROR(AVERAGEIFS('ثبت اطلاعات'!$CK$5:$CK$1204,'ثبت اطلاعات'!$C$5:$C$1204,A23,'ثبت اطلاعات'!$CL$5:$CL$1204,"&lt;&gt;"),""))</f>
        <v/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IF(O23=0,"",MINIFS('ثبت اطلاعات'!$CN$5:$CN$1204,'ثبت اطلاعات'!$C$5:$C$1204,A23,'ثبت اطلاعات'!$CL$5:$CL$1204,"&lt;&gt;"))</f>
        <v>#NAME?</v>
      </c>
      <c r="Q23" s="38" t="e">
        <f ca="1">IF(O23=0,"",MAXIFS('ثبت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0960469958</v>
      </c>
      <c r="C24" s="55" t="str">
        <f>IF(A24="","",دانش‌آموزان!E24&amp;" "&amp;دانش‌آموزان!F24)</f>
        <v>اميدرضا علي آبادي</v>
      </c>
      <c r="D24" s="34">
        <f>IF(A24="","",دانش‌آموزان!I24)</f>
        <v>801</v>
      </c>
      <c r="E24" s="27">
        <f>IF(A24="","",IFERROR(AVERAGEIFS('ثبت اطلاعات'!$CC$5:$CC$1204,'ثبت اطلاعات'!$C$5:$C$1204,A24,'ثبت اطلاعات'!$CL$5:$CL$1204,"&lt;&gt;"),""))</f>
        <v>16</v>
      </c>
      <c r="F24" s="38">
        <f>IF(A24="","",IFERROR(AVERAGEIFS('ثبت اطلاعات'!$CD$5:$CD$1204,'ثبت اطلاعات'!$C$5:$C$1204,A24,'ثبت اطلاعات'!$CL$5:$CL$1204,"&lt;&gt;"),""))</f>
        <v>20</v>
      </c>
      <c r="G24" s="38">
        <f>IF(A24="","",IFERROR(AVERAGEIFS('ثبت اطلاعات'!$CE$5:$CE$1204,'ثبت اطلاعات'!$C$5:$C$1204,A24,'ثبت اطلاعات'!$CL$5:$CL$1204,"&lt;&gt;"),""))</f>
        <v>20</v>
      </c>
      <c r="H24" s="38">
        <f>IF(A24="","",IFERROR(AVERAGEIFS('ثبت اطلاعات'!$CF$5:$CF$1204,'ثبت اطلاعات'!$C$5:$C$1204,A24,'ثبت اطلاعات'!$CL$5:$CL$1204,"&lt;&gt;"),""))</f>
        <v>20</v>
      </c>
      <c r="I24" s="38">
        <f>IF(A24="","",IFERROR(AVERAGEIFS('ثبت اطلاعات'!$CG$5:$CG$1204,'ثبت اطلاعات'!$C$5:$C$1204,A24,'ثبت اطلاعات'!$CL$5:$CL$1204,"&lt;&gt;"),""))</f>
        <v>20</v>
      </c>
      <c r="J24" s="38" t="str">
        <f>IF(A24="","",IFERROR(AVERAGEIFS('ثبت اطلاعات'!$CH$5:$CH$1204,'ثبت اطلاعات'!$C$5:$C$1204,A24,'ثبت اطلاعات'!$CL$5:$CL$1204,"&lt;&gt;"),""))</f>
        <v/>
      </c>
      <c r="K24" s="38">
        <f>IF(A24="","",IFERROR(AVERAGEIFS('ثبت اطلاعات'!$CI$5:$CI$1204,'ثبت اطلاعات'!$C$5:$C$1204,A24,'ثبت اطلاعات'!$CL$5:$CL$1204,"&lt;&gt;"),""))</f>
        <v>20</v>
      </c>
      <c r="L24" s="38" t="str">
        <f>IF(A24="","",IFERROR(AVERAGEIFS('ثبت اطلاعات'!$CJ$5:$CJ$1204,'ثبت اطلاعات'!$C$5:$C$1204,A24,'ثبت اطلاعات'!$CL$5:$CL$1204,"&lt;&gt;"),""))</f>
        <v/>
      </c>
      <c r="M24" s="38" t="str">
        <f>IF(A24="","",IFERROR(AVERAGEIFS('ثبت اطلاعات'!$CK$5:$CK$1204,'ثبت اطلاعات'!$C$5:$C$1204,A24,'ثبت اطلاعات'!$CL$5:$CL$1204,"&lt;&gt;"),""))</f>
        <v/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IF(O24=0,"",MINIFS('ثبت اطلاعات'!$CN$5:$CN$1204,'ثبت اطلاعات'!$C$5:$C$1204,A24,'ثبت اطلاعات'!$CL$5:$CL$1204,"&lt;&gt;"))</f>
        <v>#NAME?</v>
      </c>
      <c r="Q24" s="38" t="e">
        <f ca="1">IF(O24=0,"",MAXIFS('ثبت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0960646825</v>
      </c>
      <c r="C25" s="55" t="str">
        <f>IF(A25="","",دانش‌آموزان!E25&amp;" "&amp;دانش‌آموزان!F25)</f>
        <v>محمد ماهان علينقي زاده طبسي</v>
      </c>
      <c r="D25" s="34">
        <f>IF(A25="","",دانش‌آموزان!I25)</f>
        <v>801</v>
      </c>
      <c r="E25" s="27">
        <f>IF(A25="","",IFERROR(AVERAGEIFS('ثبت اطلاعات'!$CC$5:$CC$1204,'ثبت اطلاعات'!$C$5:$C$1204,A25,'ثبت اطلاعات'!$CL$5:$CL$1204,"&lt;&gt;"),""))</f>
        <v>27.90285714285714</v>
      </c>
      <c r="F25" s="38">
        <f>IF(A25="","",IFERROR(AVERAGEIFS('ثبت اطلاعات'!$CD$5:$CD$1204,'ثبت اطلاعات'!$C$5:$C$1204,A25,'ثبت اطلاعات'!$CL$5:$CL$1204,"&lt;&gt;"),""))</f>
        <v>20</v>
      </c>
      <c r="G25" s="38">
        <f>IF(A25="","",IFERROR(AVERAGEIFS('ثبت اطلاعات'!$CE$5:$CE$1204,'ثبت اطلاعات'!$C$5:$C$1204,A25,'ثبت اطلاعات'!$CL$5:$CL$1204,"&lt;&gt;"),""))</f>
        <v>20</v>
      </c>
      <c r="H25" s="38">
        <f>IF(A25="","",IFERROR(AVERAGEIFS('ثبت اطلاعات'!$CF$5:$CF$1204,'ثبت اطلاعات'!$C$5:$C$1204,A25,'ثبت اطلاعات'!$CL$5:$CL$1204,"&lt;&gt;"),""))</f>
        <v>20</v>
      </c>
      <c r="I25" s="38">
        <f>IF(A25="","",IFERROR(AVERAGEIFS('ثبت اطلاعات'!$CG$5:$CG$1204,'ثبت اطلاعات'!$C$5:$C$1204,A25,'ثبت اطلاعات'!$CL$5:$CL$1204,"&lt;&gt;"),""))</f>
        <v>20</v>
      </c>
      <c r="J25" s="38" t="str">
        <f>IF(A25="","",IFERROR(AVERAGEIFS('ثبت اطلاعات'!$CH$5:$CH$1204,'ثبت اطلاعات'!$C$5:$C$1204,A25,'ثبت اطلاعات'!$CL$5:$CL$1204,"&lt;&gt;"),""))</f>
        <v/>
      </c>
      <c r="K25" s="38">
        <f>IF(A25="","",IFERROR(AVERAGEIFS('ثبت اطلاعات'!$CI$5:$CI$1204,'ثبت اطلاعات'!$C$5:$C$1204,A25,'ثبت اطلاعات'!$CL$5:$CL$1204,"&lt;&gt;"),""))</f>
        <v>20</v>
      </c>
      <c r="L25" s="38" t="str">
        <f>IF(A25="","",IFERROR(AVERAGEIFS('ثبت اطلاعات'!$CJ$5:$CJ$1204,'ثبت اطلاعات'!$C$5:$C$1204,A25,'ثبت اطلاعات'!$CL$5:$CL$1204,"&lt;&gt;"),""))</f>
        <v/>
      </c>
      <c r="M25" s="38" t="str">
        <f>IF(A25="","",IFERROR(AVERAGEIFS('ثبت اطلاعات'!$CK$5:$CK$1204,'ثبت اطلاعات'!$C$5:$C$1204,A25,'ثبت اطلاعات'!$CL$5:$CL$1204,"&lt;&gt;"),""))</f>
        <v/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IF(O25=0,"",MINIFS('ثبت اطلاعات'!$CN$5:$CN$1204,'ثبت اطلاعات'!$C$5:$C$1204,A25,'ثبت اطلاعات'!$CL$5:$CL$1204,"&lt;&gt;"))</f>
        <v>#NAME?</v>
      </c>
      <c r="Q25" s="38" t="e">
        <f ca="1">IF(O25=0,"",MAXIFS('ثبت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0980524954</v>
      </c>
      <c r="C26" s="55" t="str">
        <f>IF(A26="","",دانش‌آموزان!E26&amp;" "&amp;دانش‌آموزان!F26)</f>
        <v>اميرعلي فدايي</v>
      </c>
      <c r="D26" s="34">
        <f>IF(A26="","",دانش‌آموزان!I26)</f>
        <v>801</v>
      </c>
      <c r="E26" s="27">
        <f>IF(A26="","",IFERROR(AVERAGEIFS('ثبت اطلاعات'!$CC$5:$CC$1204,'ثبت اطلاعات'!$C$5:$C$1204,A26,'ثبت اطلاعات'!$CL$5:$CL$1204,"&lt;&gt;"),""))</f>
        <v>23</v>
      </c>
      <c r="F26" s="38">
        <f>IF(A26="","",IFERROR(AVERAGEIFS('ثبت اطلاعات'!$CD$5:$CD$1204,'ثبت اطلاعات'!$C$5:$C$1204,A26,'ثبت اطلاعات'!$CL$5:$CL$1204,"&lt;&gt;"),""))</f>
        <v>20</v>
      </c>
      <c r="G26" s="38">
        <f>IF(A26="","",IFERROR(AVERAGEIFS('ثبت اطلاعات'!$CE$5:$CE$1204,'ثبت اطلاعات'!$C$5:$C$1204,A26,'ثبت اطلاعات'!$CL$5:$CL$1204,"&lt;&gt;"),""))</f>
        <v>20</v>
      </c>
      <c r="H26" s="38">
        <f>IF(A26="","",IFERROR(AVERAGEIFS('ثبت اطلاعات'!$CF$5:$CF$1204,'ثبت اطلاعات'!$C$5:$C$1204,A26,'ثبت اطلاعات'!$CL$5:$CL$1204,"&lt;&gt;"),""))</f>
        <v>20</v>
      </c>
      <c r="I26" s="38">
        <f>IF(A26="","",IFERROR(AVERAGEIFS('ثبت اطلاعات'!$CG$5:$CG$1204,'ثبت اطلاعات'!$C$5:$C$1204,A26,'ثبت اطلاعات'!$CL$5:$CL$1204,"&lt;&gt;"),""))</f>
        <v>20</v>
      </c>
      <c r="J26" s="38" t="str">
        <f>IF(A26="","",IFERROR(AVERAGEIFS('ثبت اطلاعات'!$CH$5:$CH$1204,'ثبت اطلاعات'!$C$5:$C$1204,A26,'ثبت اطلاعات'!$CL$5:$CL$1204,"&lt;&gt;"),""))</f>
        <v/>
      </c>
      <c r="K26" s="38">
        <f>IF(A26="","",IFERROR(AVERAGEIFS('ثبت اطلاعات'!$CI$5:$CI$1204,'ثبت اطلاعات'!$C$5:$C$1204,A26,'ثبت اطلاعات'!$CL$5:$CL$1204,"&lt;&gt;"),""))</f>
        <v>20</v>
      </c>
      <c r="L26" s="38" t="str">
        <f>IF(A26="","",IFERROR(AVERAGEIFS('ثبت اطلاعات'!$CJ$5:$CJ$1204,'ثبت اطلاعات'!$C$5:$C$1204,A26,'ثبت اطلاعات'!$CL$5:$CL$1204,"&lt;&gt;"),""))</f>
        <v/>
      </c>
      <c r="M26" s="38" t="str">
        <f>IF(A26="","",IFERROR(AVERAGEIFS('ثبت اطلاعات'!$CK$5:$CK$1204,'ثبت اطلاعات'!$C$5:$C$1204,A26,'ثبت اطلاعات'!$CL$5:$CL$1204,"&lt;&gt;"),""))</f>
        <v/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IF(O26=0,"",MINIFS('ثبت اطلاعات'!$CN$5:$CN$1204,'ثبت اطلاعات'!$C$5:$C$1204,A26,'ثبت اطلاعات'!$CL$5:$CL$1204,"&lt;&gt;"))</f>
        <v>#NAME?</v>
      </c>
      <c r="Q26" s="38" t="e">
        <f ca="1">IF(O26=0,"",MAXIFS('ثبت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0960447040</v>
      </c>
      <c r="C27" s="55" t="str">
        <f>IF(A27="","",دانش‌آموزان!E27&amp;" "&amp;دانش‌آموزان!F27)</f>
        <v>اميرعلي فرقاني طرقي</v>
      </c>
      <c r="D27" s="34">
        <f>IF(A27="","",دانش‌آموزان!I27)</f>
        <v>801</v>
      </c>
      <c r="E27" s="27">
        <f>IF(A27="","",IFERROR(AVERAGEIFS('ثبت اطلاعات'!$CC$5:$CC$1204,'ثبت اطلاعات'!$C$5:$C$1204,A27,'ثبت اطلاعات'!$CL$5:$CL$1204,"&lt;&gt;"),""))</f>
        <v>21.5</v>
      </c>
      <c r="F27" s="38">
        <f>IF(A27="","",IFERROR(AVERAGEIFS('ثبت اطلاعات'!$CD$5:$CD$1204,'ثبت اطلاعات'!$C$5:$C$1204,A27,'ثبت اطلاعات'!$CL$5:$CL$1204,"&lt;&gt;"),""))</f>
        <v>20</v>
      </c>
      <c r="G27" s="38">
        <f>IF(A27="","",IFERROR(AVERAGEIFS('ثبت اطلاعات'!$CE$5:$CE$1204,'ثبت اطلاعات'!$C$5:$C$1204,A27,'ثبت اطلاعات'!$CL$5:$CL$1204,"&lt;&gt;"),""))</f>
        <v>20</v>
      </c>
      <c r="H27" s="38">
        <f>IF(A27="","",IFERROR(AVERAGEIFS('ثبت اطلاعات'!$CF$5:$CF$1204,'ثبت اطلاعات'!$C$5:$C$1204,A27,'ثبت اطلاعات'!$CL$5:$CL$1204,"&lt;&gt;"),""))</f>
        <v>20</v>
      </c>
      <c r="I27" s="38">
        <f>IF(A27="","",IFERROR(AVERAGEIFS('ثبت اطلاعات'!$CG$5:$CG$1204,'ثبت اطلاعات'!$C$5:$C$1204,A27,'ثبت اطلاعات'!$CL$5:$CL$1204,"&lt;&gt;"),""))</f>
        <v>20</v>
      </c>
      <c r="J27" s="38" t="str">
        <f>IF(A27="","",IFERROR(AVERAGEIFS('ثبت اطلاعات'!$CH$5:$CH$1204,'ثبت اطلاعات'!$C$5:$C$1204,A27,'ثبت اطلاعات'!$CL$5:$CL$1204,"&lt;&gt;"),""))</f>
        <v/>
      </c>
      <c r="K27" s="38">
        <f>IF(A27="","",IFERROR(AVERAGEIFS('ثبت اطلاعات'!$CI$5:$CI$1204,'ثبت اطلاعات'!$C$5:$C$1204,A27,'ثبت اطلاعات'!$CL$5:$CL$1204,"&lt;&gt;"),""))</f>
        <v>20</v>
      </c>
      <c r="L27" s="38" t="str">
        <f>IF(A27="","",IFERROR(AVERAGEIFS('ثبت اطلاعات'!$CJ$5:$CJ$1204,'ثبت اطلاعات'!$C$5:$C$1204,A27,'ثبت اطلاعات'!$CL$5:$CL$1204,"&lt;&gt;"),""))</f>
        <v/>
      </c>
      <c r="M27" s="38" t="str">
        <f>IF(A27="","",IFERROR(AVERAGEIFS('ثبت اطلاعات'!$CK$5:$CK$1204,'ثبت اطلاعات'!$C$5:$C$1204,A27,'ثبت اطلاعات'!$CL$5:$CL$1204,"&lt;&gt;"),""))</f>
        <v/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IF(O27=0,"",MINIFS('ثبت اطلاعات'!$CN$5:$CN$1204,'ثبت اطلاعات'!$C$5:$C$1204,A27,'ثبت اطلاعات'!$CL$5:$CL$1204,"&lt;&gt;"))</f>
        <v>#NAME?</v>
      </c>
      <c r="Q27" s="38" t="e">
        <f ca="1">IF(O27=0,"",MAXIFS('ثبت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0970859112</v>
      </c>
      <c r="C28" s="55" t="str">
        <f>IF(A28="","",دانش‌آموزان!E28&amp;" "&amp;دانش‌آموزان!F28)</f>
        <v>امير علي قايني</v>
      </c>
      <c r="D28" s="34">
        <f>IF(A28="","",دانش‌آموزان!I28)</f>
        <v>801</v>
      </c>
      <c r="E28" s="27">
        <f>IF(A28="","",IFERROR(AVERAGEIFS('ثبت اطلاعات'!$CC$5:$CC$1204,'ثبت اطلاعات'!$C$5:$C$1204,A28,'ثبت اطلاعات'!$CL$5:$CL$1204,"&lt;&gt;"),""))</f>
        <v>20</v>
      </c>
      <c r="F28" s="38">
        <f>IF(A28="","",IFERROR(AVERAGEIFS('ثبت اطلاعات'!$CD$5:$CD$1204,'ثبت اطلاعات'!$C$5:$C$1204,A28,'ثبت اطلاعات'!$CL$5:$CL$1204,"&lt;&gt;"),""))</f>
        <v>20</v>
      </c>
      <c r="G28" s="38">
        <f>IF(A28="","",IFERROR(AVERAGEIFS('ثبت اطلاعات'!$CE$5:$CE$1204,'ثبت اطلاعات'!$C$5:$C$1204,A28,'ثبت اطلاعات'!$CL$5:$CL$1204,"&lt;&gt;"),""))</f>
        <v>20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 t="str">
        <f>IF(A28="","",IFERROR(AVERAGEIFS('ثبت اطلاعات'!$CH$5:$CH$1204,'ثبت اطلاعات'!$C$5:$C$1204,A28,'ثبت اطلاعات'!$CL$5:$CL$1204,"&lt;&gt;"),""))</f>
        <v/>
      </c>
      <c r="K28" s="38">
        <f>IF(A28="","",IFERROR(AVERAGEIFS('ثبت اطلاعات'!$CI$5:$CI$1204,'ثبت اطلاعات'!$C$5:$C$1204,A28,'ثبت اطلاعات'!$CL$5:$CL$1204,"&lt;&gt;"),""))</f>
        <v>20</v>
      </c>
      <c r="L28" s="38" t="str">
        <f>IF(A28="","",IFERROR(AVERAGEIFS('ثبت اطلاعات'!$CJ$5:$CJ$1204,'ثبت اطلاعات'!$C$5:$C$1204,A28,'ثبت اطلاعات'!$CL$5:$CL$1204,"&lt;&gt;"),""))</f>
        <v/>
      </c>
      <c r="M28" s="38" t="str">
        <f>IF(A28="","",IFERROR(AVERAGEIFS('ثبت اطلاعات'!$CK$5:$CK$1204,'ثبت اطلاعات'!$C$5:$C$1204,A28,'ثبت اطلاعات'!$CL$5:$CL$1204,"&lt;&gt;"),""))</f>
        <v/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IF(O28=0,"",MINIFS('ثبت اطلاعات'!$CN$5:$CN$1204,'ثبت اطلاعات'!$C$5:$C$1204,A28,'ثبت اطلاعات'!$CL$5:$CL$1204,"&lt;&gt;"))</f>
        <v>#NAME?</v>
      </c>
      <c r="Q28" s="38" t="e">
        <f ca="1">IF(O28=0,"",MAXIFS('ثبت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 t="str">
        <f>IF(A29="","",دانش‌آموزان!C29)</f>
        <v>0960650040</v>
      </c>
      <c r="C29" s="55" t="str">
        <f>IF(A29="","",دانش‌آموزان!E29&amp;" "&amp;دانش‌آموزان!F29)</f>
        <v>محمد حسين قنبري</v>
      </c>
      <c r="D29" s="34">
        <f>IF(A29="","",دانش‌آموزان!I29)</f>
        <v>801</v>
      </c>
      <c r="E29" s="27">
        <f>IF(A29="","",IFERROR(AVERAGEIFS('ثبت اطلاعات'!$CC$5:$CC$1204,'ثبت اطلاعات'!$C$5:$C$1204,A29,'ثبت اطلاعات'!$CL$5:$CL$1204,"&lt;&gt;"),""))</f>
        <v>18.5</v>
      </c>
      <c r="F29" s="38">
        <f>IF(A29="","",IFERROR(AVERAGEIFS('ثبت اطلاعات'!$CD$5:$CD$1204,'ثبت اطلاعات'!$C$5:$C$1204,A29,'ثبت اطلاعات'!$CL$5:$CL$1204,"&lt;&gt;"),""))</f>
        <v>20</v>
      </c>
      <c r="G29" s="38">
        <f>IF(A29="","",IFERROR(AVERAGEIFS('ثبت اطلاعات'!$CE$5:$CE$1204,'ثبت اطلاعات'!$C$5:$C$1204,A29,'ثبت اطلاعات'!$CL$5:$CL$1204,"&lt;&gt;"),""))</f>
        <v>20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20</v>
      </c>
      <c r="J29" s="38" t="str">
        <f>IF(A29="","",IFERROR(AVERAGEIFS('ثبت اطلاعات'!$CH$5:$CH$1204,'ثبت اطلاعات'!$C$5:$C$1204,A29,'ثبت اطلاعات'!$CL$5:$CL$1204,"&lt;&gt;"),""))</f>
        <v/>
      </c>
      <c r="K29" s="38">
        <f>IF(A29="","",IFERROR(AVERAGEIFS('ثبت اطلاعات'!$CI$5:$CI$1204,'ثبت اطلاعات'!$C$5:$C$1204,A29,'ثبت اطلاعات'!$CL$5:$CL$1204,"&lt;&gt;"),""))</f>
        <v>20</v>
      </c>
      <c r="L29" s="38" t="str">
        <f>IF(A29="","",IFERROR(AVERAGEIFS('ثبت اطلاعات'!$CJ$5:$CJ$1204,'ثبت اطلاعات'!$C$5:$C$1204,A29,'ثبت اطلاعات'!$CL$5:$CL$1204,"&lt;&gt;"),""))</f>
        <v/>
      </c>
      <c r="M29" s="38" t="str">
        <f>IF(A29="","",IFERROR(AVERAGEIFS('ثبت اطلاعات'!$CK$5:$CK$1204,'ثبت اطلاعات'!$C$5:$C$1204,A29,'ثبت اطلاعات'!$CL$5:$CL$1204,"&lt;&gt;"),""))</f>
        <v/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IF(O29=0,"",MINIFS('ثبت اطلاعات'!$CN$5:$CN$1204,'ثبت اطلاعات'!$C$5:$C$1204,A29,'ثبت اطلاعات'!$CL$5:$CL$1204,"&lt;&gt;"))</f>
        <v>#NAME?</v>
      </c>
      <c r="Q29" s="38" t="e">
        <f ca="1">IF(O29=0,"",MAXIFS('ثبت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0960581286</v>
      </c>
      <c r="C30" s="55" t="str">
        <f>IF(A30="","",دانش‌آموزان!E30&amp;" "&amp;دانش‌آموزان!F30)</f>
        <v>پاكان قوي پيكر</v>
      </c>
      <c r="D30" s="34">
        <f>IF(A30="","",دانش‌آموزان!I30)</f>
        <v>801</v>
      </c>
      <c r="E30" s="27">
        <f>IF(A30="","",IFERROR(AVERAGEIFS('ثبت اطلاعات'!$CC$5:$CC$1204,'ثبت اطلاعات'!$C$5:$C$1204,A30,'ثبت اطلاعات'!$CL$5:$CL$1204,"&lt;&gt;"),""))</f>
        <v>19</v>
      </c>
      <c r="F30" s="38">
        <f>IF(A30="","",IFERROR(AVERAGEIFS('ثبت اطلاعات'!$CD$5:$CD$1204,'ثبت اطلاعات'!$C$5:$C$1204,A30,'ثبت اطلاعات'!$CL$5:$CL$1204,"&lt;&gt;"),""))</f>
        <v>20</v>
      </c>
      <c r="G30" s="38">
        <f>IF(A30="","",IFERROR(AVERAGEIFS('ثبت اطلاعات'!$CE$5:$CE$1204,'ثبت اطلاعات'!$C$5:$C$1204,A30,'ثبت اطلاعات'!$CL$5:$CL$1204,"&lt;&gt;"),""))</f>
        <v>20</v>
      </c>
      <c r="H30" s="38">
        <f>IF(A30="","",IFERROR(AVERAGEIFS('ثبت اطلاعات'!$CF$5:$CF$1204,'ثبت اطلاعات'!$C$5:$C$1204,A30,'ثبت اطلاعات'!$CL$5:$CL$1204,"&lt;&gt;"),""))</f>
        <v>20</v>
      </c>
      <c r="I30" s="38">
        <f>IF(A30="","",IFERROR(AVERAGEIFS('ثبت اطلاعات'!$CG$5:$CG$1204,'ثبت اطلاعات'!$C$5:$C$1204,A30,'ثبت اطلاعات'!$CL$5:$CL$1204,"&lt;&gt;"),""))</f>
        <v>20</v>
      </c>
      <c r="J30" s="38" t="str">
        <f>IF(A30="","",IFERROR(AVERAGEIFS('ثبت اطلاعات'!$CH$5:$CH$1204,'ثبت اطلاعات'!$C$5:$C$1204,A30,'ثبت اطلاعات'!$CL$5:$CL$1204,"&lt;&gt;"),""))</f>
        <v/>
      </c>
      <c r="K30" s="38">
        <f>IF(A30="","",IFERROR(AVERAGEIFS('ثبت اطلاعات'!$CI$5:$CI$1204,'ثبت اطلاعات'!$C$5:$C$1204,A30,'ثبت اطلاعات'!$CL$5:$CL$1204,"&lt;&gt;"),""))</f>
        <v>20</v>
      </c>
      <c r="L30" s="38" t="str">
        <f>IF(A30="","",IFERROR(AVERAGEIFS('ثبت اطلاعات'!$CJ$5:$CJ$1204,'ثبت اطلاعات'!$C$5:$C$1204,A30,'ثبت اطلاعات'!$CL$5:$CL$1204,"&lt;&gt;"),""))</f>
        <v/>
      </c>
      <c r="M30" s="38" t="str">
        <f>IF(A30="","",IFERROR(AVERAGEIFS('ثبت اطلاعات'!$CK$5:$CK$1204,'ثبت اطلاعات'!$C$5:$C$1204,A30,'ثبت اطلاعات'!$CL$5:$CL$1204,"&lt;&gt;"),""))</f>
        <v/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IF(O30=0,"",MINIFS('ثبت اطلاعات'!$CN$5:$CN$1204,'ثبت اطلاعات'!$C$5:$C$1204,A30,'ثبت اطلاعات'!$CL$5:$CL$1204,"&lt;&gt;"))</f>
        <v>#NAME?</v>
      </c>
      <c r="Q30" s="38" t="e">
        <f ca="1">IF(O30=0,"",MAXIFS('ثبت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0960607544</v>
      </c>
      <c r="C31" s="55" t="str">
        <f>IF(A31="","",دانش‌آموزان!E31&amp;" "&amp;دانش‌آموزان!F31)</f>
        <v>مهرداد كاظمي بنهنگي</v>
      </c>
      <c r="D31" s="34">
        <f>IF(A31="","",دانش‌آموزان!I31)</f>
        <v>801</v>
      </c>
      <c r="E31" s="27">
        <f>IF(A31="","",IFERROR(AVERAGEIFS('ثبت اطلاعات'!$CC$5:$CC$1204,'ثبت اطلاعات'!$C$5:$C$1204,A31,'ثبت اطلاعات'!$CL$5:$CL$1204,"&lt;&gt;"),""))</f>
        <v>21</v>
      </c>
      <c r="F31" s="38">
        <f>IF(A31="","",IFERROR(AVERAGEIFS('ثبت اطلاعات'!$CD$5:$CD$1204,'ثبت اطلاعات'!$C$5:$C$1204,A31,'ثبت اطلاعات'!$CL$5:$CL$1204,"&lt;&gt;"),""))</f>
        <v>20</v>
      </c>
      <c r="G31" s="38">
        <f>IF(A31="","",IFERROR(AVERAGEIFS('ثبت اطلاعات'!$CE$5:$CE$1204,'ثبت اطلاعات'!$C$5:$C$1204,A31,'ثبت اطلاعات'!$CL$5:$CL$1204,"&lt;&gt;"),""))</f>
        <v>20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20</v>
      </c>
      <c r="J31" s="38" t="str">
        <f>IF(A31="","",IFERROR(AVERAGEIFS('ثبت اطلاعات'!$CH$5:$CH$1204,'ثبت اطلاعات'!$C$5:$C$1204,A31,'ثبت اطلاعات'!$CL$5:$CL$1204,"&lt;&gt;"),""))</f>
        <v/>
      </c>
      <c r="K31" s="38">
        <f>IF(A31="","",IFERROR(AVERAGEIFS('ثبت اطلاعات'!$CI$5:$CI$1204,'ثبت اطلاعات'!$C$5:$C$1204,A31,'ثبت اطلاعات'!$CL$5:$CL$1204,"&lt;&gt;"),""))</f>
        <v>20</v>
      </c>
      <c r="L31" s="38" t="str">
        <f>IF(A31="","",IFERROR(AVERAGEIFS('ثبت اطلاعات'!$CJ$5:$CJ$1204,'ثبت اطلاعات'!$C$5:$C$1204,A31,'ثبت اطلاعات'!$CL$5:$CL$1204,"&lt;&gt;"),""))</f>
        <v/>
      </c>
      <c r="M31" s="38" t="str">
        <f>IF(A31="","",IFERROR(AVERAGEIFS('ثبت اطلاعات'!$CK$5:$CK$1204,'ثبت اطلاعات'!$C$5:$C$1204,A31,'ثبت اطلاعات'!$CL$5:$CL$1204,"&lt;&gt;"),""))</f>
        <v/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IF(O31=0,"",MINIFS('ثبت اطلاعات'!$CN$5:$CN$1204,'ثبت اطلاعات'!$C$5:$C$1204,A31,'ثبت اطلاعات'!$CL$5:$CL$1204,"&lt;&gt;"))</f>
        <v>#NAME?</v>
      </c>
      <c r="Q31" s="38" t="e">
        <f ca="1">IF(O31=0,"",MAXIFS('ثبت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0980615364</v>
      </c>
      <c r="C32" s="55" t="str">
        <f>IF(A32="","",دانش‌آموزان!E32&amp;" "&amp;دانش‌آموزان!F32)</f>
        <v>شايان كوهجاني گوجي</v>
      </c>
      <c r="D32" s="34">
        <f>IF(A32="","",دانش‌آموزان!I32)</f>
        <v>801</v>
      </c>
      <c r="E32" s="27">
        <f>IF(A32="","",IFERROR(AVERAGEIFS('ثبت اطلاعات'!$CC$5:$CC$1204,'ثبت اطلاعات'!$C$5:$C$1204,A32,'ثبت اطلاعات'!$CL$5:$CL$1204,"&lt;&gt;"),""))</f>
        <v>23</v>
      </c>
      <c r="F32" s="38">
        <f>IF(A32="","",IFERROR(AVERAGEIFS('ثبت اطلاعات'!$CD$5:$CD$1204,'ثبت اطلاعات'!$C$5:$C$1204,A32,'ثبت اطلاعات'!$CL$5:$CL$1204,"&lt;&gt;"),""))</f>
        <v>20</v>
      </c>
      <c r="G32" s="38">
        <f>IF(A32="","",IFERROR(AVERAGEIFS('ثبت اطلاعات'!$CE$5:$CE$1204,'ثبت اطلاعات'!$C$5:$C$1204,A32,'ثبت اطلاعات'!$CL$5:$CL$1204,"&lt;&gt;"),""))</f>
        <v>20</v>
      </c>
      <c r="H32" s="38">
        <f>IF(A32="","",IFERROR(AVERAGEIFS('ثبت اطلاعات'!$CF$5:$CF$1204,'ثبت اطلاعات'!$C$5:$C$1204,A32,'ثبت اطلاعات'!$CL$5:$CL$1204,"&lt;&gt;"),""))</f>
        <v>20</v>
      </c>
      <c r="I32" s="38">
        <f>IF(A32="","",IFERROR(AVERAGEIFS('ثبت اطلاعات'!$CG$5:$CG$1204,'ثبت اطلاعات'!$C$5:$C$1204,A32,'ثبت اطلاعات'!$CL$5:$CL$1204,"&lt;&gt;"),""))</f>
        <v>20</v>
      </c>
      <c r="J32" s="38" t="str">
        <f>IF(A32="","",IFERROR(AVERAGEIFS('ثبت اطلاعات'!$CH$5:$CH$1204,'ثبت اطلاعات'!$C$5:$C$1204,A32,'ثبت اطلاعات'!$CL$5:$CL$1204,"&lt;&gt;"),""))</f>
        <v/>
      </c>
      <c r="K32" s="38">
        <f>IF(A32="","",IFERROR(AVERAGEIFS('ثبت اطلاعات'!$CI$5:$CI$1204,'ثبت اطلاعات'!$C$5:$C$1204,A32,'ثبت اطلاعات'!$CL$5:$CL$1204,"&lt;&gt;"),""))</f>
        <v>20</v>
      </c>
      <c r="L32" s="38" t="str">
        <f>IF(A32="","",IFERROR(AVERAGEIFS('ثبت اطلاعات'!$CJ$5:$CJ$1204,'ثبت اطلاعات'!$C$5:$C$1204,A32,'ثبت اطلاعات'!$CL$5:$CL$1204,"&lt;&gt;"),""))</f>
        <v/>
      </c>
      <c r="M32" s="38" t="str">
        <f>IF(A32="","",IFERROR(AVERAGEIFS('ثبت اطلاعات'!$CK$5:$CK$1204,'ثبت اطلاعات'!$C$5:$C$1204,A32,'ثبت اطلاعات'!$CL$5:$CL$1204,"&lt;&gt;"),""))</f>
        <v/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IF(O32=0,"",MINIFS('ثبت اطلاعات'!$CN$5:$CN$1204,'ثبت اطلاعات'!$C$5:$C$1204,A32,'ثبت اطلاعات'!$CL$5:$CL$1204,"&lt;&gt;"))</f>
        <v>#NAME?</v>
      </c>
      <c r="Q32" s="38" t="e">
        <f ca="1">IF(O32=0,"",MAXIFS('ثبت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0970840314</v>
      </c>
      <c r="C33" s="55" t="str">
        <f>IF(A33="","",دانش‌آموزان!E33&amp;" "&amp;دانش‌آموزان!F33)</f>
        <v>سام محبتي</v>
      </c>
      <c r="D33" s="34">
        <f>IF(A33="","",دانش‌آموزان!I33)</f>
        <v>801</v>
      </c>
      <c r="E33" s="27">
        <f>IF(A33="","",IFERROR(AVERAGEIFS('ثبت اطلاعات'!$CC$5:$CC$1204,'ثبت اطلاعات'!$C$5:$C$1204,A33,'ثبت اطلاعات'!$CL$5:$CL$1204,"&lt;&gt;"),""))</f>
        <v>20</v>
      </c>
      <c r="F33" s="38">
        <f>IF(A33="","",IFERROR(AVERAGEIFS('ثبت اطلاعات'!$CD$5:$CD$1204,'ثبت اطلاعات'!$C$5:$C$1204,A33,'ثبت اطلاعات'!$CL$5:$CL$1204,"&lt;&gt;"),""))</f>
        <v>20</v>
      </c>
      <c r="G33" s="38">
        <f>IF(A33="","",IFERROR(AVERAGEIFS('ثبت اطلاعات'!$CE$5:$CE$1204,'ثبت اطلاعات'!$C$5:$C$1204,A33,'ثبت اطلاعات'!$CL$5:$CL$1204,"&lt;&gt;"),""))</f>
        <v>20</v>
      </c>
      <c r="H33" s="38">
        <f>IF(A33="","",IFERROR(AVERAGEIFS('ثبت اطلاعات'!$CF$5:$CF$1204,'ثبت اطلاعات'!$C$5:$C$1204,A33,'ثبت اطلاعات'!$CL$5:$CL$1204,"&lt;&gt;"),""))</f>
        <v>20</v>
      </c>
      <c r="I33" s="38">
        <f>IF(A33="","",IFERROR(AVERAGEIFS('ثبت اطلاعات'!$CG$5:$CG$1204,'ثبت اطلاعات'!$C$5:$C$1204,A33,'ثبت اطلاعات'!$CL$5:$CL$1204,"&lt;&gt;"),""))</f>
        <v>20</v>
      </c>
      <c r="J33" s="38" t="str">
        <f>IF(A33="","",IFERROR(AVERAGEIFS('ثبت اطلاعات'!$CH$5:$CH$1204,'ثبت اطلاعات'!$C$5:$C$1204,A33,'ثبت اطلاعات'!$CL$5:$CL$1204,"&lt;&gt;"),""))</f>
        <v/>
      </c>
      <c r="K33" s="38">
        <f>IF(A33="","",IFERROR(AVERAGEIFS('ثبت اطلاعات'!$CI$5:$CI$1204,'ثبت اطلاعات'!$C$5:$C$1204,A33,'ثبت اطلاعات'!$CL$5:$CL$1204,"&lt;&gt;"),""))</f>
        <v>20</v>
      </c>
      <c r="L33" s="38" t="str">
        <f>IF(A33="","",IFERROR(AVERAGEIFS('ثبت اطلاعات'!$CJ$5:$CJ$1204,'ثبت اطلاعات'!$C$5:$C$1204,A33,'ثبت اطلاعات'!$CL$5:$CL$1204,"&lt;&gt;"),""))</f>
        <v/>
      </c>
      <c r="M33" s="38" t="str">
        <f>IF(A33="","",IFERROR(AVERAGEIFS('ثبت اطلاعات'!$CK$5:$CK$1204,'ثبت اطلاعات'!$C$5:$C$1204,A33,'ثبت اطلاعات'!$CL$5:$CL$1204,"&lt;&gt;"),""))</f>
        <v/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IF(O33=0,"",MINIFS('ثبت اطلاعات'!$CN$5:$CN$1204,'ثبت اطلاعات'!$C$5:$C$1204,A33,'ثبت اطلاعات'!$CL$5:$CL$1204,"&lt;&gt;"))</f>
        <v>#NAME?</v>
      </c>
      <c r="Q33" s="38" t="e">
        <f ca="1">IF(O33=0,"",MAXIFS('ثبت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0960571604</v>
      </c>
      <c r="C34" s="55" t="str">
        <f>IF(A34="","",دانش‌آموزان!E34&amp;" "&amp;دانش‌آموزان!F34)</f>
        <v>اميرعلي ميرنژاد</v>
      </c>
      <c r="D34" s="34">
        <f>IF(A34="","",دانش‌آموزان!I34)</f>
        <v>801</v>
      </c>
      <c r="E34" s="27">
        <f>IF(A34="","",IFERROR(AVERAGEIFS('ثبت اطلاعات'!$CC$5:$CC$1204,'ثبت اطلاعات'!$C$5:$C$1204,A34,'ثبت اطلاعات'!$CL$5:$CL$1204,"&lt;&gt;"),""))</f>
        <v>21.5</v>
      </c>
      <c r="F34" s="38">
        <f>IF(A34="","",IFERROR(AVERAGEIFS('ثبت اطلاعات'!$CD$5:$CD$1204,'ثبت اطلاعات'!$C$5:$C$1204,A34,'ثبت اطلاعات'!$CL$5:$CL$1204,"&lt;&gt;"),""))</f>
        <v>20</v>
      </c>
      <c r="G34" s="38">
        <f>IF(A34="","",IFERROR(AVERAGEIFS('ثبت اطلاعات'!$CE$5:$CE$1204,'ثبت اطلاعات'!$C$5:$C$1204,A34,'ثبت اطلاعات'!$CL$5:$CL$1204,"&lt;&gt;"),""))</f>
        <v>20</v>
      </c>
      <c r="H34" s="38">
        <f>IF(A34="","",IFERROR(AVERAGEIFS('ثبت اطلاعات'!$CF$5:$CF$1204,'ثبت اطلاعات'!$C$5:$C$1204,A34,'ثبت اطلاعات'!$CL$5:$CL$1204,"&lt;&gt;"),""))</f>
        <v>20</v>
      </c>
      <c r="I34" s="38">
        <f>IF(A34="","",IFERROR(AVERAGEIFS('ثبت اطلاعات'!$CG$5:$CG$1204,'ثبت اطلاعات'!$C$5:$C$1204,A34,'ثبت اطلاعات'!$CL$5:$CL$1204,"&lt;&gt;"),""))</f>
        <v>20</v>
      </c>
      <c r="J34" s="38" t="str">
        <f>IF(A34="","",IFERROR(AVERAGEIFS('ثبت اطلاعات'!$CH$5:$CH$1204,'ثبت اطلاعات'!$C$5:$C$1204,A34,'ثبت اطلاعات'!$CL$5:$CL$1204,"&lt;&gt;"),""))</f>
        <v/>
      </c>
      <c r="K34" s="38">
        <f>IF(A34="","",IFERROR(AVERAGEIFS('ثبت اطلاعات'!$CI$5:$CI$1204,'ثبت اطلاعات'!$C$5:$C$1204,A34,'ثبت اطلاعات'!$CL$5:$CL$1204,"&lt;&gt;"),""))</f>
        <v>20</v>
      </c>
      <c r="L34" s="38" t="str">
        <f>IF(A34="","",IFERROR(AVERAGEIFS('ثبت اطلاعات'!$CJ$5:$CJ$1204,'ثبت اطلاعات'!$C$5:$C$1204,A34,'ثبت اطلاعات'!$CL$5:$CL$1204,"&lt;&gt;"),""))</f>
        <v/>
      </c>
      <c r="M34" s="38" t="str">
        <f>IF(A34="","",IFERROR(AVERAGEIFS('ثبت اطلاعات'!$CK$5:$CK$1204,'ثبت اطلاعات'!$C$5:$C$1204,A34,'ثبت اطلاعات'!$CL$5:$CL$1204,"&lt;&gt;"),""))</f>
        <v/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IF(O34=0,"",MINIFS('ثبت اطلاعات'!$CN$5:$CN$1204,'ثبت اطلاعات'!$C$5:$C$1204,A34,'ثبت اطلاعات'!$CL$5:$CL$1204,"&lt;&gt;"))</f>
        <v>#NAME?</v>
      </c>
      <c r="Q34" s="38" t="e">
        <f ca="1">IF(O34=0,"",MAXIFS('ثبت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31</v>
      </c>
      <c r="B35" s="55" t="str">
        <f>IF(A35="","",دانش‌آموزان!C35)</f>
        <v>0960562141</v>
      </c>
      <c r="C35" s="55" t="str">
        <f>IF(A35="","",دانش‌آموزان!E35&amp;" "&amp;دانش‌آموزان!F35)</f>
        <v>مهدي نادمي</v>
      </c>
      <c r="D35" s="34">
        <f>IF(A35="","",دانش‌آموزان!I35)</f>
        <v>801</v>
      </c>
      <c r="E35" s="27">
        <f>IF(A35="","",IFERROR(AVERAGEIFS('ثبت اطلاعات'!$CC$5:$CC$1204,'ثبت اطلاعات'!$C$5:$C$1204,A35,'ثبت اطلاعات'!$CL$5:$CL$1204,"&lt;&gt;"),""))</f>
        <v>22</v>
      </c>
      <c r="F35" s="38">
        <f>IF(A35="","",IFERROR(AVERAGEIFS('ثبت اطلاعات'!$CD$5:$CD$1204,'ثبت اطلاعات'!$C$5:$C$1204,A35,'ثبت اطلاعات'!$CL$5:$CL$1204,"&lt;&gt;"),""))</f>
        <v>20</v>
      </c>
      <c r="G35" s="38">
        <f>IF(A35="","",IFERROR(AVERAGEIFS('ثبت اطلاعات'!$CE$5:$CE$1204,'ثبت اطلاعات'!$C$5:$C$1204,A35,'ثبت اطلاعات'!$CL$5:$CL$1204,"&lt;&gt;"),""))</f>
        <v>20</v>
      </c>
      <c r="H35" s="38">
        <f>IF(A35="","",IFERROR(AVERAGEIFS('ثبت اطلاعات'!$CF$5:$CF$1204,'ثبت اطلاعات'!$C$5:$C$1204,A35,'ثبت اطلاعات'!$CL$5:$CL$1204,"&lt;&gt;"),""))</f>
        <v>20</v>
      </c>
      <c r="I35" s="38">
        <f>IF(A35="","",IFERROR(AVERAGEIFS('ثبت اطلاعات'!$CG$5:$CG$1204,'ثبت اطلاعات'!$C$5:$C$1204,A35,'ثبت اطلاعات'!$CL$5:$CL$1204,"&lt;&gt;"),""))</f>
        <v>20</v>
      </c>
      <c r="J35" s="38" t="str">
        <f>IF(A35="","",IFERROR(AVERAGEIFS('ثبت اطلاعات'!$CH$5:$CH$1204,'ثبت اطلاعات'!$C$5:$C$1204,A35,'ثبت اطلاعات'!$CL$5:$CL$1204,"&lt;&gt;"),""))</f>
        <v/>
      </c>
      <c r="K35" s="38">
        <f>IF(A35="","",IFERROR(AVERAGEIFS('ثبت اطلاعات'!$CI$5:$CI$1204,'ثبت اطلاعات'!$C$5:$C$1204,A35,'ثبت اطلاعات'!$CL$5:$CL$1204,"&lt;&gt;"),""))</f>
        <v>20</v>
      </c>
      <c r="L35" s="38" t="str">
        <f>IF(A35="","",IFERROR(AVERAGEIFS('ثبت اطلاعات'!$CJ$5:$CJ$1204,'ثبت اطلاعات'!$C$5:$C$1204,A35,'ثبت اطلاعات'!$CL$5:$CL$1204,"&lt;&gt;"),""))</f>
        <v/>
      </c>
      <c r="M35" s="38" t="str">
        <f>IF(A35="","",IFERROR(AVERAGEIFS('ثبت اطلاعات'!$CK$5:$CK$1204,'ثبت اطلاعات'!$C$5:$C$1204,A35,'ثبت اطلاعات'!$CL$5:$CL$1204,"&lt;&gt;"),""))</f>
        <v/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IF(O35=0,"",MINIFS('ثبت اطلاعات'!$CN$5:$CN$1204,'ثبت اطلاعات'!$C$5:$C$1204,A35,'ثبت اطلاعات'!$CL$5:$CL$1204,"&lt;&gt;"))</f>
        <v>#NAME?</v>
      </c>
      <c r="Q35" s="38" t="e">
        <f ca="1">IF(O35=0,"",MAXIFS('ثبت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32</v>
      </c>
      <c r="B36" s="55" t="str">
        <f>IF(A36="","",دانش‌آموزان!C36)</f>
        <v>0960545182</v>
      </c>
      <c r="C36" s="55" t="str">
        <f>IF(A36="","",دانش‌آموزان!E36&amp;" "&amp;دانش‌آموزان!F36)</f>
        <v>عليرضا نجاتي ساربان</v>
      </c>
      <c r="D36" s="34">
        <f>IF(A36="","",دانش‌آموزان!I36)</f>
        <v>801</v>
      </c>
      <c r="E36" s="27">
        <f>IF(A36="","",IFERROR(AVERAGEIFS('ثبت اطلاعات'!$CC$5:$CC$1204,'ثبت اطلاعات'!$C$5:$C$1204,A36,'ثبت اطلاعات'!$CL$5:$CL$1204,"&lt;&gt;"),""))</f>
        <v>20</v>
      </c>
      <c r="F36" s="38">
        <f>IF(A36="","",IFERROR(AVERAGEIFS('ثبت اطلاعات'!$CD$5:$CD$1204,'ثبت اطلاعات'!$C$5:$C$1204,A36,'ثبت اطلاعات'!$CL$5:$CL$1204,"&lt;&gt;"),""))</f>
        <v>20</v>
      </c>
      <c r="G36" s="38">
        <f>IF(A36="","",IFERROR(AVERAGEIFS('ثبت اطلاعات'!$CE$5:$CE$1204,'ثبت اطلاعات'!$C$5:$C$1204,A36,'ثبت اطلاعات'!$CL$5:$CL$1204,"&lt;&gt;"),""))</f>
        <v>20</v>
      </c>
      <c r="H36" s="38">
        <f>IF(A36="","",IFERROR(AVERAGEIFS('ثبت اطلاعات'!$CF$5:$CF$1204,'ثبت اطلاعات'!$C$5:$C$1204,A36,'ثبت اطلاعات'!$CL$5:$CL$1204,"&lt;&gt;"),""))</f>
        <v>20</v>
      </c>
      <c r="I36" s="38">
        <f>IF(A36="","",IFERROR(AVERAGEIFS('ثبت اطلاعات'!$CG$5:$CG$1204,'ثبت اطلاعات'!$C$5:$C$1204,A36,'ثبت اطلاعات'!$CL$5:$CL$1204,"&lt;&gt;"),""))</f>
        <v>20</v>
      </c>
      <c r="J36" s="38" t="str">
        <f>IF(A36="","",IFERROR(AVERAGEIFS('ثبت اطلاعات'!$CH$5:$CH$1204,'ثبت اطلاعات'!$C$5:$C$1204,A36,'ثبت اطلاعات'!$CL$5:$CL$1204,"&lt;&gt;"),""))</f>
        <v/>
      </c>
      <c r="K36" s="38">
        <f>IF(A36="","",IFERROR(AVERAGEIFS('ثبت اطلاعات'!$CI$5:$CI$1204,'ثبت اطلاعات'!$C$5:$C$1204,A36,'ثبت اطلاعات'!$CL$5:$CL$1204,"&lt;&gt;"),""))</f>
        <v>20</v>
      </c>
      <c r="L36" s="38" t="str">
        <f>IF(A36="","",IFERROR(AVERAGEIFS('ثبت اطلاعات'!$CJ$5:$CJ$1204,'ثبت اطلاعات'!$C$5:$C$1204,A36,'ثبت اطلاعات'!$CL$5:$CL$1204,"&lt;&gt;"),""))</f>
        <v/>
      </c>
      <c r="M36" s="38" t="str">
        <f>IF(A36="","",IFERROR(AVERAGEIFS('ثبت اطلاعات'!$CK$5:$CK$1204,'ثبت اطلاعات'!$C$5:$C$1204,A36,'ثبت اطلاعات'!$CL$5:$CL$1204,"&lt;&gt;"),""))</f>
        <v/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IF(O36=0,"",MINIFS('ثبت اطلاعات'!$CN$5:$CN$1204,'ثبت اطلاعات'!$C$5:$C$1204,A36,'ثبت اطلاعات'!$CL$5:$CL$1204,"&lt;&gt;"))</f>
        <v>#NAME?</v>
      </c>
      <c r="Q36" s="38" t="e">
        <f ca="1">IF(O36=0,"",MAXIFS('ثبت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>
        <f>IF(دانش‌آموزان!L37="","",دانش‌آموزان!B37)</f>
        <v>33</v>
      </c>
      <c r="B37" s="55" t="str">
        <f>IF(A37="","",دانش‌آموزان!C37)</f>
        <v>0970867603</v>
      </c>
      <c r="C37" s="55" t="str">
        <f>IF(A37="","",دانش‌آموزان!E37&amp;" "&amp;دانش‌آموزان!F37)</f>
        <v>سبحان نشاط يزدي</v>
      </c>
      <c r="D37" s="34">
        <f>IF(A37="","",دانش‌آموزان!I37)</f>
        <v>801</v>
      </c>
      <c r="E37" s="27">
        <f>IF(A37="","",IFERROR(AVERAGEIFS('ثبت اطلاعات'!$CC$5:$CC$1204,'ثبت اطلاعات'!$C$5:$C$1204,A37,'ثبت اطلاعات'!$CL$5:$CL$1204,"&lt;&gt;"),""))</f>
        <v>27.291428571428575</v>
      </c>
      <c r="F37" s="38">
        <f>IF(A37="","",IFERROR(AVERAGEIFS('ثبت اطلاعات'!$CD$5:$CD$1204,'ثبت اطلاعات'!$C$5:$C$1204,A37,'ثبت اطلاعات'!$CL$5:$CL$1204,"&lt;&gt;"),""))</f>
        <v>20</v>
      </c>
      <c r="G37" s="38">
        <f>IF(A37="","",IFERROR(AVERAGEIFS('ثبت اطلاعات'!$CE$5:$CE$1204,'ثبت اطلاعات'!$C$5:$C$1204,A37,'ثبت اطلاعات'!$CL$5:$CL$1204,"&lt;&gt;"),""))</f>
        <v>20</v>
      </c>
      <c r="H37" s="38">
        <f>IF(A37="","",IFERROR(AVERAGEIFS('ثبت اطلاعات'!$CF$5:$CF$1204,'ثبت اطلاعات'!$C$5:$C$1204,A37,'ثبت اطلاعات'!$CL$5:$CL$1204,"&lt;&gt;"),""))</f>
        <v>20</v>
      </c>
      <c r="I37" s="38">
        <f>IF(A37="","",IFERROR(AVERAGEIFS('ثبت اطلاعات'!$CG$5:$CG$1204,'ثبت اطلاعات'!$C$5:$C$1204,A37,'ثبت اطلاعات'!$CL$5:$CL$1204,"&lt;&gt;"),""))</f>
        <v>20</v>
      </c>
      <c r="J37" s="38" t="str">
        <f>IF(A37="","",IFERROR(AVERAGEIFS('ثبت اطلاعات'!$CH$5:$CH$1204,'ثبت اطلاعات'!$C$5:$C$1204,A37,'ثبت اطلاعات'!$CL$5:$CL$1204,"&lt;&gt;"),""))</f>
        <v/>
      </c>
      <c r="K37" s="38">
        <f>IF(A37="","",IFERROR(AVERAGEIFS('ثبت اطلاعات'!$CI$5:$CI$1204,'ثبت اطلاعات'!$C$5:$C$1204,A37,'ثبت اطلاعات'!$CL$5:$CL$1204,"&lt;&gt;"),""))</f>
        <v>20</v>
      </c>
      <c r="L37" s="38" t="str">
        <f>IF(A37="","",IFERROR(AVERAGEIFS('ثبت اطلاعات'!$CJ$5:$CJ$1204,'ثبت اطلاعات'!$C$5:$C$1204,A37,'ثبت اطلاعات'!$CL$5:$CL$1204,"&lt;&gt;"),""))</f>
        <v/>
      </c>
      <c r="M37" s="38" t="str">
        <f>IF(A37="","",IFERROR(AVERAGEIFS('ثبت اطلاعات'!$CK$5:$CK$1204,'ثبت اطلاعات'!$C$5:$C$1204,A37,'ثبت اطلاعات'!$CL$5:$CL$1204,"&lt;&gt;"),""))</f>
        <v/>
      </c>
      <c r="N37" s="38" t="str">
        <f>IF(A37="","",IFERROR(AVERAGEIFS('ثبت اطلاعات'!$CL$5:$CL$1204,'ثبت اطلاعات'!$C$5:$C$1204,A37,'ثبت اطلاعات'!$CL$5:$CL$1204,"&lt;&gt;"),""))</f>
        <v/>
      </c>
      <c r="O37" s="38">
        <f>IF(A37="","",COUNTIFS('ثبت اطلاعات'!$C$5:$C$1204,A37,'ثبت اطلاعات'!$CL$5:$CL$1204,"&lt;&gt;"))</f>
        <v>12</v>
      </c>
      <c r="P37" s="38" t="e">
        <f ca="1">IF(O37=0,"",MINIFS('ثبت اطلاعات'!$CN$5:$CN$1204,'ثبت اطلاعات'!$C$5:$C$1204,A37,'ثبت اطلاعات'!$CL$5:$CL$1204,"&lt;&gt;"))</f>
        <v>#NAME?</v>
      </c>
      <c r="Q37" s="38" t="e">
        <f ca="1">IF(O37=0,"",MAXIFS('ثبت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ca="1" si="5">IF(A37="","",IF(O37=0,"فاقد ارزیابی نهایی",IF(O37=1,"داده ناکافی",IF(R37&gt;0.5,"پیشرفت",IF(R37&lt;-0.5,"افت","ثبات")))))</f>
        <v>ثبات</v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>
        <f>IF(دانش‌آموزان!L38="","",دانش‌آموزان!B38)</f>
        <v>34</v>
      </c>
      <c r="B38" s="55" t="str">
        <f>IF(A38="","",دانش‌آموزان!C38)</f>
        <v>0980566126</v>
      </c>
      <c r="C38" s="55" t="str">
        <f>IF(A38="","",دانش‌آموزان!E38&amp;" "&amp;دانش‌آموزان!F38)</f>
        <v>امير حسين واقعي</v>
      </c>
      <c r="D38" s="34">
        <f>IF(A38="","",دانش‌آموزان!I38)</f>
        <v>801</v>
      </c>
      <c r="E38" s="27">
        <f>IF(A38="","",IFERROR(AVERAGEIFS('ثبت اطلاعات'!$CC$5:$CC$1204,'ثبت اطلاعات'!$C$5:$C$1204,A38,'ثبت اطلاعات'!$CL$5:$CL$1204,"&lt;&gt;"),""))</f>
        <v>21.5</v>
      </c>
      <c r="F38" s="38">
        <f>IF(A38="","",IFERROR(AVERAGEIFS('ثبت اطلاعات'!$CD$5:$CD$1204,'ثبت اطلاعات'!$C$5:$C$1204,A38,'ثبت اطلاعات'!$CL$5:$CL$1204,"&lt;&gt;"),""))</f>
        <v>20</v>
      </c>
      <c r="G38" s="38">
        <f>IF(A38="","",IFERROR(AVERAGEIFS('ثبت اطلاعات'!$CE$5:$CE$1204,'ثبت اطلاعات'!$C$5:$C$1204,A38,'ثبت اطلاعات'!$CL$5:$CL$1204,"&lt;&gt;"),""))</f>
        <v>20</v>
      </c>
      <c r="H38" s="38">
        <f>IF(A38="","",IFERROR(AVERAGEIFS('ثبت اطلاعات'!$CF$5:$CF$1204,'ثبت اطلاعات'!$C$5:$C$1204,A38,'ثبت اطلاعات'!$CL$5:$CL$1204,"&lt;&gt;"),""))</f>
        <v>20</v>
      </c>
      <c r="I38" s="38">
        <f>IF(A38="","",IFERROR(AVERAGEIFS('ثبت اطلاعات'!$CG$5:$CG$1204,'ثبت اطلاعات'!$C$5:$C$1204,A38,'ثبت اطلاعات'!$CL$5:$CL$1204,"&lt;&gt;"),""))</f>
        <v>20</v>
      </c>
      <c r="J38" s="38" t="str">
        <f>IF(A38="","",IFERROR(AVERAGEIFS('ثبت اطلاعات'!$CH$5:$CH$1204,'ثبت اطلاعات'!$C$5:$C$1204,A38,'ثبت اطلاعات'!$CL$5:$CL$1204,"&lt;&gt;"),""))</f>
        <v/>
      </c>
      <c r="K38" s="38">
        <f>IF(A38="","",IFERROR(AVERAGEIFS('ثبت اطلاعات'!$CI$5:$CI$1204,'ثبت اطلاعات'!$C$5:$C$1204,A38,'ثبت اطلاعات'!$CL$5:$CL$1204,"&lt;&gt;"),""))</f>
        <v>20</v>
      </c>
      <c r="L38" s="38" t="str">
        <f>IF(A38="","",IFERROR(AVERAGEIFS('ثبت اطلاعات'!$CJ$5:$CJ$1204,'ثبت اطلاعات'!$C$5:$C$1204,A38,'ثبت اطلاعات'!$CL$5:$CL$1204,"&lt;&gt;"),""))</f>
        <v/>
      </c>
      <c r="M38" s="38" t="str">
        <f>IF(A38="","",IFERROR(AVERAGEIFS('ثبت اطلاعات'!$CK$5:$CK$1204,'ثبت اطلاعات'!$C$5:$C$1204,A38,'ثبت اطلاعات'!$CL$5:$CL$1204,"&lt;&gt;"),""))</f>
        <v/>
      </c>
      <c r="N38" s="38" t="str">
        <f>IF(A38="","",IFERROR(AVERAGEIFS('ثبت اطلاعات'!$CL$5:$CL$1204,'ثبت اطلاعات'!$C$5:$C$1204,A38,'ثبت اطلاعات'!$CL$5:$CL$1204,"&lt;&gt;"),""))</f>
        <v/>
      </c>
      <c r="O38" s="38">
        <f>IF(A38="","",COUNTIFS('ثبت اطلاعات'!$C$5:$C$1204,A38,'ثبت اطلاعات'!$CL$5:$CL$1204,"&lt;&gt;"))</f>
        <v>12</v>
      </c>
      <c r="P38" s="38" t="e">
        <f ca="1">IF(O38=0,"",MINIFS('ثبت اطلاعات'!$CN$5:$CN$1204,'ثبت اطلاعات'!$C$5:$C$1204,A38,'ثبت اطلاعات'!$CL$5:$CL$1204,"&lt;&gt;"))</f>
        <v>#NAME?</v>
      </c>
      <c r="Q38" s="38" t="e">
        <f ca="1">IF(O38=0,"",MAXIFS('ثبت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IF(دانش‌آموزان!L39="","",دانش‌آموزان!B39)</f>
        <v>35</v>
      </c>
      <c r="B39" s="55" t="str">
        <f>IF(A39="","",دانش‌آموزان!C39)</f>
        <v>0970862415</v>
      </c>
      <c r="C39" s="55" t="str">
        <f>IF(A39="","",دانش‌آموزان!E39&amp;" "&amp;دانش‌آموزان!F39)</f>
        <v>اميرعلي هاشمي</v>
      </c>
      <c r="D39" s="34">
        <f>IF(A39="","",دانش‌آموزان!I39)</f>
        <v>801</v>
      </c>
      <c r="E39" s="27">
        <f>IF(A39="","",IFERROR(AVERAGEIFS('ثبت اطلاعات'!$CC$5:$CC$1204,'ثبت اطلاعات'!$C$5:$C$1204,A39,'ثبت اطلاعات'!$CL$5:$CL$1204,"&lt;&gt;"),""))</f>
        <v>28.2</v>
      </c>
      <c r="F39" s="38">
        <f>IF(A39="","",IFERROR(AVERAGEIFS('ثبت اطلاعات'!$CD$5:$CD$1204,'ثبت اطلاعات'!$C$5:$C$1204,A39,'ثبت اطلاعات'!$CL$5:$CL$1204,"&lt;&gt;"),""))</f>
        <v>20</v>
      </c>
      <c r="G39" s="38">
        <f>IF(A39="","",IFERROR(AVERAGEIFS('ثبت اطلاعات'!$CE$5:$CE$1204,'ثبت اطلاعات'!$C$5:$C$1204,A39,'ثبت اطلاعات'!$CL$5:$CL$1204,"&lt;&gt;"),""))</f>
        <v>20</v>
      </c>
      <c r="H39" s="38">
        <f>IF(A39="","",IFERROR(AVERAGEIFS('ثبت اطلاعات'!$CF$5:$CF$1204,'ثبت اطلاعات'!$C$5:$C$1204,A39,'ثبت اطلاعات'!$CL$5:$CL$1204,"&lt;&gt;"),""))</f>
        <v>20</v>
      </c>
      <c r="I39" s="38">
        <f>IF(A39="","",IFERROR(AVERAGEIFS('ثبت اطلاعات'!$CG$5:$CG$1204,'ثبت اطلاعات'!$C$5:$C$1204,A39,'ثبت اطلاعات'!$CL$5:$CL$1204,"&lt;&gt;"),""))</f>
        <v>20</v>
      </c>
      <c r="J39" s="38" t="str">
        <f>IF(A39="","",IFERROR(AVERAGEIFS('ثبت اطلاعات'!$CH$5:$CH$1204,'ثبت اطلاعات'!$C$5:$C$1204,A39,'ثبت اطلاعات'!$CL$5:$CL$1204,"&lt;&gt;"),""))</f>
        <v/>
      </c>
      <c r="K39" s="38">
        <f>IF(A39="","",IFERROR(AVERAGEIFS('ثبت اطلاعات'!$CI$5:$CI$1204,'ثبت اطلاعات'!$C$5:$C$1204,A39,'ثبت اطلاعات'!$CL$5:$CL$1204,"&lt;&gt;"),""))</f>
        <v>20</v>
      </c>
      <c r="L39" s="38" t="str">
        <f>IF(A39="","",IFERROR(AVERAGEIFS('ثبت اطلاعات'!$CJ$5:$CJ$1204,'ثبت اطلاعات'!$C$5:$C$1204,A39,'ثبت اطلاعات'!$CL$5:$CL$1204,"&lt;&gt;"),""))</f>
        <v/>
      </c>
      <c r="M39" s="38" t="str">
        <f>IF(A39="","",IFERROR(AVERAGEIFS('ثبت اطلاعات'!$CK$5:$CK$1204,'ثبت اطلاعات'!$C$5:$C$1204,A39,'ثبت اطلاعات'!$CL$5:$CL$1204,"&lt;&gt;"),""))</f>
        <v/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IF(O39=0,"",MINIFS('ثبت اطلاعات'!$CN$5:$CN$1204,'ثبت اطلاعات'!$C$5:$C$1204,A39,'ثبت اطلاعات'!$CL$5:$CL$1204,"&lt;&gt;"))</f>
        <v>#NAME?</v>
      </c>
      <c r="Q39" s="38" t="e">
        <f ca="1">IF(O39=0,"",MAXIFS('ثبت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>
        <f>IF(دانش‌آموزان!L40="","",دانش‌آموزان!B40)</f>
        <v>36</v>
      </c>
      <c r="B40" s="55" t="str">
        <f>IF(A40="","",دانش‌آموزان!C40)</f>
        <v>0960543211</v>
      </c>
      <c r="C40" s="55" t="str">
        <f>IF(A40="","",دانش‌آموزان!E40&amp;" "&amp;دانش‌آموزان!F40)</f>
        <v>كيارش اتحادي نيا</v>
      </c>
      <c r="D40" s="34">
        <f>IF(A40="","",دانش‌آموزان!I40)</f>
        <v>802</v>
      </c>
      <c r="E40" s="27">
        <f>IF(A40="","",IFERROR(AVERAGEIFS('ثبت اطلاعات'!$CC$5:$CC$1204,'ثبت اطلاعات'!$C$5:$C$1204,A40,'ثبت اطلاعات'!$CL$5:$CL$1204,"&lt;&gt;"),""))</f>
        <v>20.5</v>
      </c>
      <c r="F40" s="38">
        <f>IF(A40="","",IFERROR(AVERAGEIFS('ثبت اطلاعات'!$CD$5:$CD$1204,'ثبت اطلاعات'!$C$5:$C$1204,A40,'ثبت اطلاعات'!$CL$5:$CL$1204,"&lt;&gt;"),""))</f>
        <v>20</v>
      </c>
      <c r="G40" s="38">
        <f>IF(A40="","",IFERROR(AVERAGEIFS('ثبت اطلاعات'!$CE$5:$CE$1204,'ثبت اطلاعات'!$C$5:$C$1204,A40,'ثبت اطلاعات'!$CL$5:$CL$1204,"&lt;&gt;"),""))</f>
        <v>20</v>
      </c>
      <c r="H40" s="38">
        <f>IF(A40="","",IFERROR(AVERAGEIFS('ثبت اطلاعات'!$CF$5:$CF$1204,'ثبت اطلاعات'!$C$5:$C$1204,A40,'ثبت اطلاعات'!$CL$5:$CL$1204,"&lt;&gt;"),""))</f>
        <v>20</v>
      </c>
      <c r="I40" s="38">
        <f>IF(A40="","",IFERROR(AVERAGEIFS('ثبت اطلاعات'!$CG$5:$CG$1204,'ثبت اطلاعات'!$C$5:$C$1204,A40,'ثبت اطلاعات'!$CL$5:$CL$1204,"&lt;&gt;"),""))</f>
        <v>20</v>
      </c>
      <c r="J40" s="38" t="str">
        <f>IF(A40="","",IFERROR(AVERAGEIFS('ثبت اطلاعات'!$CH$5:$CH$1204,'ثبت اطلاعات'!$C$5:$C$1204,A40,'ثبت اطلاعات'!$CL$5:$CL$1204,"&lt;&gt;"),""))</f>
        <v/>
      </c>
      <c r="K40" s="38">
        <f>IF(A40="","",IFERROR(AVERAGEIFS('ثبت اطلاعات'!$CI$5:$CI$1204,'ثبت اطلاعات'!$C$5:$C$1204,A40,'ثبت اطلاعات'!$CL$5:$CL$1204,"&lt;&gt;"),""))</f>
        <v>20</v>
      </c>
      <c r="L40" s="38" t="str">
        <f>IF(A40="","",IFERROR(AVERAGEIFS('ثبت اطلاعات'!$CJ$5:$CJ$1204,'ثبت اطلاعات'!$C$5:$C$1204,A40,'ثبت اطلاعات'!$CL$5:$CL$1204,"&lt;&gt;"),""))</f>
        <v/>
      </c>
      <c r="M40" s="38" t="str">
        <f>IF(A40="","",IFERROR(AVERAGEIFS('ثبت اطلاعات'!$CK$5:$CK$1204,'ثبت اطلاعات'!$C$5:$C$1204,A40,'ثبت اطلاعات'!$CL$5:$CL$1204,"&lt;&gt;"),""))</f>
        <v/>
      </c>
      <c r="N40" s="38" t="str">
        <f>IF(A40="","",IFERROR(AVERAGEIFS('ثبت اطلاعات'!$CL$5:$CL$1204,'ثبت اطلاعات'!$C$5:$C$1204,A40,'ثبت اطلاعات'!$CL$5:$CL$1204,"&lt;&gt;"),""))</f>
        <v/>
      </c>
      <c r="O40" s="38">
        <f>IF(A40="","",COUNTIFS('ثبت اطلاعات'!$C$5:$C$1204,A40,'ثبت اطلاعات'!$CL$5:$CL$1204,"&lt;&gt;"))</f>
        <v>12</v>
      </c>
      <c r="P40" s="38" t="e">
        <f ca="1">IF(O40=0,"",MINIFS('ثبت اطلاعات'!$CN$5:$CN$1204,'ثبت اطلاعات'!$C$5:$C$1204,A40,'ثبت اطلاعات'!$CL$5:$CL$1204,"&lt;&gt;"))</f>
        <v>#NAME?</v>
      </c>
      <c r="Q40" s="38" t="e">
        <f ca="1">IF(O40=0,"",MAXIFS('ثبت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>
        <f>IF(دانش‌آموزان!L41="","",دانش‌آموزان!B41)</f>
        <v>37</v>
      </c>
      <c r="B41" s="55" t="str">
        <f>IF(A41="","",دانش‌آموزان!C41)</f>
        <v>0970552777</v>
      </c>
      <c r="C41" s="55" t="str">
        <f>IF(A41="","",دانش‌آموزان!E41&amp;" "&amp;دانش‌آموزان!F41)</f>
        <v>طاها اسدي</v>
      </c>
      <c r="D41" s="34">
        <f>IF(A41="","",دانش‌آموزان!I41)</f>
        <v>802</v>
      </c>
      <c r="E41" s="27">
        <f>IF(A41="","",IFERROR(AVERAGEIFS('ثبت اطلاعات'!$CC$5:$CC$1204,'ثبت اطلاعات'!$C$5:$C$1204,A41,'ثبت اطلاعات'!$CL$5:$CL$1204,"&lt;&gt;"),""))</f>
        <v>21.5</v>
      </c>
      <c r="F41" s="38">
        <f>IF(A41="","",IFERROR(AVERAGEIFS('ثبت اطلاعات'!$CD$5:$CD$1204,'ثبت اطلاعات'!$C$5:$C$1204,A41,'ثبت اطلاعات'!$CL$5:$CL$1204,"&lt;&gt;"),""))</f>
        <v>20</v>
      </c>
      <c r="G41" s="38">
        <f>IF(A41="","",IFERROR(AVERAGEIFS('ثبت اطلاعات'!$CE$5:$CE$1204,'ثبت اطلاعات'!$C$5:$C$1204,A41,'ثبت اطلاعات'!$CL$5:$CL$1204,"&lt;&gt;"),""))</f>
        <v>20</v>
      </c>
      <c r="H41" s="38">
        <f>IF(A41="","",IFERROR(AVERAGEIFS('ثبت اطلاعات'!$CF$5:$CF$1204,'ثبت اطلاعات'!$C$5:$C$1204,A41,'ثبت اطلاعات'!$CL$5:$CL$1204,"&lt;&gt;"),""))</f>
        <v>20</v>
      </c>
      <c r="I41" s="38">
        <f>IF(A41="","",IFERROR(AVERAGEIFS('ثبت اطلاعات'!$CG$5:$CG$1204,'ثبت اطلاعات'!$C$5:$C$1204,A41,'ثبت اطلاعات'!$CL$5:$CL$1204,"&lt;&gt;"),""))</f>
        <v>20</v>
      </c>
      <c r="J41" s="38" t="str">
        <f>IF(A41="","",IFERROR(AVERAGEIFS('ثبت اطلاعات'!$CH$5:$CH$1204,'ثبت اطلاعات'!$C$5:$C$1204,A41,'ثبت اطلاعات'!$CL$5:$CL$1204,"&lt;&gt;"),""))</f>
        <v/>
      </c>
      <c r="K41" s="38">
        <f>IF(A41="","",IFERROR(AVERAGEIFS('ثبت اطلاعات'!$CI$5:$CI$1204,'ثبت اطلاعات'!$C$5:$C$1204,A41,'ثبت اطلاعات'!$CL$5:$CL$1204,"&lt;&gt;"),""))</f>
        <v>20</v>
      </c>
      <c r="L41" s="38" t="str">
        <f>IF(A41="","",IFERROR(AVERAGEIFS('ثبت اطلاعات'!$CJ$5:$CJ$1204,'ثبت اطلاعات'!$C$5:$C$1204,A41,'ثبت اطلاعات'!$CL$5:$CL$1204,"&lt;&gt;"),""))</f>
        <v/>
      </c>
      <c r="M41" s="38" t="str">
        <f>IF(A41="","",IFERROR(AVERAGEIFS('ثبت اطلاعات'!$CK$5:$CK$1204,'ثبت اطلاعات'!$C$5:$C$1204,A41,'ثبت اطلاعات'!$CL$5:$CL$1204,"&lt;&gt;"),""))</f>
        <v/>
      </c>
      <c r="N41" s="38" t="str">
        <f>IF(A41="","",IFERROR(AVERAGEIFS('ثبت اطلاعات'!$CL$5:$CL$1204,'ثبت اطلاعات'!$C$5:$C$1204,A41,'ثبت اطلاعات'!$CL$5:$CL$1204,"&lt;&gt;"),""))</f>
        <v/>
      </c>
      <c r="O41" s="38">
        <f>IF(A41="","",COUNTIFS('ثبت اطلاعات'!$C$5:$C$1204,A41,'ثبت اطلاعات'!$CL$5:$CL$1204,"&lt;&gt;"))</f>
        <v>12</v>
      </c>
      <c r="P41" s="38" t="e">
        <f ca="1">IF(O41=0,"",MINIFS('ثبت اطلاعات'!$CN$5:$CN$1204,'ثبت اطلاعات'!$C$5:$C$1204,A41,'ثبت اطلاعات'!$CL$5:$CL$1204,"&lt;&gt;"))</f>
        <v>#NAME?</v>
      </c>
      <c r="Q41" s="38" t="e">
        <f ca="1">IF(O41=0,"",MAXIFS('ثبت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>
        <f>IF(دانش‌آموزان!L42="","",دانش‌آموزان!B42)</f>
        <v>38</v>
      </c>
      <c r="B42" s="55" t="str">
        <f>IF(A42="","",دانش‌آموزان!C42)</f>
        <v>0980430399</v>
      </c>
      <c r="C42" s="55" t="str">
        <f>IF(A42="","",دانش‌آموزان!E42&amp;" "&amp;دانش‌آموزان!F42)</f>
        <v>محمد ماهان ايرانمنش</v>
      </c>
      <c r="D42" s="34">
        <f>IF(A42="","",دانش‌آموزان!I42)</f>
        <v>802</v>
      </c>
      <c r="E42" s="27">
        <f>IF(A42="","",IFERROR(AVERAGEIFS('ثبت اطلاعات'!$CC$5:$CC$1204,'ثبت اطلاعات'!$C$5:$C$1204,A42,'ثبت اطلاعات'!$CL$5:$CL$1204,"&lt;&gt;"),""))</f>
        <v>21</v>
      </c>
      <c r="F42" s="38">
        <f>IF(A42="","",IFERROR(AVERAGEIFS('ثبت اطلاعات'!$CD$5:$CD$1204,'ثبت اطلاعات'!$C$5:$C$1204,A42,'ثبت اطلاعات'!$CL$5:$CL$1204,"&lt;&gt;"),""))</f>
        <v>20</v>
      </c>
      <c r="G42" s="38">
        <f>IF(A42="","",IFERROR(AVERAGEIFS('ثبت اطلاعات'!$CE$5:$CE$1204,'ثبت اطلاعات'!$C$5:$C$1204,A42,'ثبت اطلاعات'!$CL$5:$CL$1204,"&lt;&gt;"),""))</f>
        <v>20</v>
      </c>
      <c r="H42" s="38">
        <f>IF(A42="","",IFERROR(AVERAGEIFS('ثبت اطلاعات'!$CF$5:$CF$1204,'ثبت اطلاعات'!$C$5:$C$1204,A42,'ثبت اطلاعات'!$CL$5:$CL$1204,"&lt;&gt;"),""))</f>
        <v>20</v>
      </c>
      <c r="I42" s="38">
        <f>IF(A42="","",IFERROR(AVERAGEIFS('ثبت اطلاعات'!$CG$5:$CG$1204,'ثبت اطلاعات'!$C$5:$C$1204,A42,'ثبت اطلاعات'!$CL$5:$CL$1204,"&lt;&gt;"),""))</f>
        <v>20</v>
      </c>
      <c r="J42" s="38" t="str">
        <f>IF(A42="","",IFERROR(AVERAGEIFS('ثبت اطلاعات'!$CH$5:$CH$1204,'ثبت اطلاعات'!$C$5:$C$1204,A42,'ثبت اطلاعات'!$CL$5:$CL$1204,"&lt;&gt;"),""))</f>
        <v/>
      </c>
      <c r="K42" s="38">
        <f>IF(A42="","",IFERROR(AVERAGEIFS('ثبت اطلاعات'!$CI$5:$CI$1204,'ثبت اطلاعات'!$C$5:$C$1204,A42,'ثبت اطلاعات'!$CL$5:$CL$1204,"&lt;&gt;"),""))</f>
        <v>20</v>
      </c>
      <c r="L42" s="38" t="str">
        <f>IF(A42="","",IFERROR(AVERAGEIFS('ثبت اطلاعات'!$CJ$5:$CJ$1204,'ثبت اطلاعات'!$C$5:$C$1204,A42,'ثبت اطلاعات'!$CL$5:$CL$1204,"&lt;&gt;"),""))</f>
        <v/>
      </c>
      <c r="M42" s="38" t="str">
        <f>IF(A42="","",IFERROR(AVERAGEIFS('ثبت اطلاعات'!$CK$5:$CK$1204,'ثبت اطلاعات'!$C$5:$C$1204,A42,'ثبت اطلاعات'!$CL$5:$CL$1204,"&lt;&gt;"),""))</f>
        <v/>
      </c>
      <c r="N42" s="38" t="str">
        <f>IF(A42="","",IFERROR(AVERAGEIFS('ثبت اطلاعات'!$CL$5:$CL$1204,'ثبت اطلاعات'!$C$5:$C$1204,A42,'ثبت اطلاعات'!$CL$5:$CL$1204,"&lt;&gt;"),""))</f>
        <v/>
      </c>
      <c r="O42" s="38">
        <f>IF(A42="","",COUNTIFS('ثبت اطلاعات'!$C$5:$C$1204,A42,'ثبت اطلاعات'!$CL$5:$CL$1204,"&lt;&gt;"))</f>
        <v>12</v>
      </c>
      <c r="P42" s="38" t="e">
        <f ca="1">IF(O42=0,"",MINIFS('ثبت اطلاعات'!$CN$5:$CN$1204,'ثبت اطلاعات'!$C$5:$C$1204,A42,'ثبت اطلاعات'!$CL$5:$CL$1204,"&lt;&gt;"))</f>
        <v>#NAME?</v>
      </c>
      <c r="Q42" s="38" t="e">
        <f ca="1">IF(O42=0,"",MAXIFS('ثبت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>
        <f>IF(دانش‌آموزان!L43="","",دانش‌آموزان!B43)</f>
        <v>39</v>
      </c>
      <c r="B43" s="55" t="str">
        <f>IF(A43="","",دانش‌آموزان!C43)</f>
        <v>0960600620</v>
      </c>
      <c r="C43" s="55" t="str">
        <f>IF(A43="","",دانش‌آموزان!E43&amp;" "&amp;دانش‌آموزان!F43)</f>
        <v>فرزاد آرازش</v>
      </c>
      <c r="D43" s="34">
        <f>IF(A43="","",دانش‌آموزان!I43)</f>
        <v>802</v>
      </c>
      <c r="E43" s="27">
        <f>IF(A43="","",IFERROR(AVERAGEIFS('ثبت اطلاعات'!$CC$5:$CC$1204,'ثبت اطلاعات'!$C$5:$C$1204,A43,'ثبت اطلاعات'!$CL$5:$CL$1204,"&lt;&gt;"),""))</f>
        <v>21.5</v>
      </c>
      <c r="F43" s="38">
        <f>IF(A43="","",IFERROR(AVERAGEIFS('ثبت اطلاعات'!$CD$5:$CD$1204,'ثبت اطلاعات'!$C$5:$C$1204,A43,'ثبت اطلاعات'!$CL$5:$CL$1204,"&lt;&gt;"),""))</f>
        <v>20</v>
      </c>
      <c r="G43" s="38">
        <f>IF(A43="","",IFERROR(AVERAGEIFS('ثبت اطلاعات'!$CE$5:$CE$1204,'ثبت اطلاعات'!$C$5:$C$1204,A43,'ثبت اطلاعات'!$CL$5:$CL$1204,"&lt;&gt;"),""))</f>
        <v>20</v>
      </c>
      <c r="H43" s="38">
        <f>IF(A43="","",IFERROR(AVERAGEIFS('ثبت اطلاعات'!$CF$5:$CF$1204,'ثبت اطلاعات'!$C$5:$C$1204,A43,'ثبت اطلاعات'!$CL$5:$CL$1204,"&lt;&gt;"),""))</f>
        <v>20</v>
      </c>
      <c r="I43" s="38">
        <f>IF(A43="","",IFERROR(AVERAGEIFS('ثبت اطلاعات'!$CG$5:$CG$1204,'ثبت اطلاعات'!$C$5:$C$1204,A43,'ثبت اطلاعات'!$CL$5:$CL$1204,"&lt;&gt;"),""))</f>
        <v>20</v>
      </c>
      <c r="J43" s="38" t="str">
        <f>IF(A43="","",IFERROR(AVERAGEIFS('ثبت اطلاعات'!$CH$5:$CH$1204,'ثبت اطلاعات'!$C$5:$C$1204,A43,'ثبت اطلاعات'!$CL$5:$CL$1204,"&lt;&gt;"),""))</f>
        <v/>
      </c>
      <c r="K43" s="38">
        <f>IF(A43="","",IFERROR(AVERAGEIFS('ثبت اطلاعات'!$CI$5:$CI$1204,'ثبت اطلاعات'!$C$5:$C$1204,A43,'ثبت اطلاعات'!$CL$5:$CL$1204,"&lt;&gt;"),""))</f>
        <v>20</v>
      </c>
      <c r="L43" s="38" t="str">
        <f>IF(A43="","",IFERROR(AVERAGEIFS('ثبت اطلاعات'!$CJ$5:$CJ$1204,'ثبت اطلاعات'!$C$5:$C$1204,A43,'ثبت اطلاعات'!$CL$5:$CL$1204,"&lt;&gt;"),""))</f>
        <v/>
      </c>
      <c r="M43" s="38" t="str">
        <f>IF(A43="","",IFERROR(AVERAGEIFS('ثبت اطلاعات'!$CK$5:$CK$1204,'ثبت اطلاعات'!$C$5:$C$1204,A43,'ثبت اطلاعات'!$CL$5:$CL$1204,"&lt;&gt;"),""))</f>
        <v/>
      </c>
      <c r="N43" s="38" t="str">
        <f>IF(A43="","",IFERROR(AVERAGEIFS('ثبت اطلاعات'!$CL$5:$CL$1204,'ثبت اطلاعات'!$C$5:$C$1204,A43,'ثبت اطلاعات'!$CL$5:$CL$1204,"&lt;&gt;"),""))</f>
        <v/>
      </c>
      <c r="O43" s="38">
        <f>IF(A43="","",COUNTIFS('ثبت اطلاعات'!$C$5:$C$1204,A43,'ثبت اطلاعات'!$CL$5:$CL$1204,"&lt;&gt;"))</f>
        <v>12</v>
      </c>
      <c r="P43" s="38" t="e">
        <f ca="1">IF(O43=0,"",MINIFS('ثبت اطلاعات'!$CN$5:$CN$1204,'ثبت اطلاعات'!$C$5:$C$1204,A43,'ثبت اطلاعات'!$CL$5:$CL$1204,"&lt;&gt;"))</f>
        <v>#NAME?</v>
      </c>
      <c r="Q43" s="38" t="e">
        <f ca="1">IF(O43=0,"",MAXIFS('ثبت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>
        <f>IF(دانش‌آموزان!L44="","",دانش‌آموزان!B44)</f>
        <v>40</v>
      </c>
      <c r="B44" s="55" t="str">
        <f>IF(A44="","",دانش‌آموزان!C44)</f>
        <v>0960472606</v>
      </c>
      <c r="C44" s="55" t="str">
        <f>IF(A44="","",دانش‌آموزان!E44&amp;" "&amp;دانش‌آموزان!F44)</f>
        <v>اميرعلي بابائي</v>
      </c>
      <c r="D44" s="34">
        <f>IF(A44="","",دانش‌آموزان!I44)</f>
        <v>802</v>
      </c>
      <c r="E44" s="27">
        <f>IF(A44="","",IFERROR(AVERAGEIFS('ثبت اطلاعات'!$CC$5:$CC$1204,'ثبت اطلاعات'!$C$5:$C$1204,A44,'ثبت اطلاعات'!$CL$5:$CL$1204,"&lt;&gt;"),""))</f>
        <v>21</v>
      </c>
      <c r="F44" s="38">
        <f>IF(A44="","",IFERROR(AVERAGEIFS('ثبت اطلاعات'!$CD$5:$CD$1204,'ثبت اطلاعات'!$C$5:$C$1204,A44,'ثبت اطلاعات'!$CL$5:$CL$1204,"&lt;&gt;"),""))</f>
        <v>20</v>
      </c>
      <c r="G44" s="38">
        <f>IF(A44="","",IFERROR(AVERAGEIFS('ثبت اطلاعات'!$CE$5:$CE$1204,'ثبت اطلاعات'!$C$5:$C$1204,A44,'ثبت اطلاعات'!$CL$5:$CL$1204,"&lt;&gt;"),""))</f>
        <v>20</v>
      </c>
      <c r="H44" s="38">
        <f>IF(A44="","",IFERROR(AVERAGEIFS('ثبت اطلاعات'!$CF$5:$CF$1204,'ثبت اطلاعات'!$C$5:$C$1204,A44,'ثبت اطلاعات'!$CL$5:$CL$1204,"&lt;&gt;"),""))</f>
        <v>20</v>
      </c>
      <c r="I44" s="38">
        <f>IF(A44="","",IFERROR(AVERAGEIFS('ثبت اطلاعات'!$CG$5:$CG$1204,'ثبت اطلاعات'!$C$5:$C$1204,A44,'ثبت اطلاعات'!$CL$5:$CL$1204,"&lt;&gt;"),""))</f>
        <v>20</v>
      </c>
      <c r="J44" s="38" t="str">
        <f>IF(A44="","",IFERROR(AVERAGEIFS('ثبت اطلاعات'!$CH$5:$CH$1204,'ثبت اطلاعات'!$C$5:$C$1204,A44,'ثبت اطلاعات'!$CL$5:$CL$1204,"&lt;&gt;"),""))</f>
        <v/>
      </c>
      <c r="K44" s="38">
        <f>IF(A44="","",IFERROR(AVERAGEIFS('ثبت اطلاعات'!$CI$5:$CI$1204,'ثبت اطلاعات'!$C$5:$C$1204,A44,'ثبت اطلاعات'!$CL$5:$CL$1204,"&lt;&gt;"),""))</f>
        <v>20</v>
      </c>
      <c r="L44" s="38" t="str">
        <f>IF(A44="","",IFERROR(AVERAGEIFS('ثبت اطلاعات'!$CJ$5:$CJ$1204,'ثبت اطلاعات'!$C$5:$C$1204,A44,'ثبت اطلاعات'!$CL$5:$CL$1204,"&lt;&gt;"),""))</f>
        <v/>
      </c>
      <c r="M44" s="38" t="str">
        <f>IF(A44="","",IFERROR(AVERAGEIFS('ثبت اطلاعات'!$CK$5:$CK$1204,'ثبت اطلاعات'!$C$5:$C$1204,A44,'ثبت اطلاعات'!$CL$5:$CL$1204,"&lt;&gt;"),""))</f>
        <v/>
      </c>
      <c r="N44" s="38" t="str">
        <f>IF(A44="","",IFERROR(AVERAGEIFS('ثبت اطلاعات'!$CL$5:$CL$1204,'ثبت اطلاعات'!$C$5:$C$1204,A44,'ثبت اطلاعات'!$CL$5:$CL$1204,"&lt;&gt;"),""))</f>
        <v/>
      </c>
      <c r="O44" s="38">
        <f>IF(A44="","",COUNTIFS('ثبت اطلاعات'!$C$5:$C$1204,A44,'ثبت اطلاعات'!$CL$5:$CL$1204,"&lt;&gt;"))</f>
        <v>12</v>
      </c>
      <c r="P44" s="38" t="e">
        <f ca="1">IF(O44=0,"",MINIFS('ثبت اطلاعات'!$CN$5:$CN$1204,'ثبت اطلاعات'!$C$5:$C$1204,A44,'ثبت اطلاعات'!$CL$5:$CL$1204,"&lt;&gt;"))</f>
        <v>#NAME?</v>
      </c>
      <c r="Q44" s="38" t="e">
        <f ca="1">IF(O44=0,"",MAXIFS('ثبت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>
        <f>IF(دانش‌آموزان!L45="","",دانش‌آموزان!B45)</f>
        <v>41</v>
      </c>
      <c r="B45" s="55" t="str">
        <f>IF(A45="","",دانش‌آموزان!C45)</f>
        <v>0960516697</v>
      </c>
      <c r="C45" s="55" t="str">
        <f>IF(A45="","",دانش‌آموزان!E45&amp;" "&amp;دانش‌آموزان!F45)</f>
        <v>كسرا برزگر</v>
      </c>
      <c r="D45" s="34">
        <f>IF(A45="","",دانش‌آموزان!I45)</f>
        <v>802</v>
      </c>
      <c r="E45" s="27">
        <f>IF(A45="","",IFERROR(AVERAGEIFS('ثبت اطلاعات'!$CC$5:$CC$1204,'ثبت اطلاعات'!$C$5:$C$1204,A45,'ثبت اطلاعات'!$CL$5:$CL$1204,"&lt;&gt;"),""))</f>
        <v>20</v>
      </c>
      <c r="F45" s="38">
        <f>IF(A45="","",IFERROR(AVERAGEIFS('ثبت اطلاعات'!$CD$5:$CD$1204,'ثبت اطلاعات'!$C$5:$C$1204,A45,'ثبت اطلاعات'!$CL$5:$CL$1204,"&lt;&gt;"),""))</f>
        <v>20</v>
      </c>
      <c r="G45" s="38">
        <f>IF(A45="","",IFERROR(AVERAGEIFS('ثبت اطلاعات'!$CE$5:$CE$1204,'ثبت اطلاعات'!$C$5:$C$1204,A45,'ثبت اطلاعات'!$CL$5:$CL$1204,"&lt;&gt;"),""))</f>
        <v>20</v>
      </c>
      <c r="H45" s="38">
        <f>IF(A45="","",IFERROR(AVERAGEIFS('ثبت اطلاعات'!$CF$5:$CF$1204,'ثبت اطلاعات'!$C$5:$C$1204,A45,'ثبت اطلاعات'!$CL$5:$CL$1204,"&lt;&gt;"),""))</f>
        <v>20</v>
      </c>
      <c r="I45" s="38">
        <f>IF(A45="","",IFERROR(AVERAGEIFS('ثبت اطلاعات'!$CG$5:$CG$1204,'ثبت اطلاعات'!$C$5:$C$1204,A45,'ثبت اطلاعات'!$CL$5:$CL$1204,"&lt;&gt;"),""))</f>
        <v>20</v>
      </c>
      <c r="J45" s="38" t="str">
        <f>IF(A45="","",IFERROR(AVERAGEIFS('ثبت اطلاعات'!$CH$5:$CH$1204,'ثبت اطلاعات'!$C$5:$C$1204,A45,'ثبت اطلاعات'!$CL$5:$CL$1204,"&lt;&gt;"),""))</f>
        <v/>
      </c>
      <c r="K45" s="38">
        <f>IF(A45="","",IFERROR(AVERAGEIFS('ثبت اطلاعات'!$CI$5:$CI$1204,'ثبت اطلاعات'!$C$5:$C$1204,A45,'ثبت اطلاعات'!$CL$5:$CL$1204,"&lt;&gt;"),""))</f>
        <v>20</v>
      </c>
      <c r="L45" s="38" t="str">
        <f>IF(A45="","",IFERROR(AVERAGEIFS('ثبت اطلاعات'!$CJ$5:$CJ$1204,'ثبت اطلاعات'!$C$5:$C$1204,A45,'ثبت اطلاعات'!$CL$5:$CL$1204,"&lt;&gt;"),""))</f>
        <v/>
      </c>
      <c r="M45" s="38" t="str">
        <f>IF(A45="","",IFERROR(AVERAGEIFS('ثبت اطلاعات'!$CK$5:$CK$1204,'ثبت اطلاعات'!$C$5:$C$1204,A45,'ثبت اطلاعات'!$CL$5:$CL$1204,"&lt;&gt;"),""))</f>
        <v/>
      </c>
      <c r="N45" s="38" t="str">
        <f>IF(A45="","",IFERROR(AVERAGEIFS('ثبت اطلاعات'!$CL$5:$CL$1204,'ثبت اطلاعات'!$C$5:$C$1204,A45,'ثبت اطلاعات'!$CL$5:$CL$1204,"&lt;&gt;"),""))</f>
        <v/>
      </c>
      <c r="O45" s="38">
        <f>IF(A45="","",COUNTIFS('ثبت اطلاعات'!$C$5:$C$1204,A45,'ثبت اطلاعات'!$CL$5:$CL$1204,"&lt;&gt;"))</f>
        <v>12</v>
      </c>
      <c r="P45" s="38" t="e">
        <f ca="1">IF(O45=0,"",MINIFS('ثبت اطلاعات'!$CN$5:$CN$1204,'ثبت اطلاعات'!$C$5:$C$1204,A45,'ثبت اطلاعات'!$CL$5:$CL$1204,"&lt;&gt;"))</f>
        <v>#NAME?</v>
      </c>
      <c r="Q45" s="38" t="e">
        <f ca="1">IF(O45=0,"",MAXIFS('ثبت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>
        <f>IF(دانش‌آموزان!L46="","",دانش‌آموزان!B46)</f>
        <v>42</v>
      </c>
      <c r="B46" s="55" t="str">
        <f>IF(A46="","",دانش‌آموزان!C46)</f>
        <v>0960527303</v>
      </c>
      <c r="C46" s="55" t="str">
        <f>IF(A46="","",دانش‌آموزان!E46&amp;" "&amp;دانش‌آموزان!F46)</f>
        <v>باربد بلندي</v>
      </c>
      <c r="D46" s="34">
        <f>IF(A46="","",دانش‌آموزان!I46)</f>
        <v>802</v>
      </c>
      <c r="E46" s="27">
        <f>IF(A46="","",IFERROR(AVERAGEIFS('ثبت اطلاعات'!$CC$5:$CC$1204,'ثبت اطلاعات'!$C$5:$C$1204,A46,'ثبت اطلاعات'!$CL$5:$CL$1204,"&lt;&gt;"),""))</f>
        <v>28.2</v>
      </c>
      <c r="F46" s="38">
        <f>IF(A46="","",IFERROR(AVERAGEIFS('ثبت اطلاعات'!$CD$5:$CD$1204,'ثبت اطلاعات'!$C$5:$C$1204,A46,'ثبت اطلاعات'!$CL$5:$CL$1204,"&lt;&gt;"),""))</f>
        <v>20</v>
      </c>
      <c r="G46" s="38">
        <f>IF(A46="","",IFERROR(AVERAGEIFS('ثبت اطلاعات'!$CE$5:$CE$1204,'ثبت اطلاعات'!$C$5:$C$1204,A46,'ثبت اطلاعات'!$CL$5:$CL$1204,"&lt;&gt;"),""))</f>
        <v>20</v>
      </c>
      <c r="H46" s="38">
        <f>IF(A46="","",IFERROR(AVERAGEIFS('ثبت اطلاعات'!$CF$5:$CF$1204,'ثبت اطلاعات'!$C$5:$C$1204,A46,'ثبت اطلاعات'!$CL$5:$CL$1204,"&lt;&gt;"),""))</f>
        <v>20</v>
      </c>
      <c r="I46" s="38">
        <f>IF(A46="","",IFERROR(AVERAGEIFS('ثبت اطلاعات'!$CG$5:$CG$1204,'ثبت اطلاعات'!$C$5:$C$1204,A46,'ثبت اطلاعات'!$CL$5:$CL$1204,"&lt;&gt;"),""))</f>
        <v>20</v>
      </c>
      <c r="J46" s="38" t="str">
        <f>IF(A46="","",IFERROR(AVERAGEIFS('ثبت اطلاعات'!$CH$5:$CH$1204,'ثبت اطلاعات'!$C$5:$C$1204,A46,'ثبت اطلاعات'!$CL$5:$CL$1204,"&lt;&gt;"),""))</f>
        <v/>
      </c>
      <c r="K46" s="38">
        <f>IF(A46="","",IFERROR(AVERAGEIFS('ثبت اطلاعات'!$CI$5:$CI$1204,'ثبت اطلاعات'!$C$5:$C$1204,A46,'ثبت اطلاعات'!$CL$5:$CL$1204,"&lt;&gt;"),""))</f>
        <v>20</v>
      </c>
      <c r="L46" s="38" t="str">
        <f>IF(A46="","",IFERROR(AVERAGEIFS('ثبت اطلاعات'!$CJ$5:$CJ$1204,'ثبت اطلاعات'!$C$5:$C$1204,A46,'ثبت اطلاعات'!$CL$5:$CL$1204,"&lt;&gt;"),""))</f>
        <v/>
      </c>
      <c r="M46" s="38" t="str">
        <f>IF(A46="","",IFERROR(AVERAGEIFS('ثبت اطلاعات'!$CK$5:$CK$1204,'ثبت اطلاعات'!$C$5:$C$1204,A46,'ثبت اطلاعات'!$CL$5:$CL$1204,"&lt;&gt;"),""))</f>
        <v/>
      </c>
      <c r="N46" s="38" t="str">
        <f>IF(A46="","",IFERROR(AVERAGEIFS('ثبت اطلاعات'!$CL$5:$CL$1204,'ثبت اطلاعات'!$C$5:$C$1204,A46,'ثبت اطلاعات'!$CL$5:$CL$1204,"&lt;&gt;"),""))</f>
        <v/>
      </c>
      <c r="O46" s="38">
        <f>IF(A46="","",COUNTIFS('ثبت اطلاعات'!$C$5:$C$1204,A46,'ثبت اطلاعات'!$CL$5:$CL$1204,"&lt;&gt;"))</f>
        <v>12</v>
      </c>
      <c r="P46" s="38" t="e">
        <f ca="1">IF(O46=0,"",MINIFS('ثبت اطلاعات'!$CN$5:$CN$1204,'ثبت اطلاعات'!$C$5:$C$1204,A46,'ثبت اطلاعات'!$CL$5:$CL$1204,"&lt;&gt;"))</f>
        <v>#NAME?</v>
      </c>
      <c r="Q46" s="38" t="e">
        <f ca="1">IF(O46=0,"",MAXIFS('ثبت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>
        <f>IF(دانش‌آموزان!L47="","",دانش‌آموزان!B47)</f>
        <v>43</v>
      </c>
      <c r="B47" s="55" t="str">
        <f>IF(A47="","",دانش‌آموزان!C47)</f>
        <v>0960469478</v>
      </c>
      <c r="C47" s="55" t="str">
        <f>IF(A47="","",دانش‌آموزان!E47&amp;" "&amp;دانش‌آموزان!F47)</f>
        <v>محمدسجاد بوذري</v>
      </c>
      <c r="D47" s="34">
        <f>IF(A47="","",دانش‌آموزان!I47)</f>
        <v>802</v>
      </c>
      <c r="E47" s="27">
        <f>IF(A47="","",IFERROR(AVERAGEIFS('ثبت اطلاعات'!$CC$5:$CC$1204,'ثبت اطلاعات'!$C$5:$C$1204,A47,'ثبت اطلاعات'!$CL$5:$CL$1204,"&lt;&gt;"),""))</f>
        <v>22</v>
      </c>
      <c r="F47" s="38">
        <f>IF(A47="","",IFERROR(AVERAGEIFS('ثبت اطلاعات'!$CD$5:$CD$1204,'ثبت اطلاعات'!$C$5:$C$1204,A47,'ثبت اطلاعات'!$CL$5:$CL$1204,"&lt;&gt;"),""))</f>
        <v>20</v>
      </c>
      <c r="G47" s="38">
        <f>IF(A47="","",IFERROR(AVERAGEIFS('ثبت اطلاعات'!$CE$5:$CE$1204,'ثبت اطلاعات'!$C$5:$C$1204,A47,'ثبت اطلاعات'!$CL$5:$CL$1204,"&lt;&gt;"),""))</f>
        <v>20</v>
      </c>
      <c r="H47" s="38">
        <f>IF(A47="","",IFERROR(AVERAGEIFS('ثبت اطلاعات'!$CF$5:$CF$1204,'ثبت اطلاعات'!$C$5:$C$1204,A47,'ثبت اطلاعات'!$CL$5:$CL$1204,"&lt;&gt;"),""))</f>
        <v>20</v>
      </c>
      <c r="I47" s="38">
        <f>IF(A47="","",IFERROR(AVERAGEIFS('ثبت اطلاعات'!$CG$5:$CG$1204,'ثبت اطلاعات'!$C$5:$C$1204,A47,'ثبت اطلاعات'!$CL$5:$CL$1204,"&lt;&gt;"),""))</f>
        <v>20</v>
      </c>
      <c r="J47" s="38" t="str">
        <f>IF(A47="","",IFERROR(AVERAGEIFS('ثبت اطلاعات'!$CH$5:$CH$1204,'ثبت اطلاعات'!$C$5:$C$1204,A47,'ثبت اطلاعات'!$CL$5:$CL$1204,"&lt;&gt;"),""))</f>
        <v/>
      </c>
      <c r="K47" s="38">
        <f>IF(A47="","",IFERROR(AVERAGEIFS('ثبت اطلاعات'!$CI$5:$CI$1204,'ثبت اطلاعات'!$C$5:$C$1204,A47,'ثبت اطلاعات'!$CL$5:$CL$1204,"&lt;&gt;"),""))</f>
        <v>20</v>
      </c>
      <c r="L47" s="38" t="str">
        <f>IF(A47="","",IFERROR(AVERAGEIFS('ثبت اطلاعات'!$CJ$5:$CJ$1204,'ثبت اطلاعات'!$C$5:$C$1204,A47,'ثبت اطلاعات'!$CL$5:$CL$1204,"&lt;&gt;"),""))</f>
        <v/>
      </c>
      <c r="M47" s="38" t="str">
        <f>IF(A47="","",IFERROR(AVERAGEIFS('ثبت اطلاعات'!$CK$5:$CK$1204,'ثبت اطلاعات'!$C$5:$C$1204,A47,'ثبت اطلاعات'!$CL$5:$CL$1204,"&lt;&gt;"),""))</f>
        <v/>
      </c>
      <c r="N47" s="38" t="str">
        <f>IF(A47="","",IFERROR(AVERAGEIFS('ثبت اطلاعات'!$CL$5:$CL$1204,'ثبت اطلاعات'!$C$5:$C$1204,A47,'ثبت اطلاعات'!$CL$5:$CL$1204,"&lt;&gt;"),""))</f>
        <v/>
      </c>
      <c r="O47" s="38">
        <f>IF(A47="","",COUNTIFS('ثبت اطلاعات'!$C$5:$C$1204,A47,'ثبت اطلاعات'!$CL$5:$CL$1204,"&lt;&gt;"))</f>
        <v>12</v>
      </c>
      <c r="P47" s="38" t="e">
        <f ca="1">IF(O47=0,"",MINIFS('ثبت اطلاعات'!$CN$5:$CN$1204,'ثبت اطلاعات'!$C$5:$C$1204,A47,'ثبت اطلاعات'!$CL$5:$CL$1204,"&lt;&gt;"))</f>
        <v>#NAME?</v>
      </c>
      <c r="Q47" s="38" t="e">
        <f ca="1">IF(O47=0,"",MAXIFS('ثبت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>
        <f>IF(دانش‌آموزان!L48="","",دانش‌آموزان!B48)</f>
        <v>44</v>
      </c>
      <c r="B48" s="55" t="str">
        <f>IF(A48="","",دانش‌آموزان!C48)</f>
        <v>0960575340</v>
      </c>
      <c r="C48" s="55" t="str">
        <f>IF(A48="","",دانش‌آموزان!E48&amp;" "&amp;دانش‌آموزان!F48)</f>
        <v>يوسف جعفري</v>
      </c>
      <c r="D48" s="34">
        <f>IF(A48="","",دانش‌آموزان!I48)</f>
        <v>802</v>
      </c>
      <c r="E48" s="27">
        <f>IF(A48="","",IFERROR(AVERAGEIFS('ثبت اطلاعات'!$CC$5:$CC$1204,'ثبت اطلاعات'!$C$5:$C$1204,A48,'ثبت اطلاعات'!$CL$5:$CL$1204,"&lt;&gt;"),""))</f>
        <v>21</v>
      </c>
      <c r="F48" s="38">
        <f>IF(A48="","",IFERROR(AVERAGEIFS('ثبت اطلاعات'!$CD$5:$CD$1204,'ثبت اطلاعات'!$C$5:$C$1204,A48,'ثبت اطلاعات'!$CL$5:$CL$1204,"&lt;&gt;"),""))</f>
        <v>20</v>
      </c>
      <c r="G48" s="38">
        <f>IF(A48="","",IFERROR(AVERAGEIFS('ثبت اطلاعات'!$CE$5:$CE$1204,'ثبت اطلاعات'!$C$5:$C$1204,A48,'ثبت اطلاعات'!$CL$5:$CL$1204,"&lt;&gt;"),""))</f>
        <v>20</v>
      </c>
      <c r="H48" s="38">
        <f>IF(A48="","",IFERROR(AVERAGEIFS('ثبت اطلاعات'!$CF$5:$CF$1204,'ثبت اطلاعات'!$C$5:$C$1204,A48,'ثبت اطلاعات'!$CL$5:$CL$1204,"&lt;&gt;"),""))</f>
        <v>20</v>
      </c>
      <c r="I48" s="38">
        <f>IF(A48="","",IFERROR(AVERAGEIFS('ثبت اطلاعات'!$CG$5:$CG$1204,'ثبت اطلاعات'!$C$5:$C$1204,A48,'ثبت اطلاعات'!$CL$5:$CL$1204,"&lt;&gt;"),""))</f>
        <v>20</v>
      </c>
      <c r="J48" s="38" t="str">
        <f>IF(A48="","",IFERROR(AVERAGEIFS('ثبت اطلاعات'!$CH$5:$CH$1204,'ثبت اطلاعات'!$C$5:$C$1204,A48,'ثبت اطلاعات'!$CL$5:$CL$1204,"&lt;&gt;"),""))</f>
        <v/>
      </c>
      <c r="K48" s="38">
        <f>IF(A48="","",IFERROR(AVERAGEIFS('ثبت اطلاعات'!$CI$5:$CI$1204,'ثبت اطلاعات'!$C$5:$C$1204,A48,'ثبت اطلاعات'!$CL$5:$CL$1204,"&lt;&gt;"),""))</f>
        <v>20</v>
      </c>
      <c r="L48" s="38" t="str">
        <f>IF(A48="","",IFERROR(AVERAGEIFS('ثبت اطلاعات'!$CJ$5:$CJ$1204,'ثبت اطلاعات'!$C$5:$C$1204,A48,'ثبت اطلاعات'!$CL$5:$CL$1204,"&lt;&gt;"),""))</f>
        <v/>
      </c>
      <c r="M48" s="38" t="str">
        <f>IF(A48="","",IFERROR(AVERAGEIFS('ثبت اطلاعات'!$CK$5:$CK$1204,'ثبت اطلاعات'!$C$5:$C$1204,A48,'ثبت اطلاعات'!$CL$5:$CL$1204,"&lt;&gt;"),""))</f>
        <v/>
      </c>
      <c r="N48" s="38" t="str">
        <f>IF(A48="","",IFERROR(AVERAGEIFS('ثبت اطلاعات'!$CL$5:$CL$1204,'ثبت اطلاعات'!$C$5:$C$1204,A48,'ثبت اطلاعات'!$CL$5:$CL$1204,"&lt;&gt;"),""))</f>
        <v/>
      </c>
      <c r="O48" s="38">
        <f>IF(A48="","",COUNTIFS('ثبت اطلاعات'!$C$5:$C$1204,A48,'ثبت اطلاعات'!$CL$5:$CL$1204,"&lt;&gt;"))</f>
        <v>12</v>
      </c>
      <c r="P48" s="38" t="e">
        <f ca="1">IF(O48=0,"",MINIFS('ثبت اطلاعات'!$CN$5:$CN$1204,'ثبت اطلاعات'!$C$5:$C$1204,A48,'ثبت اطلاعات'!$CL$5:$CL$1204,"&lt;&gt;"))</f>
        <v>#NAME?</v>
      </c>
      <c r="Q48" s="38" t="e">
        <f ca="1">IF(O48=0,"",MAXIFS('ثبت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>
        <f>IF(دانش‌آموزان!L49="","",دانش‌آموزان!B49)</f>
        <v>45</v>
      </c>
      <c r="B49" s="55" t="str">
        <f>IF(A49="","",دانش‌آموزان!C49)</f>
        <v>0960550658</v>
      </c>
      <c r="C49" s="55" t="str">
        <f>IF(A49="","",دانش‌آموزان!E49&amp;" "&amp;دانش‌آموزان!F49)</f>
        <v>بنيامين جعفريان</v>
      </c>
      <c r="D49" s="34">
        <f>IF(A49="","",دانش‌آموزان!I49)</f>
        <v>802</v>
      </c>
      <c r="E49" s="27">
        <f>IF(A49="","",IFERROR(AVERAGEIFS('ثبت اطلاعات'!$CC$5:$CC$1204,'ثبت اطلاعات'!$C$5:$C$1204,A49,'ثبت اطلاعات'!$CL$5:$CL$1204,"&lt;&gt;"),""))</f>
        <v>28.285714285714285</v>
      </c>
      <c r="F49" s="38">
        <f>IF(A49="","",IFERROR(AVERAGEIFS('ثبت اطلاعات'!$CD$5:$CD$1204,'ثبت اطلاعات'!$C$5:$C$1204,A49,'ثبت اطلاعات'!$CL$5:$CL$1204,"&lt;&gt;"),""))</f>
        <v>20</v>
      </c>
      <c r="G49" s="38">
        <f>IF(A49="","",IFERROR(AVERAGEIFS('ثبت اطلاعات'!$CE$5:$CE$1204,'ثبت اطلاعات'!$C$5:$C$1204,A49,'ثبت اطلاعات'!$CL$5:$CL$1204,"&lt;&gt;"),""))</f>
        <v>20</v>
      </c>
      <c r="H49" s="38">
        <f>IF(A49="","",IFERROR(AVERAGEIFS('ثبت اطلاعات'!$CF$5:$CF$1204,'ثبت اطلاعات'!$C$5:$C$1204,A49,'ثبت اطلاعات'!$CL$5:$CL$1204,"&lt;&gt;"),""))</f>
        <v>20</v>
      </c>
      <c r="I49" s="38">
        <f>IF(A49="","",IFERROR(AVERAGEIFS('ثبت اطلاعات'!$CG$5:$CG$1204,'ثبت اطلاعات'!$C$5:$C$1204,A49,'ثبت اطلاعات'!$CL$5:$CL$1204,"&lt;&gt;"),""))</f>
        <v>20</v>
      </c>
      <c r="J49" s="38" t="str">
        <f>IF(A49="","",IFERROR(AVERAGEIFS('ثبت اطلاعات'!$CH$5:$CH$1204,'ثبت اطلاعات'!$C$5:$C$1204,A49,'ثبت اطلاعات'!$CL$5:$CL$1204,"&lt;&gt;"),""))</f>
        <v/>
      </c>
      <c r="K49" s="38">
        <f>IF(A49="","",IFERROR(AVERAGEIFS('ثبت اطلاعات'!$CI$5:$CI$1204,'ثبت اطلاعات'!$C$5:$C$1204,A49,'ثبت اطلاعات'!$CL$5:$CL$1204,"&lt;&gt;"),""))</f>
        <v>20</v>
      </c>
      <c r="L49" s="38" t="str">
        <f>IF(A49="","",IFERROR(AVERAGEIFS('ثبت اطلاعات'!$CJ$5:$CJ$1204,'ثبت اطلاعات'!$C$5:$C$1204,A49,'ثبت اطلاعات'!$CL$5:$CL$1204,"&lt;&gt;"),""))</f>
        <v/>
      </c>
      <c r="M49" s="38" t="str">
        <f>IF(A49="","",IFERROR(AVERAGEIFS('ثبت اطلاعات'!$CK$5:$CK$1204,'ثبت اطلاعات'!$C$5:$C$1204,A49,'ثبت اطلاعات'!$CL$5:$CL$1204,"&lt;&gt;"),""))</f>
        <v/>
      </c>
      <c r="N49" s="38" t="str">
        <f>IF(A49="","",IFERROR(AVERAGEIFS('ثبت اطلاعات'!$CL$5:$CL$1204,'ثبت اطلاعات'!$C$5:$C$1204,A49,'ثبت اطلاعات'!$CL$5:$CL$1204,"&lt;&gt;"),""))</f>
        <v/>
      </c>
      <c r="O49" s="38">
        <f>IF(A49="","",COUNTIFS('ثبت اطلاعات'!$C$5:$C$1204,A49,'ثبت اطلاعات'!$CL$5:$CL$1204,"&lt;&gt;"))</f>
        <v>12</v>
      </c>
      <c r="P49" s="38" t="e">
        <f ca="1">IF(O49=0,"",MINIFS('ثبت اطلاعات'!$CN$5:$CN$1204,'ثبت اطلاعات'!$C$5:$C$1204,A49,'ثبت اطلاعات'!$CL$5:$CL$1204,"&lt;&gt;"))</f>
        <v>#NAME?</v>
      </c>
      <c r="Q49" s="38" t="e">
        <f ca="1">IF(O49=0,"",MAXIFS('ثبت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>
        <f>IF(دانش‌آموزان!L50="","",دانش‌آموزان!B50)</f>
        <v>46</v>
      </c>
      <c r="B50" s="55" t="str">
        <f>IF(A50="","",دانش‌آموزان!C50)</f>
        <v>0970836211</v>
      </c>
      <c r="C50" s="55" t="str">
        <f>IF(A50="","",دانش‌آموزان!E50&amp;" "&amp;دانش‌آموزان!F50)</f>
        <v>محمد چمانه گير</v>
      </c>
      <c r="D50" s="34">
        <f>IF(A50="","",دانش‌آموزان!I50)</f>
        <v>802</v>
      </c>
      <c r="E50" s="27">
        <f>IF(A50="","",IFERROR(AVERAGEIFS('ثبت اطلاعات'!$CC$5:$CC$1204,'ثبت اطلاعات'!$C$5:$C$1204,A50,'ثبت اطلاعات'!$CL$5:$CL$1204,"&lt;&gt;"),""))</f>
        <v>20.5</v>
      </c>
      <c r="F50" s="38">
        <f>IF(A50="","",IFERROR(AVERAGEIFS('ثبت اطلاعات'!$CD$5:$CD$1204,'ثبت اطلاعات'!$C$5:$C$1204,A50,'ثبت اطلاعات'!$CL$5:$CL$1204,"&lt;&gt;"),""))</f>
        <v>20</v>
      </c>
      <c r="G50" s="38">
        <f>IF(A50="","",IFERROR(AVERAGEIFS('ثبت اطلاعات'!$CE$5:$CE$1204,'ثبت اطلاعات'!$C$5:$C$1204,A50,'ثبت اطلاعات'!$CL$5:$CL$1204,"&lt;&gt;"),""))</f>
        <v>20</v>
      </c>
      <c r="H50" s="38">
        <f>IF(A50="","",IFERROR(AVERAGEIFS('ثبت اطلاعات'!$CF$5:$CF$1204,'ثبت اطلاعات'!$C$5:$C$1204,A50,'ثبت اطلاعات'!$CL$5:$CL$1204,"&lt;&gt;"),""))</f>
        <v>20</v>
      </c>
      <c r="I50" s="38">
        <f>IF(A50="","",IFERROR(AVERAGEIFS('ثبت اطلاعات'!$CG$5:$CG$1204,'ثبت اطلاعات'!$C$5:$C$1204,A50,'ثبت اطلاعات'!$CL$5:$CL$1204,"&lt;&gt;"),""))</f>
        <v>20</v>
      </c>
      <c r="J50" s="38" t="str">
        <f>IF(A50="","",IFERROR(AVERAGEIFS('ثبت اطلاعات'!$CH$5:$CH$1204,'ثبت اطلاعات'!$C$5:$C$1204,A50,'ثبت اطلاعات'!$CL$5:$CL$1204,"&lt;&gt;"),""))</f>
        <v/>
      </c>
      <c r="K50" s="38">
        <f>IF(A50="","",IFERROR(AVERAGEIFS('ثبت اطلاعات'!$CI$5:$CI$1204,'ثبت اطلاعات'!$C$5:$C$1204,A50,'ثبت اطلاعات'!$CL$5:$CL$1204,"&lt;&gt;"),""))</f>
        <v>20</v>
      </c>
      <c r="L50" s="38" t="str">
        <f>IF(A50="","",IFERROR(AVERAGEIFS('ثبت اطلاعات'!$CJ$5:$CJ$1204,'ثبت اطلاعات'!$C$5:$C$1204,A50,'ثبت اطلاعات'!$CL$5:$CL$1204,"&lt;&gt;"),""))</f>
        <v/>
      </c>
      <c r="M50" s="38" t="str">
        <f>IF(A50="","",IFERROR(AVERAGEIFS('ثبت اطلاعات'!$CK$5:$CK$1204,'ثبت اطلاعات'!$C$5:$C$1204,A50,'ثبت اطلاعات'!$CL$5:$CL$1204,"&lt;&gt;"),""))</f>
        <v/>
      </c>
      <c r="N50" s="38" t="str">
        <f>IF(A50="","",IFERROR(AVERAGEIFS('ثبت اطلاعات'!$CL$5:$CL$1204,'ثبت اطلاعات'!$C$5:$C$1204,A50,'ثبت اطلاعات'!$CL$5:$CL$1204,"&lt;&gt;"),""))</f>
        <v/>
      </c>
      <c r="O50" s="38">
        <f>IF(A50="","",COUNTIFS('ثبت اطلاعات'!$C$5:$C$1204,A50,'ثبت اطلاعات'!$CL$5:$CL$1204,"&lt;&gt;"))</f>
        <v>12</v>
      </c>
      <c r="P50" s="38" t="e">
        <f ca="1">IF(O50=0,"",MINIFS('ثبت اطلاعات'!$CN$5:$CN$1204,'ثبت اطلاعات'!$C$5:$C$1204,A50,'ثبت اطلاعات'!$CL$5:$CL$1204,"&lt;&gt;"))</f>
        <v>#NAME?</v>
      </c>
      <c r="Q50" s="38" t="e">
        <f ca="1">IF(O50=0,"",MAXIFS('ثبت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>
        <f>IF(دانش‌آموزان!L51="","",دانش‌آموزان!B51)</f>
        <v>47</v>
      </c>
      <c r="B51" s="55" t="str">
        <f>IF(A51="","",دانش‌آموزان!C51)</f>
        <v>93100756484</v>
      </c>
      <c r="C51" s="55" t="str">
        <f>IF(A51="","",دانش‌آموزان!E51&amp;" "&amp;دانش‌آموزان!F51)</f>
        <v>اميرعلي حسن پور</v>
      </c>
      <c r="D51" s="34">
        <f>IF(A51="","",دانش‌آموزان!I51)</f>
        <v>802</v>
      </c>
      <c r="E51" s="27">
        <f>IF(A51="","",IFERROR(AVERAGEIFS('ثبت اطلاعات'!$CC$5:$CC$1204,'ثبت اطلاعات'!$C$5:$C$1204,A51,'ثبت اطلاعات'!$CL$5:$CL$1204,"&lt;&gt;"),""))</f>
        <v>58.506666666666668</v>
      </c>
      <c r="F51" s="38">
        <f>IF(A51="","",IFERROR(AVERAGEIFS('ثبت اطلاعات'!$CD$5:$CD$1204,'ثبت اطلاعات'!$C$5:$C$1204,A51,'ثبت اطلاعات'!$CL$5:$CL$1204,"&lt;&gt;"),""))</f>
        <v>20</v>
      </c>
      <c r="G51" s="38">
        <f>IF(A51="","",IFERROR(AVERAGEIFS('ثبت اطلاعات'!$CE$5:$CE$1204,'ثبت اطلاعات'!$C$5:$C$1204,A51,'ثبت اطلاعات'!$CL$5:$CL$1204,"&lt;&gt;"),""))</f>
        <v>20</v>
      </c>
      <c r="H51" s="38">
        <f>IF(A51="","",IFERROR(AVERAGEIFS('ثبت اطلاعات'!$CF$5:$CF$1204,'ثبت اطلاعات'!$C$5:$C$1204,A51,'ثبت اطلاعات'!$CL$5:$CL$1204,"&lt;&gt;"),""))</f>
        <v>20</v>
      </c>
      <c r="I51" s="38">
        <f>IF(A51="","",IFERROR(AVERAGEIFS('ثبت اطلاعات'!$CG$5:$CG$1204,'ثبت اطلاعات'!$C$5:$C$1204,A51,'ثبت اطلاعات'!$CL$5:$CL$1204,"&lt;&gt;"),""))</f>
        <v>20</v>
      </c>
      <c r="J51" s="38" t="str">
        <f>IF(A51="","",IFERROR(AVERAGEIFS('ثبت اطلاعات'!$CH$5:$CH$1204,'ثبت اطلاعات'!$C$5:$C$1204,A51,'ثبت اطلاعات'!$CL$5:$CL$1204,"&lt;&gt;"),""))</f>
        <v/>
      </c>
      <c r="K51" s="38">
        <f>IF(A51="","",IFERROR(AVERAGEIFS('ثبت اطلاعات'!$CI$5:$CI$1204,'ثبت اطلاعات'!$C$5:$C$1204,A51,'ثبت اطلاعات'!$CL$5:$CL$1204,"&lt;&gt;"),""))</f>
        <v>20</v>
      </c>
      <c r="L51" s="38" t="str">
        <f>IF(A51="","",IFERROR(AVERAGEIFS('ثبت اطلاعات'!$CJ$5:$CJ$1204,'ثبت اطلاعات'!$C$5:$C$1204,A51,'ثبت اطلاعات'!$CL$5:$CL$1204,"&lt;&gt;"),""))</f>
        <v/>
      </c>
      <c r="M51" s="38" t="str">
        <f>IF(A51="","",IFERROR(AVERAGEIFS('ثبت اطلاعات'!$CK$5:$CK$1204,'ثبت اطلاعات'!$C$5:$C$1204,A51,'ثبت اطلاعات'!$CL$5:$CL$1204,"&lt;&gt;"),""))</f>
        <v/>
      </c>
      <c r="N51" s="38" t="str">
        <f>IF(A51="","",IFERROR(AVERAGEIFS('ثبت اطلاعات'!$CL$5:$CL$1204,'ثبت اطلاعات'!$C$5:$C$1204,A51,'ثبت اطلاعات'!$CL$5:$CL$1204,"&lt;&gt;"),""))</f>
        <v/>
      </c>
      <c r="O51" s="38">
        <f>IF(A51="","",COUNTIFS('ثبت اطلاعات'!$C$5:$C$1204,A51,'ثبت اطلاعات'!$CL$5:$CL$1204,"&lt;&gt;"))</f>
        <v>12</v>
      </c>
      <c r="P51" s="38" t="e">
        <f ca="1">IF(O51=0,"",MINIFS('ثبت اطلاعات'!$CN$5:$CN$1204,'ثبت اطلاعات'!$C$5:$C$1204,A51,'ثبت اطلاعات'!$CL$5:$CL$1204,"&lt;&gt;"))</f>
        <v>#NAME?</v>
      </c>
      <c r="Q51" s="38" t="e">
        <f ca="1">IF(O51=0,"",MAXIFS('ثبت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>
        <f>IF(دانش‌آموزان!L52="","",دانش‌آموزان!B52)</f>
        <v>48</v>
      </c>
      <c r="B52" s="55" t="str">
        <f>IF(A52="","",دانش‌آموزان!C52)</f>
        <v>0960460098</v>
      </c>
      <c r="C52" s="55" t="str">
        <f>IF(A52="","",دانش‌آموزان!E52&amp;" "&amp;دانش‌آموزان!F52)</f>
        <v>سيد اميرحسين حسيني</v>
      </c>
      <c r="D52" s="34">
        <f>IF(A52="","",دانش‌آموزان!I52)</f>
        <v>802</v>
      </c>
      <c r="E52" s="27">
        <f>IF(A52="","",IFERROR(AVERAGEIFS('ثبت اطلاعات'!$CC$5:$CC$1204,'ثبت اطلاعات'!$C$5:$C$1204,A52,'ثبت اطلاعات'!$CL$5:$CL$1204,"&lt;&gt;"),""))</f>
        <v>18</v>
      </c>
      <c r="F52" s="38">
        <f>IF(A52="","",IFERROR(AVERAGEIFS('ثبت اطلاعات'!$CD$5:$CD$1204,'ثبت اطلاعات'!$C$5:$C$1204,A52,'ثبت اطلاعات'!$CL$5:$CL$1204,"&lt;&gt;"),""))</f>
        <v>20</v>
      </c>
      <c r="G52" s="38">
        <f>IF(A52="","",IFERROR(AVERAGEIFS('ثبت اطلاعات'!$CE$5:$CE$1204,'ثبت اطلاعات'!$C$5:$C$1204,A52,'ثبت اطلاعات'!$CL$5:$CL$1204,"&lt;&gt;"),""))</f>
        <v>20</v>
      </c>
      <c r="H52" s="38">
        <f>IF(A52="","",IFERROR(AVERAGEIFS('ثبت اطلاعات'!$CF$5:$CF$1204,'ثبت اطلاعات'!$C$5:$C$1204,A52,'ثبت اطلاعات'!$CL$5:$CL$1204,"&lt;&gt;"),""))</f>
        <v>20</v>
      </c>
      <c r="I52" s="38">
        <f>IF(A52="","",IFERROR(AVERAGEIFS('ثبت اطلاعات'!$CG$5:$CG$1204,'ثبت اطلاعات'!$C$5:$C$1204,A52,'ثبت اطلاعات'!$CL$5:$CL$1204,"&lt;&gt;"),""))</f>
        <v>20</v>
      </c>
      <c r="J52" s="38" t="str">
        <f>IF(A52="","",IFERROR(AVERAGEIFS('ثبت اطلاعات'!$CH$5:$CH$1204,'ثبت اطلاعات'!$C$5:$C$1204,A52,'ثبت اطلاعات'!$CL$5:$CL$1204,"&lt;&gt;"),""))</f>
        <v/>
      </c>
      <c r="K52" s="38">
        <f>IF(A52="","",IFERROR(AVERAGEIFS('ثبت اطلاعات'!$CI$5:$CI$1204,'ثبت اطلاعات'!$C$5:$C$1204,A52,'ثبت اطلاعات'!$CL$5:$CL$1204,"&lt;&gt;"),""))</f>
        <v>20</v>
      </c>
      <c r="L52" s="38" t="str">
        <f>IF(A52="","",IFERROR(AVERAGEIFS('ثبت اطلاعات'!$CJ$5:$CJ$1204,'ثبت اطلاعات'!$C$5:$C$1204,A52,'ثبت اطلاعات'!$CL$5:$CL$1204,"&lt;&gt;"),""))</f>
        <v/>
      </c>
      <c r="M52" s="38" t="str">
        <f>IF(A52="","",IFERROR(AVERAGEIFS('ثبت اطلاعات'!$CK$5:$CK$1204,'ثبت اطلاعات'!$C$5:$C$1204,A52,'ثبت اطلاعات'!$CL$5:$CL$1204,"&lt;&gt;"),""))</f>
        <v/>
      </c>
      <c r="N52" s="38" t="str">
        <f>IF(A52="","",IFERROR(AVERAGEIFS('ثبت اطلاعات'!$CL$5:$CL$1204,'ثبت اطلاعات'!$C$5:$C$1204,A52,'ثبت اطلاعات'!$CL$5:$CL$1204,"&lt;&gt;"),""))</f>
        <v/>
      </c>
      <c r="O52" s="38">
        <f>IF(A52="","",COUNTIFS('ثبت اطلاعات'!$C$5:$C$1204,A52,'ثبت اطلاعات'!$CL$5:$CL$1204,"&lt;&gt;"))</f>
        <v>12</v>
      </c>
      <c r="P52" s="38" t="e">
        <f ca="1">IF(O52=0,"",MINIFS('ثبت اطلاعات'!$CN$5:$CN$1204,'ثبت اطلاعات'!$C$5:$C$1204,A52,'ثبت اطلاعات'!$CL$5:$CL$1204,"&lt;&gt;"))</f>
        <v>#NAME?</v>
      </c>
      <c r="Q52" s="38" t="e">
        <f ca="1">IF(O52=0,"",MAXIFS('ثبت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>
        <f>IF(دانش‌آموزان!L53="","",دانش‌آموزان!B53)</f>
        <v>49</v>
      </c>
      <c r="B53" s="55" t="str">
        <f>IF(A53="","",دانش‌آموزان!C53)</f>
        <v>0960533151</v>
      </c>
      <c r="C53" s="55" t="str">
        <f>IF(A53="","",دانش‌آموزان!E53&amp;" "&amp;دانش‌آموزان!F53)</f>
        <v>محمد طاها خالقي</v>
      </c>
      <c r="D53" s="34">
        <f>IF(A53="","",دانش‌آموزان!I53)</f>
        <v>802</v>
      </c>
      <c r="E53" s="27">
        <f>IF(A53="","",IFERROR(AVERAGEIFS('ثبت اطلاعات'!$CC$5:$CC$1204,'ثبت اطلاعات'!$C$5:$C$1204,A53,'ثبت اطلاعات'!$CL$5:$CL$1204,"&lt;&gt;"),""))</f>
        <v>24</v>
      </c>
      <c r="F53" s="38">
        <f>IF(A53="","",IFERROR(AVERAGEIFS('ثبت اطلاعات'!$CD$5:$CD$1204,'ثبت اطلاعات'!$C$5:$C$1204,A53,'ثبت اطلاعات'!$CL$5:$CL$1204,"&lt;&gt;"),""))</f>
        <v>20</v>
      </c>
      <c r="G53" s="38">
        <f>IF(A53="","",IFERROR(AVERAGEIFS('ثبت اطلاعات'!$CE$5:$CE$1204,'ثبت اطلاعات'!$C$5:$C$1204,A53,'ثبت اطلاعات'!$CL$5:$CL$1204,"&lt;&gt;"),""))</f>
        <v>20</v>
      </c>
      <c r="H53" s="38">
        <f>IF(A53="","",IFERROR(AVERAGEIFS('ثبت اطلاعات'!$CF$5:$CF$1204,'ثبت اطلاعات'!$C$5:$C$1204,A53,'ثبت اطلاعات'!$CL$5:$CL$1204,"&lt;&gt;"),""))</f>
        <v>20</v>
      </c>
      <c r="I53" s="38">
        <f>IF(A53="","",IFERROR(AVERAGEIFS('ثبت اطلاعات'!$CG$5:$CG$1204,'ثبت اطلاعات'!$C$5:$C$1204,A53,'ثبت اطلاعات'!$CL$5:$CL$1204,"&lt;&gt;"),""))</f>
        <v>20</v>
      </c>
      <c r="J53" s="38" t="str">
        <f>IF(A53="","",IFERROR(AVERAGEIFS('ثبت اطلاعات'!$CH$5:$CH$1204,'ثبت اطلاعات'!$C$5:$C$1204,A53,'ثبت اطلاعات'!$CL$5:$CL$1204,"&lt;&gt;"),""))</f>
        <v/>
      </c>
      <c r="K53" s="38">
        <f>IF(A53="","",IFERROR(AVERAGEIFS('ثبت اطلاعات'!$CI$5:$CI$1204,'ثبت اطلاعات'!$C$5:$C$1204,A53,'ثبت اطلاعات'!$CL$5:$CL$1204,"&lt;&gt;"),""))</f>
        <v>20</v>
      </c>
      <c r="L53" s="38" t="str">
        <f>IF(A53="","",IFERROR(AVERAGEIFS('ثبت اطلاعات'!$CJ$5:$CJ$1204,'ثبت اطلاعات'!$C$5:$C$1204,A53,'ثبت اطلاعات'!$CL$5:$CL$1204,"&lt;&gt;"),""))</f>
        <v/>
      </c>
      <c r="M53" s="38" t="str">
        <f>IF(A53="","",IFERROR(AVERAGEIFS('ثبت اطلاعات'!$CK$5:$CK$1204,'ثبت اطلاعات'!$C$5:$C$1204,A53,'ثبت اطلاعات'!$CL$5:$CL$1204,"&lt;&gt;"),""))</f>
        <v/>
      </c>
      <c r="N53" s="38" t="str">
        <f>IF(A53="","",IFERROR(AVERAGEIFS('ثبت اطلاعات'!$CL$5:$CL$1204,'ثبت اطلاعات'!$C$5:$C$1204,A53,'ثبت اطلاعات'!$CL$5:$CL$1204,"&lt;&gt;"),""))</f>
        <v/>
      </c>
      <c r="O53" s="38">
        <f>IF(A53="","",COUNTIFS('ثبت اطلاعات'!$C$5:$C$1204,A53,'ثبت اطلاعات'!$CL$5:$CL$1204,"&lt;&gt;"))</f>
        <v>12</v>
      </c>
      <c r="P53" s="38" t="e">
        <f ca="1">IF(O53=0,"",MINIFS('ثبت اطلاعات'!$CN$5:$CN$1204,'ثبت اطلاعات'!$C$5:$C$1204,A53,'ثبت اطلاعات'!$CL$5:$CL$1204,"&lt;&gt;"))</f>
        <v>#NAME?</v>
      </c>
      <c r="Q53" s="38" t="e">
        <f ca="1">IF(O53=0,"",MAXIFS('ثبت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>
        <f>IF(دانش‌آموزان!L54="","",دانش‌آموزان!B54)</f>
        <v>50</v>
      </c>
      <c r="B54" s="55" t="str">
        <f>IF(A54="","",دانش‌آموزان!C54)</f>
        <v>0960470018</v>
      </c>
      <c r="C54" s="55" t="str">
        <f>IF(A54="","",دانش‌آموزان!E54&amp;" "&amp;دانش‌آموزان!F54)</f>
        <v>اميركسري دادخواه</v>
      </c>
      <c r="D54" s="34">
        <f>IF(A54="","",دانش‌آموزان!I54)</f>
        <v>802</v>
      </c>
      <c r="E54" s="27">
        <f>IF(A54="","",IFERROR(AVERAGEIFS('ثبت اطلاعات'!$CC$5:$CC$1204,'ثبت اطلاعات'!$C$5:$C$1204,A54,'ثبت اطلاعات'!$CL$5:$CL$1204,"&lt;&gt;"),""))</f>
        <v>66.896000000000001</v>
      </c>
      <c r="F54" s="38">
        <f>IF(A54="","",IFERROR(AVERAGEIFS('ثبت اطلاعات'!$CD$5:$CD$1204,'ثبت اطلاعات'!$C$5:$C$1204,A54,'ثبت اطلاعات'!$CL$5:$CL$1204,"&lt;&gt;"),""))</f>
        <v>20</v>
      </c>
      <c r="G54" s="38">
        <f>IF(A54="","",IFERROR(AVERAGEIFS('ثبت اطلاعات'!$CE$5:$CE$1204,'ثبت اطلاعات'!$C$5:$C$1204,A54,'ثبت اطلاعات'!$CL$5:$CL$1204,"&lt;&gt;"),""))</f>
        <v>20</v>
      </c>
      <c r="H54" s="38">
        <f>IF(A54="","",IFERROR(AVERAGEIFS('ثبت اطلاعات'!$CF$5:$CF$1204,'ثبت اطلاعات'!$C$5:$C$1204,A54,'ثبت اطلاعات'!$CL$5:$CL$1204,"&lt;&gt;"),""))</f>
        <v>20</v>
      </c>
      <c r="I54" s="38">
        <f>IF(A54="","",IFERROR(AVERAGEIFS('ثبت اطلاعات'!$CG$5:$CG$1204,'ثبت اطلاعات'!$C$5:$C$1204,A54,'ثبت اطلاعات'!$CL$5:$CL$1204,"&lt;&gt;"),""))</f>
        <v>20</v>
      </c>
      <c r="J54" s="38" t="str">
        <f>IF(A54="","",IFERROR(AVERAGEIFS('ثبت اطلاعات'!$CH$5:$CH$1204,'ثبت اطلاعات'!$C$5:$C$1204,A54,'ثبت اطلاعات'!$CL$5:$CL$1204,"&lt;&gt;"),""))</f>
        <v/>
      </c>
      <c r="K54" s="38">
        <f>IF(A54="","",IFERROR(AVERAGEIFS('ثبت اطلاعات'!$CI$5:$CI$1204,'ثبت اطلاعات'!$C$5:$C$1204,A54,'ثبت اطلاعات'!$CL$5:$CL$1204,"&lt;&gt;"),""))</f>
        <v>20</v>
      </c>
      <c r="L54" s="38" t="str">
        <f>IF(A54="","",IFERROR(AVERAGEIFS('ثبت اطلاعات'!$CJ$5:$CJ$1204,'ثبت اطلاعات'!$C$5:$C$1204,A54,'ثبت اطلاعات'!$CL$5:$CL$1204,"&lt;&gt;"),""))</f>
        <v/>
      </c>
      <c r="M54" s="38" t="str">
        <f>IF(A54="","",IFERROR(AVERAGEIFS('ثبت اطلاعات'!$CK$5:$CK$1204,'ثبت اطلاعات'!$C$5:$C$1204,A54,'ثبت اطلاعات'!$CL$5:$CL$1204,"&lt;&gt;"),""))</f>
        <v/>
      </c>
      <c r="N54" s="38" t="str">
        <f>IF(A54="","",IFERROR(AVERAGEIFS('ثبت اطلاعات'!$CL$5:$CL$1204,'ثبت اطلاعات'!$C$5:$C$1204,A54,'ثبت اطلاعات'!$CL$5:$CL$1204,"&lt;&gt;"),""))</f>
        <v/>
      </c>
      <c r="O54" s="38">
        <f>IF(A54="","",COUNTIFS('ثبت اطلاعات'!$C$5:$C$1204,A54,'ثبت اطلاعات'!$CL$5:$CL$1204,"&lt;&gt;"))</f>
        <v>12</v>
      </c>
      <c r="P54" s="38" t="e">
        <f ca="1">IF(O54=0,"",MINIFS('ثبت اطلاعات'!$CN$5:$CN$1204,'ثبت اطلاعات'!$C$5:$C$1204,A54,'ثبت اطلاعات'!$CL$5:$CL$1204,"&lt;&gt;"))</f>
        <v>#NAME?</v>
      </c>
      <c r="Q54" s="38" t="e">
        <f ca="1">IF(O54=0,"",MAXIFS('ثبت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>
        <f>IF(دانش‌آموزان!L55="","",دانش‌آموزان!B55)</f>
        <v>51</v>
      </c>
      <c r="B55" s="55" t="str">
        <f>IF(A55="","",دانش‌آموزان!C55)</f>
        <v>0970673388</v>
      </c>
      <c r="C55" s="55" t="str">
        <f>IF(A55="","",دانش‌آموزان!E55&amp;" "&amp;دانش‌آموزان!F55)</f>
        <v>پارسا دستمرد</v>
      </c>
      <c r="D55" s="34">
        <f>IF(A55="","",دانش‌آموزان!I55)</f>
        <v>802</v>
      </c>
      <c r="E55" s="27">
        <f>IF(A55="","",IFERROR(AVERAGEIFS('ثبت اطلاعات'!$CC$5:$CC$1204,'ثبت اطلاعات'!$C$5:$C$1204,A55,'ثبت اطلاعات'!$CL$5:$CL$1204,"&lt;&gt;"),""))</f>
        <v>21.5</v>
      </c>
      <c r="F55" s="38">
        <f>IF(A55="","",IFERROR(AVERAGEIFS('ثبت اطلاعات'!$CD$5:$CD$1204,'ثبت اطلاعات'!$C$5:$C$1204,A55,'ثبت اطلاعات'!$CL$5:$CL$1204,"&lt;&gt;"),""))</f>
        <v>20</v>
      </c>
      <c r="G55" s="38">
        <f>IF(A55="","",IFERROR(AVERAGEIFS('ثبت اطلاعات'!$CE$5:$CE$1204,'ثبت اطلاعات'!$C$5:$C$1204,A55,'ثبت اطلاعات'!$CL$5:$CL$1204,"&lt;&gt;"),""))</f>
        <v>20</v>
      </c>
      <c r="H55" s="38">
        <f>IF(A55="","",IFERROR(AVERAGEIFS('ثبت اطلاعات'!$CF$5:$CF$1204,'ثبت اطلاعات'!$C$5:$C$1204,A55,'ثبت اطلاعات'!$CL$5:$CL$1204,"&lt;&gt;"),""))</f>
        <v>20</v>
      </c>
      <c r="I55" s="38">
        <f>IF(A55="","",IFERROR(AVERAGEIFS('ثبت اطلاعات'!$CG$5:$CG$1204,'ثبت اطلاعات'!$C$5:$C$1204,A55,'ثبت اطلاعات'!$CL$5:$CL$1204,"&lt;&gt;"),""))</f>
        <v>20</v>
      </c>
      <c r="J55" s="38" t="str">
        <f>IF(A55="","",IFERROR(AVERAGEIFS('ثبت اطلاعات'!$CH$5:$CH$1204,'ثبت اطلاعات'!$C$5:$C$1204,A55,'ثبت اطلاعات'!$CL$5:$CL$1204,"&lt;&gt;"),""))</f>
        <v/>
      </c>
      <c r="K55" s="38">
        <f>IF(A55="","",IFERROR(AVERAGEIFS('ثبت اطلاعات'!$CI$5:$CI$1204,'ثبت اطلاعات'!$C$5:$C$1204,A55,'ثبت اطلاعات'!$CL$5:$CL$1204,"&lt;&gt;"),""))</f>
        <v>20</v>
      </c>
      <c r="L55" s="38" t="str">
        <f>IF(A55="","",IFERROR(AVERAGEIFS('ثبت اطلاعات'!$CJ$5:$CJ$1204,'ثبت اطلاعات'!$C$5:$C$1204,A55,'ثبت اطلاعات'!$CL$5:$CL$1204,"&lt;&gt;"),""))</f>
        <v/>
      </c>
      <c r="M55" s="38" t="str">
        <f>IF(A55="","",IFERROR(AVERAGEIFS('ثبت اطلاعات'!$CK$5:$CK$1204,'ثبت اطلاعات'!$C$5:$C$1204,A55,'ثبت اطلاعات'!$CL$5:$CL$1204,"&lt;&gt;"),""))</f>
        <v/>
      </c>
      <c r="N55" s="38" t="str">
        <f>IF(A55="","",IFERROR(AVERAGEIFS('ثبت اطلاعات'!$CL$5:$CL$1204,'ثبت اطلاعات'!$C$5:$C$1204,A55,'ثبت اطلاعات'!$CL$5:$CL$1204,"&lt;&gt;"),""))</f>
        <v/>
      </c>
      <c r="O55" s="38">
        <f>IF(A55="","",COUNTIFS('ثبت اطلاعات'!$C$5:$C$1204,A55,'ثبت اطلاعات'!$CL$5:$CL$1204,"&lt;&gt;"))</f>
        <v>12</v>
      </c>
      <c r="P55" s="38" t="e">
        <f ca="1">IF(O55=0,"",MINIFS('ثبت اطلاعات'!$CN$5:$CN$1204,'ثبت اطلاعات'!$C$5:$C$1204,A55,'ثبت اطلاعات'!$CL$5:$CL$1204,"&lt;&gt;"))</f>
        <v>#NAME?</v>
      </c>
      <c r="Q55" s="38" t="e">
        <f ca="1">IF(O55=0,"",MAXIFS('ثبت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>
        <f>IF(دانش‌آموزان!L56="","",دانش‌آموزان!B56)</f>
        <v>52</v>
      </c>
      <c r="B56" s="55" t="str">
        <f>IF(A56="","",دانش‌آموزان!C56)</f>
        <v>0960617809</v>
      </c>
      <c r="C56" s="55" t="str">
        <f>IF(A56="","",دانش‌آموزان!E56&amp;" "&amp;دانش‌آموزان!F56)</f>
        <v>محمدعطا رادمردباغي</v>
      </c>
      <c r="D56" s="34">
        <f>IF(A56="","",دانش‌آموزان!I56)</f>
        <v>802</v>
      </c>
      <c r="E56" s="27">
        <f>IF(A56="","",IFERROR(AVERAGEIFS('ثبت اطلاعات'!$CC$5:$CC$1204,'ثبت اطلاعات'!$C$5:$C$1204,A56,'ثبت اطلاعات'!$CL$5:$CL$1204,"&lt;&gt;"),""))</f>
        <v>21</v>
      </c>
      <c r="F56" s="38">
        <f>IF(A56="","",IFERROR(AVERAGEIFS('ثبت اطلاعات'!$CD$5:$CD$1204,'ثبت اطلاعات'!$C$5:$C$1204,A56,'ثبت اطلاعات'!$CL$5:$CL$1204,"&lt;&gt;"),""))</f>
        <v>20</v>
      </c>
      <c r="G56" s="38">
        <f>IF(A56="","",IFERROR(AVERAGEIFS('ثبت اطلاعات'!$CE$5:$CE$1204,'ثبت اطلاعات'!$C$5:$C$1204,A56,'ثبت اطلاعات'!$CL$5:$CL$1204,"&lt;&gt;"),""))</f>
        <v>20</v>
      </c>
      <c r="H56" s="38">
        <f>IF(A56="","",IFERROR(AVERAGEIFS('ثبت اطلاعات'!$CF$5:$CF$1204,'ثبت اطلاعات'!$C$5:$C$1204,A56,'ثبت اطلاعات'!$CL$5:$CL$1204,"&lt;&gt;"),""))</f>
        <v>20</v>
      </c>
      <c r="I56" s="38">
        <f>IF(A56="","",IFERROR(AVERAGEIFS('ثبت اطلاعات'!$CG$5:$CG$1204,'ثبت اطلاعات'!$C$5:$C$1204,A56,'ثبت اطلاعات'!$CL$5:$CL$1204,"&lt;&gt;"),""))</f>
        <v>20</v>
      </c>
      <c r="J56" s="38" t="str">
        <f>IF(A56="","",IFERROR(AVERAGEIFS('ثبت اطلاعات'!$CH$5:$CH$1204,'ثبت اطلاعات'!$C$5:$C$1204,A56,'ثبت اطلاعات'!$CL$5:$CL$1204,"&lt;&gt;"),""))</f>
        <v/>
      </c>
      <c r="K56" s="38">
        <f>IF(A56="","",IFERROR(AVERAGEIFS('ثبت اطلاعات'!$CI$5:$CI$1204,'ثبت اطلاعات'!$C$5:$C$1204,A56,'ثبت اطلاعات'!$CL$5:$CL$1204,"&lt;&gt;"),""))</f>
        <v>20</v>
      </c>
      <c r="L56" s="38" t="str">
        <f>IF(A56="","",IFERROR(AVERAGEIFS('ثبت اطلاعات'!$CJ$5:$CJ$1204,'ثبت اطلاعات'!$C$5:$C$1204,A56,'ثبت اطلاعات'!$CL$5:$CL$1204,"&lt;&gt;"),""))</f>
        <v/>
      </c>
      <c r="M56" s="38" t="str">
        <f>IF(A56="","",IFERROR(AVERAGEIFS('ثبت اطلاعات'!$CK$5:$CK$1204,'ثبت اطلاعات'!$C$5:$C$1204,A56,'ثبت اطلاعات'!$CL$5:$CL$1204,"&lt;&gt;"),""))</f>
        <v/>
      </c>
      <c r="N56" s="38" t="str">
        <f>IF(A56="","",IFERROR(AVERAGEIFS('ثبت اطلاعات'!$CL$5:$CL$1204,'ثبت اطلاعات'!$C$5:$C$1204,A56,'ثبت اطلاعات'!$CL$5:$CL$1204,"&lt;&gt;"),""))</f>
        <v/>
      </c>
      <c r="O56" s="38">
        <f>IF(A56="","",COUNTIFS('ثبت اطلاعات'!$C$5:$C$1204,A56,'ثبت اطلاعات'!$CL$5:$CL$1204,"&lt;&gt;"))</f>
        <v>12</v>
      </c>
      <c r="P56" s="38" t="e">
        <f ca="1">IF(O56=0,"",MINIFS('ثبت اطلاعات'!$CN$5:$CN$1204,'ثبت اطلاعات'!$C$5:$C$1204,A56,'ثبت اطلاعات'!$CL$5:$CL$1204,"&lt;&gt;"))</f>
        <v>#NAME?</v>
      </c>
      <c r="Q56" s="38" t="e">
        <f ca="1">IF(O56=0,"",MAXIFS('ثبت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>
        <f>IF(دانش‌آموزان!L57="","",دانش‌آموزان!B57)</f>
        <v>53</v>
      </c>
      <c r="B57" s="55" t="str">
        <f>IF(A57="","",دانش‌آموزان!C57)</f>
        <v>0970843550</v>
      </c>
      <c r="C57" s="55" t="str">
        <f>IF(A57="","",دانش‌آموزان!E57&amp;" "&amp;دانش‌آموزان!F57)</f>
        <v>پوريا رجبي اول قصر</v>
      </c>
      <c r="D57" s="34">
        <f>IF(A57="","",دانش‌آموزان!I57)</f>
        <v>802</v>
      </c>
      <c r="E57" s="27">
        <f>IF(A57="","",IFERROR(AVERAGEIFS('ثبت اطلاعات'!$CC$5:$CC$1204,'ثبت اطلاعات'!$C$5:$C$1204,A57,'ثبت اطلاعات'!$CL$5:$CL$1204,"&lt;&gt;"),""))</f>
        <v>18.5</v>
      </c>
      <c r="F57" s="38">
        <f>IF(A57="","",IFERROR(AVERAGEIFS('ثبت اطلاعات'!$CD$5:$CD$1204,'ثبت اطلاعات'!$C$5:$C$1204,A57,'ثبت اطلاعات'!$CL$5:$CL$1204,"&lt;&gt;"),""))</f>
        <v>20</v>
      </c>
      <c r="G57" s="38">
        <f>IF(A57="","",IFERROR(AVERAGEIFS('ثبت اطلاعات'!$CE$5:$CE$1204,'ثبت اطلاعات'!$C$5:$C$1204,A57,'ثبت اطلاعات'!$CL$5:$CL$1204,"&lt;&gt;"),""))</f>
        <v>20</v>
      </c>
      <c r="H57" s="38">
        <f>IF(A57="","",IFERROR(AVERAGEIFS('ثبت اطلاعات'!$CF$5:$CF$1204,'ثبت اطلاعات'!$C$5:$C$1204,A57,'ثبت اطلاعات'!$CL$5:$CL$1204,"&lt;&gt;"),""))</f>
        <v>20</v>
      </c>
      <c r="I57" s="38">
        <f>IF(A57="","",IFERROR(AVERAGEIFS('ثبت اطلاعات'!$CG$5:$CG$1204,'ثبت اطلاعات'!$C$5:$C$1204,A57,'ثبت اطلاعات'!$CL$5:$CL$1204,"&lt;&gt;"),""))</f>
        <v>20</v>
      </c>
      <c r="J57" s="38" t="str">
        <f>IF(A57="","",IFERROR(AVERAGEIFS('ثبت اطلاعات'!$CH$5:$CH$1204,'ثبت اطلاعات'!$C$5:$C$1204,A57,'ثبت اطلاعات'!$CL$5:$CL$1204,"&lt;&gt;"),""))</f>
        <v/>
      </c>
      <c r="K57" s="38">
        <f>IF(A57="","",IFERROR(AVERAGEIFS('ثبت اطلاعات'!$CI$5:$CI$1204,'ثبت اطلاعات'!$C$5:$C$1204,A57,'ثبت اطلاعات'!$CL$5:$CL$1204,"&lt;&gt;"),""))</f>
        <v>20</v>
      </c>
      <c r="L57" s="38" t="str">
        <f>IF(A57="","",IFERROR(AVERAGEIFS('ثبت اطلاعات'!$CJ$5:$CJ$1204,'ثبت اطلاعات'!$C$5:$C$1204,A57,'ثبت اطلاعات'!$CL$5:$CL$1204,"&lt;&gt;"),""))</f>
        <v/>
      </c>
      <c r="M57" s="38" t="str">
        <f>IF(A57="","",IFERROR(AVERAGEIFS('ثبت اطلاعات'!$CK$5:$CK$1204,'ثبت اطلاعات'!$C$5:$C$1204,A57,'ثبت اطلاعات'!$CL$5:$CL$1204,"&lt;&gt;"),""))</f>
        <v/>
      </c>
      <c r="N57" s="38" t="str">
        <f>IF(A57="","",IFERROR(AVERAGEIFS('ثبت اطلاعات'!$CL$5:$CL$1204,'ثبت اطلاعات'!$C$5:$C$1204,A57,'ثبت اطلاعات'!$CL$5:$CL$1204,"&lt;&gt;"),""))</f>
        <v/>
      </c>
      <c r="O57" s="38">
        <f>IF(A57="","",COUNTIFS('ثبت اطلاعات'!$C$5:$C$1204,A57,'ثبت اطلاعات'!$CL$5:$CL$1204,"&lt;&gt;"))</f>
        <v>12</v>
      </c>
      <c r="P57" s="38" t="e">
        <f ca="1">IF(O57=0,"",MINIFS('ثبت اطلاعات'!$CN$5:$CN$1204,'ثبت اطلاعات'!$C$5:$C$1204,A57,'ثبت اطلاعات'!$CL$5:$CL$1204,"&lt;&gt;"))</f>
        <v>#NAME?</v>
      </c>
      <c r="Q57" s="38" t="e">
        <f ca="1">IF(O57=0,"",MAXIFS('ثبت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>
        <f>IF(دانش‌آموزان!L58="","",دانش‌آموزان!B58)</f>
        <v>54</v>
      </c>
      <c r="B58" s="55" t="str">
        <f>IF(A58="","",دانش‌آموزان!C58)</f>
        <v>0980519268</v>
      </c>
      <c r="C58" s="55" t="str">
        <f>IF(A58="","",دانش‌آموزان!E58&amp;" "&amp;دانش‌آموزان!F58)</f>
        <v>اميرعلي سخاوتي راد</v>
      </c>
      <c r="D58" s="34">
        <f>IF(A58="","",دانش‌آموزان!I58)</f>
        <v>802</v>
      </c>
      <c r="E58" s="27">
        <f>IF(A58="","",IFERROR(AVERAGEIFS('ثبت اطلاعات'!$CC$5:$CC$1204,'ثبت اطلاعات'!$C$5:$C$1204,A58,'ثبت اطلاعات'!$CL$5:$CL$1204,"&lt;&gt;"),""))</f>
        <v>28.485714285714288</v>
      </c>
      <c r="F58" s="38">
        <f>IF(A58="","",IFERROR(AVERAGEIFS('ثبت اطلاعات'!$CD$5:$CD$1204,'ثبت اطلاعات'!$C$5:$C$1204,A58,'ثبت اطلاعات'!$CL$5:$CL$1204,"&lt;&gt;"),""))</f>
        <v>20</v>
      </c>
      <c r="G58" s="38">
        <f>IF(A58="","",IFERROR(AVERAGEIFS('ثبت اطلاعات'!$CE$5:$CE$1204,'ثبت اطلاعات'!$C$5:$C$1204,A58,'ثبت اطلاعات'!$CL$5:$CL$1204,"&lt;&gt;"),""))</f>
        <v>20</v>
      </c>
      <c r="H58" s="38">
        <f>IF(A58="","",IFERROR(AVERAGEIFS('ثبت اطلاعات'!$CF$5:$CF$1204,'ثبت اطلاعات'!$C$5:$C$1204,A58,'ثبت اطلاعات'!$CL$5:$CL$1204,"&lt;&gt;"),""))</f>
        <v>20</v>
      </c>
      <c r="I58" s="38">
        <f>IF(A58="","",IFERROR(AVERAGEIFS('ثبت اطلاعات'!$CG$5:$CG$1204,'ثبت اطلاعات'!$C$5:$C$1204,A58,'ثبت اطلاعات'!$CL$5:$CL$1204,"&lt;&gt;"),""))</f>
        <v>20</v>
      </c>
      <c r="J58" s="38" t="str">
        <f>IF(A58="","",IFERROR(AVERAGEIFS('ثبت اطلاعات'!$CH$5:$CH$1204,'ثبت اطلاعات'!$C$5:$C$1204,A58,'ثبت اطلاعات'!$CL$5:$CL$1204,"&lt;&gt;"),""))</f>
        <v/>
      </c>
      <c r="K58" s="38">
        <f>IF(A58="","",IFERROR(AVERAGEIFS('ثبت اطلاعات'!$CI$5:$CI$1204,'ثبت اطلاعات'!$C$5:$C$1204,A58,'ثبت اطلاعات'!$CL$5:$CL$1204,"&lt;&gt;"),""))</f>
        <v>20</v>
      </c>
      <c r="L58" s="38" t="str">
        <f>IF(A58="","",IFERROR(AVERAGEIFS('ثبت اطلاعات'!$CJ$5:$CJ$1204,'ثبت اطلاعات'!$C$5:$C$1204,A58,'ثبت اطلاعات'!$CL$5:$CL$1204,"&lt;&gt;"),""))</f>
        <v/>
      </c>
      <c r="M58" s="38" t="str">
        <f>IF(A58="","",IFERROR(AVERAGEIFS('ثبت اطلاعات'!$CK$5:$CK$1204,'ثبت اطلاعات'!$C$5:$C$1204,A58,'ثبت اطلاعات'!$CL$5:$CL$1204,"&lt;&gt;"),""))</f>
        <v/>
      </c>
      <c r="N58" s="38" t="str">
        <f>IF(A58="","",IFERROR(AVERAGEIFS('ثبت اطلاعات'!$CL$5:$CL$1204,'ثبت اطلاعات'!$C$5:$C$1204,A58,'ثبت اطلاعات'!$CL$5:$CL$1204,"&lt;&gt;"),""))</f>
        <v/>
      </c>
      <c r="O58" s="38">
        <f>IF(A58="","",COUNTIFS('ثبت اطلاعات'!$C$5:$C$1204,A58,'ثبت اطلاعات'!$CL$5:$CL$1204,"&lt;&gt;"))</f>
        <v>12</v>
      </c>
      <c r="P58" s="38" t="e">
        <f ca="1">IF(O58=0,"",MINIFS('ثبت اطلاعات'!$CN$5:$CN$1204,'ثبت اطلاعات'!$C$5:$C$1204,A58,'ثبت اطلاعات'!$CL$5:$CL$1204,"&lt;&gt;"))</f>
        <v>#NAME?</v>
      </c>
      <c r="Q58" s="38" t="e">
        <f ca="1">IF(O58=0,"",MAXIFS('ثبت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>
        <f>IF(دانش‌آموزان!L59="","",دانش‌آموزان!B59)</f>
        <v>55</v>
      </c>
      <c r="B59" s="55" t="str">
        <f>IF(A59="","",دانش‌آموزان!C59)</f>
        <v>0980654361</v>
      </c>
      <c r="C59" s="55" t="str">
        <f>IF(A59="","",دانش‌آموزان!E59&amp;" "&amp;دانش‌آموزان!F59)</f>
        <v>برهان سويزي</v>
      </c>
      <c r="D59" s="34">
        <f>IF(A59="","",دانش‌آموزان!I59)</f>
        <v>802</v>
      </c>
      <c r="E59" s="27">
        <f>IF(A59="","",IFERROR(AVERAGEIFS('ثبت اطلاعات'!$CC$5:$CC$1204,'ثبت اطلاعات'!$C$5:$C$1204,A59,'ثبت اطلاعات'!$CL$5:$CL$1204,"&lt;&gt;"),""))</f>
        <v>18.5</v>
      </c>
      <c r="F59" s="38">
        <f>IF(A59="","",IFERROR(AVERAGEIFS('ثبت اطلاعات'!$CD$5:$CD$1204,'ثبت اطلاعات'!$C$5:$C$1204,A59,'ثبت اطلاعات'!$CL$5:$CL$1204,"&lt;&gt;"),""))</f>
        <v>20</v>
      </c>
      <c r="G59" s="38">
        <f>IF(A59="","",IFERROR(AVERAGEIFS('ثبت اطلاعات'!$CE$5:$CE$1204,'ثبت اطلاعات'!$C$5:$C$1204,A59,'ثبت اطلاعات'!$CL$5:$CL$1204,"&lt;&gt;"),""))</f>
        <v>20</v>
      </c>
      <c r="H59" s="38">
        <f>IF(A59="","",IFERROR(AVERAGEIFS('ثبت اطلاعات'!$CF$5:$CF$1204,'ثبت اطلاعات'!$C$5:$C$1204,A59,'ثبت اطلاعات'!$CL$5:$CL$1204,"&lt;&gt;"),""))</f>
        <v>20</v>
      </c>
      <c r="I59" s="38">
        <f>IF(A59="","",IFERROR(AVERAGEIFS('ثبت اطلاعات'!$CG$5:$CG$1204,'ثبت اطلاعات'!$C$5:$C$1204,A59,'ثبت اطلاعات'!$CL$5:$CL$1204,"&lt;&gt;"),""))</f>
        <v>20</v>
      </c>
      <c r="J59" s="38" t="str">
        <f>IF(A59="","",IFERROR(AVERAGEIFS('ثبت اطلاعات'!$CH$5:$CH$1204,'ثبت اطلاعات'!$C$5:$C$1204,A59,'ثبت اطلاعات'!$CL$5:$CL$1204,"&lt;&gt;"),""))</f>
        <v/>
      </c>
      <c r="K59" s="38">
        <f>IF(A59="","",IFERROR(AVERAGEIFS('ثبت اطلاعات'!$CI$5:$CI$1204,'ثبت اطلاعات'!$C$5:$C$1204,A59,'ثبت اطلاعات'!$CL$5:$CL$1204,"&lt;&gt;"),""))</f>
        <v>20</v>
      </c>
      <c r="L59" s="38" t="str">
        <f>IF(A59="","",IFERROR(AVERAGEIFS('ثبت اطلاعات'!$CJ$5:$CJ$1204,'ثبت اطلاعات'!$C$5:$C$1204,A59,'ثبت اطلاعات'!$CL$5:$CL$1204,"&lt;&gt;"),""))</f>
        <v/>
      </c>
      <c r="M59" s="38" t="str">
        <f>IF(A59="","",IFERROR(AVERAGEIFS('ثبت اطلاعات'!$CK$5:$CK$1204,'ثبت اطلاعات'!$C$5:$C$1204,A59,'ثبت اطلاعات'!$CL$5:$CL$1204,"&lt;&gt;"),""))</f>
        <v/>
      </c>
      <c r="N59" s="38" t="str">
        <f>IF(A59="","",IFERROR(AVERAGEIFS('ثبت اطلاعات'!$CL$5:$CL$1204,'ثبت اطلاعات'!$C$5:$C$1204,A59,'ثبت اطلاعات'!$CL$5:$CL$1204,"&lt;&gt;"),""))</f>
        <v/>
      </c>
      <c r="O59" s="38">
        <f>IF(A59="","",COUNTIFS('ثبت اطلاعات'!$C$5:$C$1204,A59,'ثبت اطلاعات'!$CL$5:$CL$1204,"&lt;&gt;"))</f>
        <v>12</v>
      </c>
      <c r="P59" s="38" t="e">
        <f ca="1">IF(O59=0,"",MINIFS('ثبت اطلاعات'!$CN$5:$CN$1204,'ثبت اطلاعات'!$C$5:$C$1204,A59,'ثبت اطلاعات'!$CL$5:$CL$1204,"&lt;&gt;"))</f>
        <v>#NAME?</v>
      </c>
      <c r="Q59" s="38" t="e">
        <f ca="1">IF(O59=0,"",MAXIFS('ثبت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>
        <f>IF(دانش‌آموزان!L60="","",دانش‌آموزان!B60)</f>
        <v>56</v>
      </c>
      <c r="B60" s="55" t="str">
        <f>IF(A60="","",دانش‌آموزان!C60)</f>
        <v>0970771010</v>
      </c>
      <c r="C60" s="55" t="str">
        <f>IF(A60="","",دانش‌آموزان!E60&amp;" "&amp;دانش‌آموزان!F60)</f>
        <v>محمدمتين شاه زاده</v>
      </c>
      <c r="D60" s="34">
        <f>IF(A60="","",دانش‌آموزان!I60)</f>
        <v>802</v>
      </c>
      <c r="E60" s="27">
        <f>IF(A60="","",IFERROR(AVERAGEIFS('ثبت اطلاعات'!$CC$5:$CC$1204,'ثبت اطلاعات'!$C$5:$C$1204,A60,'ثبت اطلاعات'!$CL$5:$CL$1204,"&lt;&gt;"),""))</f>
        <v>19.5</v>
      </c>
      <c r="F60" s="38">
        <f>IF(A60="","",IFERROR(AVERAGEIFS('ثبت اطلاعات'!$CD$5:$CD$1204,'ثبت اطلاعات'!$C$5:$C$1204,A60,'ثبت اطلاعات'!$CL$5:$CL$1204,"&lt;&gt;"),""))</f>
        <v>20</v>
      </c>
      <c r="G60" s="38">
        <f>IF(A60="","",IFERROR(AVERAGEIFS('ثبت اطلاعات'!$CE$5:$CE$1204,'ثبت اطلاعات'!$C$5:$C$1204,A60,'ثبت اطلاعات'!$CL$5:$CL$1204,"&lt;&gt;"),""))</f>
        <v>20</v>
      </c>
      <c r="H60" s="38">
        <f>IF(A60="","",IFERROR(AVERAGEIFS('ثبت اطلاعات'!$CF$5:$CF$1204,'ثبت اطلاعات'!$C$5:$C$1204,A60,'ثبت اطلاعات'!$CL$5:$CL$1204,"&lt;&gt;"),""))</f>
        <v>20</v>
      </c>
      <c r="I60" s="38">
        <f>IF(A60="","",IFERROR(AVERAGEIFS('ثبت اطلاعات'!$CG$5:$CG$1204,'ثبت اطلاعات'!$C$5:$C$1204,A60,'ثبت اطلاعات'!$CL$5:$CL$1204,"&lt;&gt;"),""))</f>
        <v>20</v>
      </c>
      <c r="J60" s="38" t="str">
        <f>IF(A60="","",IFERROR(AVERAGEIFS('ثبت اطلاعات'!$CH$5:$CH$1204,'ثبت اطلاعات'!$C$5:$C$1204,A60,'ثبت اطلاعات'!$CL$5:$CL$1204,"&lt;&gt;"),""))</f>
        <v/>
      </c>
      <c r="K60" s="38">
        <f>IF(A60="","",IFERROR(AVERAGEIFS('ثبت اطلاعات'!$CI$5:$CI$1204,'ثبت اطلاعات'!$C$5:$C$1204,A60,'ثبت اطلاعات'!$CL$5:$CL$1204,"&lt;&gt;"),""))</f>
        <v>20</v>
      </c>
      <c r="L60" s="38" t="str">
        <f>IF(A60="","",IFERROR(AVERAGEIFS('ثبت اطلاعات'!$CJ$5:$CJ$1204,'ثبت اطلاعات'!$C$5:$C$1204,A60,'ثبت اطلاعات'!$CL$5:$CL$1204,"&lt;&gt;"),""))</f>
        <v/>
      </c>
      <c r="M60" s="38" t="str">
        <f>IF(A60="","",IFERROR(AVERAGEIFS('ثبت اطلاعات'!$CK$5:$CK$1204,'ثبت اطلاعات'!$C$5:$C$1204,A60,'ثبت اطلاعات'!$CL$5:$CL$1204,"&lt;&gt;"),""))</f>
        <v/>
      </c>
      <c r="N60" s="38" t="str">
        <f>IF(A60="","",IFERROR(AVERAGEIFS('ثبت اطلاعات'!$CL$5:$CL$1204,'ثبت اطلاعات'!$C$5:$C$1204,A60,'ثبت اطلاعات'!$CL$5:$CL$1204,"&lt;&gt;"),""))</f>
        <v/>
      </c>
      <c r="O60" s="38">
        <f>IF(A60="","",COUNTIFS('ثبت اطلاعات'!$C$5:$C$1204,A60,'ثبت اطلاعات'!$CL$5:$CL$1204,"&lt;&gt;"))</f>
        <v>12</v>
      </c>
      <c r="P60" s="38" t="e">
        <f ca="1">IF(O60=0,"",MINIFS('ثبت اطلاعات'!$CN$5:$CN$1204,'ثبت اطلاعات'!$C$5:$C$1204,A60,'ثبت اطلاعات'!$CL$5:$CL$1204,"&lt;&gt;"))</f>
        <v>#NAME?</v>
      </c>
      <c r="Q60" s="38" t="e">
        <f ca="1">IF(O60=0,"",MAXIFS('ثبت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>
        <f>IF(دانش‌آموزان!L61="","",دانش‌آموزان!B61)</f>
        <v>57</v>
      </c>
      <c r="B61" s="55" t="str">
        <f>IF(A61="","",دانش‌آموزان!C61)</f>
        <v>0960469672</v>
      </c>
      <c r="C61" s="55" t="str">
        <f>IF(A61="","",دانش‌آموزان!E61&amp;" "&amp;دانش‌آموزان!F61)</f>
        <v>محمدياسين صفاري بيدهندي</v>
      </c>
      <c r="D61" s="34">
        <f>IF(A61="","",دانش‌آموزان!I61)</f>
        <v>802</v>
      </c>
      <c r="E61" s="27">
        <f>IF(A61="","",IFERROR(AVERAGEIFS('ثبت اطلاعات'!$CC$5:$CC$1204,'ثبت اطلاعات'!$C$5:$C$1204,A61,'ثبت اطلاعات'!$CL$5:$CL$1204,"&lt;&gt;"),""))</f>
        <v>27.714285714285715</v>
      </c>
      <c r="F61" s="38">
        <f>IF(A61="","",IFERROR(AVERAGEIFS('ثبت اطلاعات'!$CD$5:$CD$1204,'ثبت اطلاعات'!$C$5:$C$1204,A61,'ثبت اطلاعات'!$CL$5:$CL$1204,"&lt;&gt;"),""))</f>
        <v>20</v>
      </c>
      <c r="G61" s="38">
        <f>IF(A61="","",IFERROR(AVERAGEIFS('ثبت اطلاعات'!$CE$5:$CE$1204,'ثبت اطلاعات'!$C$5:$C$1204,A61,'ثبت اطلاعات'!$CL$5:$CL$1204,"&lt;&gt;"),""))</f>
        <v>20</v>
      </c>
      <c r="H61" s="38">
        <f>IF(A61="","",IFERROR(AVERAGEIFS('ثبت اطلاعات'!$CF$5:$CF$1204,'ثبت اطلاعات'!$C$5:$C$1204,A61,'ثبت اطلاعات'!$CL$5:$CL$1204,"&lt;&gt;"),""))</f>
        <v>20</v>
      </c>
      <c r="I61" s="38">
        <f>IF(A61="","",IFERROR(AVERAGEIFS('ثبت اطلاعات'!$CG$5:$CG$1204,'ثبت اطلاعات'!$C$5:$C$1204,A61,'ثبت اطلاعات'!$CL$5:$CL$1204,"&lt;&gt;"),""))</f>
        <v>20</v>
      </c>
      <c r="J61" s="38" t="str">
        <f>IF(A61="","",IFERROR(AVERAGEIFS('ثبت اطلاعات'!$CH$5:$CH$1204,'ثبت اطلاعات'!$C$5:$C$1204,A61,'ثبت اطلاعات'!$CL$5:$CL$1204,"&lt;&gt;"),""))</f>
        <v/>
      </c>
      <c r="K61" s="38">
        <f>IF(A61="","",IFERROR(AVERAGEIFS('ثبت اطلاعات'!$CI$5:$CI$1204,'ثبت اطلاعات'!$C$5:$C$1204,A61,'ثبت اطلاعات'!$CL$5:$CL$1204,"&lt;&gt;"),""))</f>
        <v>20</v>
      </c>
      <c r="L61" s="38" t="str">
        <f>IF(A61="","",IFERROR(AVERAGEIFS('ثبت اطلاعات'!$CJ$5:$CJ$1204,'ثبت اطلاعات'!$C$5:$C$1204,A61,'ثبت اطلاعات'!$CL$5:$CL$1204,"&lt;&gt;"),""))</f>
        <v/>
      </c>
      <c r="M61" s="38" t="str">
        <f>IF(A61="","",IFERROR(AVERAGEIFS('ثبت اطلاعات'!$CK$5:$CK$1204,'ثبت اطلاعات'!$C$5:$C$1204,A61,'ثبت اطلاعات'!$CL$5:$CL$1204,"&lt;&gt;"),""))</f>
        <v/>
      </c>
      <c r="N61" s="38" t="str">
        <f>IF(A61="","",IFERROR(AVERAGEIFS('ثبت اطلاعات'!$CL$5:$CL$1204,'ثبت اطلاعات'!$C$5:$C$1204,A61,'ثبت اطلاعات'!$CL$5:$CL$1204,"&lt;&gt;"),""))</f>
        <v/>
      </c>
      <c r="O61" s="38">
        <f>IF(A61="","",COUNTIFS('ثبت اطلاعات'!$C$5:$C$1204,A61,'ثبت اطلاعات'!$CL$5:$CL$1204,"&lt;&gt;"))</f>
        <v>12</v>
      </c>
      <c r="P61" s="38" t="e">
        <f ca="1">IF(O61=0,"",MINIFS('ثبت اطلاعات'!$CN$5:$CN$1204,'ثبت اطلاعات'!$C$5:$C$1204,A61,'ثبت اطلاعات'!$CL$5:$CL$1204,"&lt;&gt;"))</f>
        <v>#NAME?</v>
      </c>
      <c r="Q61" s="38" t="e">
        <f ca="1">IF(O61=0,"",MAXIFS('ثبت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>
        <f>IF(دانش‌آموزان!L62="","",دانش‌آموزان!B62)</f>
        <v>58</v>
      </c>
      <c r="B62" s="55" t="str">
        <f>IF(A62="","",دانش‌آموزان!C62)</f>
        <v>0980636231</v>
      </c>
      <c r="C62" s="55" t="str">
        <f>IF(A62="","",دانش‌آموزان!E62&amp;" "&amp;دانش‌آموزان!F62)</f>
        <v>سيد عبدالحسين طبسي</v>
      </c>
      <c r="D62" s="34">
        <f>IF(A62="","",دانش‌آموزان!I62)</f>
        <v>802</v>
      </c>
      <c r="E62" s="27">
        <f>IF(A62="","",IFERROR(AVERAGEIFS('ثبت اطلاعات'!$CC$5:$CC$1204,'ثبت اطلاعات'!$C$5:$C$1204,A62,'ثبت اطلاعات'!$CL$5:$CL$1204,"&lt;&gt;"),""))</f>
        <v>20.5</v>
      </c>
      <c r="F62" s="38">
        <f>IF(A62="","",IFERROR(AVERAGEIFS('ثبت اطلاعات'!$CD$5:$CD$1204,'ثبت اطلاعات'!$C$5:$C$1204,A62,'ثبت اطلاعات'!$CL$5:$CL$1204,"&lt;&gt;"),""))</f>
        <v>20</v>
      </c>
      <c r="G62" s="38">
        <f>IF(A62="","",IFERROR(AVERAGEIFS('ثبت اطلاعات'!$CE$5:$CE$1204,'ثبت اطلاعات'!$C$5:$C$1204,A62,'ثبت اطلاعات'!$CL$5:$CL$1204,"&lt;&gt;"),""))</f>
        <v>20</v>
      </c>
      <c r="H62" s="38">
        <f>IF(A62="","",IFERROR(AVERAGEIFS('ثبت اطلاعات'!$CF$5:$CF$1204,'ثبت اطلاعات'!$C$5:$C$1204,A62,'ثبت اطلاعات'!$CL$5:$CL$1204,"&lt;&gt;"),""))</f>
        <v>20</v>
      </c>
      <c r="I62" s="38">
        <f>IF(A62="","",IFERROR(AVERAGEIFS('ثبت اطلاعات'!$CG$5:$CG$1204,'ثبت اطلاعات'!$C$5:$C$1204,A62,'ثبت اطلاعات'!$CL$5:$CL$1204,"&lt;&gt;"),""))</f>
        <v>20</v>
      </c>
      <c r="J62" s="38" t="str">
        <f>IF(A62="","",IFERROR(AVERAGEIFS('ثبت اطلاعات'!$CH$5:$CH$1204,'ثبت اطلاعات'!$C$5:$C$1204,A62,'ثبت اطلاعات'!$CL$5:$CL$1204,"&lt;&gt;"),""))</f>
        <v/>
      </c>
      <c r="K62" s="38">
        <f>IF(A62="","",IFERROR(AVERAGEIFS('ثبت اطلاعات'!$CI$5:$CI$1204,'ثبت اطلاعات'!$C$5:$C$1204,A62,'ثبت اطلاعات'!$CL$5:$CL$1204,"&lt;&gt;"),""))</f>
        <v>20</v>
      </c>
      <c r="L62" s="38" t="str">
        <f>IF(A62="","",IFERROR(AVERAGEIFS('ثبت اطلاعات'!$CJ$5:$CJ$1204,'ثبت اطلاعات'!$C$5:$C$1204,A62,'ثبت اطلاعات'!$CL$5:$CL$1204,"&lt;&gt;"),""))</f>
        <v/>
      </c>
      <c r="M62" s="38" t="str">
        <f>IF(A62="","",IFERROR(AVERAGEIFS('ثبت اطلاعات'!$CK$5:$CK$1204,'ثبت اطلاعات'!$C$5:$C$1204,A62,'ثبت اطلاعات'!$CL$5:$CL$1204,"&lt;&gt;"),""))</f>
        <v/>
      </c>
      <c r="N62" s="38" t="str">
        <f>IF(A62="","",IFERROR(AVERAGEIFS('ثبت اطلاعات'!$CL$5:$CL$1204,'ثبت اطلاعات'!$C$5:$C$1204,A62,'ثبت اطلاعات'!$CL$5:$CL$1204,"&lt;&gt;"),""))</f>
        <v/>
      </c>
      <c r="O62" s="38">
        <f>IF(A62="","",COUNTIFS('ثبت اطلاعات'!$C$5:$C$1204,A62,'ثبت اطلاعات'!$CL$5:$CL$1204,"&lt;&gt;"))</f>
        <v>12</v>
      </c>
      <c r="P62" s="38" t="e">
        <f ca="1">IF(O62=0,"",MINIFS('ثبت اطلاعات'!$CN$5:$CN$1204,'ثبت اطلاعات'!$C$5:$C$1204,A62,'ثبت اطلاعات'!$CL$5:$CL$1204,"&lt;&gt;"))</f>
        <v>#NAME?</v>
      </c>
      <c r="Q62" s="38" t="e">
        <f ca="1">IF(O62=0,"",MAXIFS('ثبت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>
        <f>IF(دانش‌آموزان!L63="","",دانش‌آموزان!B63)</f>
        <v>59</v>
      </c>
      <c r="B63" s="55" t="str">
        <f>IF(A63="","",دانش‌آموزان!C63)</f>
        <v>0960467191</v>
      </c>
      <c r="C63" s="55" t="str">
        <f>IF(A63="","",دانش‌آموزان!E63&amp;" "&amp;دانش‌آموزان!F63)</f>
        <v>سيداميرحسين طوسي</v>
      </c>
      <c r="D63" s="34">
        <f>IF(A63="","",دانش‌آموزان!I63)</f>
        <v>802</v>
      </c>
      <c r="E63" s="27">
        <f>IF(A63="","",IFERROR(AVERAGEIFS('ثبت اطلاعات'!$CC$5:$CC$1204,'ثبت اطلاعات'!$C$5:$C$1204,A63,'ثبت اطلاعات'!$CL$5:$CL$1204,"&lt;&gt;"),""))</f>
        <v>21</v>
      </c>
      <c r="F63" s="38">
        <f>IF(A63="","",IFERROR(AVERAGEIFS('ثبت اطلاعات'!$CD$5:$CD$1204,'ثبت اطلاعات'!$C$5:$C$1204,A63,'ثبت اطلاعات'!$CL$5:$CL$1204,"&lt;&gt;"),""))</f>
        <v>20</v>
      </c>
      <c r="G63" s="38">
        <f>IF(A63="","",IFERROR(AVERAGEIFS('ثبت اطلاعات'!$CE$5:$CE$1204,'ثبت اطلاعات'!$C$5:$C$1204,A63,'ثبت اطلاعات'!$CL$5:$CL$1204,"&lt;&gt;"),""))</f>
        <v>20</v>
      </c>
      <c r="H63" s="38">
        <f>IF(A63="","",IFERROR(AVERAGEIFS('ثبت اطلاعات'!$CF$5:$CF$1204,'ثبت اطلاعات'!$C$5:$C$1204,A63,'ثبت اطلاعات'!$CL$5:$CL$1204,"&lt;&gt;"),""))</f>
        <v>20</v>
      </c>
      <c r="I63" s="38">
        <f>IF(A63="","",IFERROR(AVERAGEIFS('ثبت اطلاعات'!$CG$5:$CG$1204,'ثبت اطلاعات'!$C$5:$C$1204,A63,'ثبت اطلاعات'!$CL$5:$CL$1204,"&lt;&gt;"),""))</f>
        <v>20</v>
      </c>
      <c r="J63" s="38" t="str">
        <f>IF(A63="","",IFERROR(AVERAGEIFS('ثبت اطلاعات'!$CH$5:$CH$1204,'ثبت اطلاعات'!$C$5:$C$1204,A63,'ثبت اطلاعات'!$CL$5:$CL$1204,"&lt;&gt;"),""))</f>
        <v/>
      </c>
      <c r="K63" s="38">
        <f>IF(A63="","",IFERROR(AVERAGEIFS('ثبت اطلاعات'!$CI$5:$CI$1204,'ثبت اطلاعات'!$C$5:$C$1204,A63,'ثبت اطلاعات'!$CL$5:$CL$1204,"&lt;&gt;"),""))</f>
        <v>20</v>
      </c>
      <c r="L63" s="38" t="str">
        <f>IF(A63="","",IFERROR(AVERAGEIFS('ثبت اطلاعات'!$CJ$5:$CJ$1204,'ثبت اطلاعات'!$C$5:$C$1204,A63,'ثبت اطلاعات'!$CL$5:$CL$1204,"&lt;&gt;"),""))</f>
        <v/>
      </c>
      <c r="M63" s="38" t="str">
        <f>IF(A63="","",IFERROR(AVERAGEIFS('ثبت اطلاعات'!$CK$5:$CK$1204,'ثبت اطلاعات'!$C$5:$C$1204,A63,'ثبت اطلاعات'!$CL$5:$CL$1204,"&lt;&gt;"),""))</f>
        <v/>
      </c>
      <c r="N63" s="38" t="str">
        <f>IF(A63="","",IFERROR(AVERAGEIFS('ثبت اطلاعات'!$CL$5:$CL$1204,'ثبت اطلاعات'!$C$5:$C$1204,A63,'ثبت اطلاعات'!$CL$5:$CL$1204,"&lt;&gt;"),""))</f>
        <v/>
      </c>
      <c r="O63" s="38">
        <f>IF(A63="","",COUNTIFS('ثبت اطلاعات'!$C$5:$C$1204,A63,'ثبت اطلاعات'!$CL$5:$CL$1204,"&lt;&gt;"))</f>
        <v>12</v>
      </c>
      <c r="P63" s="38" t="e">
        <f ca="1">IF(O63=0,"",MINIFS('ثبت اطلاعات'!$CN$5:$CN$1204,'ثبت اطلاعات'!$C$5:$C$1204,A63,'ثبت اطلاعات'!$CL$5:$CL$1204,"&lt;&gt;"))</f>
        <v>#NAME?</v>
      </c>
      <c r="Q63" s="38" t="e">
        <f ca="1">IF(O63=0,"",MAXIFS('ثبت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>
        <f>IF(دانش‌آموزان!L64="","",دانش‌آموزان!B64)</f>
        <v>60</v>
      </c>
      <c r="B64" s="55" t="str">
        <f>IF(A64="","",دانش‌آموزان!C64)</f>
        <v>0960546928</v>
      </c>
      <c r="C64" s="55" t="str">
        <f>IF(A64="","",دانش‌آموزان!E64&amp;" "&amp;دانش‌آموزان!F64)</f>
        <v>يونس عدالتي تبار</v>
      </c>
      <c r="D64" s="34">
        <f>IF(A64="","",دانش‌آموزان!I64)</f>
        <v>802</v>
      </c>
      <c r="E64" s="27">
        <f>IF(A64="","",IFERROR(AVERAGEIFS('ثبت اطلاعات'!$CC$5:$CC$1204,'ثبت اطلاعات'!$C$5:$C$1204,A64,'ثبت اطلاعات'!$CL$5:$CL$1204,"&lt;&gt;"),""))</f>
        <v>21</v>
      </c>
      <c r="F64" s="38">
        <f>IF(A64="","",IFERROR(AVERAGEIFS('ثبت اطلاعات'!$CD$5:$CD$1204,'ثبت اطلاعات'!$C$5:$C$1204,A64,'ثبت اطلاعات'!$CL$5:$CL$1204,"&lt;&gt;"),""))</f>
        <v>20</v>
      </c>
      <c r="G64" s="38">
        <f>IF(A64="","",IFERROR(AVERAGEIFS('ثبت اطلاعات'!$CE$5:$CE$1204,'ثبت اطلاعات'!$C$5:$C$1204,A64,'ثبت اطلاعات'!$CL$5:$CL$1204,"&lt;&gt;"),""))</f>
        <v>20</v>
      </c>
      <c r="H64" s="38">
        <f>IF(A64="","",IFERROR(AVERAGEIFS('ثبت اطلاعات'!$CF$5:$CF$1204,'ثبت اطلاعات'!$C$5:$C$1204,A64,'ثبت اطلاعات'!$CL$5:$CL$1204,"&lt;&gt;"),""))</f>
        <v>20</v>
      </c>
      <c r="I64" s="38">
        <f>IF(A64="","",IFERROR(AVERAGEIFS('ثبت اطلاعات'!$CG$5:$CG$1204,'ثبت اطلاعات'!$C$5:$C$1204,A64,'ثبت اطلاعات'!$CL$5:$CL$1204,"&lt;&gt;"),""))</f>
        <v>20</v>
      </c>
      <c r="J64" s="38" t="str">
        <f>IF(A64="","",IFERROR(AVERAGEIFS('ثبت اطلاعات'!$CH$5:$CH$1204,'ثبت اطلاعات'!$C$5:$C$1204,A64,'ثبت اطلاعات'!$CL$5:$CL$1204,"&lt;&gt;"),""))</f>
        <v/>
      </c>
      <c r="K64" s="38">
        <f>IF(A64="","",IFERROR(AVERAGEIFS('ثبت اطلاعات'!$CI$5:$CI$1204,'ثبت اطلاعات'!$C$5:$C$1204,A64,'ثبت اطلاعات'!$CL$5:$CL$1204,"&lt;&gt;"),""))</f>
        <v>20</v>
      </c>
      <c r="L64" s="38" t="str">
        <f>IF(A64="","",IFERROR(AVERAGEIFS('ثبت اطلاعات'!$CJ$5:$CJ$1204,'ثبت اطلاعات'!$C$5:$C$1204,A64,'ثبت اطلاعات'!$CL$5:$CL$1204,"&lt;&gt;"),""))</f>
        <v/>
      </c>
      <c r="M64" s="38" t="str">
        <f>IF(A64="","",IFERROR(AVERAGEIFS('ثبت اطلاعات'!$CK$5:$CK$1204,'ثبت اطلاعات'!$C$5:$C$1204,A64,'ثبت اطلاعات'!$CL$5:$CL$1204,"&lt;&gt;"),""))</f>
        <v/>
      </c>
      <c r="N64" s="38" t="str">
        <f>IF(A64="","",IFERROR(AVERAGEIFS('ثبت اطلاعات'!$CL$5:$CL$1204,'ثبت اطلاعات'!$C$5:$C$1204,A64,'ثبت اطلاعات'!$CL$5:$CL$1204,"&lt;&gt;"),""))</f>
        <v/>
      </c>
      <c r="O64" s="38">
        <f>IF(A64="","",COUNTIFS('ثبت اطلاعات'!$C$5:$C$1204,A64,'ثبت اطلاعات'!$CL$5:$CL$1204,"&lt;&gt;"))</f>
        <v>12</v>
      </c>
      <c r="P64" s="38" t="e">
        <f ca="1">IF(O64=0,"",MINIFS('ثبت اطلاعات'!$CN$5:$CN$1204,'ثبت اطلاعات'!$C$5:$C$1204,A64,'ثبت اطلاعات'!$CL$5:$CL$1204,"&lt;&gt;"))</f>
        <v>#NAME?</v>
      </c>
      <c r="Q64" s="38" t="e">
        <f ca="1">IF(O64=0,"",MAXIFS('ثبت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>
        <f>IF(دانش‌آموزان!L65="","",دانش‌آموزان!B65)</f>
        <v>61</v>
      </c>
      <c r="B65" s="55" t="str">
        <f>IF(A65="","",دانش‌آموزان!C65)</f>
        <v>0970754353</v>
      </c>
      <c r="C65" s="55" t="str">
        <f>IF(A65="","",دانش‌آموزان!E65&amp;" "&amp;دانش‌آموزان!F65)</f>
        <v>سيدمحمدپارسا فرشچي</v>
      </c>
      <c r="D65" s="34">
        <f>IF(A65="","",دانش‌آموزان!I65)</f>
        <v>802</v>
      </c>
      <c r="E65" s="27">
        <f>IF(A65="","",IFERROR(AVERAGEIFS('ثبت اطلاعات'!$CC$5:$CC$1204,'ثبت اطلاعات'!$C$5:$C$1204,A65,'ثبت اطلاعات'!$CL$5:$CL$1204,"&lt;&gt;"),""))</f>
        <v>18.5</v>
      </c>
      <c r="F65" s="38">
        <f>IF(A65="","",IFERROR(AVERAGEIFS('ثبت اطلاعات'!$CD$5:$CD$1204,'ثبت اطلاعات'!$C$5:$C$1204,A65,'ثبت اطلاعات'!$CL$5:$CL$1204,"&lt;&gt;"),""))</f>
        <v>20</v>
      </c>
      <c r="G65" s="38">
        <f>IF(A65="","",IFERROR(AVERAGEIFS('ثبت اطلاعات'!$CE$5:$CE$1204,'ثبت اطلاعات'!$C$5:$C$1204,A65,'ثبت اطلاعات'!$CL$5:$CL$1204,"&lt;&gt;"),""))</f>
        <v>20</v>
      </c>
      <c r="H65" s="38">
        <f>IF(A65="","",IFERROR(AVERAGEIFS('ثبت اطلاعات'!$CF$5:$CF$1204,'ثبت اطلاعات'!$C$5:$C$1204,A65,'ثبت اطلاعات'!$CL$5:$CL$1204,"&lt;&gt;"),""))</f>
        <v>20</v>
      </c>
      <c r="I65" s="38">
        <f>IF(A65="","",IFERROR(AVERAGEIFS('ثبت اطلاعات'!$CG$5:$CG$1204,'ثبت اطلاعات'!$C$5:$C$1204,A65,'ثبت اطلاعات'!$CL$5:$CL$1204,"&lt;&gt;"),""))</f>
        <v>20</v>
      </c>
      <c r="J65" s="38" t="str">
        <f>IF(A65="","",IFERROR(AVERAGEIFS('ثبت اطلاعات'!$CH$5:$CH$1204,'ثبت اطلاعات'!$C$5:$C$1204,A65,'ثبت اطلاعات'!$CL$5:$CL$1204,"&lt;&gt;"),""))</f>
        <v/>
      </c>
      <c r="K65" s="38">
        <f>IF(A65="","",IFERROR(AVERAGEIFS('ثبت اطلاعات'!$CI$5:$CI$1204,'ثبت اطلاعات'!$C$5:$C$1204,A65,'ثبت اطلاعات'!$CL$5:$CL$1204,"&lt;&gt;"),""))</f>
        <v>20</v>
      </c>
      <c r="L65" s="38" t="str">
        <f>IF(A65="","",IFERROR(AVERAGEIFS('ثبت اطلاعات'!$CJ$5:$CJ$1204,'ثبت اطلاعات'!$C$5:$C$1204,A65,'ثبت اطلاعات'!$CL$5:$CL$1204,"&lt;&gt;"),""))</f>
        <v/>
      </c>
      <c r="M65" s="38" t="str">
        <f>IF(A65="","",IFERROR(AVERAGEIFS('ثبت اطلاعات'!$CK$5:$CK$1204,'ثبت اطلاعات'!$C$5:$C$1204,A65,'ثبت اطلاعات'!$CL$5:$CL$1204,"&lt;&gt;"),""))</f>
        <v/>
      </c>
      <c r="N65" s="38" t="str">
        <f>IF(A65="","",IFERROR(AVERAGEIFS('ثبت اطلاعات'!$CL$5:$CL$1204,'ثبت اطلاعات'!$C$5:$C$1204,A65,'ثبت اطلاعات'!$CL$5:$CL$1204,"&lt;&gt;"),""))</f>
        <v/>
      </c>
      <c r="O65" s="38">
        <f>IF(A65="","",COUNTIFS('ثبت اطلاعات'!$C$5:$C$1204,A65,'ثبت اطلاعات'!$CL$5:$CL$1204,"&lt;&gt;"))</f>
        <v>12</v>
      </c>
      <c r="P65" s="38" t="e">
        <f ca="1">IF(O65=0,"",MINIFS('ثبت اطلاعات'!$CN$5:$CN$1204,'ثبت اطلاعات'!$C$5:$C$1204,A65,'ثبت اطلاعات'!$CL$5:$CL$1204,"&lt;&gt;"))</f>
        <v>#NAME?</v>
      </c>
      <c r="Q65" s="38" t="e">
        <f ca="1">IF(O65=0,"",MAXIFS('ثبت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ca="1" si="5"/>
        <v>ثبات</v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>
        <f>IF(دانش‌آموزان!L66="","",دانش‌آموزان!B66)</f>
        <v>62</v>
      </c>
      <c r="B66" s="55" t="str">
        <f>IF(A66="","",دانش‌آموزان!C66)</f>
        <v>0970881649</v>
      </c>
      <c r="C66" s="55" t="str">
        <f>IF(A66="","",دانش‌آموزان!E66&amp;" "&amp;دانش‌آموزان!F66)</f>
        <v>اميركيان قرباني مقدم</v>
      </c>
      <c r="D66" s="34">
        <f>IF(A66="","",دانش‌آموزان!I66)</f>
        <v>802</v>
      </c>
      <c r="E66" s="27">
        <f>IF(A66="","",IFERROR(AVERAGEIFS('ثبت اطلاعات'!$CC$5:$CC$1204,'ثبت اطلاعات'!$C$5:$C$1204,A66,'ثبت اطلاعات'!$CL$5:$CL$1204,"&lt;&gt;"),""))</f>
        <v>22</v>
      </c>
      <c r="F66" s="38">
        <f>IF(A66="","",IFERROR(AVERAGEIFS('ثبت اطلاعات'!$CD$5:$CD$1204,'ثبت اطلاعات'!$C$5:$C$1204,A66,'ثبت اطلاعات'!$CL$5:$CL$1204,"&lt;&gt;"),""))</f>
        <v>20</v>
      </c>
      <c r="G66" s="38">
        <f>IF(A66="","",IFERROR(AVERAGEIFS('ثبت اطلاعات'!$CE$5:$CE$1204,'ثبت اطلاعات'!$C$5:$C$1204,A66,'ثبت اطلاعات'!$CL$5:$CL$1204,"&lt;&gt;"),""))</f>
        <v>20</v>
      </c>
      <c r="H66" s="38">
        <f>IF(A66="","",IFERROR(AVERAGEIFS('ثبت اطلاعات'!$CF$5:$CF$1204,'ثبت اطلاعات'!$C$5:$C$1204,A66,'ثبت اطلاعات'!$CL$5:$CL$1204,"&lt;&gt;"),""))</f>
        <v>20</v>
      </c>
      <c r="I66" s="38">
        <f>IF(A66="","",IFERROR(AVERAGEIFS('ثبت اطلاعات'!$CG$5:$CG$1204,'ثبت اطلاعات'!$C$5:$C$1204,A66,'ثبت اطلاعات'!$CL$5:$CL$1204,"&lt;&gt;"),""))</f>
        <v>20</v>
      </c>
      <c r="J66" s="38" t="str">
        <f>IF(A66="","",IFERROR(AVERAGEIFS('ثبت اطلاعات'!$CH$5:$CH$1204,'ثبت اطلاعات'!$C$5:$C$1204,A66,'ثبت اطلاعات'!$CL$5:$CL$1204,"&lt;&gt;"),""))</f>
        <v/>
      </c>
      <c r="K66" s="38">
        <f>IF(A66="","",IFERROR(AVERAGEIFS('ثبت اطلاعات'!$CI$5:$CI$1204,'ثبت اطلاعات'!$C$5:$C$1204,A66,'ثبت اطلاعات'!$CL$5:$CL$1204,"&lt;&gt;"),""))</f>
        <v>20</v>
      </c>
      <c r="L66" s="38" t="str">
        <f>IF(A66="","",IFERROR(AVERAGEIFS('ثبت اطلاعات'!$CJ$5:$CJ$1204,'ثبت اطلاعات'!$C$5:$C$1204,A66,'ثبت اطلاعات'!$CL$5:$CL$1204,"&lt;&gt;"),""))</f>
        <v/>
      </c>
      <c r="M66" s="38" t="str">
        <f>IF(A66="","",IFERROR(AVERAGEIFS('ثبت اطلاعات'!$CK$5:$CK$1204,'ثبت اطلاعات'!$C$5:$C$1204,A66,'ثبت اطلاعات'!$CL$5:$CL$1204,"&lt;&gt;"),""))</f>
        <v/>
      </c>
      <c r="N66" s="38" t="str">
        <f>IF(A66="","",IFERROR(AVERAGEIFS('ثبت اطلاعات'!$CL$5:$CL$1204,'ثبت اطلاعات'!$C$5:$C$1204,A66,'ثبت اطلاعات'!$CL$5:$CL$1204,"&lt;&gt;"),""))</f>
        <v/>
      </c>
      <c r="O66" s="38">
        <f>IF(A66="","",COUNTIFS('ثبت اطلاعات'!$C$5:$C$1204,A66,'ثبت اطلاعات'!$CL$5:$CL$1204,"&lt;&gt;"))</f>
        <v>12</v>
      </c>
      <c r="P66" s="38" t="e">
        <f ca="1">IF(O66=0,"",MINIFS('ثبت اطلاعات'!$CN$5:$CN$1204,'ثبت اطلاعات'!$C$5:$C$1204,A66,'ثبت اطلاعات'!$CL$5:$CL$1204,"&lt;&gt;"))</f>
        <v>#NAME?</v>
      </c>
      <c r="Q66" s="38" t="e">
        <f ca="1">IF(O66=0,"",MAXIFS('ثبت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ca="1" si="5"/>
        <v>ثبات</v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>
        <f>IF(دانش‌آموزان!L67="","",دانش‌آموزان!B67)</f>
        <v>63</v>
      </c>
      <c r="B67" s="55" t="str">
        <f>IF(A67="","",دانش‌آموزان!C67)</f>
        <v>0980536839</v>
      </c>
      <c r="C67" s="55" t="str">
        <f>IF(A67="","",دانش‌آموزان!E67&amp;" "&amp;دانش‌آموزان!F67)</f>
        <v>اميرعلي كامكار سه قلعه</v>
      </c>
      <c r="D67" s="34">
        <f>IF(A67="","",دانش‌آموزان!I67)</f>
        <v>802</v>
      </c>
      <c r="E67" s="27">
        <f>IF(A67="","",IFERROR(AVERAGEIFS('ثبت اطلاعات'!$CC$5:$CC$1204,'ثبت اطلاعات'!$C$5:$C$1204,A67,'ثبت اطلاعات'!$CL$5:$CL$1204,"&lt;&gt;"),""))</f>
        <v>22.5</v>
      </c>
      <c r="F67" s="38">
        <f>IF(A67="","",IFERROR(AVERAGEIFS('ثبت اطلاعات'!$CD$5:$CD$1204,'ثبت اطلاعات'!$C$5:$C$1204,A67,'ثبت اطلاعات'!$CL$5:$CL$1204,"&lt;&gt;"),""))</f>
        <v>20</v>
      </c>
      <c r="G67" s="38">
        <f>IF(A67="","",IFERROR(AVERAGEIFS('ثبت اطلاعات'!$CE$5:$CE$1204,'ثبت اطلاعات'!$C$5:$C$1204,A67,'ثبت اطلاعات'!$CL$5:$CL$1204,"&lt;&gt;"),""))</f>
        <v>20</v>
      </c>
      <c r="H67" s="38">
        <f>IF(A67="","",IFERROR(AVERAGEIFS('ثبت اطلاعات'!$CF$5:$CF$1204,'ثبت اطلاعات'!$C$5:$C$1204,A67,'ثبت اطلاعات'!$CL$5:$CL$1204,"&lt;&gt;"),""))</f>
        <v>20</v>
      </c>
      <c r="I67" s="38">
        <f>IF(A67="","",IFERROR(AVERAGEIFS('ثبت اطلاعات'!$CG$5:$CG$1204,'ثبت اطلاعات'!$C$5:$C$1204,A67,'ثبت اطلاعات'!$CL$5:$CL$1204,"&lt;&gt;"),""))</f>
        <v>20</v>
      </c>
      <c r="J67" s="38" t="str">
        <f>IF(A67="","",IFERROR(AVERAGEIFS('ثبت اطلاعات'!$CH$5:$CH$1204,'ثبت اطلاعات'!$C$5:$C$1204,A67,'ثبت اطلاعات'!$CL$5:$CL$1204,"&lt;&gt;"),""))</f>
        <v/>
      </c>
      <c r="K67" s="38">
        <f>IF(A67="","",IFERROR(AVERAGEIFS('ثبت اطلاعات'!$CI$5:$CI$1204,'ثبت اطلاعات'!$C$5:$C$1204,A67,'ثبت اطلاعات'!$CL$5:$CL$1204,"&lt;&gt;"),""))</f>
        <v>20</v>
      </c>
      <c r="L67" s="38" t="str">
        <f>IF(A67="","",IFERROR(AVERAGEIFS('ثبت اطلاعات'!$CJ$5:$CJ$1204,'ثبت اطلاعات'!$C$5:$C$1204,A67,'ثبت اطلاعات'!$CL$5:$CL$1204,"&lt;&gt;"),""))</f>
        <v/>
      </c>
      <c r="M67" s="38" t="str">
        <f>IF(A67="","",IFERROR(AVERAGEIFS('ثبت اطلاعات'!$CK$5:$CK$1204,'ثبت اطلاعات'!$C$5:$C$1204,A67,'ثبت اطلاعات'!$CL$5:$CL$1204,"&lt;&gt;"),""))</f>
        <v/>
      </c>
      <c r="N67" s="38" t="str">
        <f>IF(A67="","",IFERROR(AVERAGEIFS('ثبت اطلاعات'!$CL$5:$CL$1204,'ثبت اطلاعات'!$C$5:$C$1204,A67,'ثبت اطلاعات'!$CL$5:$CL$1204,"&lt;&gt;"),""))</f>
        <v/>
      </c>
      <c r="O67" s="38">
        <f>IF(A67="","",COUNTIFS('ثبت اطلاعات'!$C$5:$C$1204,A67,'ثبت اطلاعات'!$CL$5:$CL$1204,"&lt;&gt;"))</f>
        <v>12</v>
      </c>
      <c r="P67" s="38" t="e">
        <f ca="1">IF(O67=0,"",MINIFS('ثبت اطلاعات'!$CN$5:$CN$1204,'ثبت اطلاعات'!$C$5:$C$1204,A67,'ثبت اطلاعات'!$CL$5:$CL$1204,"&lt;&gt;"))</f>
        <v>#NAME?</v>
      </c>
      <c r="Q67" s="38" t="e">
        <f ca="1">IF(O67=0,"",MAXIFS('ثبت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ca="1" si="5"/>
        <v>ثبات</v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>
        <f>IF(دانش‌آموزان!L68="","",دانش‌آموزان!B68)</f>
        <v>64</v>
      </c>
      <c r="B68" s="55" t="str">
        <f>IF(A68="","",دانش‌آموزان!C68)</f>
        <v>0970811012</v>
      </c>
      <c r="C68" s="55" t="str">
        <f>IF(A68="","",دانش‌آموزان!E68&amp;" "&amp;دانش‌آموزان!F68)</f>
        <v>علي محمدي شكرانلويي</v>
      </c>
      <c r="D68" s="34">
        <f>IF(A68="","",دانش‌آموزان!I68)</f>
        <v>802</v>
      </c>
      <c r="E68" s="27">
        <f>IF(A68="","",IFERROR(AVERAGEIFS('ثبت اطلاعات'!$CC$5:$CC$1204,'ثبت اطلاعات'!$C$5:$C$1204,A68,'ثبت اطلاعات'!$CL$5:$CL$1204,"&lt;&gt;"),""))</f>
        <v>22.5</v>
      </c>
      <c r="F68" s="38">
        <f>IF(A68="","",IFERROR(AVERAGEIFS('ثبت اطلاعات'!$CD$5:$CD$1204,'ثبت اطلاعات'!$C$5:$C$1204,A68,'ثبت اطلاعات'!$CL$5:$CL$1204,"&lt;&gt;"),""))</f>
        <v>20</v>
      </c>
      <c r="G68" s="38">
        <f>IF(A68="","",IFERROR(AVERAGEIFS('ثبت اطلاعات'!$CE$5:$CE$1204,'ثبت اطلاعات'!$C$5:$C$1204,A68,'ثبت اطلاعات'!$CL$5:$CL$1204,"&lt;&gt;"),""))</f>
        <v>20</v>
      </c>
      <c r="H68" s="38">
        <f>IF(A68="","",IFERROR(AVERAGEIFS('ثبت اطلاعات'!$CF$5:$CF$1204,'ثبت اطلاعات'!$C$5:$C$1204,A68,'ثبت اطلاعات'!$CL$5:$CL$1204,"&lt;&gt;"),""))</f>
        <v>20</v>
      </c>
      <c r="I68" s="38">
        <f>IF(A68="","",IFERROR(AVERAGEIFS('ثبت اطلاعات'!$CG$5:$CG$1204,'ثبت اطلاعات'!$C$5:$C$1204,A68,'ثبت اطلاعات'!$CL$5:$CL$1204,"&lt;&gt;"),""))</f>
        <v>20</v>
      </c>
      <c r="J68" s="38" t="str">
        <f>IF(A68="","",IFERROR(AVERAGEIFS('ثبت اطلاعات'!$CH$5:$CH$1204,'ثبت اطلاعات'!$C$5:$C$1204,A68,'ثبت اطلاعات'!$CL$5:$CL$1204,"&lt;&gt;"),""))</f>
        <v/>
      </c>
      <c r="K68" s="38">
        <f>IF(A68="","",IFERROR(AVERAGEIFS('ثبت اطلاعات'!$CI$5:$CI$1204,'ثبت اطلاعات'!$C$5:$C$1204,A68,'ثبت اطلاعات'!$CL$5:$CL$1204,"&lt;&gt;"),""))</f>
        <v>20</v>
      </c>
      <c r="L68" s="38" t="str">
        <f>IF(A68="","",IFERROR(AVERAGEIFS('ثبت اطلاعات'!$CJ$5:$CJ$1204,'ثبت اطلاعات'!$C$5:$C$1204,A68,'ثبت اطلاعات'!$CL$5:$CL$1204,"&lt;&gt;"),""))</f>
        <v/>
      </c>
      <c r="M68" s="38" t="str">
        <f>IF(A68="","",IFERROR(AVERAGEIFS('ثبت اطلاعات'!$CK$5:$CK$1204,'ثبت اطلاعات'!$C$5:$C$1204,A68,'ثبت اطلاعات'!$CL$5:$CL$1204,"&lt;&gt;"),""))</f>
        <v/>
      </c>
      <c r="N68" s="38" t="str">
        <f>IF(A68="","",IFERROR(AVERAGEIFS('ثبت اطلاعات'!$CL$5:$CL$1204,'ثبت اطلاعات'!$C$5:$C$1204,A68,'ثبت اطلاعات'!$CL$5:$CL$1204,"&lt;&gt;"),""))</f>
        <v/>
      </c>
      <c r="O68" s="38">
        <f>IF(A68="","",COUNTIFS('ثبت اطلاعات'!$C$5:$C$1204,A68,'ثبت اطلاعات'!$CL$5:$CL$1204,"&lt;&gt;"))</f>
        <v>12</v>
      </c>
      <c r="P68" s="38" t="e">
        <f ca="1">IF(O68=0,"",MINIFS('ثبت اطلاعات'!$CN$5:$CN$1204,'ثبت اطلاعات'!$C$5:$C$1204,A68,'ثبت اطلاعات'!$CL$5:$CL$1204,"&lt;&gt;"))</f>
        <v>#NAME?</v>
      </c>
      <c r="Q68" s="38" t="e">
        <f ca="1">IF(O68=0,"",MAXIFS('ثبت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ca="1" si="5"/>
        <v>ثبات</v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>
        <f>IF(دانش‌آموزان!L69="","",دانش‌آموزان!B69)</f>
        <v>65</v>
      </c>
      <c r="B69" s="55" t="str">
        <f>IF(A69="","",دانش‌آموزان!C69)</f>
        <v>0980566401</v>
      </c>
      <c r="C69" s="55" t="str">
        <f>IF(A69="","",دانش‌آموزان!E69&amp;" "&amp;دانش‌آموزان!F69)</f>
        <v>ايليا مشيري</v>
      </c>
      <c r="D69" s="34">
        <f>IF(A69="","",دانش‌آموزان!I69)</f>
        <v>802</v>
      </c>
      <c r="E69" s="27">
        <f>IF(A69="","",IFERROR(AVERAGEIFS('ثبت اطلاعات'!$CC$5:$CC$1204,'ثبت اطلاعات'!$C$5:$C$1204,A69,'ثبت اطلاعات'!$CL$5:$CL$1204,"&lt;&gt;"),""))</f>
        <v>20</v>
      </c>
      <c r="F69" s="38">
        <f>IF(A69="","",IFERROR(AVERAGEIFS('ثبت اطلاعات'!$CD$5:$CD$1204,'ثبت اطلاعات'!$C$5:$C$1204,A69,'ثبت اطلاعات'!$CL$5:$CL$1204,"&lt;&gt;"),""))</f>
        <v>20</v>
      </c>
      <c r="G69" s="38">
        <f>IF(A69="","",IFERROR(AVERAGEIFS('ثبت اطلاعات'!$CE$5:$CE$1204,'ثبت اطلاعات'!$C$5:$C$1204,A69,'ثبت اطلاعات'!$CL$5:$CL$1204,"&lt;&gt;"),""))</f>
        <v>20</v>
      </c>
      <c r="H69" s="38">
        <f>IF(A69="","",IFERROR(AVERAGEIFS('ثبت اطلاعات'!$CF$5:$CF$1204,'ثبت اطلاعات'!$C$5:$C$1204,A69,'ثبت اطلاعات'!$CL$5:$CL$1204,"&lt;&gt;"),""))</f>
        <v>20</v>
      </c>
      <c r="I69" s="38">
        <f>IF(A69="","",IFERROR(AVERAGEIFS('ثبت اطلاعات'!$CG$5:$CG$1204,'ثبت اطلاعات'!$C$5:$C$1204,A69,'ثبت اطلاعات'!$CL$5:$CL$1204,"&lt;&gt;"),""))</f>
        <v>20</v>
      </c>
      <c r="J69" s="38" t="str">
        <f>IF(A69="","",IFERROR(AVERAGEIFS('ثبت اطلاعات'!$CH$5:$CH$1204,'ثبت اطلاعات'!$C$5:$C$1204,A69,'ثبت اطلاعات'!$CL$5:$CL$1204,"&lt;&gt;"),""))</f>
        <v/>
      </c>
      <c r="K69" s="38">
        <f>IF(A69="","",IFERROR(AVERAGEIFS('ثبت اطلاعات'!$CI$5:$CI$1204,'ثبت اطلاعات'!$C$5:$C$1204,A69,'ثبت اطلاعات'!$CL$5:$CL$1204,"&lt;&gt;"),""))</f>
        <v>20</v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>
        <f>IF(A69="","",COUNTIFS('ثبت اطلاعات'!$C$5:$C$1204,A69,'ثبت اطلاعات'!$CL$5:$CL$1204,"&lt;&gt;"))</f>
        <v>12</v>
      </c>
      <c r="P69" s="38" t="e">
        <f ca="1">IF(O69=0,"",MINIFS('ثبت اطلاعات'!$CN$5:$CN$1204,'ثبت اطلاعات'!$C$5:$C$1204,A69,'ثبت اطلاعات'!$CL$5:$CL$1204,"&lt;&gt;"))</f>
        <v>#NAME?</v>
      </c>
      <c r="Q69" s="38" t="e">
        <f ca="1">IF(O69=0,"",MAXIFS('ثبت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ca="1" si="10">IF(A69="","",IF(O69=0,"فاقد ارزیابی نهایی",IF(O69=1,"داده ناکافی",IF(R69&gt;0.5,"پیشرفت",IF(R69&lt;-0.5,"افت","ثبات")))))</f>
        <v>ثبات</v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>
        <f>IF(دانش‌آموزان!L70="","",دانش‌آموزان!B70)</f>
        <v>66</v>
      </c>
      <c r="B70" s="55" t="str">
        <f>IF(A70="","",دانش‌آموزان!C70)</f>
        <v>0760725179</v>
      </c>
      <c r="C70" s="55" t="str">
        <f>IF(A70="","",دانش‌آموزان!E70&amp;" "&amp;دانش‌آموزان!F70)</f>
        <v>احمدرضا مصطفي پور</v>
      </c>
      <c r="D70" s="34">
        <f>IF(A70="","",دانش‌آموزان!I70)</f>
        <v>802</v>
      </c>
      <c r="E70" s="27">
        <f>IF(A70="","",IFERROR(AVERAGEIFS('ثبت اطلاعات'!$CC$5:$CC$1204,'ثبت اطلاعات'!$C$5:$C$1204,A70,'ثبت اطلاعات'!$CL$5:$CL$1204,"&lt;&gt;"),""))</f>
        <v>19.5</v>
      </c>
      <c r="F70" s="38">
        <f>IF(A70="","",IFERROR(AVERAGEIFS('ثبت اطلاعات'!$CD$5:$CD$1204,'ثبت اطلاعات'!$C$5:$C$1204,A70,'ثبت اطلاعات'!$CL$5:$CL$1204,"&lt;&gt;"),""))</f>
        <v>20</v>
      </c>
      <c r="G70" s="38">
        <f>IF(A70="","",IFERROR(AVERAGEIFS('ثبت اطلاعات'!$CE$5:$CE$1204,'ثبت اطلاعات'!$C$5:$C$1204,A70,'ثبت اطلاعات'!$CL$5:$CL$1204,"&lt;&gt;"),""))</f>
        <v>20</v>
      </c>
      <c r="H70" s="38">
        <f>IF(A70="","",IFERROR(AVERAGEIFS('ثبت اطلاعات'!$CF$5:$CF$1204,'ثبت اطلاعات'!$C$5:$C$1204,A70,'ثبت اطلاعات'!$CL$5:$CL$1204,"&lt;&gt;"),""))</f>
        <v>20</v>
      </c>
      <c r="I70" s="38">
        <f>IF(A70="","",IFERROR(AVERAGEIFS('ثبت اطلاعات'!$CG$5:$CG$1204,'ثبت اطلاعات'!$C$5:$C$1204,A70,'ثبت اطلاعات'!$CL$5:$CL$1204,"&lt;&gt;"),""))</f>
        <v>20</v>
      </c>
      <c r="J70" s="38" t="str">
        <f>IF(A70="","",IFERROR(AVERAGEIFS('ثبت اطلاعات'!$CH$5:$CH$1204,'ثبت اطلاعات'!$C$5:$C$1204,A70,'ثبت اطلاعات'!$CL$5:$CL$1204,"&lt;&gt;"),""))</f>
        <v/>
      </c>
      <c r="K70" s="38">
        <f>IF(A70="","",IFERROR(AVERAGEIFS('ثبت اطلاعات'!$CI$5:$CI$1204,'ثبت اطلاعات'!$C$5:$C$1204,A70,'ثبت اطلاعات'!$CL$5:$CL$1204,"&lt;&gt;"),""))</f>
        <v>20</v>
      </c>
      <c r="L70" s="38" t="str">
        <f>IF(A70="","",IFERROR(AVERAGEIFS('ثبت اطلاعات'!$CJ$5:$CJ$1204,'ثبت اطلاعات'!$C$5:$C$1204,A70,'ثبت اطلاعات'!$CL$5:$CL$1204,"&lt;&gt;"),""))</f>
        <v/>
      </c>
      <c r="M70" s="38" t="str">
        <f>IF(A70="","",IFERROR(AVERAGEIFS('ثبت اطلاعات'!$CK$5:$CK$1204,'ثبت اطلاعات'!$C$5:$C$1204,A70,'ثبت اطلاعات'!$CL$5:$CL$1204,"&lt;&gt;"),""))</f>
        <v/>
      </c>
      <c r="N70" s="38" t="str">
        <f>IF(A70="","",IFERROR(AVERAGEIFS('ثبت اطلاعات'!$CL$5:$CL$1204,'ثبت اطلاعات'!$C$5:$C$1204,A70,'ثبت اطلاعات'!$CL$5:$CL$1204,"&lt;&gt;"),""))</f>
        <v/>
      </c>
      <c r="O70" s="38">
        <f>IF(A70="","",COUNTIFS('ثبت اطلاعات'!$C$5:$C$1204,A70,'ثبت اطلاعات'!$CL$5:$CL$1204,"&lt;&gt;"))</f>
        <v>12</v>
      </c>
      <c r="P70" s="38" t="e">
        <f ca="1">IF(O70=0,"",MINIFS('ثبت اطلاعات'!$CN$5:$CN$1204,'ثبت اطلاعات'!$C$5:$C$1204,A70,'ثبت اطلاعات'!$CL$5:$CL$1204,"&lt;&gt;"))</f>
        <v>#NAME?</v>
      </c>
      <c r="Q70" s="38" t="e">
        <f ca="1">IF(O70=0,"",MAXIFS('ثبت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ca="1" si="10"/>
        <v>ثبات</v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>
        <f>IF(دانش‌آموزان!L71="","",دانش‌آموزان!B71)</f>
        <v>67</v>
      </c>
      <c r="B71" s="55" t="str">
        <f>IF(A71="","",دانش‌آموزان!C71)</f>
        <v>0980629063</v>
      </c>
      <c r="C71" s="55" t="str">
        <f>IF(A71="","",دانش‌آموزان!E71&amp;" "&amp;دانش‌آموزان!F71)</f>
        <v>سيد مرتضي موسوي</v>
      </c>
      <c r="D71" s="34">
        <f>IF(A71="","",دانش‌آموزان!I71)</f>
        <v>802</v>
      </c>
      <c r="E71" s="27">
        <f>IF(A71="","",IFERROR(AVERAGEIFS('ثبت اطلاعات'!$CC$5:$CC$1204,'ثبت اطلاعات'!$C$5:$C$1204,A71,'ثبت اطلاعات'!$CL$5:$CL$1204,"&lt;&gt;"),""))</f>
        <v>20.5</v>
      </c>
      <c r="F71" s="38">
        <f>IF(A71="","",IFERROR(AVERAGEIFS('ثبت اطلاعات'!$CD$5:$CD$1204,'ثبت اطلاعات'!$C$5:$C$1204,A71,'ثبت اطلاعات'!$CL$5:$CL$1204,"&lt;&gt;"),""))</f>
        <v>20</v>
      </c>
      <c r="G71" s="38">
        <f>IF(A71="","",IFERROR(AVERAGEIFS('ثبت اطلاعات'!$CE$5:$CE$1204,'ثبت اطلاعات'!$C$5:$C$1204,A71,'ثبت اطلاعات'!$CL$5:$CL$1204,"&lt;&gt;"),""))</f>
        <v>20</v>
      </c>
      <c r="H71" s="38">
        <f>IF(A71="","",IFERROR(AVERAGEIFS('ثبت اطلاعات'!$CF$5:$CF$1204,'ثبت اطلاعات'!$C$5:$C$1204,A71,'ثبت اطلاعات'!$CL$5:$CL$1204,"&lt;&gt;"),""))</f>
        <v>20</v>
      </c>
      <c r="I71" s="38">
        <f>IF(A71="","",IFERROR(AVERAGEIFS('ثبت اطلاعات'!$CG$5:$CG$1204,'ثبت اطلاعات'!$C$5:$C$1204,A71,'ثبت اطلاعات'!$CL$5:$CL$1204,"&lt;&gt;"),""))</f>
        <v>20</v>
      </c>
      <c r="J71" s="38" t="str">
        <f>IF(A71="","",IFERROR(AVERAGEIFS('ثبت اطلاعات'!$CH$5:$CH$1204,'ثبت اطلاعات'!$C$5:$C$1204,A71,'ثبت اطلاعات'!$CL$5:$CL$1204,"&lt;&gt;"),""))</f>
        <v/>
      </c>
      <c r="K71" s="38">
        <f>IF(A71="","",IFERROR(AVERAGEIFS('ثبت اطلاعات'!$CI$5:$CI$1204,'ثبت اطلاعات'!$C$5:$C$1204,A71,'ثبت اطلاعات'!$CL$5:$CL$1204,"&lt;&gt;"),""))</f>
        <v>20</v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>
        <f>IF(A71="","",COUNTIFS('ثبت اطلاعات'!$C$5:$C$1204,A71,'ثبت اطلاعات'!$CL$5:$CL$1204,"&lt;&gt;"))</f>
        <v>12</v>
      </c>
      <c r="P71" s="38" t="e">
        <f ca="1">IF(O71=0,"",MINIFS('ثبت اطلاعات'!$CN$5:$CN$1204,'ثبت اطلاعات'!$C$5:$C$1204,A71,'ثبت اطلاعات'!$CL$5:$CL$1204,"&lt;&gt;"))</f>
        <v>#NAME?</v>
      </c>
      <c r="Q71" s="38" t="e">
        <f ca="1">IF(O71=0,"",MAXIFS('ثبت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ca="1" si="10"/>
        <v>ثبات</v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>
        <f>IF(دانش‌آموزان!L72="","",دانش‌آموزان!B72)</f>
        <v>68</v>
      </c>
      <c r="B72" s="55" t="str">
        <f>IF(A72="","",دانش‌آموزان!C72)</f>
        <v>0960448357</v>
      </c>
      <c r="C72" s="55" t="str">
        <f>IF(A72="","",دانش‌آموزان!E72&amp;" "&amp;دانش‌آموزان!F72)</f>
        <v>اميرعلي نظري</v>
      </c>
      <c r="D72" s="34">
        <f>IF(A72="","",دانش‌آموزان!I72)</f>
        <v>802</v>
      </c>
      <c r="E72" s="27">
        <f>IF(A72="","",IFERROR(AVERAGEIFS('ثبت اطلاعات'!$CC$5:$CC$1204,'ثبت اطلاعات'!$C$5:$C$1204,A72,'ثبت اطلاعات'!$CL$5:$CL$1204,"&lt;&gt;"),""))</f>
        <v>21</v>
      </c>
      <c r="F72" s="38">
        <f>IF(A72="","",IFERROR(AVERAGEIFS('ثبت اطلاعات'!$CD$5:$CD$1204,'ثبت اطلاعات'!$C$5:$C$1204,A72,'ثبت اطلاعات'!$CL$5:$CL$1204,"&lt;&gt;"),""))</f>
        <v>20</v>
      </c>
      <c r="G72" s="38">
        <f>IF(A72="","",IFERROR(AVERAGEIFS('ثبت اطلاعات'!$CE$5:$CE$1204,'ثبت اطلاعات'!$C$5:$C$1204,A72,'ثبت اطلاعات'!$CL$5:$CL$1204,"&lt;&gt;"),""))</f>
        <v>20</v>
      </c>
      <c r="H72" s="38">
        <f>IF(A72="","",IFERROR(AVERAGEIFS('ثبت اطلاعات'!$CF$5:$CF$1204,'ثبت اطلاعات'!$C$5:$C$1204,A72,'ثبت اطلاعات'!$CL$5:$CL$1204,"&lt;&gt;"),""))</f>
        <v>20</v>
      </c>
      <c r="I72" s="38">
        <f>IF(A72="","",IFERROR(AVERAGEIFS('ثبت اطلاعات'!$CG$5:$CG$1204,'ثبت اطلاعات'!$C$5:$C$1204,A72,'ثبت اطلاعات'!$CL$5:$CL$1204,"&lt;&gt;"),""))</f>
        <v>20</v>
      </c>
      <c r="J72" s="38" t="str">
        <f>IF(A72="","",IFERROR(AVERAGEIFS('ثبت اطلاعات'!$CH$5:$CH$1204,'ثبت اطلاعات'!$C$5:$C$1204,A72,'ثبت اطلاعات'!$CL$5:$CL$1204,"&lt;&gt;"),""))</f>
        <v/>
      </c>
      <c r="K72" s="38">
        <f>IF(A72="","",IFERROR(AVERAGEIFS('ثبت اطلاعات'!$CI$5:$CI$1204,'ثبت اطلاعات'!$C$5:$C$1204,A72,'ثبت اطلاعات'!$CL$5:$CL$1204,"&lt;&gt;"),""))</f>
        <v>20</v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>
        <f>IF(A72="","",COUNTIFS('ثبت اطلاعات'!$C$5:$C$1204,A72,'ثبت اطلاعات'!$CL$5:$CL$1204,"&lt;&gt;"))</f>
        <v>12</v>
      </c>
      <c r="P72" s="38" t="e">
        <f ca="1">IF(O72=0,"",MINIFS('ثبت اطلاعات'!$CN$5:$CN$1204,'ثبت اطلاعات'!$C$5:$C$1204,A72,'ثبت اطلاعات'!$CL$5:$CL$1204,"&lt;&gt;"))</f>
        <v>#NAME?</v>
      </c>
      <c r="Q72" s="38" t="e">
        <f ca="1">IF(O72=0,"",MAXIFS('ثبت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ca="1" si="10"/>
        <v>ثبات</v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>
        <f>IF(دانش‌آموزان!L73="","",دانش‌آموزان!B73)</f>
        <v>69</v>
      </c>
      <c r="B73" s="55" t="str">
        <f>IF(A73="","",دانش‌آموزان!C73)</f>
        <v>0970831919</v>
      </c>
      <c r="C73" s="55" t="str">
        <f>IF(A73="","",دانش‌آموزان!E73&amp;" "&amp;دانش‌آموزان!F73)</f>
        <v>محمدمحسن نعيمي</v>
      </c>
      <c r="D73" s="34">
        <f>IF(A73="","",دانش‌آموزان!I73)</f>
        <v>802</v>
      </c>
      <c r="E73" s="27">
        <f>IF(A73="","",IFERROR(AVERAGEIFS('ثبت اطلاعات'!$CC$5:$CC$1204,'ثبت اطلاعات'!$C$5:$C$1204,A73,'ثبت اطلاعات'!$CL$5:$CL$1204,"&lt;&gt;"),""))</f>
        <v>22</v>
      </c>
      <c r="F73" s="38">
        <f>IF(A73="","",IFERROR(AVERAGEIFS('ثبت اطلاعات'!$CD$5:$CD$1204,'ثبت اطلاعات'!$C$5:$C$1204,A73,'ثبت اطلاعات'!$CL$5:$CL$1204,"&lt;&gt;"),""))</f>
        <v>20</v>
      </c>
      <c r="G73" s="38">
        <f>IF(A73="","",IFERROR(AVERAGEIFS('ثبت اطلاعات'!$CE$5:$CE$1204,'ثبت اطلاعات'!$C$5:$C$1204,A73,'ثبت اطلاعات'!$CL$5:$CL$1204,"&lt;&gt;"),""))</f>
        <v>20</v>
      </c>
      <c r="H73" s="38">
        <f>IF(A73="","",IFERROR(AVERAGEIFS('ثبت اطلاعات'!$CF$5:$CF$1204,'ثبت اطلاعات'!$C$5:$C$1204,A73,'ثبت اطلاعات'!$CL$5:$CL$1204,"&lt;&gt;"),""))</f>
        <v>20</v>
      </c>
      <c r="I73" s="38">
        <f>IF(A73="","",IFERROR(AVERAGEIFS('ثبت اطلاعات'!$CG$5:$CG$1204,'ثبت اطلاعات'!$C$5:$C$1204,A73,'ثبت اطلاعات'!$CL$5:$CL$1204,"&lt;&gt;"),""))</f>
        <v>20</v>
      </c>
      <c r="J73" s="38" t="str">
        <f>IF(A73="","",IFERROR(AVERAGEIFS('ثبت اطلاعات'!$CH$5:$CH$1204,'ثبت اطلاعات'!$C$5:$C$1204,A73,'ثبت اطلاعات'!$CL$5:$CL$1204,"&lt;&gt;"),""))</f>
        <v/>
      </c>
      <c r="K73" s="38">
        <f>IF(A73="","",IFERROR(AVERAGEIFS('ثبت اطلاعات'!$CI$5:$CI$1204,'ثبت اطلاعات'!$C$5:$C$1204,A73,'ثبت اطلاعات'!$CL$5:$CL$1204,"&lt;&gt;"),""))</f>
        <v>20</v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>
        <f>IF(A73="","",COUNTIFS('ثبت اطلاعات'!$C$5:$C$1204,A73,'ثبت اطلاعات'!$CL$5:$CL$1204,"&lt;&gt;"))</f>
        <v>12</v>
      </c>
      <c r="P73" s="38" t="e">
        <f ca="1">IF(O73=0,"",MINIFS('ثبت اطلاعات'!$CN$5:$CN$1204,'ثبت اطلاعات'!$C$5:$C$1204,A73,'ثبت اطلاعات'!$CL$5:$CL$1204,"&lt;&gt;"))</f>
        <v>#NAME?</v>
      </c>
      <c r="Q73" s="38" t="e">
        <f ca="1">IF(O73=0,"",MAXIFS('ثبت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ca="1" si="10"/>
        <v>ثبات</v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 t="str">
        <f>IF(دانش‌آموزان!L74="","",دانش‌آموزان!B74)</f>
        <v/>
      </c>
      <c r="B74" s="55" t="str">
        <f>IF(A74="","",دانش‌آموزان!C74)</f>
        <v/>
      </c>
      <c r="C74" s="55" t="str">
        <f>IF(A74="","",دانش‌آموزان!E74&amp;" "&amp;دانش‌آموزان!F74)</f>
        <v/>
      </c>
      <c r="D74" s="34" t="str">
        <f>IF(A74="","",دانش‌آموزان!I74)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IF(O74=0,"",MINIFS('ثبت اطلاعات'!$CN$5:$CN$1204,'ثبت اطلاعات'!$C$5:$C$1204,A74,'ثبت اطلاعات'!$CL$5:$CL$1204,"&lt;&gt;"))</f>
        <v>#NAME?</v>
      </c>
      <c r="Q74" s="38" t="e">
        <f ca="1">IF(O74=0,"",MAXIFS('ثبت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 t="str">
        <f>IF(دانش‌آموزان!L75="","",دانش‌آموزان!B75)</f>
        <v/>
      </c>
      <c r="B75" s="55" t="str">
        <f>IF(A75="","",دانش‌آموزان!C75)</f>
        <v/>
      </c>
      <c r="C75" s="55" t="str">
        <f>IF(A75="","",دانش‌آموزان!E75&amp;" "&amp;دانش‌آموزان!F75)</f>
        <v/>
      </c>
      <c r="D75" s="34" t="str">
        <f>IF(A75="","",دانش‌آموزان!I75)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IF(O75=0,"",MINIFS('ثبت اطلاعات'!$CN$5:$CN$1204,'ثبت اطلاعات'!$C$5:$C$1204,A75,'ثبت اطلاعات'!$CL$5:$CL$1204,"&lt;&gt;"))</f>
        <v>#NAME?</v>
      </c>
      <c r="Q75" s="38" t="e">
        <f ca="1">IF(O75=0,"",MAXIFS('ثبت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 t="str">
        <f>IF(دانش‌آموزان!L76="","",دانش‌آموزان!B76)</f>
        <v/>
      </c>
      <c r="B76" s="55" t="str">
        <f>IF(A76="","",دانش‌آموزان!C76)</f>
        <v/>
      </c>
      <c r="C76" s="55" t="str">
        <f>IF(A76="","",دانش‌آموزان!E76&amp;" "&amp;دانش‌آموزان!F76)</f>
        <v/>
      </c>
      <c r="D76" s="34" t="str">
        <f>IF(A76="","",دانش‌آموزان!I76)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IF(O76=0,"",MINIFS('ثبت اطلاعات'!$CN$5:$CN$1204,'ثبت اطلاعات'!$C$5:$C$1204,A76,'ثبت اطلاعات'!$CL$5:$CL$1204,"&lt;&gt;"))</f>
        <v>#NAME?</v>
      </c>
      <c r="Q76" s="38" t="e">
        <f ca="1">IF(O76=0,"",MAXIFS('ثبت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 t="str">
        <f>IF(دانش‌آموزان!L77="","",دانش‌آموزان!B77)</f>
        <v/>
      </c>
      <c r="B77" s="55" t="str">
        <f>IF(A77="","",دانش‌آموزان!C77)</f>
        <v/>
      </c>
      <c r="C77" s="55" t="str">
        <f>IF(A77="","",دانش‌آموزان!E77&amp;" "&amp;دانش‌آموزان!F77)</f>
        <v/>
      </c>
      <c r="D77" s="34" t="str">
        <f>IF(A77="","",دانش‌آموزان!I77)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IF(O77=0,"",MINIFS('ثبت اطلاعات'!$CN$5:$CN$1204,'ثبت اطلاعات'!$C$5:$C$1204,A77,'ثبت اطلاعات'!$CL$5:$CL$1204,"&lt;&gt;"))</f>
        <v>#NAME?</v>
      </c>
      <c r="Q77" s="38" t="e">
        <f ca="1">IF(O77=0,"",MAXIFS('ثبت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 t="str">
        <f>IF(دانش‌آموزان!L78="","",دانش‌آموزان!B78)</f>
        <v/>
      </c>
      <c r="B78" s="55" t="str">
        <f>IF(A78="","",دانش‌آموزان!C78)</f>
        <v/>
      </c>
      <c r="C78" s="55" t="str">
        <f>IF(A78="","",دانش‌آموزان!E78&amp;" "&amp;دانش‌آموزان!F78)</f>
        <v/>
      </c>
      <c r="D78" s="34" t="str">
        <f>IF(A78="","",دانش‌آموزان!I78)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IF(O78=0,"",MINIFS('ثبت اطلاعات'!$CN$5:$CN$1204,'ثبت اطلاعات'!$C$5:$C$1204,A78,'ثبت اطلاعات'!$CL$5:$CL$1204,"&lt;&gt;"))</f>
        <v>#NAME?</v>
      </c>
      <c r="Q78" s="38" t="e">
        <f ca="1">IF(O78=0,"",MAXIFS('ثبت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 t="str">
        <f>IF(دانش‌آموزان!L79="","",دانش‌آموزان!B79)</f>
        <v/>
      </c>
      <c r="B79" s="55" t="str">
        <f>IF(A79="","",دانش‌آموزان!C79)</f>
        <v/>
      </c>
      <c r="C79" s="55" t="str">
        <f>IF(A79="","",دانش‌آموزان!E79&amp;" "&amp;دانش‌آموزان!F79)</f>
        <v/>
      </c>
      <c r="D79" s="34" t="str">
        <f>IF(A79="","",دانش‌آموزان!I79)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IF(O79=0,"",MINIFS('ثبت اطلاعات'!$CN$5:$CN$1204,'ثبت اطلاعات'!$C$5:$C$1204,A79,'ثبت اطلاعات'!$CL$5:$CL$1204,"&lt;&gt;"))</f>
        <v>#NAME?</v>
      </c>
      <c r="Q79" s="38" t="e">
        <f ca="1">IF(O79=0,"",MAXIFS('ثبت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 t="str">
        <f>IF(دانش‌آموزان!L80="","",دانش‌آموزان!B80)</f>
        <v/>
      </c>
      <c r="B80" s="55" t="str">
        <f>IF(A80="","",دانش‌آموزان!C80)</f>
        <v/>
      </c>
      <c r="C80" s="55" t="str">
        <f>IF(A80="","",دانش‌آموزان!E80&amp;" "&amp;دانش‌آموزان!F80)</f>
        <v/>
      </c>
      <c r="D80" s="34" t="str">
        <f>IF(A80="","",دانش‌آموزان!I80)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IF(O80=0,"",MINIFS('ثبت اطلاعات'!$CN$5:$CN$1204,'ثبت اطلاعات'!$C$5:$C$1204,A80,'ثبت اطلاعات'!$CL$5:$CL$1204,"&lt;&gt;"))</f>
        <v>#NAME?</v>
      </c>
      <c r="Q80" s="38" t="e">
        <f ca="1">IF(O80=0,"",MAXIFS('ثبت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 t="str">
        <f>IF(دانش‌آموزان!L81="","",دانش‌آموزان!B81)</f>
        <v/>
      </c>
      <c r="B81" s="55" t="str">
        <f>IF(A81="","",دانش‌آموزان!C81)</f>
        <v/>
      </c>
      <c r="C81" s="55" t="str">
        <f>IF(A81="","",دانش‌آموزان!E81&amp;" "&amp;دانش‌آموزان!F81)</f>
        <v/>
      </c>
      <c r="D81" s="34" t="str">
        <f>IF(A81="","",دانش‌آموزان!I81)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IF(O81=0,"",MINIFS('ثبت اطلاعات'!$CN$5:$CN$1204,'ثبت اطلاعات'!$C$5:$C$1204,A81,'ثبت اطلاعات'!$CL$5:$CL$1204,"&lt;&gt;"))</f>
        <v>#NAME?</v>
      </c>
      <c r="Q81" s="38" t="e">
        <f ca="1">IF(O81=0,"",MAXIFS('ثبت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 t="str">
        <f>IF(دانش‌آموزان!L82="","",دانش‌آموزان!B82)</f>
        <v/>
      </c>
      <c r="B82" s="55" t="str">
        <f>IF(A82="","",دانش‌آموزان!C82)</f>
        <v/>
      </c>
      <c r="C82" s="55" t="str">
        <f>IF(A82="","",دانش‌آموزان!E82&amp;" "&amp;دانش‌آموزان!F82)</f>
        <v/>
      </c>
      <c r="D82" s="34" t="str">
        <f>IF(A82="","",دانش‌آموزان!I82)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IF(O82=0,"",MINIFS('ثبت اطلاعات'!$CN$5:$CN$1204,'ثبت اطلاعات'!$C$5:$C$1204,A82,'ثبت اطلاعات'!$CL$5:$CL$1204,"&lt;&gt;"))</f>
        <v>#NAME?</v>
      </c>
      <c r="Q82" s="38" t="e">
        <f ca="1">IF(O82=0,"",MAXIFS('ثبت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IF(دانش‌آموزان!L83="","",دانش‌آموزان!B83)</f>
        <v/>
      </c>
      <c r="B83" s="55" t="str">
        <f>IF(A83="","",دانش‌آموزان!C83)</f>
        <v/>
      </c>
      <c r="C83" s="55" t="str">
        <f>IF(A83="","",دانش‌آموزان!E83&amp;" "&amp;دانش‌آموزان!F83)</f>
        <v/>
      </c>
      <c r="D83" s="34" t="str">
        <f>IF(A83="","",دانش‌آموزان!I83)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IF(O83=0,"",MINIFS('ثبت اطلاعات'!$CN$5:$CN$1204,'ثبت اطلاعات'!$C$5:$C$1204,A83,'ثبت اطلاعات'!$CL$5:$CL$1204,"&lt;&gt;"))</f>
        <v>#NAME?</v>
      </c>
      <c r="Q83" s="38" t="e">
        <f ca="1">IF(O83=0,"",MAXIFS('ثبت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IF(دانش‌آموزان!L84="","",دانش‌آموزان!B84)</f>
        <v/>
      </c>
      <c r="B84" s="55" t="str">
        <f>IF(A84="","",دانش‌آموزان!C84)</f>
        <v/>
      </c>
      <c r="C84" s="55" t="str">
        <f>IF(A84="","",دانش‌آموزان!E84&amp;" "&amp;دانش‌آموزان!F84)</f>
        <v/>
      </c>
      <c r="D84" s="34" t="str">
        <f>IF(A84="","",دانش‌آموزان!I84)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IF(O84=0,"",MINIFS('ثبت اطلاعات'!$CN$5:$CN$1204,'ثبت اطلاعات'!$C$5:$C$1204,A84,'ثبت اطلاعات'!$CL$5:$CL$1204,"&lt;&gt;"))</f>
        <v>#NAME?</v>
      </c>
      <c r="Q84" s="38" t="e">
        <f ca="1">IF(O84=0,"",MAXIFS('ثبت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IF(دانش‌آموزان!L85="","",دانش‌آموزان!B85)</f>
        <v/>
      </c>
      <c r="B85" s="55" t="str">
        <f>IF(A85="","",دانش‌آموزان!C85)</f>
        <v/>
      </c>
      <c r="C85" s="55" t="str">
        <f>IF(A85="","",دانش‌آموزان!E85&amp;" "&amp;دانش‌آموزان!F85)</f>
        <v/>
      </c>
      <c r="D85" s="34" t="str">
        <f>IF(A85="","",دانش‌آموزان!I85)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IF(O85=0,"",MINIFS('ثبت اطلاعات'!$CN$5:$CN$1204,'ثبت اطلاعات'!$C$5:$C$1204,A85,'ثبت اطلاعات'!$CL$5:$CL$1204,"&lt;&gt;"))</f>
        <v>#NAME?</v>
      </c>
      <c r="Q85" s="38" t="e">
        <f ca="1">IF(O85=0,"",MAXIFS('ثبت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IF(دانش‌آموزان!L86="","",دانش‌آموزان!B86)</f>
        <v/>
      </c>
      <c r="B86" s="55" t="str">
        <f>IF(A86="","",دانش‌آموزان!C86)</f>
        <v/>
      </c>
      <c r="C86" s="55" t="str">
        <f>IF(A86="","",دانش‌آموزان!E86&amp;" "&amp;دانش‌آموزان!F86)</f>
        <v/>
      </c>
      <c r="D86" s="34" t="str">
        <f>IF(A86="","",دانش‌آموزان!I86)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IF(O86=0,"",MINIFS('ثبت اطلاعات'!$CN$5:$CN$1204,'ثبت اطلاعات'!$C$5:$C$1204,A86,'ثبت اطلاعات'!$CL$5:$CL$1204,"&lt;&gt;"))</f>
        <v>#NAME?</v>
      </c>
      <c r="Q86" s="38" t="e">
        <f ca="1">IF(O86=0,"",MAXIFS('ثبت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IF(O87=0,"",MINIFS('ثبت اطلاعات'!$CN$5:$CN$1204,'ثبت اطلاعات'!$C$5:$C$1204,A87,'ثبت اطلاعات'!$CL$5:$CL$1204,"&lt;&gt;"))</f>
        <v>#NAME?</v>
      </c>
      <c r="Q87" s="38" t="e">
        <f ca="1">IF(O87=0,"",MAXIFS('ثبت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IF(O88=0,"",MINIFS('ثبت اطلاعات'!$CN$5:$CN$1204,'ثبت اطلاعات'!$C$5:$C$1204,A88,'ثبت اطلاعات'!$CL$5:$CL$1204,"&lt;&gt;"))</f>
        <v>#NAME?</v>
      </c>
      <c r="Q88" s="38" t="e">
        <f ca="1">IF(O88=0,"",MAXIFS('ثبت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IF(O89=0,"",MINIFS('ثبت اطلاعات'!$CN$5:$CN$1204,'ثبت اطلاعات'!$C$5:$C$1204,A89,'ثبت اطلاعات'!$CL$5:$CL$1204,"&lt;&gt;"))</f>
        <v>#NAME?</v>
      </c>
      <c r="Q89" s="38" t="e">
        <f ca="1">IF(O89=0,"",MAXIFS('ثبت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IF(O90=0,"",MINIFS('ثبت اطلاعات'!$CN$5:$CN$1204,'ثبت اطلاعات'!$C$5:$C$1204,A90,'ثبت اطلاعات'!$CL$5:$CL$1204,"&lt;&gt;"))</f>
        <v>#NAME?</v>
      </c>
      <c r="Q90" s="38" t="e">
        <f ca="1">IF(O90=0,"",MAXIFS('ثبت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IF(O91=0,"",MINIFS('ثبت اطلاعات'!$CN$5:$CN$1204,'ثبت اطلاعات'!$C$5:$C$1204,A91,'ثبت اطلاعات'!$CL$5:$CL$1204,"&lt;&gt;"))</f>
        <v>#NAME?</v>
      </c>
      <c r="Q91" s="38" t="e">
        <f ca="1">IF(O91=0,"",MAXIFS('ثبت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IF(O92=0,"",MINIFS('ثبت اطلاعات'!$CN$5:$CN$1204,'ثبت اطلاعات'!$C$5:$C$1204,A92,'ثبت اطلاعات'!$CL$5:$CL$1204,"&lt;&gt;"))</f>
        <v>#NAME?</v>
      </c>
      <c r="Q92" s="38" t="e">
        <f ca="1">IF(O92=0,"",MAXIFS('ثبت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IF(O93=0,"",MINIFS('ثبت اطلاعات'!$CN$5:$CN$1204,'ثبت اطلاعات'!$C$5:$C$1204,A93,'ثبت اطلاعات'!$CL$5:$CL$1204,"&lt;&gt;"))</f>
        <v>#NAME?</v>
      </c>
      <c r="Q93" s="38" t="e">
        <f ca="1">IF(O93=0,"",MAXIFS('ثبت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IF(O94=0,"",MINIFS('ثبت اطلاعات'!$CN$5:$CN$1204,'ثبت اطلاعات'!$C$5:$C$1204,A94,'ثبت اطلاعات'!$CL$5:$CL$1204,"&lt;&gt;"))</f>
        <v>#NAME?</v>
      </c>
      <c r="Q94" s="38" t="e">
        <f ca="1">IF(O94=0,"",MAXIFS('ثبت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IF(O95=0,"",MINIFS('ثبت اطلاعات'!$CN$5:$CN$1204,'ثبت اطلاعات'!$C$5:$C$1204,A95,'ثبت اطلاعات'!$CL$5:$CL$1204,"&lt;&gt;"))</f>
        <v>#NAME?</v>
      </c>
      <c r="Q95" s="38" t="e">
        <f ca="1">IF(O95=0,"",MAXIFS('ثبت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IF(O96=0,"",MINIFS('ثبت اطلاعات'!$CN$5:$CN$1204,'ثبت اطلاعات'!$C$5:$C$1204,A96,'ثبت اطلاعات'!$CL$5:$CL$1204,"&lt;&gt;"))</f>
        <v>#NAME?</v>
      </c>
      <c r="Q96" s="38" t="e">
        <f ca="1">IF(O96=0,"",MAXIFS('ثبت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IF(O97=0,"",MINIFS('ثبت اطلاعات'!$CN$5:$CN$1204,'ثبت اطلاعات'!$C$5:$C$1204,A97,'ثبت اطلاعات'!$CL$5:$CL$1204,"&lt;&gt;"))</f>
        <v>#NAME?</v>
      </c>
      <c r="Q97" s="38" t="e">
        <f ca="1">IF(O97=0,"",MAXIFS('ثبت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IF(O98=0,"",MINIFS('ثبت اطلاعات'!$CN$5:$CN$1204,'ثبت اطلاعات'!$C$5:$C$1204,A98,'ثبت اطلاعات'!$CL$5:$CL$1204,"&lt;&gt;"))</f>
        <v>#NAME?</v>
      </c>
      <c r="Q98" s="38" t="e">
        <f ca="1">IF(O98=0,"",MAXIFS('ثبت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IF(O99=0,"",MINIFS('ثبت اطلاعات'!$CN$5:$CN$1204,'ثبت اطلاعات'!$C$5:$C$1204,A99,'ثبت اطلاعات'!$CL$5:$CL$1204,"&lt;&gt;"))</f>
        <v>#NAME?</v>
      </c>
      <c r="Q99" s="38" t="e">
        <f ca="1">IF(O99=0,"",MAXIFS('ثبت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IF(O100=0,"",MINIFS('ثبت اطلاعات'!$CN$5:$CN$1204,'ثبت اطلاعات'!$C$5:$C$1204,A100,'ثبت اطلاعات'!$CL$5:$CL$1204,"&lt;&gt;"))</f>
        <v>#NAME?</v>
      </c>
      <c r="Q100" s="38" t="e">
        <f ca="1">IF(O100=0,"",MAXIFS('ثبت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IF(O101=0,"",MINIFS('ثبت اطلاعات'!$CN$5:$CN$1204,'ثبت اطلاعات'!$C$5:$C$1204,A101,'ثبت اطلاعات'!$CL$5:$CL$1204,"&lt;&gt;"))</f>
        <v>#NAME?</v>
      </c>
      <c r="Q101" s="38" t="e">
        <f ca="1">IF(O101=0,"",MAXIFS('ثبت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IF(O102=0,"",MINIFS('ثبت اطلاعات'!$CN$5:$CN$1204,'ثبت اطلاعات'!$C$5:$C$1204,A102,'ثبت اطلاعات'!$CL$5:$CL$1204,"&lt;&gt;"))</f>
        <v>#NAME?</v>
      </c>
      <c r="Q102" s="38" t="e">
        <f ca="1">IF(O102=0,"",MAXIFS('ثبت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3" t="str">
        <f>IF(دانش‌آموزان!L103="","",دانش‌آموزان!B103)</f>
        <v/>
      </c>
      <c r="B103" s="55" t="str">
        <f>IF(A103="","",دانش‌آموزان!C103)</f>
        <v/>
      </c>
      <c r="C103" s="55" t="str">
        <f>IF(A103="","",دانش‌آموزان!E103&amp;" "&amp;دانش‌آموزان!F103)</f>
        <v/>
      </c>
      <c r="D103" s="34" t="str">
        <f>IF(A103="","",دانش‌آموزان!I103)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IF(O103=0,"",MINIFS('ثبت اطلاعات'!$CN$5:$CN$1204,'ثبت اطلاعات'!$C$5:$C$1204,A103,'ثبت اطلاعات'!$CL$5:$CL$1204,"&lt;&gt;"))</f>
        <v>#NAME?</v>
      </c>
      <c r="Q103" s="38" t="e">
        <f ca="1">IF(O103=0,"",MAXIFS('ثبت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>
      <c r="A104" s="35" t="str">
        <f>IF(دانش‌آموزان!L104="","",دانش‌آموزان!B104)</f>
        <v/>
      </c>
      <c r="B104" s="56" t="str">
        <f>IF(A104="","",دانش‌آموزان!C104)</f>
        <v/>
      </c>
      <c r="C104" s="56" t="str">
        <f>IF(A104="","",دانش‌آموزان!E104&amp;" "&amp;دانش‌آموزان!F104)</f>
        <v/>
      </c>
      <c r="D104" s="36" t="str">
        <f>IF(A104="","",دانش‌آموزان!I104)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IF(O104=0,"",MINIFS('ثبت اطلاعات'!$CN$5:$CN$1204,'ثبت اطلاعات'!$C$5:$C$1204,A104,'ثبت اطلاعات'!$CL$5:$CL$1204,"&lt;&gt;"))</f>
        <v>#NAME?</v>
      </c>
      <c r="Q104" s="39" t="e">
        <f ca="1">IF(O104=0,"",MAXIFS('ثبت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showGridLines="0" workbookViewId="0">
      <selection sqref="A1:W1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106" t="s">
        <v>209</v>
      </c>
      <c r="B1" s="107"/>
      <c r="C1" s="107"/>
      <c r="D1" s="107"/>
      <c r="E1" s="107"/>
      <c r="F1" s="107"/>
      <c r="G1" s="107"/>
      <c r="H1" s="107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spans="1:23" ht="32.1" customHeight="1">
      <c r="A2" s="108" t="s">
        <v>210</v>
      </c>
      <c r="B2" s="107"/>
      <c r="C2" s="107"/>
      <c r="D2" s="107"/>
      <c r="E2" s="107"/>
      <c r="F2" s="107"/>
      <c r="G2" s="107"/>
      <c r="H2" s="107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پارسا ادياني راد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دانش‌آموزان'!$B$5:$B$104,MATCH($B$5,'تحلیل دانش‌آموزان'!$A$5:$A$104,0)),"")</f>
        <v>0960551832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28.228571428571428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>
      <c r="A9" s="64" t="s">
        <v>43</v>
      </c>
      <c r="B9" s="67">
        <f>IFERROR(INDEX('تحلیل دانش‌آموزان'!$D$5:$D$104,MATCH($B$5,'تحلیل دانش‌آموزان'!$A$5:$A$104,0)),"")</f>
        <v>801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20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20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20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20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 t="str">
        <f>IFERROR(INDEX('تحلیل دانش‌آموزان'!$J$5:$J$104,MATCH($B$5,'تحلیل دانش‌آموزان'!$A$5:$A$104,0)),"")</f>
        <v/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20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 t="str">
        <f>IFERROR(INDEX('تحلیل دانش‌آموزان'!$L$5:$L$104,MATCH($B$5,'تحلیل دانش‌آموزان'!$A$5:$A$104,0)),"")</f>
        <v/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 t="str">
        <f>IFERROR(INDEX('تحلیل دانش‌آموزان'!$M$5:$M$104,MATCH($B$5,'تحلیل دانش‌آموزان'!$A$5:$A$104,0)),"")</f>
        <v/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showGridLines="0" workbookViewId="0">
      <selection sqref="A1:V1"/>
    </sheetView>
  </sheetViews>
  <sheetFormatPr defaultRowHeight="14.25"/>
  <cols>
    <col min="1" max="8" width="19" customWidth="1"/>
  </cols>
  <sheetData>
    <row r="1" spans="1:22" ht="32.1" customHeight="1">
      <c r="A1" s="106" t="s">
        <v>218</v>
      </c>
      <c r="B1" s="107"/>
      <c r="C1" s="107"/>
      <c r="D1" s="107"/>
      <c r="E1" s="107"/>
      <c r="F1" s="107"/>
      <c r="G1" s="107"/>
      <c r="H1" s="107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ht="32.1" customHeight="1">
      <c r="A2" s="108" t="s">
        <v>219</v>
      </c>
      <c r="B2" s="107"/>
      <c r="C2" s="107"/>
      <c r="D2" s="107"/>
      <c r="E2" s="107"/>
      <c r="F2" s="107"/>
      <c r="G2" s="107"/>
      <c r="H2" s="107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118" t="s">
        <v>220</v>
      </c>
      <c r="B4" s="118"/>
      <c r="C4" s="118" t="s">
        <v>221</v>
      </c>
      <c r="D4" s="118"/>
      <c r="E4" s="118" t="s">
        <v>222</v>
      </c>
      <c r="F4" s="118"/>
      <c r="G4" s="118" t="s">
        <v>223</v>
      </c>
      <c r="H4" s="118"/>
    </row>
    <row r="5" spans="1:22">
      <c r="A5" s="112">
        <f>COUNTIF(کلاس‌بندی!$D$5:$D$34,"&lt;&gt;")</f>
        <v>1</v>
      </c>
      <c r="B5" s="113"/>
      <c r="C5" s="113">
        <f>COUNTIF(دانش‌آموزان!$E$5:$E$104,"?*")</f>
        <v>69</v>
      </c>
      <c r="D5" s="113"/>
      <c r="E5" s="113">
        <f>COUNT('ثبت اطلاعات'!$CL$5:$CL$1204)</f>
        <v>0</v>
      </c>
      <c r="F5" s="113"/>
      <c r="G5" s="113">
        <f>COUNTIF('ثبت اطلاعات'!$CM$5:$CM$1204,"موقت*")</f>
        <v>80</v>
      </c>
      <c r="H5" s="116"/>
    </row>
    <row r="6" spans="1:22">
      <c r="A6" s="114"/>
      <c r="B6" s="115"/>
      <c r="C6" s="115"/>
      <c r="D6" s="115"/>
      <c r="E6" s="115"/>
      <c r="F6" s="115"/>
      <c r="G6" s="115"/>
      <c r="H6" s="117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26.70157142857143</v>
      </c>
      <c r="F9" s="69"/>
      <c r="G9" s="25" t="s">
        <v>227</v>
      </c>
      <c r="H9" s="26">
        <f>COUNTIF('تحلیل دانش‌آموزان'!$V$5:$V$104,G9)</f>
        <v>0</v>
      </c>
    </row>
    <row r="10" spans="1:22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20</v>
      </c>
      <c r="F10" s="69"/>
      <c r="G10" s="27" t="s">
        <v>228</v>
      </c>
      <c r="H10" s="28">
        <f>COUNTIF('تحلیل دانش‌آموزان'!$V$5:$V$104,G10)</f>
        <v>0</v>
      </c>
    </row>
    <row r="11" spans="1:22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20</v>
      </c>
      <c r="F11" s="69"/>
      <c r="G11" s="27" t="s">
        <v>229</v>
      </c>
      <c r="H11" s="28">
        <f>COUNTIF('تحلیل دانش‌آموزان'!$V$5:$V$104,G11)</f>
        <v>0</v>
      </c>
    </row>
    <row r="12" spans="1:22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20</v>
      </c>
      <c r="F12" s="69"/>
      <c r="G12" s="29" t="s">
        <v>230</v>
      </c>
      <c r="H12" s="30">
        <f>COUNTIF('تحلیل دانش‌آموزان'!$V$5:$V$104,G12)</f>
        <v>0</v>
      </c>
    </row>
    <row r="13" spans="1:22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20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 t="str">
        <f>IFERROR(AVERAGE('ثبت اطلاعات'!$CH$5:$CH$1204),"")</f>
        <v/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20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 t="str">
        <f>IFERROR(AVERAGE('ثبت اطلاعات'!$CJ$5:$CJ$1204),"")</f>
        <v/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 t="str">
        <f>IFERROR(AVERAGE('ثبت اطلاعات'!$CK$5:$CK$1204),"")</f>
        <v/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BESAT</cp:lastModifiedBy>
  <dcterms:created xsi:type="dcterms:W3CDTF">2026-09-05T09:08:45Z</dcterms:created>
  <dcterms:modified xsi:type="dcterms:W3CDTF">2026-09-05T10:46:14Z</dcterms:modified>
</cp:coreProperties>
</file>