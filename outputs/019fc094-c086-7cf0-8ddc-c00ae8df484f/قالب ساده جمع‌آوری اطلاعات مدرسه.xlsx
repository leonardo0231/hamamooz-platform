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راهنما" sheetId="1" state="visible" r:id="rId1"/>
    <sheet xmlns:r="http://schemas.openxmlformats.org/officeDocument/2006/relationships" name="کلاس‌بندی" sheetId="2" state="visible" r:id="rId2"/>
    <sheet xmlns:r="http://schemas.openxmlformats.org/officeDocument/2006/relationships" name="دانش‌آموزان" sheetId="3" state="visible" r:id="rId3"/>
    <sheet xmlns:r="http://schemas.openxmlformats.org/officeDocument/2006/relationships" name="ثبت اطلاعات" sheetId="4" state="visible" r:id="rId4"/>
  </sheets>
  <definedNames>
    <definedName name="_xlnm._FilterDatabase" localSheetId="0" hidden="1">'راهنما'!$A$4:$H$11</definedName>
    <definedName name="_xlnm._FilterDatabase" localSheetId="1" hidden="1">'کلاس‌بندی'!$A$4:$I$34</definedName>
    <definedName name="_xlnm._FilterDatabase" localSheetId="2" hidden="1">'دانش‌آموزان'!$A$4:$L$104</definedName>
    <definedName name="_xlnm._FilterDatabase" localSheetId="3" hidden="1">'ثبت اطلاعات'!$A$4:$O$1204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6">
    <font>
      <name val="Carlito"/>
      <sz val="11"/>
    </font>
    <font>
      <name val="Vazirmatn"/>
      <b val="1"/>
      <color rgb="FFFFFFFF"/>
      <sz val="18"/>
    </font>
    <font>
      <name val="Vazirmatn"/>
      <color rgb="FF1F2937"/>
      <sz val="10"/>
    </font>
    <font>
      <name val="Vazirmatn"/>
      <b val="1"/>
      <color rgb="FFFFFFFF"/>
      <sz val="10"/>
    </font>
    <font>
      <name val="Vazirmatn"/>
      <color rgb="FF1F2937"/>
      <sz val="9"/>
    </font>
    <font>
      <name val="Vazirmatn"/>
      <b val="1"/>
      <color rgb="FF1F2937"/>
      <sz val="11"/>
    </font>
    <font>
      <name val="Vazirmatn"/>
      <b val="1"/>
      <color rgb="FFFFFFFF"/>
      <sz val="11"/>
    </font>
    <font>
      <name val="Vazirmatn"/>
      <b val="1"/>
      <color rgb="FF1F4E78"/>
      <sz val="22"/>
    </font>
    <font>
      <name val="Vazirmatn"/>
      <sz val="11"/>
    </font>
    <font>
      <name val="Tahoma"/>
      <b val="1"/>
      <color rgb="00FFFFFF"/>
      <sz val="18"/>
    </font>
    <font>
      <name val="Tahoma"/>
      <color rgb="0061708A"/>
      <sz val="10"/>
    </font>
    <font>
      <name val="Tahoma"/>
      <color rgb="0017233C"/>
      <sz val="10"/>
    </font>
    <font>
      <name val="Tahoma"/>
      <b val="1"/>
      <color rgb="0017233C"/>
      <sz val="10"/>
    </font>
    <font>
      <name val="Tahoma"/>
      <color rgb="0017233C"/>
      <sz val="9"/>
    </font>
    <font>
      <name val="Tahoma"/>
      <b val="1"/>
      <color rgb="00FFFFFF"/>
      <sz val="16"/>
    </font>
    <font>
      <name val="Tahoma"/>
      <b val="1"/>
      <color rgb="00FFFFFF"/>
      <sz val="10"/>
    </font>
  </fonts>
  <fills count="18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AF3F8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F3F4F6"/>
      </patternFill>
    </fill>
    <fill>
      <patternFill patternType="solid">
        <fgColor rgb="FFF1F8ED"/>
      </patternFill>
    </fill>
    <fill>
      <patternFill patternType="solid">
        <fgColor rgb="FF17365D"/>
      </patternFill>
    </fill>
    <fill>
      <patternFill patternType="solid">
        <fgColor rgb="FF548235"/>
      </patternFill>
    </fill>
    <fill>
      <patternFill patternType="solid">
        <fgColor rgb="FFD9EAF7"/>
      </patternFill>
    </fill>
    <fill>
      <patternFill patternType="solid">
        <fgColor rgb="00132B55"/>
      </patternFill>
    </fill>
    <fill>
      <patternFill patternType="solid">
        <fgColor rgb="00FFF7E8"/>
      </patternFill>
    </fill>
    <fill>
      <patternFill patternType="solid">
        <fgColor rgb="00FFFFFF"/>
      </patternFill>
    </fill>
    <fill>
      <patternFill patternType="solid">
        <fgColor rgb="00EAF1FA"/>
      </patternFill>
    </fill>
    <fill>
      <patternFill patternType="solid">
        <fgColor rgb="00D89B2B"/>
      </patternFill>
    </fill>
    <fill>
      <patternFill patternType="solid">
        <fgColor rgb="00315AA8"/>
      </patternFill>
    </fill>
  </fills>
  <borders count="25">
    <border/>
    <border>
      <left style="thin">
        <color rgb="FFB4C6E7"/>
      </left>
      <top style="thin">
        <color rgb="FFB4C6E7"/>
      </top>
      <bottom style="thin">
        <color rgb="FFB4C6E7"/>
      </bottom>
    </border>
    <border>
      <top style="thin">
        <color rgb="FFB4C6E7"/>
      </top>
      <bottom style="thin">
        <color rgb="FFB4C6E7"/>
      </bottom>
    </border>
    <border>
      <right style="thin">
        <color rgb="FFB4C6E7"/>
      </right>
      <top style="thin">
        <color rgb="FFB4C6E7"/>
      </top>
      <bottom style="thin">
        <color rgb="FFB4C6E7"/>
      </bottom>
    </border>
    <border>
      <left style="hair">
        <color rgb="FFD9E2F3"/>
      </left>
      <top style="hair">
        <color rgb="FFD9E2F3"/>
      </top>
    </border>
    <border>
      <top style="hair">
        <color rgb="FFD9E2F3"/>
      </top>
    </border>
    <border>
      <right style="hair">
        <color rgb="FFD9E2F3"/>
      </right>
      <top style="hair">
        <color rgb="FFD9E2F3"/>
      </top>
    </border>
    <border>
      <left style="hair">
        <color rgb="FFD9E2F3"/>
      </left>
    </border>
    <border>
      <right style="hair">
        <color rgb="FFD9E2F3"/>
      </right>
    </border>
    <border>
      <left style="hair">
        <color rgb="FFD9E2F3"/>
      </left>
      <bottom style="hair">
        <color rgb="FFD9E2F3"/>
      </bottom>
    </border>
    <border>
      <bottom style="hair">
        <color rgb="FFD9E2F3"/>
      </bottom>
    </border>
    <border>
      <right style="hair">
        <color rgb="FFD9E2F3"/>
      </right>
      <bottom style="hair">
        <color rgb="FFD9E2F3"/>
      </bottom>
    </border>
    <border>
      <left style="hair">
        <color rgb="FFD9E2F3"/>
      </left>
      <right style="hair">
        <color rgb="FFD9E2F3"/>
      </right>
      <top style="hair">
        <color rgb="FFD9E2F3"/>
      </top>
    </border>
    <border>
      <left style="hair">
        <color rgb="FFD9E2F3"/>
      </left>
      <right style="hair">
        <color rgb="FFD9E2F3"/>
      </right>
    </border>
    <border>
      <left style="hair">
        <color rgb="FFD9E2F3"/>
      </left>
      <right style="hair">
        <color rgb="FFD9E2F3"/>
      </right>
      <bottom style="hair">
        <color rgb="FFD9E2F3"/>
      </bottom>
    </border>
    <border>
      <left style="hair">
        <color rgb="FFD9E2F3"/>
      </left>
      <right style="hair">
        <color rgb="FFD9E2F3"/>
      </right>
      <top style="hair">
        <color rgb="FFD9E2F3"/>
      </top>
      <bottom style="hair">
        <color rgb="FFD9E2F3"/>
      </bottom>
    </border>
    <border>
      <left style="thin">
        <color rgb="FFB4C6E7"/>
      </left>
      <top style="thin">
        <color rgb="FFB4C6E7"/>
      </top>
    </border>
    <border>
      <top style="thin">
        <color rgb="FFB4C6E7"/>
      </top>
    </border>
    <border>
      <right style="thin">
        <color rgb="FFB4C6E7"/>
      </right>
      <top style="thin">
        <color rgb="FFB4C6E7"/>
      </top>
    </border>
    <border>
      <left style="thin">
        <color rgb="FFB4C6E7"/>
      </left>
      <bottom style="thin">
        <color rgb="FFB4C6E7"/>
      </bottom>
    </border>
    <border>
      <bottom style="thin">
        <color rgb="FFB4C6E7"/>
      </bottom>
    </border>
    <border>
      <right style="thin">
        <color rgb="FFB4C6E7"/>
      </right>
      <bottom style="thin">
        <color rgb="FFB4C6E7"/>
      </bottom>
    </border>
    <border>
      <left style="thin">
        <color rgb="FFB4C6E7"/>
      </left>
    </border>
    <border>
      <right style="thin">
        <color rgb="FFB4C6E7"/>
      </right>
    </border>
    <border>
      <left style="thin">
        <color rgb="00D8E1EC"/>
      </left>
      <right style="thin">
        <color rgb="00D8E1EC"/>
      </right>
      <top style="thin">
        <color rgb="00D8E1EC"/>
      </top>
      <bottom style="thin">
        <color rgb="00D8E1EC"/>
      </bottom>
    </border>
  </borders>
  <cellStyleXfs count="1">
    <xf numFmtId="0" fontId="0" fillId="0" borderId="0"/>
  </cellStyleXfs>
  <cellXfs count="31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right" wrapText="1"/>
    </xf>
    <xf numFmtId="0" fontId="2" fillId="3" borderId="0" applyAlignment="1" pivotButton="0" quotePrefix="0" xfId="0">
      <alignment horizontal="right" vertical="center" wrapText="1"/>
    </xf>
    <xf numFmtId="0" fontId="3" fillId="2" borderId="0" pivotButton="0" quotePrefix="0" xfId="0"/>
    <xf numFmtId="0" fontId="3" fillId="2" borderId="1" pivotButton="0" quotePrefix="0" xfId="0"/>
    <xf numFmtId="0" fontId="3" fillId="2" borderId="2" pivotButton="0" quotePrefix="0" xfId="0"/>
    <xf numFmtId="0" fontId="3" fillId="2" borderId="3" pivotButton="0" quotePrefix="0" xfId="0"/>
    <xf numFmtId="0" fontId="3" fillId="2" borderId="1" applyAlignment="1" pivotButton="0" quotePrefix="0" xfId="0">
      <alignment wrapText="1"/>
    </xf>
    <xf numFmtId="0" fontId="3" fillId="2" borderId="2" applyAlignment="1" pivotButton="0" quotePrefix="0" xfId="0">
      <alignment wrapText="1"/>
    </xf>
    <xf numFmtId="0" fontId="3" fillId="2" borderId="3" applyAlignment="1" pivotButton="0" quotePrefix="0" xfId="0">
      <alignment wrapText="1"/>
    </xf>
    <xf numFmtId="0" fontId="3" fillId="2" borderId="1" applyAlignment="1" pivotButton="0" quotePrefix="0" xfId="0">
      <alignment horizontal="center" wrapText="1"/>
    </xf>
    <xf numFmtId="0" fontId="3" fillId="2" borderId="2" applyAlignment="1" pivotButton="0" quotePrefix="0" xfId="0">
      <alignment horizontal="center" wrapText="1"/>
    </xf>
    <xf numFmtId="0" fontId="3" fillId="2" borderId="3" applyAlignment="1" pivotButton="0" quotePrefix="0" xfId="0">
      <alignment horizont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4" borderId="0" pivotButton="0" quotePrefix="0" xfId="0"/>
    <xf numFmtId="0" fontId="4" fillId="4" borderId="4" pivotButton="0" quotePrefix="0" xfId="0"/>
    <xf numFmtId="0" fontId="4" fillId="4" borderId="5" pivotButton="0" quotePrefix="0" xfId="0"/>
    <xf numFmtId="0" fontId="4" fillId="4" borderId="6" pivotButton="0" quotePrefix="0" xfId="0"/>
    <xf numFmtId="0" fontId="4" fillId="4" borderId="7" pivotButton="0" quotePrefix="0" xfId="0"/>
    <xf numFmtId="0" fontId="4" fillId="4" borderId="8" pivotButton="0" quotePrefix="0" xfId="0"/>
    <xf numFmtId="0" fontId="4" fillId="4" borderId="9" pivotButton="0" quotePrefix="0" xfId="0"/>
    <xf numFmtId="0" fontId="4" fillId="4" borderId="10" pivotButton="0" quotePrefix="0" xfId="0"/>
    <xf numFmtId="0" fontId="4" fillId="4" borderId="11" pivotButton="0" quotePrefix="0" xfId="0"/>
    <xf numFmtId="0" fontId="4" fillId="4" borderId="4" applyAlignment="1" pivotButton="0" quotePrefix="0" xfId="0">
      <alignment wrapText="1"/>
    </xf>
    <xf numFmtId="0" fontId="4" fillId="4" borderId="5" applyAlignment="1" pivotButton="0" quotePrefix="0" xfId="0">
      <alignment wrapText="1"/>
    </xf>
    <xf numFmtId="0" fontId="4" fillId="4" borderId="6" applyAlignment="1" pivotButton="0" quotePrefix="0" xfId="0">
      <alignment wrapText="1"/>
    </xf>
    <xf numFmtId="0" fontId="4" fillId="4" borderId="7" applyAlignment="1" pivotButton="0" quotePrefix="0" xfId="0">
      <alignment wrapText="1"/>
    </xf>
    <xf numFmtId="0" fontId="4" fillId="4" borderId="0" applyAlignment="1" pivotButton="0" quotePrefix="0" xfId="0">
      <alignment wrapText="1"/>
    </xf>
    <xf numFmtId="0" fontId="4" fillId="4" borderId="8" applyAlignment="1" pivotButton="0" quotePrefix="0" xfId="0">
      <alignment wrapText="1"/>
    </xf>
    <xf numFmtId="0" fontId="4" fillId="4" borderId="9" applyAlignment="1" pivotButton="0" quotePrefix="0" xfId="0">
      <alignment wrapText="1"/>
    </xf>
    <xf numFmtId="0" fontId="4" fillId="4" borderId="10" applyAlignment="1" pivotButton="0" quotePrefix="0" xfId="0">
      <alignment wrapText="1"/>
    </xf>
    <xf numFmtId="0" fontId="4" fillId="4" borderId="11" applyAlignment="1" pivotButton="0" quotePrefix="0" xfId="0">
      <alignment wrapText="1"/>
    </xf>
    <xf numFmtId="0" fontId="4" fillId="4" borderId="4" applyAlignment="1" pivotButton="0" quotePrefix="0" xfId="0">
      <alignment horizontal="right" wrapText="1"/>
    </xf>
    <xf numFmtId="0" fontId="4" fillId="4" borderId="5" applyAlignment="1" pivotButton="0" quotePrefix="0" xfId="0">
      <alignment horizontal="right" wrapText="1"/>
    </xf>
    <xf numFmtId="0" fontId="4" fillId="4" borderId="6" applyAlignment="1" pivotButton="0" quotePrefix="0" xfId="0">
      <alignment horizontal="right" wrapText="1"/>
    </xf>
    <xf numFmtId="0" fontId="4" fillId="4" borderId="7" applyAlignment="1" pivotButton="0" quotePrefix="0" xfId="0">
      <alignment horizontal="right" wrapText="1"/>
    </xf>
    <xf numFmtId="0" fontId="4" fillId="4" borderId="0" applyAlignment="1" pivotButton="0" quotePrefix="0" xfId="0">
      <alignment horizontal="right" wrapText="1"/>
    </xf>
    <xf numFmtId="0" fontId="4" fillId="4" borderId="8" applyAlignment="1" pivotButton="0" quotePrefix="0" xfId="0">
      <alignment horizontal="right" wrapText="1"/>
    </xf>
    <xf numFmtId="0" fontId="4" fillId="4" borderId="9" applyAlignment="1" pivotButton="0" quotePrefix="0" xfId="0">
      <alignment horizontal="right" wrapText="1"/>
    </xf>
    <xf numFmtId="0" fontId="4" fillId="4" borderId="10" applyAlignment="1" pivotButton="0" quotePrefix="0" xfId="0">
      <alignment horizontal="right" wrapText="1"/>
    </xf>
    <xf numFmtId="0" fontId="4" fillId="4" borderId="11" applyAlignment="1" pivotButton="0" quotePrefix="0" xfId="0">
      <alignment horizontal="right" wrapText="1"/>
    </xf>
    <xf numFmtId="0" fontId="4" fillId="4" borderId="4" applyAlignment="1" pivotButton="0" quotePrefix="0" xfId="0">
      <alignment horizontal="right" vertical="center" wrapText="1"/>
    </xf>
    <xf numFmtId="0" fontId="4" fillId="4" borderId="5" applyAlignment="1" pivotButton="0" quotePrefix="0" xfId="0">
      <alignment horizontal="right" vertical="center" wrapText="1"/>
    </xf>
    <xf numFmtId="0" fontId="4" fillId="4" borderId="6" applyAlignment="1" pivotButton="0" quotePrefix="0" xfId="0">
      <alignment horizontal="right" vertical="center" wrapText="1"/>
    </xf>
    <xf numFmtId="0" fontId="4" fillId="4" borderId="7" applyAlignment="1" pivotButton="0" quotePrefix="0" xfId="0">
      <alignment horizontal="right" vertical="center" wrapText="1"/>
    </xf>
    <xf numFmtId="0" fontId="4" fillId="4" borderId="0" applyAlignment="1" pivotButton="0" quotePrefix="0" xfId="0">
      <alignment horizontal="right" vertical="center" wrapText="1"/>
    </xf>
    <xf numFmtId="0" fontId="4" fillId="4" borderId="8" applyAlignment="1" pivotButton="0" quotePrefix="0" xfId="0">
      <alignment horizontal="right" vertical="center" wrapText="1"/>
    </xf>
    <xf numFmtId="0" fontId="4" fillId="4" borderId="9" applyAlignment="1" pivotButton="0" quotePrefix="0" xfId="0">
      <alignment horizontal="right" vertical="center" wrapText="1"/>
    </xf>
    <xf numFmtId="0" fontId="4" fillId="4" borderId="10" applyAlignment="1" pivotButton="0" quotePrefix="0" xfId="0">
      <alignment horizontal="right" vertical="center" wrapText="1"/>
    </xf>
    <xf numFmtId="0" fontId="4" fillId="4" borderId="11" applyAlignment="1" pivotButton="0" quotePrefix="0" xfId="0">
      <alignment horizontal="right" vertical="center" wrapText="1"/>
    </xf>
    <xf numFmtId="0" fontId="0" fillId="5" borderId="0" pivotButton="0" quotePrefix="0" xfId="0"/>
    <xf numFmtId="0" fontId="5" fillId="5" borderId="0" pivotButton="0" quotePrefix="0" xfId="0"/>
    <xf numFmtId="0" fontId="5" fillId="5" borderId="0" applyAlignment="1" pivotButton="0" quotePrefix="0" xfId="0">
      <alignment wrapText="1"/>
    </xf>
    <xf numFmtId="0" fontId="5" fillId="5" borderId="0" applyAlignment="1" pivotButton="0" quotePrefix="0" xfId="0">
      <alignment horizontal="center" wrapText="1"/>
    </xf>
    <xf numFmtId="0" fontId="5" fillId="5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5" fillId="6" borderId="0" pivotButton="0" quotePrefix="0" xfId="0"/>
    <xf numFmtId="0" fontId="5" fillId="6" borderId="0" applyAlignment="1" pivotButton="0" quotePrefix="0" xfId="0">
      <alignment wrapText="1"/>
    </xf>
    <xf numFmtId="0" fontId="5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vertical="center" wrapText="1"/>
    </xf>
    <xf numFmtId="0" fontId="0" fillId="7" borderId="0" pivotButton="0" quotePrefix="0" xfId="0"/>
    <xf numFmtId="0" fontId="4" fillId="7" borderId="0" pivotButton="0" quotePrefix="0" xfId="0"/>
    <xf numFmtId="0" fontId="4" fillId="7" borderId="12" pivotButton="0" quotePrefix="0" xfId="0"/>
    <xf numFmtId="0" fontId="4" fillId="7" borderId="13" pivotButton="0" quotePrefix="0" xfId="0"/>
    <xf numFmtId="0" fontId="4" fillId="7" borderId="14" pivotButton="0" quotePrefix="0" xfId="0"/>
    <xf numFmtId="0" fontId="4" fillId="7" borderId="12" applyAlignment="1" pivotButton="0" quotePrefix="0" xfId="0">
      <alignment wrapText="1"/>
    </xf>
    <xf numFmtId="0" fontId="4" fillId="7" borderId="13" applyAlignment="1" pivotButton="0" quotePrefix="0" xfId="0">
      <alignment wrapText="1"/>
    </xf>
    <xf numFmtId="0" fontId="4" fillId="7" borderId="14" applyAlignment="1" pivotButton="0" quotePrefix="0" xfId="0">
      <alignment wrapText="1"/>
    </xf>
    <xf numFmtId="0" fontId="4" fillId="7" borderId="12" applyAlignment="1" pivotButton="0" quotePrefix="0" xfId="0">
      <alignment horizontal="center" wrapText="1"/>
    </xf>
    <xf numFmtId="0" fontId="4" fillId="7" borderId="13" applyAlignment="1" pivotButton="0" quotePrefix="0" xfId="0">
      <alignment horizontal="center" wrapText="1"/>
    </xf>
    <xf numFmtId="0" fontId="4" fillId="7" borderId="14" applyAlignment="1" pivotButton="0" quotePrefix="0" xfId="0">
      <alignment horizontal="center" wrapText="1"/>
    </xf>
    <xf numFmtId="0" fontId="4" fillId="7" borderId="12" applyAlignment="1" pivotButton="0" quotePrefix="0" xfId="0">
      <alignment horizontal="center" vertical="center" wrapText="1"/>
    </xf>
    <xf numFmtId="0" fontId="4" fillId="7" borderId="13" applyAlignment="1" pivotButton="0" quotePrefix="0" xfId="0">
      <alignment horizontal="center" vertical="center" wrapText="1"/>
    </xf>
    <xf numFmtId="0" fontId="4" fillId="7" borderId="14" applyAlignment="1" pivotButton="0" quotePrefix="0" xfId="0">
      <alignment horizontal="center" vertical="center" wrapText="1"/>
    </xf>
    <xf numFmtId="0" fontId="4" fillId="5" borderId="0" pivotButton="0" quotePrefix="0" xfId="0"/>
    <xf numFmtId="0" fontId="4" fillId="5" borderId="4" pivotButton="0" quotePrefix="0" xfId="0"/>
    <xf numFmtId="0" fontId="4" fillId="5" borderId="5" pivotButton="0" quotePrefix="0" xfId="0"/>
    <xf numFmtId="0" fontId="4" fillId="5" borderId="6" pivotButton="0" quotePrefix="0" xfId="0"/>
    <xf numFmtId="0" fontId="4" fillId="5" borderId="7" pivotButton="0" quotePrefix="0" xfId="0"/>
    <xf numFmtId="0" fontId="4" fillId="5" borderId="8" pivotButton="0" quotePrefix="0" xfId="0"/>
    <xf numFmtId="0" fontId="4" fillId="5" borderId="9" pivotButton="0" quotePrefix="0" xfId="0"/>
    <xf numFmtId="0" fontId="4" fillId="5" borderId="10" pivotButton="0" quotePrefix="0" xfId="0"/>
    <xf numFmtId="0" fontId="4" fillId="5" borderId="11" pivotButton="0" quotePrefix="0" xfId="0"/>
    <xf numFmtId="0" fontId="4" fillId="5" borderId="4" applyAlignment="1" pivotButton="0" quotePrefix="0" xfId="0">
      <alignment wrapText="1"/>
    </xf>
    <xf numFmtId="0" fontId="4" fillId="5" borderId="5" applyAlignment="1" pivotButton="0" quotePrefix="0" xfId="0">
      <alignment wrapText="1"/>
    </xf>
    <xf numFmtId="0" fontId="4" fillId="5" borderId="6" applyAlignment="1" pivotButton="0" quotePrefix="0" xfId="0">
      <alignment wrapText="1"/>
    </xf>
    <xf numFmtId="0" fontId="4" fillId="5" borderId="7" applyAlignment="1" pivotButton="0" quotePrefix="0" xfId="0">
      <alignment wrapText="1"/>
    </xf>
    <xf numFmtId="0" fontId="4" fillId="5" borderId="0" applyAlignment="1" pivotButton="0" quotePrefix="0" xfId="0">
      <alignment wrapText="1"/>
    </xf>
    <xf numFmtId="0" fontId="4" fillId="5" borderId="8" applyAlignment="1" pivotButton="0" quotePrefix="0" xfId="0">
      <alignment wrapText="1"/>
    </xf>
    <xf numFmtId="0" fontId="4" fillId="5" borderId="9" applyAlignment="1" pivotButton="0" quotePrefix="0" xfId="0">
      <alignment wrapText="1"/>
    </xf>
    <xf numFmtId="0" fontId="4" fillId="5" borderId="10" applyAlignment="1" pivotButton="0" quotePrefix="0" xfId="0">
      <alignment wrapText="1"/>
    </xf>
    <xf numFmtId="0" fontId="4" fillId="5" borderId="11" applyAlignment="1" pivotButton="0" quotePrefix="0" xfId="0">
      <alignment wrapText="1"/>
    </xf>
    <xf numFmtId="0" fontId="4" fillId="5" borderId="4" applyAlignment="1" pivotButton="0" quotePrefix="0" xfId="0">
      <alignment horizontal="center" wrapText="1"/>
    </xf>
    <xf numFmtId="0" fontId="4" fillId="5" borderId="5" applyAlignment="1" pivotButton="0" quotePrefix="0" xfId="0">
      <alignment horizontal="center" wrapText="1"/>
    </xf>
    <xf numFmtId="0" fontId="4" fillId="5" borderId="6" applyAlignment="1" pivotButton="0" quotePrefix="0" xfId="0">
      <alignment horizontal="center" wrapText="1"/>
    </xf>
    <xf numFmtId="0" fontId="4" fillId="5" borderId="7" applyAlignment="1" pivotButton="0" quotePrefix="0" xfId="0">
      <alignment horizontal="center" wrapText="1"/>
    </xf>
    <xf numFmtId="0" fontId="4" fillId="5" borderId="0" applyAlignment="1" pivotButton="0" quotePrefix="0" xfId="0">
      <alignment horizontal="center" wrapText="1"/>
    </xf>
    <xf numFmtId="0" fontId="4" fillId="5" borderId="8" applyAlignment="1" pivotButton="0" quotePrefix="0" xfId="0">
      <alignment horizontal="center" wrapText="1"/>
    </xf>
    <xf numFmtId="0" fontId="4" fillId="5" borderId="9" applyAlignment="1" pivotButton="0" quotePrefix="0" xfId="0">
      <alignment horizontal="center" wrapText="1"/>
    </xf>
    <xf numFmtId="0" fontId="4" fillId="5" borderId="10" applyAlignment="1" pivotButton="0" quotePrefix="0" xfId="0">
      <alignment horizontal="center" wrapText="1"/>
    </xf>
    <xf numFmtId="0" fontId="4" fillId="5" borderId="11" applyAlignment="1" pivotButton="0" quotePrefix="0" xfId="0">
      <alignment horizontal="center" wrapText="1"/>
    </xf>
    <xf numFmtId="0" fontId="4" fillId="5" borderId="4" applyAlignment="1" pivotButton="0" quotePrefix="0" xfId="0">
      <alignment horizontal="center" vertical="center" wrapText="1"/>
    </xf>
    <xf numFmtId="0" fontId="4" fillId="5" borderId="5" applyAlignment="1" pivotButton="0" quotePrefix="0" xfId="0">
      <alignment horizontal="center" vertical="center" wrapText="1"/>
    </xf>
    <xf numFmtId="0" fontId="4" fillId="5" borderId="6" applyAlignment="1" pivotButton="0" quotePrefix="0" xfId="0">
      <alignment horizontal="center" vertical="center" wrapText="1"/>
    </xf>
    <xf numFmtId="0" fontId="4" fillId="5" borderId="7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5" borderId="8" applyAlignment="1" pivotButton="0" quotePrefix="0" xfId="0">
      <alignment horizontal="center" vertical="center" wrapText="1"/>
    </xf>
    <xf numFmtId="0" fontId="4" fillId="5" borderId="9" applyAlignment="1" pivotButton="0" quotePrefix="0" xfId="0">
      <alignment horizontal="center" vertical="center" wrapText="1"/>
    </xf>
    <xf numFmtId="0" fontId="4" fillId="5" borderId="10" applyAlignment="1" pivotButton="0" quotePrefix="0" xfId="0">
      <alignment horizontal="center" vertical="center" wrapText="1"/>
    </xf>
    <xf numFmtId="0" fontId="4" fillId="5" borderId="11" applyAlignment="1" pivotButton="0" quotePrefix="0" xfId="0">
      <alignment horizontal="center" vertical="center" wrapText="1"/>
    </xf>
    <xf numFmtId="0" fontId="4" fillId="3" borderId="0" pivotButton="0" quotePrefix="0" xfId="0"/>
    <xf numFmtId="0" fontId="4" fillId="3" borderId="4" pivotButton="0" quotePrefix="0" xfId="0"/>
    <xf numFmtId="0" fontId="4" fillId="3" borderId="6" pivotButton="0" quotePrefix="0" xfId="0"/>
    <xf numFmtId="0" fontId="4" fillId="3" borderId="7" pivotButton="0" quotePrefix="0" xfId="0"/>
    <xf numFmtId="0" fontId="4" fillId="3" borderId="8" pivotButton="0" quotePrefix="0" xfId="0"/>
    <xf numFmtId="0" fontId="4" fillId="3" borderId="9" pivotButton="0" quotePrefix="0" xfId="0"/>
    <xf numFmtId="0" fontId="4" fillId="3" borderId="11" pivotButton="0" quotePrefix="0" xfId="0"/>
    <xf numFmtId="0" fontId="4" fillId="3" borderId="4" applyAlignment="1" pivotButton="0" quotePrefix="0" xfId="0">
      <alignment wrapText="1"/>
    </xf>
    <xf numFmtId="0" fontId="4" fillId="3" borderId="6" applyAlignment="1" pivotButton="0" quotePrefix="0" xfId="0">
      <alignment wrapText="1"/>
    </xf>
    <xf numFmtId="0" fontId="4" fillId="3" borderId="7" applyAlignment="1" pivotButton="0" quotePrefix="0" xfId="0">
      <alignment wrapText="1"/>
    </xf>
    <xf numFmtId="0" fontId="4" fillId="3" borderId="8" applyAlignment="1" pivotButton="0" quotePrefix="0" xfId="0">
      <alignment wrapText="1"/>
    </xf>
    <xf numFmtId="0" fontId="4" fillId="3" borderId="9" applyAlignment="1" pivotButton="0" quotePrefix="0" xfId="0">
      <alignment wrapText="1"/>
    </xf>
    <xf numFmtId="0" fontId="4" fillId="3" borderId="11" applyAlignment="1" pivotButton="0" quotePrefix="0" xfId="0">
      <alignment wrapText="1"/>
    </xf>
    <xf numFmtId="0" fontId="4" fillId="3" borderId="4" applyAlignment="1" pivotButton="0" quotePrefix="0" xfId="0">
      <alignment horizontal="center" wrapText="1"/>
    </xf>
    <xf numFmtId="0" fontId="4" fillId="3" borderId="6" applyAlignment="1" pivotButton="0" quotePrefix="0" xfId="0">
      <alignment horizontal="center" wrapText="1"/>
    </xf>
    <xf numFmtId="0" fontId="4" fillId="3" borderId="7" applyAlignment="1" pivotButton="0" quotePrefix="0" xfId="0">
      <alignment horizontal="center" wrapText="1"/>
    </xf>
    <xf numFmtId="0" fontId="4" fillId="3" borderId="8" applyAlignment="1" pivotButton="0" quotePrefix="0" xfId="0">
      <alignment horizontal="center" wrapText="1"/>
    </xf>
    <xf numFmtId="0" fontId="4" fillId="3" borderId="9" applyAlignment="1" pivotButton="0" quotePrefix="0" xfId="0">
      <alignment horizontal="center" wrapText="1"/>
    </xf>
    <xf numFmtId="0" fontId="4" fillId="3" borderId="11" applyAlignment="1" pivotButton="0" quotePrefix="0" xfId="0">
      <alignment horizont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0" fontId="4" fillId="3" borderId="7" applyAlignment="1" pivotButton="0" quotePrefix="0" xfId="0">
      <alignment horizontal="center" vertical="center" wrapText="1"/>
    </xf>
    <xf numFmtId="0" fontId="4" fillId="3" borderId="8" applyAlignment="1" pivotButton="0" quotePrefix="0" xfId="0">
      <alignment horizontal="center" vertical="center" wrapText="1"/>
    </xf>
    <xf numFmtId="0" fontId="4" fillId="3" borderId="9" applyAlignment="1" pivotButton="0" quotePrefix="0" xfId="0">
      <alignment horizontal="center" vertical="center" wrapText="1"/>
    </xf>
    <xf numFmtId="0" fontId="4" fillId="3" borderId="11" applyAlignment="1" pivotButton="0" quotePrefix="0" xfId="0">
      <alignment horizontal="center" vertical="center" wrapText="1"/>
    </xf>
    <xf numFmtId="0" fontId="4" fillId="7" borderId="4" pivotButton="0" quotePrefix="0" xfId="0"/>
    <xf numFmtId="0" fontId="4" fillId="7" borderId="6" pivotButton="0" quotePrefix="0" xfId="0"/>
    <xf numFmtId="0" fontId="4" fillId="7" borderId="7" pivotButton="0" quotePrefix="0" xfId="0"/>
    <xf numFmtId="0" fontId="4" fillId="7" borderId="8" pivotButton="0" quotePrefix="0" xfId="0"/>
    <xf numFmtId="0" fontId="4" fillId="7" borderId="9" pivotButton="0" quotePrefix="0" xfId="0"/>
    <xf numFmtId="0" fontId="4" fillId="7" borderId="11" pivotButton="0" quotePrefix="0" xfId="0"/>
    <xf numFmtId="0" fontId="4" fillId="7" borderId="4" applyAlignment="1" pivotButton="0" quotePrefix="0" xfId="0">
      <alignment wrapText="1"/>
    </xf>
    <xf numFmtId="0" fontId="4" fillId="7" borderId="6" applyAlignment="1" pivotButton="0" quotePrefix="0" xfId="0">
      <alignment wrapText="1"/>
    </xf>
    <xf numFmtId="0" fontId="4" fillId="7" borderId="7" applyAlignment="1" pivotButton="0" quotePrefix="0" xfId="0">
      <alignment wrapText="1"/>
    </xf>
    <xf numFmtId="0" fontId="4" fillId="7" borderId="8" applyAlignment="1" pivotButton="0" quotePrefix="0" xfId="0">
      <alignment wrapText="1"/>
    </xf>
    <xf numFmtId="0" fontId="4" fillId="7" borderId="9" applyAlignment="1" pivotButton="0" quotePrefix="0" xfId="0">
      <alignment wrapText="1"/>
    </xf>
    <xf numFmtId="0" fontId="4" fillId="7" borderId="11" applyAlignment="1" pivotButton="0" quotePrefix="0" xfId="0">
      <alignment wrapText="1"/>
    </xf>
    <xf numFmtId="0" fontId="4" fillId="7" borderId="4" applyAlignment="1" pivotButton="0" quotePrefix="0" xfId="0">
      <alignment horizontal="center" wrapText="1"/>
    </xf>
    <xf numFmtId="0" fontId="4" fillId="7" borderId="6" applyAlignment="1" pivotButton="0" quotePrefix="0" xfId="0">
      <alignment horizontal="center" wrapText="1"/>
    </xf>
    <xf numFmtId="0" fontId="4" fillId="7" borderId="7" applyAlignment="1" pivotButton="0" quotePrefix="0" xfId="0">
      <alignment horizontal="center" wrapText="1"/>
    </xf>
    <xf numFmtId="0" fontId="4" fillId="7" borderId="8" applyAlignment="1" pivotButton="0" quotePrefix="0" xfId="0">
      <alignment horizontal="center" wrapText="1"/>
    </xf>
    <xf numFmtId="0" fontId="4" fillId="7" borderId="9" applyAlignment="1" pivotButton="0" quotePrefix="0" xfId="0">
      <alignment horizontal="center" wrapText="1"/>
    </xf>
    <xf numFmtId="0" fontId="4" fillId="7" borderId="11" applyAlignment="1" pivotButton="0" quotePrefix="0" xfId="0">
      <alignment horizontal="center" wrapText="1"/>
    </xf>
    <xf numFmtId="0" fontId="4" fillId="7" borderId="4" applyAlignment="1" pivotButton="0" quotePrefix="0" xfId="0">
      <alignment horizontal="center" vertical="center" wrapText="1"/>
    </xf>
    <xf numFmtId="0" fontId="4" fillId="7" borderId="6" applyAlignment="1" pivotButton="0" quotePrefix="0" xfId="0">
      <alignment horizontal="center" vertical="center" wrapText="1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 wrapText="1"/>
    </xf>
    <xf numFmtId="0" fontId="4" fillId="3" borderId="5" pivotButton="0" quotePrefix="0" xfId="0"/>
    <xf numFmtId="0" fontId="4" fillId="3" borderId="10" pivotButton="0" quotePrefix="0" xfId="0"/>
    <xf numFmtId="0" fontId="4" fillId="3" borderId="5" applyAlignment="1" pivotButton="0" quotePrefix="0" xfId="0">
      <alignment wrapText="1"/>
    </xf>
    <xf numFmtId="0" fontId="4" fillId="3" borderId="0" applyAlignment="1" pivotButton="0" quotePrefix="0" xfId="0">
      <alignment wrapText="1"/>
    </xf>
    <xf numFmtId="0" fontId="4" fillId="3" borderId="10" applyAlignment="1" pivotButton="0" quotePrefix="0" xfId="0">
      <alignment wrapText="1"/>
    </xf>
    <xf numFmtId="0" fontId="4" fillId="3" borderId="5" applyAlignment="1" pivotButton="0" quotePrefix="0" xfId="0">
      <alignment horizontal="center" wrapText="1"/>
    </xf>
    <xf numFmtId="0" fontId="4" fillId="3" borderId="0" applyAlignment="1" pivotButton="0" quotePrefix="0" xfId="0">
      <alignment horizontal="center" wrapText="1"/>
    </xf>
    <xf numFmtId="0" fontId="4" fillId="3" borderId="10" applyAlignment="1" pivotButton="0" quotePrefix="0" xfId="0">
      <alignment horizontal="center" wrapText="1"/>
    </xf>
    <xf numFmtId="0" fontId="4" fillId="3" borderId="5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10" applyAlignment="1" pivotButton="0" quotePrefix="0" xfId="0">
      <alignment horizontal="center" vertical="center" wrapText="1"/>
    </xf>
    <xf numFmtId="0" fontId="0" fillId="8" borderId="0" pivotButton="0" quotePrefix="0" xfId="0"/>
    <xf numFmtId="0" fontId="4" fillId="8" borderId="0" pivotButton="0" quotePrefix="0" xfId="0"/>
    <xf numFmtId="0" fontId="4" fillId="8" borderId="4" pivotButton="0" quotePrefix="0" xfId="0"/>
    <xf numFmtId="0" fontId="4" fillId="8" borderId="5" pivotButton="0" quotePrefix="0" xfId="0"/>
    <xf numFmtId="0" fontId="4" fillId="8" borderId="6" pivotButton="0" quotePrefix="0" xfId="0"/>
    <xf numFmtId="0" fontId="4" fillId="8" borderId="7" pivotButton="0" quotePrefix="0" xfId="0"/>
    <xf numFmtId="0" fontId="4" fillId="8" borderId="8" pivotButton="0" quotePrefix="0" xfId="0"/>
    <xf numFmtId="0" fontId="4" fillId="8" borderId="9" pivotButton="0" quotePrefix="0" xfId="0"/>
    <xf numFmtId="0" fontId="4" fillId="8" borderId="10" pivotButton="0" quotePrefix="0" xfId="0"/>
    <xf numFmtId="0" fontId="4" fillId="8" borderId="11" pivotButton="0" quotePrefix="0" xfId="0"/>
    <xf numFmtId="0" fontId="4" fillId="8" borderId="4" applyAlignment="1" pivotButton="0" quotePrefix="0" xfId="0">
      <alignment wrapText="1"/>
    </xf>
    <xf numFmtId="0" fontId="4" fillId="8" borderId="5" applyAlignment="1" pivotButton="0" quotePrefix="0" xfId="0">
      <alignment wrapText="1"/>
    </xf>
    <xf numFmtId="0" fontId="4" fillId="8" borderId="6" applyAlignment="1" pivotButton="0" quotePrefix="0" xfId="0">
      <alignment wrapText="1"/>
    </xf>
    <xf numFmtId="0" fontId="4" fillId="8" borderId="7" applyAlignment="1" pivotButton="0" quotePrefix="0" xfId="0">
      <alignment wrapText="1"/>
    </xf>
    <xf numFmtId="0" fontId="4" fillId="8" borderId="0" applyAlignment="1" pivotButton="0" quotePrefix="0" xfId="0">
      <alignment wrapText="1"/>
    </xf>
    <xf numFmtId="0" fontId="4" fillId="8" borderId="8" applyAlignment="1" pivotButton="0" quotePrefix="0" xfId="0">
      <alignment wrapText="1"/>
    </xf>
    <xf numFmtId="0" fontId="4" fillId="8" borderId="9" applyAlignment="1" pivotButton="0" quotePrefix="0" xfId="0">
      <alignment wrapText="1"/>
    </xf>
    <xf numFmtId="0" fontId="4" fillId="8" borderId="10" applyAlignment="1" pivotButton="0" quotePrefix="0" xfId="0">
      <alignment wrapText="1"/>
    </xf>
    <xf numFmtId="0" fontId="4" fillId="8" borderId="11" applyAlignment="1" pivotButton="0" quotePrefix="0" xfId="0">
      <alignment wrapText="1"/>
    </xf>
    <xf numFmtId="0" fontId="4" fillId="8" borderId="4" applyAlignment="1" pivotButton="0" quotePrefix="0" xfId="0">
      <alignment horizontal="center" wrapText="1"/>
    </xf>
    <xf numFmtId="0" fontId="4" fillId="8" borderId="5" applyAlignment="1" pivotButton="0" quotePrefix="0" xfId="0">
      <alignment horizontal="center" wrapText="1"/>
    </xf>
    <xf numFmtId="0" fontId="4" fillId="8" borderId="6" applyAlignment="1" pivotButton="0" quotePrefix="0" xfId="0">
      <alignment horizontal="center" wrapText="1"/>
    </xf>
    <xf numFmtId="0" fontId="4" fillId="8" borderId="7" applyAlignment="1" pivotButton="0" quotePrefix="0" xfId="0">
      <alignment horizontal="center" wrapText="1"/>
    </xf>
    <xf numFmtId="0" fontId="4" fillId="8" borderId="0" applyAlignment="1" pivotButton="0" quotePrefix="0" xfId="0">
      <alignment horizontal="center" wrapText="1"/>
    </xf>
    <xf numFmtId="0" fontId="4" fillId="8" borderId="8" applyAlignment="1" pivotButton="0" quotePrefix="0" xfId="0">
      <alignment horizontal="center" wrapText="1"/>
    </xf>
    <xf numFmtId="0" fontId="4" fillId="8" borderId="9" applyAlignment="1" pivotButton="0" quotePrefix="0" xfId="0">
      <alignment horizontal="center" wrapText="1"/>
    </xf>
    <xf numFmtId="0" fontId="4" fillId="8" borderId="10" applyAlignment="1" pivotButton="0" quotePrefix="0" xfId="0">
      <alignment horizontal="center" wrapText="1"/>
    </xf>
    <xf numFmtId="0" fontId="4" fillId="8" borderId="11" applyAlignment="1" pivotButton="0" quotePrefix="0" xfId="0">
      <alignment horizontal="center" wrapText="1"/>
    </xf>
    <xf numFmtId="0" fontId="4" fillId="8" borderId="4" applyAlignment="1" pivotButton="0" quotePrefix="0" xfId="0">
      <alignment horizontal="center" vertical="center" wrapText="1"/>
    </xf>
    <xf numFmtId="0" fontId="4" fillId="8" borderId="5" applyAlignment="1" pivotButton="0" quotePrefix="0" xfId="0">
      <alignment horizontal="center" vertical="center" wrapText="1"/>
    </xf>
    <xf numFmtId="0" fontId="4" fillId="8" borderId="6" applyAlignment="1" pivotButton="0" quotePrefix="0" xfId="0">
      <alignment horizontal="center" vertical="center" wrapText="1"/>
    </xf>
    <xf numFmtId="0" fontId="4" fillId="8" borderId="7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 wrapText="1"/>
    </xf>
    <xf numFmtId="0" fontId="4" fillId="8" borderId="8" applyAlignment="1" pivotButton="0" quotePrefix="0" xfId="0">
      <alignment horizontal="center" vertical="center" wrapText="1"/>
    </xf>
    <xf numFmtId="0" fontId="4" fillId="8" borderId="9" applyAlignment="1" pivotButton="0" quotePrefix="0" xfId="0">
      <alignment horizontal="center" vertical="center" wrapText="1"/>
    </xf>
    <xf numFmtId="0" fontId="4" fillId="8" borderId="10" applyAlignment="1" pivotButton="0" quotePrefix="0" xfId="0">
      <alignment horizontal="center" vertical="center" wrapText="1"/>
    </xf>
    <xf numFmtId="0" fontId="4" fillId="8" borderId="11" applyAlignment="1" pivotButton="0" quotePrefix="0" xfId="0">
      <alignment horizontal="center" vertical="center" wrapText="1"/>
    </xf>
    <xf numFmtId="0" fontId="6" fillId="2" borderId="0" pivotButton="0" quotePrefix="0" xfId="0"/>
    <xf numFmtId="0" fontId="6" fillId="2" borderId="0" applyAlignment="1" pivotButton="0" quotePrefix="0" xfId="0">
      <alignment horizontal="center"/>
    </xf>
    <xf numFmtId="0" fontId="6" fillId="2" borderId="0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 wrapText="1"/>
    </xf>
    <xf numFmtId="0" fontId="3" fillId="9" borderId="2" applyAlignment="1" pivotButton="0" quotePrefix="0" xfId="0">
      <alignment horizontal="center" vertical="center" wrapText="1"/>
    </xf>
    <xf numFmtId="0" fontId="3" fillId="10" borderId="2" applyAlignment="1" pivotButton="0" quotePrefix="0" xfId="0">
      <alignment horizontal="center" vertical="center" wrapText="1"/>
    </xf>
    <xf numFmtId="0" fontId="3" fillId="10" borderId="3" applyAlignment="1" pivotButton="0" quotePrefix="0" xfId="0">
      <alignment horizontal="center" vertical="center" wrapText="1"/>
    </xf>
    <xf numFmtId="0" fontId="4" fillId="7" borderId="5" pivotButton="0" quotePrefix="0" xfId="0"/>
    <xf numFmtId="0" fontId="4" fillId="7" borderId="10" pivotButton="0" quotePrefix="0" xfId="0"/>
    <xf numFmtId="0" fontId="4" fillId="7" borderId="5" applyAlignment="1" pivotButton="0" quotePrefix="0" xfId="0">
      <alignment wrapText="1"/>
    </xf>
    <xf numFmtId="0" fontId="4" fillId="7" borderId="0" applyAlignment="1" pivotButton="0" quotePrefix="0" xfId="0">
      <alignment wrapText="1"/>
    </xf>
    <xf numFmtId="0" fontId="4" fillId="7" borderId="10" applyAlignment="1" pivotButton="0" quotePrefix="0" xfId="0">
      <alignment wrapText="1"/>
    </xf>
    <xf numFmtId="0" fontId="4" fillId="7" borderId="5" applyAlignment="1" pivotButton="0" quotePrefix="0" xfId="0">
      <alignment horizontal="center" wrapText="1"/>
    </xf>
    <xf numFmtId="0" fontId="4" fillId="7" borderId="0" applyAlignment="1" pivotButton="0" quotePrefix="0" xfId="0">
      <alignment horizontal="center" wrapText="1"/>
    </xf>
    <xf numFmtId="0" fontId="4" fillId="7" borderId="10" applyAlignment="1" pivotButton="0" quotePrefix="0" xfId="0">
      <alignment horizontal="center" wrapText="1"/>
    </xf>
    <xf numFmtId="0" fontId="4" fillId="7" borderId="5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4" fillId="7" borderId="10" applyAlignment="1" pivotButton="0" quotePrefix="0" xfId="0">
      <alignment horizontal="center" vertical="center" wrapText="1"/>
    </xf>
    <xf numFmtId="0" fontId="4" fillId="5" borderId="12" pivotButton="0" quotePrefix="0" xfId="0"/>
    <xf numFmtId="0" fontId="4" fillId="5" borderId="13" pivotButton="0" quotePrefix="0" xfId="0"/>
    <xf numFmtId="0" fontId="4" fillId="5" borderId="14" pivotButton="0" quotePrefix="0" xfId="0"/>
    <xf numFmtId="0" fontId="4" fillId="5" borderId="12" applyAlignment="1" pivotButton="0" quotePrefix="0" xfId="0">
      <alignment wrapText="1"/>
    </xf>
    <xf numFmtId="0" fontId="4" fillId="5" borderId="13" applyAlignment="1" pivotButton="0" quotePrefix="0" xfId="0">
      <alignment wrapText="1"/>
    </xf>
    <xf numFmtId="0" fontId="4" fillId="5" borderId="14" applyAlignment="1" pivotButton="0" quotePrefix="0" xfId="0">
      <alignment wrapText="1"/>
    </xf>
    <xf numFmtId="0" fontId="4" fillId="5" borderId="12" applyAlignment="1" pivotButton="0" quotePrefix="0" xfId="0">
      <alignment horizontal="right" wrapText="1"/>
    </xf>
    <xf numFmtId="0" fontId="4" fillId="5" borderId="13" applyAlignment="1" pivotButton="0" quotePrefix="0" xfId="0">
      <alignment horizontal="right" wrapText="1"/>
    </xf>
    <xf numFmtId="0" fontId="4" fillId="5" borderId="14" applyAlignment="1" pivotButton="0" quotePrefix="0" xfId="0">
      <alignment horizontal="right" wrapText="1"/>
    </xf>
    <xf numFmtId="0" fontId="4" fillId="5" borderId="12" applyAlignment="1" pivotButton="0" quotePrefix="0" xfId="0">
      <alignment horizontal="right" vertical="center" wrapText="1"/>
    </xf>
    <xf numFmtId="0" fontId="4" fillId="5" borderId="13" applyAlignment="1" pivotButton="0" quotePrefix="0" xfId="0">
      <alignment horizontal="right" vertical="center" wrapText="1"/>
    </xf>
    <xf numFmtId="0" fontId="4" fillId="5" borderId="14" applyAlignment="1" pivotButton="0" quotePrefix="0" xfId="0">
      <alignment horizontal="right" vertical="center" wrapText="1"/>
    </xf>
    <xf numFmtId="0" fontId="4" fillId="7" borderId="15" pivotButton="0" quotePrefix="0" xfId="0"/>
    <xf numFmtId="0" fontId="4" fillId="7" borderId="15" applyAlignment="1" pivotButton="0" quotePrefix="0" xfId="0">
      <alignment wrapText="1"/>
    </xf>
    <xf numFmtId="0" fontId="4" fillId="7" borderId="15" applyAlignment="1" pivotButton="0" quotePrefix="0" xfId="0">
      <alignment horizontal="center" wrapText="1"/>
    </xf>
    <xf numFmtId="0" fontId="4" fillId="7" borderId="15" applyAlignment="1" pivotButton="0" quotePrefix="0" xfId="0">
      <alignment horizontal="center" vertical="center" wrapText="1"/>
    </xf>
    <xf numFmtId="0" fontId="4" fillId="5" borderId="15" pivotButton="0" quotePrefix="0" xfId="0"/>
    <xf numFmtId="0" fontId="4" fillId="5" borderId="15" applyAlignment="1" pivotButton="0" quotePrefix="0" xfId="0">
      <alignment wrapText="1"/>
    </xf>
    <xf numFmtId="0" fontId="4" fillId="5" borderId="15" applyAlignment="1" pivotButton="0" quotePrefix="0" xfId="0">
      <alignment horizontal="center" wrapText="1"/>
    </xf>
    <xf numFmtId="0" fontId="4" fillId="5" borderId="15" applyAlignment="1" pivotButton="0" quotePrefix="0" xfId="0">
      <alignment horizontal="center" vertical="center" wrapText="1"/>
    </xf>
    <xf numFmtId="0" fontId="4" fillId="3" borderId="15" pivotButton="0" quotePrefix="0" xfId="0"/>
    <xf numFmtId="0" fontId="4" fillId="3" borderId="15" applyAlignment="1" pivotButton="0" quotePrefix="0" xfId="0">
      <alignment wrapText="1"/>
    </xf>
    <xf numFmtId="0" fontId="4" fillId="3" borderId="15" applyAlignment="1" pivotButton="0" quotePrefix="0" xfId="0">
      <alignment horizontal="right" wrapText="1"/>
    </xf>
    <xf numFmtId="0" fontId="4" fillId="3" borderId="15" applyAlignment="1" pivotButton="0" quotePrefix="0" xfId="0">
      <alignment horizontal="right" vertical="center" wrapText="1"/>
    </xf>
    <xf numFmtId="0" fontId="4" fillId="7" borderId="12" applyAlignment="1" pivotButton="0" quotePrefix="0" xfId="0">
      <alignment horizontal="right" wrapText="1"/>
    </xf>
    <xf numFmtId="0" fontId="4" fillId="7" borderId="13" applyAlignment="1" pivotButton="0" quotePrefix="0" xfId="0">
      <alignment horizontal="right" wrapText="1"/>
    </xf>
    <xf numFmtId="0" fontId="4" fillId="7" borderId="14" applyAlignment="1" pivotButton="0" quotePrefix="0" xfId="0">
      <alignment horizontal="right" wrapText="1"/>
    </xf>
    <xf numFmtId="0" fontId="4" fillId="7" borderId="12" applyAlignment="1" pivotButton="0" quotePrefix="0" xfId="0">
      <alignment horizontal="right" vertical="center" wrapText="1"/>
    </xf>
    <xf numFmtId="0" fontId="4" fillId="7" borderId="13" applyAlignment="1" pivotButton="0" quotePrefix="0" xfId="0">
      <alignment horizontal="right" vertical="center" wrapText="1"/>
    </xf>
    <xf numFmtId="0" fontId="4" fillId="7" borderId="14" applyAlignment="1" pivotButton="0" quotePrefix="0" xfId="0">
      <alignment horizontal="right" vertical="center" wrapText="1"/>
    </xf>
    <xf numFmtId="0" fontId="4" fillId="3" borderId="12" pivotButton="0" quotePrefix="0" xfId="0"/>
    <xf numFmtId="0" fontId="4" fillId="3" borderId="13" pivotButton="0" quotePrefix="0" xfId="0"/>
    <xf numFmtId="0" fontId="4" fillId="3" borderId="14" pivotButton="0" quotePrefix="0" xfId="0"/>
    <xf numFmtId="0" fontId="4" fillId="3" borderId="12" applyAlignment="1" pivotButton="0" quotePrefix="0" xfId="0">
      <alignment wrapText="1"/>
    </xf>
    <xf numFmtId="0" fontId="4" fillId="3" borderId="13" applyAlignment="1" pivotButton="0" quotePrefix="0" xfId="0">
      <alignment wrapText="1"/>
    </xf>
    <xf numFmtId="0" fontId="4" fillId="3" borderId="14" applyAlignment="1" pivotButton="0" quotePrefix="0" xfId="0">
      <alignment wrapText="1"/>
    </xf>
    <xf numFmtId="0" fontId="4" fillId="3" borderId="12" applyAlignment="1" pivotButton="0" quotePrefix="0" xfId="0">
      <alignment horizontal="right" wrapText="1"/>
    </xf>
    <xf numFmtId="0" fontId="4" fillId="3" borderId="13" applyAlignment="1" pivotButton="0" quotePrefix="0" xfId="0">
      <alignment horizontal="right" wrapText="1"/>
    </xf>
    <xf numFmtId="0" fontId="4" fillId="3" borderId="14" applyAlignment="1" pivotButton="0" quotePrefix="0" xfId="0">
      <alignment horizontal="right" wrapText="1"/>
    </xf>
    <xf numFmtId="0" fontId="4" fillId="3" borderId="12" applyAlignment="1" pivotButton="0" quotePrefix="0" xfId="0">
      <alignment horizontal="right" vertical="center" wrapText="1"/>
    </xf>
    <xf numFmtId="0" fontId="4" fillId="3" borderId="13" applyAlignment="1" pivotButton="0" quotePrefix="0" xfId="0">
      <alignment horizontal="right" vertical="center" wrapText="1"/>
    </xf>
    <xf numFmtId="0" fontId="4" fillId="3" borderId="14" applyAlignment="1" pivotButton="0" quotePrefix="0" xfId="0">
      <alignment horizontal="right" vertical="center" wrapText="1"/>
    </xf>
    <xf numFmtId="0" fontId="0" fillId="11" borderId="0" pivotButton="0" quotePrefix="0" xfId="0"/>
    <xf numFmtId="0" fontId="7" fillId="11" borderId="0" pivotButton="0" quotePrefix="0" xfId="0"/>
    <xf numFmtId="0" fontId="7" fillId="11" borderId="16" pivotButton="0" quotePrefix="0" xfId="0"/>
    <xf numFmtId="0" fontId="7" fillId="11" borderId="17" pivotButton="0" quotePrefix="0" xfId="0"/>
    <xf numFmtId="0" fontId="7" fillId="11" borderId="18" pivotButton="0" quotePrefix="0" xfId="0"/>
    <xf numFmtId="0" fontId="7" fillId="11" borderId="19" pivotButton="0" quotePrefix="0" xfId="0"/>
    <xf numFmtId="0" fontId="7" fillId="11" borderId="20" pivotButton="0" quotePrefix="0" xfId="0"/>
    <xf numFmtId="0" fontId="7" fillId="11" borderId="21" pivotButton="0" quotePrefix="0" xfId="0"/>
    <xf numFmtId="0" fontId="7" fillId="11" borderId="16" applyAlignment="1" pivotButton="0" quotePrefix="0" xfId="0">
      <alignment horizontal="center"/>
    </xf>
    <xf numFmtId="0" fontId="7" fillId="11" borderId="17" applyAlignment="1" pivotButton="0" quotePrefix="0" xfId="0">
      <alignment horizontal="center"/>
    </xf>
    <xf numFmtId="0" fontId="7" fillId="11" borderId="18" applyAlignment="1" pivotButton="0" quotePrefix="0" xfId="0">
      <alignment horizontal="center"/>
    </xf>
    <xf numFmtId="0" fontId="7" fillId="11" borderId="19" applyAlignment="1" pivotButton="0" quotePrefix="0" xfId="0">
      <alignment horizontal="center"/>
    </xf>
    <xf numFmtId="0" fontId="7" fillId="11" borderId="20" applyAlignment="1" pivotButton="0" quotePrefix="0" xfId="0">
      <alignment horizontal="center"/>
    </xf>
    <xf numFmtId="0" fontId="7" fillId="11" borderId="21" applyAlignment="1" pivotButton="0" quotePrefix="0" xfId="0">
      <alignment horizontal="center"/>
    </xf>
    <xf numFmtId="0" fontId="7" fillId="11" borderId="16" applyAlignment="1" pivotButton="0" quotePrefix="0" xfId="0">
      <alignment horizontal="center" vertical="center"/>
    </xf>
    <xf numFmtId="0" fontId="7" fillId="11" borderId="17" applyAlignment="1" pivotButton="0" quotePrefix="0" xfId="0">
      <alignment horizontal="center" vertical="center"/>
    </xf>
    <xf numFmtId="0" fontId="7" fillId="11" borderId="18" applyAlignment="1" pivotButton="0" quotePrefix="0" xfId="0">
      <alignment horizontal="center" vertical="center"/>
    </xf>
    <xf numFmtId="0" fontId="7" fillId="11" borderId="19" applyAlignment="1" pivotButton="0" quotePrefix="0" xfId="0">
      <alignment horizontal="center" vertical="center"/>
    </xf>
    <xf numFmtId="0" fontId="7" fillId="11" borderId="20" applyAlignment="1" pivotButton="0" quotePrefix="0" xfId="0">
      <alignment horizontal="center" vertical="center"/>
    </xf>
    <xf numFmtId="0" fontId="7" fillId="11" borderId="21" applyAlignment="1" pivotButton="0" quotePrefix="0" xfId="0">
      <alignment horizontal="center" vertical="center"/>
    </xf>
    <xf numFmtId="0" fontId="8" fillId="0" borderId="0" pivotButton="0" quotePrefix="0" xfId="0"/>
    <xf numFmtId="0" fontId="9" fillId="1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11" fillId="13" borderId="24" applyAlignment="1" pivotButton="0" quotePrefix="0" xfId="0">
      <alignment horizontal="center" vertical="center" wrapText="1"/>
    </xf>
    <xf numFmtId="0" fontId="12" fillId="13" borderId="24" applyAlignment="1" pivotButton="0" quotePrefix="0" xfId="0">
      <alignment horizontal="right" vertical="center" wrapText="1"/>
    </xf>
    <xf numFmtId="0" fontId="11" fillId="13" borderId="24" applyAlignment="1" pivotButton="0" quotePrefix="0" xfId="0">
      <alignment horizontal="right" vertical="center" wrapText="1"/>
    </xf>
    <xf numFmtId="0" fontId="11" fillId="14" borderId="24" applyAlignment="1" pivotButton="0" quotePrefix="0" xfId="0">
      <alignment horizontal="center" vertical="center" wrapText="1"/>
    </xf>
    <xf numFmtId="0" fontId="12" fillId="14" borderId="24" applyAlignment="1" pivotButton="0" quotePrefix="0" xfId="0">
      <alignment horizontal="right" vertical="center" wrapText="1"/>
    </xf>
    <xf numFmtId="0" fontId="11" fillId="14" borderId="24" applyAlignment="1" pivotButton="0" quotePrefix="0" xfId="0">
      <alignment horizontal="right" vertical="center" wrapText="1"/>
    </xf>
    <xf numFmtId="0" fontId="13" fillId="15" borderId="24" applyAlignment="1" pivotButton="0" quotePrefix="0" xfId="0">
      <alignment horizontal="center" vertical="center" wrapText="1"/>
    </xf>
    <xf numFmtId="0" fontId="13" fillId="13" borderId="24" applyAlignment="1" applyProtection="1" pivotButton="0" quotePrefix="0" xfId="0">
      <alignment horizontal="center" vertical="center" wrapText="1"/>
      <protection locked="0" hidden="0"/>
    </xf>
    <xf numFmtId="0" fontId="14" fillId="12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5" fillId="16" borderId="0" applyAlignment="1" pivotButton="0" quotePrefix="0" xfId="0">
      <alignment horizontal="center" vertical="center"/>
    </xf>
    <xf numFmtId="0" fontId="15" fillId="17" borderId="0" applyAlignment="1" pivotButton="0" quotePrefix="0" xfId="0">
      <alignment horizontal="center" vertical="center"/>
    </xf>
    <xf numFmtId="0" fontId="15" fillId="12" borderId="24" applyAlignment="1" pivotButton="0" quotePrefix="0" xfId="0">
      <alignment horizontal="center" vertical="center" wrapText="1"/>
    </xf>
    <xf numFmtId="2" fontId="13" fillId="15" borderId="24" applyAlignment="1" pivotButton="0" quotePrefix="0" xfId="0">
      <alignment horizontal="center" vertical="center" wrapText="1"/>
    </xf>
    <xf numFmtId="9" fontId="13" fillId="15" borderId="24" applyAlignment="1" pivotButton="0" quotePrefix="0" xfId="0">
      <alignment horizontal="center" vertical="center" wrapText="1"/>
    </xf>
  </cellXfs>
  <cellStyles count="1">
    <cellStyle name="Normal" xfId="0"/>
  </cellStyles>
  <dxfs count="7"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9C0006"/>
      </font>
      <fill>
        <patternFill patternType="solid">
          <bgColor rgb="FFFCE4D6"/>
        </patternFill>
      </fill>
    </dxf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9C0006"/>
      </font>
      <fill>
        <patternFill patternType="solid">
          <bgColor rgb="FFFCE4D6"/>
        </patternFill>
      </fill>
    </dxf>
    <dxf>
      <font>
        <b val="1"/>
        <color rgb="FF9C0006"/>
      </font>
      <fill>
        <patternFill patternType="solid">
          <bgColor rgb="FFFCE4D6"/>
        </patternFill>
      </fill>
    </dxf>
    <dxf>
      <fill>
        <patternFill patternType="solid">
          <fgColor rgb="00FDECEC"/>
        </patternFill>
      </fill>
    </dxf>
    <dxf>
      <fill>
        <patternFill patternType="solid">
          <fgColor rgb="00E7F6ED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8" customHeight="1">
      <c r="A1" s="298" t="inlineStr">
        <is>
          <t>قالب ساده جمع‌آوری اطلاعات مدرسه</t>
        </is>
      </c>
    </row>
    <row r="2" ht="28" customHeight="1">
      <c r="A2" s="299" t="inlineStr">
        <is>
          <t>این فایل فقط برای کلاس‌بندی، ثبت دانش‌آموزان و چهار شاخص اصلی ارزیابی استفاده می‌شود.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 ht="42" customHeight="1">
      <c r="A4" s="300" t="inlineStr">
        <is>
          <t>۱</t>
        </is>
      </c>
      <c r="B4" s="301" t="inlineStr">
        <is>
          <t>کلاس‌بندی</t>
        </is>
      </c>
      <c r="C4" s="302" t="inlineStr">
        <is>
          <t>کد مدرسه، سال تحصیلی، کد و نام کلاس، پایه و ظرفیت را وارد کنید.</t>
        </is>
      </c>
      <c r="D4" s="302" t="n"/>
      <c r="E4" s="302" t="n"/>
      <c r="F4" s="302" t="n"/>
      <c r="G4" s="302" t="n"/>
      <c r="H4" s="302" t="n"/>
    </row>
    <row r="5" ht="42" customHeight="1">
      <c r="A5" s="303" t="inlineStr">
        <is>
          <t>۲</t>
        </is>
      </c>
      <c r="B5" s="304" t="inlineStr">
        <is>
          <t>دانش‌آموزان</t>
        </is>
      </c>
      <c r="C5" s="305" t="inlineStr">
        <is>
          <t>کد محلی، کد ملی، شماره دانش‌آموزی، نام، نام خانوادگی، جنسیت، تاریخ تولد و کد کلاس را وارد کنید.</t>
        </is>
      </c>
      <c r="D5" s="305" t="n"/>
      <c r="E5" s="305" t="n"/>
      <c r="F5" s="305" t="n"/>
      <c r="G5" s="305" t="n"/>
      <c r="H5" s="305" t="n"/>
    </row>
    <row r="6" ht="42" customHeight="1">
      <c r="A6" s="300" t="inlineStr">
        <is>
          <t>۳</t>
        </is>
      </c>
      <c r="B6" s="301" t="inlineStr">
        <is>
          <t>ثبت اطلاعات</t>
        </is>
      </c>
      <c r="C6" s="302" t="inlineStr">
        <is>
          <t>برای هر دانش‌آموز و ماه، چهار امتیاز نمرات درسی، انجام تکالیف، مشارکت در کلاس و حضور و غیاب را وارد کنید.</t>
        </is>
      </c>
      <c r="D6" s="302" t="n"/>
      <c r="E6" s="302" t="n"/>
      <c r="F6" s="302" t="n"/>
      <c r="G6" s="302" t="n"/>
      <c r="H6" s="302" t="n"/>
    </row>
    <row r="7" ht="42" customHeight="1">
      <c r="A7" s="303" t="inlineStr">
        <is>
          <t>۴</t>
        </is>
      </c>
      <c r="B7" s="304" t="inlineStr">
        <is>
          <t>مقیاس امتیاز</t>
        </is>
      </c>
      <c r="C7" s="305" t="inlineStr">
        <is>
          <t>تمام امتیازها باید عدد صحیح بین ۰ تا ۵ باشند؛ ۰ ضعیف‌ترین و ۵ بهترین وضعیت است.</t>
        </is>
      </c>
      <c r="D7" s="305" t="n"/>
      <c r="E7" s="305" t="n"/>
      <c r="F7" s="305" t="n"/>
      <c r="G7" s="305" t="n"/>
      <c r="H7" s="305" t="n"/>
    </row>
    <row r="8" ht="42" customHeight="1">
      <c r="A8" s="300" t="inlineStr">
        <is>
          <t>۵</t>
        </is>
      </c>
      <c r="B8" s="301" t="inlineStr">
        <is>
          <t>تاریخ تولد</t>
        </is>
      </c>
      <c r="C8" s="302" t="inlineStr">
        <is>
          <t>تاریخ تولد را میلادی و با قالب YYYY-MM-DD وارد کنید؛ نمونه: 2012-09-05</t>
        </is>
      </c>
      <c r="D8" s="302" t="n"/>
      <c r="E8" s="302" t="n"/>
      <c r="F8" s="302" t="n"/>
      <c r="G8" s="302" t="n"/>
      <c r="H8" s="302" t="n"/>
    </row>
    <row r="9" ht="42" customHeight="1">
      <c r="A9" s="303" t="inlineStr">
        <is>
          <t>۶</t>
        </is>
      </c>
      <c r="B9" s="304" t="inlineStr">
        <is>
          <t>سلول‌های زرد</t>
        </is>
      </c>
      <c r="C9" s="305" t="inlineStr">
        <is>
          <t>فقط سلول‌های زرد برای ورود اطلاعات هستند؛ سلول‌های آبی به‌صورت خودکار محاسبه می‌شوند.</t>
        </is>
      </c>
      <c r="D9" s="305" t="n"/>
      <c r="E9" s="305" t="n"/>
      <c r="F9" s="305" t="n"/>
      <c r="G9" s="305" t="n"/>
      <c r="H9" s="305" t="n"/>
    </row>
    <row r="10" ht="42" customHeight="1">
      <c r="A10" s="300" t="inlineStr">
        <is>
          <t>۷</t>
        </is>
      </c>
      <c r="B10" s="301" t="inlineStr">
        <is>
          <t>اطلاعات ناقص</t>
        </is>
      </c>
      <c r="C10" s="302" t="inlineStr">
        <is>
          <t>اگر هر چهار شاخص تکمیل نشده باشد، نتیجه «موقت - اطلاعات ناقص» نمایش داده می‌شود.</t>
        </is>
      </c>
      <c r="D10" s="302" t="n"/>
      <c r="E10" s="302" t="n"/>
      <c r="F10" s="302" t="n"/>
      <c r="G10" s="302" t="n"/>
      <c r="H10" s="302" t="n"/>
    </row>
    <row r="11" ht="42" customHeight="1">
      <c r="A11" s="303" t="inlineStr">
        <is>
          <t>۸</t>
        </is>
      </c>
      <c r="B11" s="304" t="inlineStr">
        <is>
          <t>عدم تغییر ساختار</t>
        </is>
      </c>
      <c r="C11" s="305" t="inlineStr">
        <is>
          <t>نام شیت‌ها، عنوان ستون‌ها، ترتیب ستون‌ها و فرمول‌ها را تغییر ندهید.</t>
        </is>
      </c>
      <c r="D11" s="305" t="n"/>
      <c r="E11" s="305" t="n"/>
      <c r="F11" s="305" t="n"/>
      <c r="G11" s="305" t="n"/>
      <c r="H11" s="305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</row>
  </sheetData>
  <autoFilter ref="A4:H11"/>
  <mergeCells count="10">
    <mergeCell ref="C10:H10"/>
    <mergeCell ref="A2:H2"/>
    <mergeCell ref="C9:H9"/>
    <mergeCell ref="A1:H1"/>
    <mergeCell ref="C11:H11"/>
    <mergeCell ref="C6:H6"/>
    <mergeCell ref="C5:H5"/>
    <mergeCell ref="C8:H8"/>
    <mergeCell ref="C4:H4"/>
    <mergeCell ref="C7:H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showGridLines="0" rightToLeft="1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5" customWidth="1" min="7" max="7"/>
    <col width="15" customWidth="1" min="8" max="8"/>
    <col width="15" customWidth="1" min="9" max="9"/>
  </cols>
  <sheetData>
    <row r="1" ht="32" customHeight="1">
      <c r="A1" s="4" t="inlineStr">
        <is>
          <t>کلاس‌بندی مدرسه</t>
        </is>
      </c>
    </row>
    <row r="2" ht="32" customHeight="1">
      <c r="A2" s="9" t="inlineStr">
        <is>
          <t>هر کلاس را فقط یک‌بار وارد کنید. ظرفیت ثبت‌شده و تعداد دانش‌آموزان تخصیص‌یافته به‌صورت خودکار مقایسه می‌شوند.</t>
        </is>
      </c>
    </row>
    <row r="3">
      <c r="A3" s="297" t="n"/>
      <c r="B3" s="297" t="n"/>
      <c r="C3" s="297" t="n"/>
      <c r="D3" s="297" t="n"/>
      <c r="E3" s="297" t="n"/>
      <c r="F3" s="297" t="n"/>
      <c r="G3" s="297" t="n"/>
      <c r="H3" s="297" t="n"/>
      <c r="I3" s="297" t="n"/>
    </row>
    <row r="4" ht="42" customHeight="1">
      <c r="A4" s="20" t="inlineStr">
        <is>
          <t>ردیف</t>
        </is>
      </c>
      <c r="B4" s="21" t="inlineStr">
        <is>
          <t>کد مدرسه</t>
        </is>
      </c>
      <c r="C4" s="21" t="inlineStr">
        <is>
          <t>سال تحصیلی</t>
        </is>
      </c>
      <c r="D4" s="21" t="inlineStr">
        <is>
          <t>کد کلاس</t>
        </is>
      </c>
      <c r="E4" s="21" t="inlineStr">
        <is>
          <t>نام کلاس</t>
        </is>
      </c>
      <c r="F4" s="21" t="inlineStr">
        <is>
          <t>پایه تحصیلی</t>
        </is>
      </c>
      <c r="G4" s="21" t="inlineStr">
        <is>
          <t>ظرفیت</t>
        </is>
      </c>
      <c r="H4" s="21" t="inlineStr">
        <is>
          <t>تعداد ثبت‌شده</t>
        </is>
      </c>
      <c r="I4" s="22" t="inlineStr">
        <is>
          <t>وضعیت</t>
        </is>
      </c>
    </row>
    <row r="5">
      <c r="A5" s="306" t="n">
        <v>1</v>
      </c>
      <c r="B5" s="307" t="n"/>
      <c r="C5" s="307" t="n"/>
      <c r="D5" s="307" t="n"/>
      <c r="E5" s="307" t="n"/>
      <c r="F5" s="307" t="n"/>
      <c r="G5" s="307" t="n"/>
      <c r="H5" s="306">
        <f>IF(D5="","",COUNTIF('دانش‌آموزان'!$I$5:$I$104,D5))</f>
        <v/>
      </c>
      <c r="I5" s="306">
        <f>IF(D5="","",IF(COUNTIF($D$5:$D$34,D5)&gt;1,"کد تکراری",IF(H5&gt;G5,"بیش از ظرفیت","معتبر")))</f>
        <v/>
      </c>
    </row>
    <row r="6">
      <c r="A6" s="306" t="n">
        <v>2</v>
      </c>
      <c r="B6" s="307" t="n"/>
      <c r="C6" s="307" t="n"/>
      <c r="D6" s="307" t="n"/>
      <c r="E6" s="307" t="n"/>
      <c r="F6" s="307" t="n"/>
      <c r="G6" s="307" t="n"/>
      <c r="H6" s="306">
        <f>IF(D6="","",COUNTIF('دانش‌آموزان'!$I$5:$I$104,D6))</f>
        <v/>
      </c>
      <c r="I6" s="306">
        <f>IF(D6="","",IF(COUNTIF($D$5:$D$34,D6)&gt;1,"کد تکراری",IF(H6&gt;G6,"بیش از ظرفیت","معتبر")))</f>
        <v/>
      </c>
    </row>
    <row r="7">
      <c r="A7" s="306" t="n">
        <v>3</v>
      </c>
      <c r="B7" s="307" t="n"/>
      <c r="C7" s="307" t="n"/>
      <c r="D7" s="307" t="n"/>
      <c r="E7" s="307" t="n"/>
      <c r="F7" s="307" t="n"/>
      <c r="G7" s="307" t="n"/>
      <c r="H7" s="306">
        <f>IF(D7="","",COUNTIF('دانش‌آموزان'!$I$5:$I$104,D7))</f>
        <v/>
      </c>
      <c r="I7" s="306">
        <f>IF(D7="","",IF(COUNTIF($D$5:$D$34,D7)&gt;1,"کد تکراری",IF(H7&gt;G7,"بیش از ظرفیت","معتبر")))</f>
        <v/>
      </c>
    </row>
    <row r="8">
      <c r="A8" s="306" t="n">
        <v>4</v>
      </c>
      <c r="B8" s="307" t="n"/>
      <c r="C8" s="307" t="n"/>
      <c r="D8" s="307" t="n"/>
      <c r="E8" s="307" t="n"/>
      <c r="F8" s="307" t="n"/>
      <c r="G8" s="307" t="n"/>
      <c r="H8" s="306">
        <f>IF(D8="","",COUNTIF('دانش‌آموزان'!$I$5:$I$104,D8))</f>
        <v/>
      </c>
      <c r="I8" s="306">
        <f>IF(D8="","",IF(COUNTIF($D$5:$D$34,D8)&gt;1,"کد تکراری",IF(H8&gt;G8,"بیش از ظرفیت","معتبر")))</f>
        <v/>
      </c>
    </row>
    <row r="9">
      <c r="A9" s="306" t="n">
        <v>5</v>
      </c>
      <c r="B9" s="307" t="n"/>
      <c r="C9" s="307" t="n"/>
      <c r="D9" s="307" t="n"/>
      <c r="E9" s="307" t="n"/>
      <c r="F9" s="307" t="n"/>
      <c r="G9" s="307" t="n"/>
      <c r="H9" s="306">
        <f>IF(D9="","",COUNTIF('دانش‌آموزان'!$I$5:$I$104,D9))</f>
        <v/>
      </c>
      <c r="I9" s="306">
        <f>IF(D9="","",IF(COUNTIF($D$5:$D$34,D9)&gt;1,"کد تکراری",IF(H9&gt;G9,"بیش از ظرفیت","معتبر")))</f>
        <v/>
      </c>
    </row>
    <row r="10">
      <c r="A10" s="306" t="n">
        <v>6</v>
      </c>
      <c r="B10" s="307" t="n"/>
      <c r="C10" s="307" t="n"/>
      <c r="D10" s="307" t="n"/>
      <c r="E10" s="307" t="n"/>
      <c r="F10" s="307" t="n"/>
      <c r="G10" s="307" t="n"/>
      <c r="H10" s="306">
        <f>IF(D10="","",COUNTIF('دانش‌آموزان'!$I$5:$I$104,D10))</f>
        <v/>
      </c>
      <c r="I10" s="306">
        <f>IF(D10="","",IF(COUNTIF($D$5:$D$34,D10)&gt;1,"کد تکراری",IF(H10&gt;G10,"بیش از ظرفیت","معتبر")))</f>
        <v/>
      </c>
    </row>
    <row r="11">
      <c r="A11" s="306" t="n">
        <v>7</v>
      </c>
      <c r="B11" s="307" t="n"/>
      <c r="C11" s="307" t="n"/>
      <c r="D11" s="307" t="n"/>
      <c r="E11" s="307" t="n"/>
      <c r="F11" s="307" t="n"/>
      <c r="G11" s="307" t="n"/>
      <c r="H11" s="306">
        <f>IF(D11="","",COUNTIF('دانش‌آموزان'!$I$5:$I$104,D11))</f>
        <v/>
      </c>
      <c r="I11" s="306">
        <f>IF(D11="","",IF(COUNTIF($D$5:$D$34,D11)&gt;1,"کد تکراری",IF(H11&gt;G11,"بیش از ظرفیت","معتبر")))</f>
        <v/>
      </c>
    </row>
    <row r="12">
      <c r="A12" s="306" t="n">
        <v>8</v>
      </c>
      <c r="B12" s="307" t="n"/>
      <c r="C12" s="307" t="n"/>
      <c r="D12" s="307" t="n"/>
      <c r="E12" s="307" t="n"/>
      <c r="F12" s="307" t="n"/>
      <c r="G12" s="307" t="n"/>
      <c r="H12" s="306">
        <f>IF(D12="","",COUNTIF('دانش‌آموزان'!$I$5:$I$104,D12))</f>
        <v/>
      </c>
      <c r="I12" s="306">
        <f>IF(D12="","",IF(COUNTIF($D$5:$D$34,D12)&gt;1,"کد تکراری",IF(H12&gt;G12,"بیش از ظرفیت","معتبر")))</f>
        <v/>
      </c>
    </row>
    <row r="13">
      <c r="A13" s="306" t="n">
        <v>9</v>
      </c>
      <c r="B13" s="307" t="n"/>
      <c r="C13" s="307" t="n"/>
      <c r="D13" s="307" t="n"/>
      <c r="E13" s="307" t="n"/>
      <c r="F13" s="307" t="n"/>
      <c r="G13" s="307" t="n"/>
      <c r="H13" s="306">
        <f>IF(D13="","",COUNTIF('دانش‌آموزان'!$I$5:$I$104,D13))</f>
        <v/>
      </c>
      <c r="I13" s="306">
        <f>IF(D13="","",IF(COUNTIF($D$5:$D$34,D13)&gt;1,"کد تکراری",IF(H13&gt;G13,"بیش از ظرفیت","معتبر")))</f>
        <v/>
      </c>
    </row>
    <row r="14">
      <c r="A14" s="306" t="n">
        <v>10</v>
      </c>
      <c r="B14" s="307" t="n"/>
      <c r="C14" s="307" t="n"/>
      <c r="D14" s="307" t="n"/>
      <c r="E14" s="307" t="n"/>
      <c r="F14" s="307" t="n"/>
      <c r="G14" s="307" t="n"/>
      <c r="H14" s="306">
        <f>IF(D14="","",COUNTIF('دانش‌آموزان'!$I$5:$I$104,D14))</f>
        <v/>
      </c>
      <c r="I14" s="306">
        <f>IF(D14="","",IF(COUNTIF($D$5:$D$34,D14)&gt;1,"کد تکراری",IF(H14&gt;G14,"بیش از ظرفیت","معتبر")))</f>
        <v/>
      </c>
    </row>
    <row r="15">
      <c r="A15" s="306" t="n">
        <v>11</v>
      </c>
      <c r="B15" s="307" t="n"/>
      <c r="C15" s="307" t="n"/>
      <c r="D15" s="307" t="n"/>
      <c r="E15" s="307" t="n"/>
      <c r="F15" s="307" t="n"/>
      <c r="G15" s="307" t="n"/>
      <c r="H15" s="306">
        <f>IF(D15="","",COUNTIF('دانش‌آموزان'!$I$5:$I$104,D15))</f>
        <v/>
      </c>
      <c r="I15" s="306">
        <f>IF(D15="","",IF(COUNTIF($D$5:$D$34,D15)&gt;1,"کد تکراری",IF(H15&gt;G15,"بیش از ظرفیت","معتبر")))</f>
        <v/>
      </c>
    </row>
    <row r="16">
      <c r="A16" s="306" t="n">
        <v>12</v>
      </c>
      <c r="B16" s="307" t="n"/>
      <c r="C16" s="307" t="n"/>
      <c r="D16" s="307" t="n"/>
      <c r="E16" s="307" t="n"/>
      <c r="F16" s="307" t="n"/>
      <c r="G16" s="307" t="n"/>
      <c r="H16" s="306">
        <f>IF(D16="","",COUNTIF('دانش‌آموزان'!$I$5:$I$104,D16))</f>
        <v/>
      </c>
      <c r="I16" s="306">
        <f>IF(D16="","",IF(COUNTIF($D$5:$D$34,D16)&gt;1,"کد تکراری",IF(H16&gt;G16,"بیش از ظرفیت","معتبر")))</f>
        <v/>
      </c>
    </row>
    <row r="17">
      <c r="A17" s="306" t="n">
        <v>13</v>
      </c>
      <c r="B17" s="307" t="n"/>
      <c r="C17" s="307" t="n"/>
      <c r="D17" s="307" t="n"/>
      <c r="E17" s="307" t="n"/>
      <c r="F17" s="307" t="n"/>
      <c r="G17" s="307" t="n"/>
      <c r="H17" s="306">
        <f>IF(D17="","",COUNTIF('دانش‌آموزان'!$I$5:$I$104,D17))</f>
        <v/>
      </c>
      <c r="I17" s="306">
        <f>IF(D17="","",IF(COUNTIF($D$5:$D$34,D17)&gt;1,"کد تکراری",IF(H17&gt;G17,"بیش از ظرفیت","معتبر")))</f>
        <v/>
      </c>
    </row>
    <row r="18">
      <c r="A18" s="306" t="n">
        <v>14</v>
      </c>
      <c r="B18" s="307" t="n"/>
      <c r="C18" s="307" t="n"/>
      <c r="D18" s="307" t="n"/>
      <c r="E18" s="307" t="n"/>
      <c r="F18" s="307" t="n"/>
      <c r="G18" s="307" t="n"/>
      <c r="H18" s="306">
        <f>IF(D18="","",COUNTIF('دانش‌آموزان'!$I$5:$I$104,D18))</f>
        <v/>
      </c>
      <c r="I18" s="306">
        <f>IF(D18="","",IF(COUNTIF($D$5:$D$34,D18)&gt;1,"کد تکراری",IF(H18&gt;G18,"بیش از ظرفیت","معتبر")))</f>
        <v/>
      </c>
    </row>
    <row r="19">
      <c r="A19" s="306" t="n">
        <v>15</v>
      </c>
      <c r="B19" s="307" t="n"/>
      <c r="C19" s="307" t="n"/>
      <c r="D19" s="307" t="n"/>
      <c r="E19" s="307" t="n"/>
      <c r="F19" s="307" t="n"/>
      <c r="G19" s="307" t="n"/>
      <c r="H19" s="306">
        <f>IF(D19="","",COUNTIF('دانش‌آموزان'!$I$5:$I$104,D19))</f>
        <v/>
      </c>
      <c r="I19" s="306">
        <f>IF(D19="","",IF(COUNTIF($D$5:$D$34,D19)&gt;1,"کد تکراری",IF(H19&gt;G19,"بیش از ظرفیت","معتبر")))</f>
        <v/>
      </c>
    </row>
    <row r="20">
      <c r="A20" s="306" t="n">
        <v>16</v>
      </c>
      <c r="B20" s="307" t="n"/>
      <c r="C20" s="307" t="n"/>
      <c r="D20" s="307" t="n"/>
      <c r="E20" s="307" t="n"/>
      <c r="F20" s="307" t="n"/>
      <c r="G20" s="307" t="n"/>
      <c r="H20" s="306">
        <f>IF(D20="","",COUNTIF('دانش‌آموزان'!$I$5:$I$104,D20))</f>
        <v/>
      </c>
      <c r="I20" s="306">
        <f>IF(D20="","",IF(COUNTIF($D$5:$D$34,D20)&gt;1,"کد تکراری",IF(H20&gt;G20,"بیش از ظرفیت","معتبر")))</f>
        <v/>
      </c>
    </row>
    <row r="21">
      <c r="A21" s="306" t="n">
        <v>17</v>
      </c>
      <c r="B21" s="307" t="n"/>
      <c r="C21" s="307" t="n"/>
      <c r="D21" s="307" t="n"/>
      <c r="E21" s="307" t="n"/>
      <c r="F21" s="307" t="n"/>
      <c r="G21" s="307" t="n"/>
      <c r="H21" s="306">
        <f>IF(D21="","",COUNTIF('دانش‌آموزان'!$I$5:$I$104,D21))</f>
        <v/>
      </c>
      <c r="I21" s="306">
        <f>IF(D21="","",IF(COUNTIF($D$5:$D$34,D21)&gt;1,"کد تکراری",IF(H21&gt;G21,"بیش از ظرفیت","معتبر")))</f>
        <v/>
      </c>
    </row>
    <row r="22">
      <c r="A22" s="306" t="n">
        <v>18</v>
      </c>
      <c r="B22" s="307" t="n"/>
      <c r="C22" s="307" t="n"/>
      <c r="D22" s="307" t="n"/>
      <c r="E22" s="307" t="n"/>
      <c r="F22" s="307" t="n"/>
      <c r="G22" s="307" t="n"/>
      <c r="H22" s="306">
        <f>IF(D22="","",COUNTIF('دانش‌آموزان'!$I$5:$I$104,D22))</f>
        <v/>
      </c>
      <c r="I22" s="306">
        <f>IF(D22="","",IF(COUNTIF($D$5:$D$34,D22)&gt;1,"کد تکراری",IF(H22&gt;G22,"بیش از ظرفیت","معتبر")))</f>
        <v/>
      </c>
    </row>
    <row r="23">
      <c r="A23" s="306" t="n">
        <v>19</v>
      </c>
      <c r="B23" s="307" t="n"/>
      <c r="C23" s="307" t="n"/>
      <c r="D23" s="307" t="n"/>
      <c r="E23" s="307" t="n"/>
      <c r="F23" s="307" t="n"/>
      <c r="G23" s="307" t="n"/>
      <c r="H23" s="306">
        <f>IF(D23="","",COUNTIF('دانش‌آموزان'!$I$5:$I$104,D23))</f>
        <v/>
      </c>
      <c r="I23" s="306">
        <f>IF(D23="","",IF(COUNTIF($D$5:$D$34,D23)&gt;1,"کد تکراری",IF(H23&gt;G23,"بیش از ظرفیت","معتبر")))</f>
        <v/>
      </c>
    </row>
    <row r="24">
      <c r="A24" s="306" t="n">
        <v>20</v>
      </c>
      <c r="B24" s="307" t="n"/>
      <c r="C24" s="307" t="n"/>
      <c r="D24" s="307" t="n"/>
      <c r="E24" s="307" t="n"/>
      <c r="F24" s="307" t="n"/>
      <c r="G24" s="307" t="n"/>
      <c r="H24" s="306">
        <f>IF(D24="","",COUNTIF('دانش‌آموزان'!$I$5:$I$104,D24))</f>
        <v/>
      </c>
      <c r="I24" s="306">
        <f>IF(D24="","",IF(COUNTIF($D$5:$D$34,D24)&gt;1,"کد تکراری",IF(H24&gt;G24,"بیش از ظرفیت","معتبر")))</f>
        <v/>
      </c>
    </row>
    <row r="25">
      <c r="A25" s="306" t="n">
        <v>21</v>
      </c>
      <c r="B25" s="307" t="n"/>
      <c r="C25" s="307" t="n"/>
      <c r="D25" s="307" t="n"/>
      <c r="E25" s="307" t="n"/>
      <c r="F25" s="307" t="n"/>
      <c r="G25" s="307" t="n"/>
      <c r="H25" s="306">
        <f>IF(D25="","",COUNTIF('دانش‌آموزان'!$I$5:$I$104,D25))</f>
        <v/>
      </c>
      <c r="I25" s="306">
        <f>IF(D25="","",IF(COUNTIF($D$5:$D$34,D25)&gt;1,"کد تکراری",IF(H25&gt;G25,"بیش از ظرفیت","معتبر")))</f>
        <v/>
      </c>
    </row>
    <row r="26">
      <c r="A26" s="306" t="n">
        <v>22</v>
      </c>
      <c r="B26" s="307" t="n"/>
      <c r="C26" s="307" t="n"/>
      <c r="D26" s="307" t="n"/>
      <c r="E26" s="307" t="n"/>
      <c r="F26" s="307" t="n"/>
      <c r="G26" s="307" t="n"/>
      <c r="H26" s="306">
        <f>IF(D26="","",COUNTIF('دانش‌آموزان'!$I$5:$I$104,D26))</f>
        <v/>
      </c>
      <c r="I26" s="306">
        <f>IF(D26="","",IF(COUNTIF($D$5:$D$34,D26)&gt;1,"کد تکراری",IF(H26&gt;G26,"بیش از ظرفیت","معتبر")))</f>
        <v/>
      </c>
    </row>
    <row r="27">
      <c r="A27" s="306" t="n">
        <v>23</v>
      </c>
      <c r="B27" s="307" t="n"/>
      <c r="C27" s="307" t="n"/>
      <c r="D27" s="307" t="n"/>
      <c r="E27" s="307" t="n"/>
      <c r="F27" s="307" t="n"/>
      <c r="G27" s="307" t="n"/>
      <c r="H27" s="306">
        <f>IF(D27="","",COUNTIF('دانش‌آموزان'!$I$5:$I$104,D27))</f>
        <v/>
      </c>
      <c r="I27" s="306">
        <f>IF(D27="","",IF(COUNTIF($D$5:$D$34,D27)&gt;1,"کد تکراری",IF(H27&gt;G27,"بیش از ظرفیت","معتبر")))</f>
        <v/>
      </c>
    </row>
    <row r="28">
      <c r="A28" s="306" t="n">
        <v>24</v>
      </c>
      <c r="B28" s="307" t="n"/>
      <c r="C28" s="307" t="n"/>
      <c r="D28" s="307" t="n"/>
      <c r="E28" s="307" t="n"/>
      <c r="F28" s="307" t="n"/>
      <c r="G28" s="307" t="n"/>
      <c r="H28" s="306">
        <f>IF(D28="","",COUNTIF('دانش‌آموزان'!$I$5:$I$104,D28))</f>
        <v/>
      </c>
      <c r="I28" s="306">
        <f>IF(D28="","",IF(COUNTIF($D$5:$D$34,D28)&gt;1,"کد تکراری",IF(H28&gt;G28,"بیش از ظرفیت","معتبر")))</f>
        <v/>
      </c>
    </row>
    <row r="29">
      <c r="A29" s="306" t="n">
        <v>25</v>
      </c>
      <c r="B29" s="307" t="n"/>
      <c r="C29" s="307" t="n"/>
      <c r="D29" s="307" t="n"/>
      <c r="E29" s="307" t="n"/>
      <c r="F29" s="307" t="n"/>
      <c r="G29" s="307" t="n"/>
      <c r="H29" s="306">
        <f>IF(D29="","",COUNTIF('دانش‌آموزان'!$I$5:$I$104,D29))</f>
        <v/>
      </c>
      <c r="I29" s="306">
        <f>IF(D29="","",IF(COUNTIF($D$5:$D$34,D29)&gt;1,"کد تکراری",IF(H29&gt;G29,"بیش از ظرفیت","معتبر")))</f>
        <v/>
      </c>
    </row>
    <row r="30">
      <c r="A30" s="306" t="n">
        <v>26</v>
      </c>
      <c r="B30" s="307" t="n"/>
      <c r="C30" s="307" t="n"/>
      <c r="D30" s="307" t="n"/>
      <c r="E30" s="307" t="n"/>
      <c r="F30" s="307" t="n"/>
      <c r="G30" s="307" t="n"/>
      <c r="H30" s="306">
        <f>IF(D30="","",COUNTIF('دانش‌آموزان'!$I$5:$I$104,D30))</f>
        <v/>
      </c>
      <c r="I30" s="306">
        <f>IF(D30="","",IF(COUNTIF($D$5:$D$34,D30)&gt;1,"کد تکراری",IF(H30&gt;G30,"بیش از ظرفیت","معتبر")))</f>
        <v/>
      </c>
    </row>
    <row r="31">
      <c r="A31" s="306" t="n">
        <v>27</v>
      </c>
      <c r="B31" s="307" t="n"/>
      <c r="C31" s="307" t="n"/>
      <c r="D31" s="307" t="n"/>
      <c r="E31" s="307" t="n"/>
      <c r="F31" s="307" t="n"/>
      <c r="G31" s="307" t="n"/>
      <c r="H31" s="306">
        <f>IF(D31="","",COUNTIF('دانش‌آموزان'!$I$5:$I$104,D31))</f>
        <v/>
      </c>
      <c r="I31" s="306">
        <f>IF(D31="","",IF(COUNTIF($D$5:$D$34,D31)&gt;1,"کد تکراری",IF(H31&gt;G31,"بیش از ظرفیت","معتبر")))</f>
        <v/>
      </c>
    </row>
    <row r="32">
      <c r="A32" s="306" t="n">
        <v>28</v>
      </c>
      <c r="B32" s="307" t="n"/>
      <c r="C32" s="307" t="n"/>
      <c r="D32" s="307" t="n"/>
      <c r="E32" s="307" t="n"/>
      <c r="F32" s="307" t="n"/>
      <c r="G32" s="307" t="n"/>
      <c r="H32" s="306">
        <f>IF(D32="","",COUNTIF('دانش‌آموزان'!$I$5:$I$104,D32))</f>
        <v/>
      </c>
      <c r="I32" s="306">
        <f>IF(D32="","",IF(COUNTIF($D$5:$D$34,D32)&gt;1,"کد تکراری",IF(H32&gt;G32,"بیش از ظرفیت","معتبر")))</f>
        <v/>
      </c>
    </row>
    <row r="33">
      <c r="A33" s="306" t="n">
        <v>29</v>
      </c>
      <c r="B33" s="307" t="n"/>
      <c r="C33" s="307" t="n"/>
      <c r="D33" s="307" t="n"/>
      <c r="E33" s="307" t="n"/>
      <c r="F33" s="307" t="n"/>
      <c r="G33" s="307" t="n"/>
      <c r="H33" s="306">
        <f>IF(D33="","",COUNTIF('دانش‌آموزان'!$I$5:$I$104,D33))</f>
        <v/>
      </c>
      <c r="I33" s="306">
        <f>IF(D33="","",IF(COUNTIF($D$5:$D$34,D33)&gt;1,"کد تکراری",IF(H33&gt;G33,"بیش از ظرفیت","معتبر")))</f>
        <v/>
      </c>
    </row>
    <row r="34">
      <c r="A34" s="306" t="n">
        <v>30</v>
      </c>
      <c r="B34" s="307" t="n"/>
      <c r="C34" s="307" t="n"/>
      <c r="D34" s="307" t="n"/>
      <c r="E34" s="307" t="n"/>
      <c r="F34" s="307" t="n"/>
      <c r="G34" s="307" t="n"/>
      <c r="H34" s="306">
        <f>IF(D34="","",COUNTIF('دانش‌آموزان'!$I$5:$I$104,D34))</f>
        <v/>
      </c>
      <c r="I34" s="306">
        <f>IF(D34="","",IF(COUNTIF($D$5:$D$34,D34)&gt;1,"کد تکراری",IF(H34&gt;G34,"بیش از ظرفیت","معتبر")))</f>
        <v/>
      </c>
    </row>
  </sheetData>
  <autoFilter ref="A4:I34"/>
  <mergeCells count="2">
    <mergeCell ref="A1:I1"/>
    <mergeCell ref="A2:I2"/>
  </mergeCells>
  <conditionalFormatting sqref="I5:I34">
    <cfRule type="cellIs" priority="1" dxfId="0">
      <formula>"معتبر"</formula>
    </cfRule>
    <cfRule type="cellIs" priority="2" dxfId="1">
      <formula>"معتبر"</formula>
    </cfRule>
  </conditionalFormatting>
  <dataValidations count="1">
    <dataValidation sqref="G5:G34" showDropDown="0" showInputMessage="0" showErrorMessage="0" allowBlank="0" type="whole" operator="between">
      <formula1>1</formula1>
      <formula2>100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4"/>
  <sheetViews>
    <sheetView showGridLines="0" rightToLeft="1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8" customWidth="1" min="3" max="3"/>
    <col width="18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8" customWidth="1" min="10" max="10"/>
    <col width="18" customWidth="1" min="11" max="11"/>
    <col width="18" customWidth="1" min="12" max="12"/>
  </cols>
  <sheetData>
    <row r="1" ht="32" customHeight="1">
      <c r="A1" s="4" t="inlineStr">
        <is>
          <t>فهرست دانش‌آموزان</t>
        </is>
      </c>
    </row>
    <row r="2" ht="32" customHeight="1">
      <c r="A2" s="9" t="inlineStr">
        <is>
          <t>برای هر دانش‌آموز یک ردیف تکمیل کنید. کد محلی ۱ تا ۱۰۰ از قبل ساخته شده و مبنای گزارش‌های همین فایل است.</t>
        </is>
      </c>
    </row>
    <row r="3">
      <c r="A3" s="297" t="n"/>
      <c r="B3" s="297" t="n"/>
      <c r="C3" s="297" t="n"/>
      <c r="D3" s="297" t="n"/>
      <c r="E3" s="297" t="n"/>
      <c r="F3" s="297" t="n"/>
      <c r="G3" s="297" t="n"/>
      <c r="H3" s="297" t="n"/>
      <c r="I3" s="297" t="n"/>
      <c r="J3" s="297" t="n"/>
      <c r="K3" s="297" t="n"/>
      <c r="L3" s="297" t="n"/>
    </row>
    <row r="4" ht="42" customHeight="1">
      <c r="A4" s="20" t="inlineStr">
        <is>
          <t>ردیف</t>
        </is>
      </c>
      <c r="B4" s="21" t="inlineStr">
        <is>
          <t>کد محلی</t>
        </is>
      </c>
      <c r="C4" s="21" t="inlineStr">
        <is>
          <t>کد ملی</t>
        </is>
      </c>
      <c r="D4" s="21" t="inlineStr">
        <is>
          <t>شماره دانش‌آموزی</t>
        </is>
      </c>
      <c r="E4" s="21" t="inlineStr">
        <is>
          <t>نام</t>
        </is>
      </c>
      <c r="F4" s="21" t="inlineStr">
        <is>
          <t>نام خانوادگی</t>
        </is>
      </c>
      <c r="G4" s="21" t="inlineStr">
        <is>
          <t>جنسیت</t>
        </is>
      </c>
      <c r="H4" s="21" t="inlineStr">
        <is>
          <t>تاریخ تولد</t>
        </is>
      </c>
      <c r="I4" s="21" t="inlineStr">
        <is>
          <t>کد کلاس</t>
        </is>
      </c>
      <c r="J4" s="21" t="inlineStr">
        <is>
          <t>نام کلاس</t>
        </is>
      </c>
      <c r="K4" s="21" t="inlineStr">
        <is>
          <t>پایه</t>
        </is>
      </c>
      <c r="L4" s="22" t="inlineStr">
        <is>
          <t>وضعیت اطلاعات</t>
        </is>
      </c>
    </row>
    <row r="5">
      <c r="A5" s="306" t="n">
        <v>1</v>
      </c>
      <c r="B5" s="307" t="n">
        <v>1</v>
      </c>
      <c r="C5" s="307" t="n"/>
      <c r="D5" s="307" t="n"/>
      <c r="E5" s="307" t="n"/>
      <c r="F5" s="307" t="n"/>
      <c r="G5" s="307" t="n"/>
      <c r="H5" s="307" t="n"/>
      <c r="I5" s="307" t="n"/>
      <c r="J5" s="306">
        <f>IF(I5="","",IFERROR(INDEX('کلاس‌بندی'!$E$5:$E$34,MATCH(I5,'کلاس‌بندی'!$D$5:$D$34,0)),"کد کلاس نامعتبر"))</f>
        <v/>
      </c>
      <c r="K5" s="306">
        <f>IF(I5="","",IFERROR(INDEX('کلاس‌بندی'!$F$5:$F$34,MATCH(I5,'کلاس‌بندی'!$D$5:$D$34,0)),""))</f>
        <v/>
      </c>
      <c r="L5" s="306">
        <f>IF(COUNTA(C5:I5)=0,"",IF(AND(LEN(C5)=10,D5&lt;&gt;"",E5&lt;&gt;"",F5&lt;&gt;"",G5&lt;&gt;"",H5&lt;&gt;"",I5&lt;&gt;""),"کامل","ناقص"))</f>
        <v/>
      </c>
    </row>
    <row r="6">
      <c r="A6" s="306" t="n">
        <v>2</v>
      </c>
      <c r="B6" s="307" t="n">
        <v>2</v>
      </c>
      <c r="C6" s="307" t="n"/>
      <c r="D6" s="307" t="n"/>
      <c r="E6" s="307" t="n"/>
      <c r="F6" s="307" t="n"/>
      <c r="G6" s="307" t="n"/>
      <c r="H6" s="307" t="n"/>
      <c r="I6" s="307" t="n"/>
      <c r="J6" s="306">
        <f>IF(I6="","",IFERROR(INDEX('کلاس‌بندی'!$E$5:$E$34,MATCH(I6,'کلاس‌بندی'!$D$5:$D$34,0)),"کد کلاس نامعتبر"))</f>
        <v/>
      </c>
      <c r="K6" s="306">
        <f>IF(I6="","",IFERROR(INDEX('کلاس‌بندی'!$F$5:$F$34,MATCH(I6,'کلاس‌بندی'!$D$5:$D$34,0)),""))</f>
        <v/>
      </c>
      <c r="L6" s="306">
        <f>IF(COUNTA(C6:I6)=0,"",IF(AND(LEN(C6)=10,D6&lt;&gt;"",E6&lt;&gt;"",F6&lt;&gt;"",G6&lt;&gt;"",H6&lt;&gt;"",I6&lt;&gt;""),"کامل","ناقص"))</f>
        <v/>
      </c>
    </row>
    <row r="7">
      <c r="A7" s="306" t="n">
        <v>3</v>
      </c>
      <c r="B7" s="307" t="n">
        <v>3</v>
      </c>
      <c r="C7" s="307" t="n"/>
      <c r="D7" s="307" t="n"/>
      <c r="E7" s="307" t="n"/>
      <c r="F7" s="307" t="n"/>
      <c r="G7" s="307" t="n"/>
      <c r="H7" s="307" t="n"/>
      <c r="I7" s="307" t="n"/>
      <c r="J7" s="306">
        <f>IF(I7="","",IFERROR(INDEX('کلاس‌بندی'!$E$5:$E$34,MATCH(I7,'کلاس‌بندی'!$D$5:$D$34,0)),"کد کلاس نامعتبر"))</f>
        <v/>
      </c>
      <c r="K7" s="306">
        <f>IF(I7="","",IFERROR(INDEX('کلاس‌بندی'!$F$5:$F$34,MATCH(I7,'کلاس‌بندی'!$D$5:$D$34,0)),""))</f>
        <v/>
      </c>
      <c r="L7" s="306">
        <f>IF(COUNTA(C7:I7)=0,"",IF(AND(LEN(C7)=10,D7&lt;&gt;"",E7&lt;&gt;"",F7&lt;&gt;"",G7&lt;&gt;"",H7&lt;&gt;"",I7&lt;&gt;""),"کامل","ناقص"))</f>
        <v/>
      </c>
    </row>
    <row r="8">
      <c r="A8" s="306" t="n">
        <v>4</v>
      </c>
      <c r="B8" s="307" t="n">
        <v>4</v>
      </c>
      <c r="C8" s="307" t="n"/>
      <c r="D8" s="307" t="n"/>
      <c r="E8" s="307" t="n"/>
      <c r="F8" s="307" t="n"/>
      <c r="G8" s="307" t="n"/>
      <c r="H8" s="307" t="n"/>
      <c r="I8" s="307" t="n"/>
      <c r="J8" s="306">
        <f>IF(I8="","",IFERROR(INDEX('کلاس‌بندی'!$E$5:$E$34,MATCH(I8,'کلاس‌بندی'!$D$5:$D$34,0)),"کد کلاس نامعتبر"))</f>
        <v/>
      </c>
      <c r="K8" s="306">
        <f>IF(I8="","",IFERROR(INDEX('کلاس‌بندی'!$F$5:$F$34,MATCH(I8,'کلاس‌بندی'!$D$5:$D$34,0)),""))</f>
        <v/>
      </c>
      <c r="L8" s="306">
        <f>IF(COUNTA(C8:I8)=0,"",IF(AND(LEN(C8)=10,D8&lt;&gt;"",E8&lt;&gt;"",F8&lt;&gt;"",G8&lt;&gt;"",H8&lt;&gt;"",I8&lt;&gt;""),"کامل","ناقص"))</f>
        <v/>
      </c>
    </row>
    <row r="9">
      <c r="A9" s="306" t="n">
        <v>5</v>
      </c>
      <c r="B9" s="307" t="n">
        <v>5</v>
      </c>
      <c r="C9" s="307" t="n"/>
      <c r="D9" s="307" t="n"/>
      <c r="E9" s="307" t="n"/>
      <c r="F9" s="307" t="n"/>
      <c r="G9" s="307" t="n"/>
      <c r="H9" s="307" t="n"/>
      <c r="I9" s="307" t="n"/>
      <c r="J9" s="306">
        <f>IF(I9="","",IFERROR(INDEX('کلاس‌بندی'!$E$5:$E$34,MATCH(I9,'کلاس‌بندی'!$D$5:$D$34,0)),"کد کلاس نامعتبر"))</f>
        <v/>
      </c>
      <c r="K9" s="306">
        <f>IF(I9="","",IFERROR(INDEX('کلاس‌بندی'!$F$5:$F$34,MATCH(I9,'کلاس‌بندی'!$D$5:$D$34,0)),""))</f>
        <v/>
      </c>
      <c r="L9" s="306">
        <f>IF(COUNTA(C9:I9)=0,"",IF(AND(LEN(C9)=10,D9&lt;&gt;"",E9&lt;&gt;"",F9&lt;&gt;"",G9&lt;&gt;"",H9&lt;&gt;"",I9&lt;&gt;""),"کامل","ناقص"))</f>
        <v/>
      </c>
    </row>
    <row r="10">
      <c r="A10" s="306" t="n">
        <v>6</v>
      </c>
      <c r="B10" s="307" t="n">
        <v>6</v>
      </c>
      <c r="C10" s="307" t="n"/>
      <c r="D10" s="307" t="n"/>
      <c r="E10" s="307" t="n"/>
      <c r="F10" s="307" t="n"/>
      <c r="G10" s="307" t="n"/>
      <c r="H10" s="307" t="n"/>
      <c r="I10" s="307" t="n"/>
      <c r="J10" s="306">
        <f>IF(I10="","",IFERROR(INDEX('کلاس‌بندی'!$E$5:$E$34,MATCH(I10,'کلاس‌بندی'!$D$5:$D$34,0)),"کد کلاس نامعتبر"))</f>
        <v/>
      </c>
      <c r="K10" s="306">
        <f>IF(I10="","",IFERROR(INDEX('کلاس‌بندی'!$F$5:$F$34,MATCH(I10,'کلاس‌بندی'!$D$5:$D$34,0)),""))</f>
        <v/>
      </c>
      <c r="L10" s="306">
        <f>IF(COUNTA(C10:I10)=0,"",IF(AND(LEN(C10)=10,D10&lt;&gt;"",E10&lt;&gt;"",F10&lt;&gt;"",G10&lt;&gt;"",H10&lt;&gt;"",I10&lt;&gt;""),"کامل","ناقص"))</f>
        <v/>
      </c>
    </row>
    <row r="11">
      <c r="A11" s="306" t="n">
        <v>7</v>
      </c>
      <c r="B11" s="307" t="n">
        <v>7</v>
      </c>
      <c r="C11" s="307" t="n"/>
      <c r="D11" s="307" t="n"/>
      <c r="E11" s="307" t="n"/>
      <c r="F11" s="307" t="n"/>
      <c r="G11" s="307" t="n"/>
      <c r="H11" s="307" t="n"/>
      <c r="I11" s="307" t="n"/>
      <c r="J11" s="306">
        <f>IF(I11="","",IFERROR(INDEX('کلاس‌بندی'!$E$5:$E$34,MATCH(I11,'کلاس‌بندی'!$D$5:$D$34,0)),"کد کلاس نامعتبر"))</f>
        <v/>
      </c>
      <c r="K11" s="306">
        <f>IF(I11="","",IFERROR(INDEX('کلاس‌بندی'!$F$5:$F$34,MATCH(I11,'کلاس‌بندی'!$D$5:$D$34,0)),""))</f>
        <v/>
      </c>
      <c r="L11" s="306">
        <f>IF(COUNTA(C11:I11)=0,"",IF(AND(LEN(C11)=10,D11&lt;&gt;"",E11&lt;&gt;"",F11&lt;&gt;"",G11&lt;&gt;"",H11&lt;&gt;"",I11&lt;&gt;""),"کامل","ناقص"))</f>
        <v/>
      </c>
    </row>
    <row r="12">
      <c r="A12" s="306" t="n">
        <v>8</v>
      </c>
      <c r="B12" s="307" t="n">
        <v>8</v>
      </c>
      <c r="C12" s="307" t="n"/>
      <c r="D12" s="307" t="n"/>
      <c r="E12" s="307" t="n"/>
      <c r="F12" s="307" t="n"/>
      <c r="G12" s="307" t="n"/>
      <c r="H12" s="307" t="n"/>
      <c r="I12" s="307" t="n"/>
      <c r="J12" s="306">
        <f>IF(I12="","",IFERROR(INDEX('کلاس‌بندی'!$E$5:$E$34,MATCH(I12,'کلاس‌بندی'!$D$5:$D$34,0)),"کد کلاس نامعتبر"))</f>
        <v/>
      </c>
      <c r="K12" s="306">
        <f>IF(I12="","",IFERROR(INDEX('کلاس‌بندی'!$F$5:$F$34,MATCH(I12,'کلاس‌بندی'!$D$5:$D$34,0)),""))</f>
        <v/>
      </c>
      <c r="L12" s="306">
        <f>IF(COUNTA(C12:I12)=0,"",IF(AND(LEN(C12)=10,D12&lt;&gt;"",E12&lt;&gt;"",F12&lt;&gt;"",G12&lt;&gt;"",H12&lt;&gt;"",I12&lt;&gt;""),"کامل","ناقص"))</f>
        <v/>
      </c>
    </row>
    <row r="13">
      <c r="A13" s="306" t="n">
        <v>9</v>
      </c>
      <c r="B13" s="307" t="n">
        <v>9</v>
      </c>
      <c r="C13" s="307" t="n"/>
      <c r="D13" s="307" t="n"/>
      <c r="E13" s="307" t="n"/>
      <c r="F13" s="307" t="n"/>
      <c r="G13" s="307" t="n"/>
      <c r="H13" s="307" t="n"/>
      <c r="I13" s="307" t="n"/>
      <c r="J13" s="306">
        <f>IF(I13="","",IFERROR(INDEX('کلاس‌بندی'!$E$5:$E$34,MATCH(I13,'کلاس‌بندی'!$D$5:$D$34,0)),"کد کلاس نامعتبر"))</f>
        <v/>
      </c>
      <c r="K13" s="306">
        <f>IF(I13="","",IFERROR(INDEX('کلاس‌بندی'!$F$5:$F$34,MATCH(I13,'کلاس‌بندی'!$D$5:$D$34,0)),""))</f>
        <v/>
      </c>
      <c r="L13" s="306">
        <f>IF(COUNTA(C13:I13)=0,"",IF(AND(LEN(C13)=10,D13&lt;&gt;"",E13&lt;&gt;"",F13&lt;&gt;"",G13&lt;&gt;"",H13&lt;&gt;"",I13&lt;&gt;""),"کامل","ناقص"))</f>
        <v/>
      </c>
    </row>
    <row r="14">
      <c r="A14" s="306" t="n">
        <v>10</v>
      </c>
      <c r="B14" s="307" t="n">
        <v>10</v>
      </c>
      <c r="C14" s="307" t="n"/>
      <c r="D14" s="307" t="n"/>
      <c r="E14" s="307" t="n"/>
      <c r="F14" s="307" t="n"/>
      <c r="G14" s="307" t="n"/>
      <c r="H14" s="307" t="n"/>
      <c r="I14" s="307" t="n"/>
      <c r="J14" s="306">
        <f>IF(I14="","",IFERROR(INDEX('کلاس‌بندی'!$E$5:$E$34,MATCH(I14,'کلاس‌بندی'!$D$5:$D$34,0)),"کد کلاس نامعتبر"))</f>
        <v/>
      </c>
      <c r="K14" s="306">
        <f>IF(I14="","",IFERROR(INDEX('کلاس‌بندی'!$F$5:$F$34,MATCH(I14,'کلاس‌بندی'!$D$5:$D$34,0)),""))</f>
        <v/>
      </c>
      <c r="L14" s="306">
        <f>IF(COUNTA(C14:I14)=0,"",IF(AND(LEN(C14)=10,D14&lt;&gt;"",E14&lt;&gt;"",F14&lt;&gt;"",G14&lt;&gt;"",H14&lt;&gt;"",I14&lt;&gt;""),"کامل","ناقص"))</f>
        <v/>
      </c>
    </row>
    <row r="15">
      <c r="A15" s="306" t="n">
        <v>11</v>
      </c>
      <c r="B15" s="307" t="n">
        <v>11</v>
      </c>
      <c r="C15" s="307" t="n"/>
      <c r="D15" s="307" t="n"/>
      <c r="E15" s="307" t="n"/>
      <c r="F15" s="307" t="n"/>
      <c r="G15" s="307" t="n"/>
      <c r="H15" s="307" t="n"/>
      <c r="I15" s="307" t="n"/>
      <c r="J15" s="306">
        <f>IF(I15="","",IFERROR(INDEX('کلاس‌بندی'!$E$5:$E$34,MATCH(I15,'کلاس‌بندی'!$D$5:$D$34,0)),"کد کلاس نامعتبر"))</f>
        <v/>
      </c>
      <c r="K15" s="306">
        <f>IF(I15="","",IFERROR(INDEX('کلاس‌بندی'!$F$5:$F$34,MATCH(I15,'کلاس‌بندی'!$D$5:$D$34,0)),""))</f>
        <v/>
      </c>
      <c r="L15" s="306">
        <f>IF(COUNTA(C15:I15)=0,"",IF(AND(LEN(C15)=10,D15&lt;&gt;"",E15&lt;&gt;"",F15&lt;&gt;"",G15&lt;&gt;"",H15&lt;&gt;"",I15&lt;&gt;""),"کامل","ناقص"))</f>
        <v/>
      </c>
    </row>
    <row r="16">
      <c r="A16" s="306" t="n">
        <v>12</v>
      </c>
      <c r="B16" s="307" t="n">
        <v>12</v>
      </c>
      <c r="C16" s="307" t="n"/>
      <c r="D16" s="307" t="n"/>
      <c r="E16" s="307" t="n"/>
      <c r="F16" s="307" t="n"/>
      <c r="G16" s="307" t="n"/>
      <c r="H16" s="307" t="n"/>
      <c r="I16" s="307" t="n"/>
      <c r="J16" s="306">
        <f>IF(I16="","",IFERROR(INDEX('کلاس‌بندی'!$E$5:$E$34,MATCH(I16,'کلاس‌بندی'!$D$5:$D$34,0)),"کد کلاس نامعتبر"))</f>
        <v/>
      </c>
      <c r="K16" s="306">
        <f>IF(I16="","",IFERROR(INDEX('کلاس‌بندی'!$F$5:$F$34,MATCH(I16,'کلاس‌بندی'!$D$5:$D$34,0)),""))</f>
        <v/>
      </c>
      <c r="L16" s="306">
        <f>IF(COUNTA(C16:I16)=0,"",IF(AND(LEN(C16)=10,D16&lt;&gt;"",E16&lt;&gt;"",F16&lt;&gt;"",G16&lt;&gt;"",H16&lt;&gt;"",I16&lt;&gt;""),"کامل","ناقص"))</f>
        <v/>
      </c>
    </row>
    <row r="17">
      <c r="A17" s="306" t="n">
        <v>13</v>
      </c>
      <c r="B17" s="307" t="n">
        <v>13</v>
      </c>
      <c r="C17" s="307" t="n"/>
      <c r="D17" s="307" t="n"/>
      <c r="E17" s="307" t="n"/>
      <c r="F17" s="307" t="n"/>
      <c r="G17" s="307" t="n"/>
      <c r="H17" s="307" t="n"/>
      <c r="I17" s="307" t="n"/>
      <c r="J17" s="306">
        <f>IF(I17="","",IFERROR(INDEX('کلاس‌بندی'!$E$5:$E$34,MATCH(I17,'کلاس‌بندی'!$D$5:$D$34,0)),"کد کلاس نامعتبر"))</f>
        <v/>
      </c>
      <c r="K17" s="306">
        <f>IF(I17="","",IFERROR(INDEX('کلاس‌بندی'!$F$5:$F$34,MATCH(I17,'کلاس‌بندی'!$D$5:$D$34,0)),""))</f>
        <v/>
      </c>
      <c r="L17" s="306">
        <f>IF(COUNTA(C17:I17)=0,"",IF(AND(LEN(C17)=10,D17&lt;&gt;"",E17&lt;&gt;"",F17&lt;&gt;"",G17&lt;&gt;"",H17&lt;&gt;"",I17&lt;&gt;""),"کامل","ناقص"))</f>
        <v/>
      </c>
    </row>
    <row r="18">
      <c r="A18" s="306" t="n">
        <v>14</v>
      </c>
      <c r="B18" s="307" t="n">
        <v>14</v>
      </c>
      <c r="C18" s="307" t="n"/>
      <c r="D18" s="307" t="n"/>
      <c r="E18" s="307" t="n"/>
      <c r="F18" s="307" t="n"/>
      <c r="G18" s="307" t="n"/>
      <c r="H18" s="307" t="n"/>
      <c r="I18" s="307" t="n"/>
      <c r="J18" s="306">
        <f>IF(I18="","",IFERROR(INDEX('کلاس‌بندی'!$E$5:$E$34,MATCH(I18,'کلاس‌بندی'!$D$5:$D$34,0)),"کد کلاس نامعتبر"))</f>
        <v/>
      </c>
      <c r="K18" s="306">
        <f>IF(I18="","",IFERROR(INDEX('کلاس‌بندی'!$F$5:$F$34,MATCH(I18,'کلاس‌بندی'!$D$5:$D$34,0)),""))</f>
        <v/>
      </c>
      <c r="L18" s="306">
        <f>IF(COUNTA(C18:I18)=0,"",IF(AND(LEN(C18)=10,D18&lt;&gt;"",E18&lt;&gt;"",F18&lt;&gt;"",G18&lt;&gt;"",H18&lt;&gt;"",I18&lt;&gt;""),"کامل","ناقص"))</f>
        <v/>
      </c>
    </row>
    <row r="19">
      <c r="A19" s="306" t="n">
        <v>15</v>
      </c>
      <c r="B19" s="307" t="n">
        <v>15</v>
      </c>
      <c r="C19" s="307" t="n"/>
      <c r="D19" s="307" t="n"/>
      <c r="E19" s="307" t="n"/>
      <c r="F19" s="307" t="n"/>
      <c r="G19" s="307" t="n"/>
      <c r="H19" s="307" t="n"/>
      <c r="I19" s="307" t="n"/>
      <c r="J19" s="306">
        <f>IF(I19="","",IFERROR(INDEX('کلاس‌بندی'!$E$5:$E$34,MATCH(I19,'کلاس‌بندی'!$D$5:$D$34,0)),"کد کلاس نامعتبر"))</f>
        <v/>
      </c>
      <c r="K19" s="306">
        <f>IF(I19="","",IFERROR(INDEX('کلاس‌بندی'!$F$5:$F$34,MATCH(I19,'کلاس‌بندی'!$D$5:$D$34,0)),""))</f>
        <v/>
      </c>
      <c r="L19" s="306">
        <f>IF(COUNTA(C19:I19)=0,"",IF(AND(LEN(C19)=10,D19&lt;&gt;"",E19&lt;&gt;"",F19&lt;&gt;"",G19&lt;&gt;"",H19&lt;&gt;"",I19&lt;&gt;""),"کامل","ناقص"))</f>
        <v/>
      </c>
    </row>
    <row r="20">
      <c r="A20" s="306" t="n">
        <v>16</v>
      </c>
      <c r="B20" s="307" t="n">
        <v>16</v>
      </c>
      <c r="C20" s="307" t="n"/>
      <c r="D20" s="307" t="n"/>
      <c r="E20" s="307" t="n"/>
      <c r="F20" s="307" t="n"/>
      <c r="G20" s="307" t="n"/>
      <c r="H20" s="307" t="n"/>
      <c r="I20" s="307" t="n"/>
      <c r="J20" s="306">
        <f>IF(I20="","",IFERROR(INDEX('کلاس‌بندی'!$E$5:$E$34,MATCH(I20,'کلاس‌بندی'!$D$5:$D$34,0)),"کد کلاس نامعتبر"))</f>
        <v/>
      </c>
      <c r="K20" s="306">
        <f>IF(I20="","",IFERROR(INDEX('کلاس‌بندی'!$F$5:$F$34,MATCH(I20,'کلاس‌بندی'!$D$5:$D$34,0)),""))</f>
        <v/>
      </c>
      <c r="L20" s="306">
        <f>IF(COUNTA(C20:I20)=0,"",IF(AND(LEN(C20)=10,D20&lt;&gt;"",E20&lt;&gt;"",F20&lt;&gt;"",G20&lt;&gt;"",H20&lt;&gt;"",I20&lt;&gt;""),"کامل","ناقص"))</f>
        <v/>
      </c>
    </row>
    <row r="21">
      <c r="A21" s="306" t="n">
        <v>17</v>
      </c>
      <c r="B21" s="307" t="n">
        <v>17</v>
      </c>
      <c r="C21" s="307" t="n"/>
      <c r="D21" s="307" t="n"/>
      <c r="E21" s="307" t="n"/>
      <c r="F21" s="307" t="n"/>
      <c r="G21" s="307" t="n"/>
      <c r="H21" s="307" t="n"/>
      <c r="I21" s="307" t="n"/>
      <c r="J21" s="306">
        <f>IF(I21="","",IFERROR(INDEX('کلاس‌بندی'!$E$5:$E$34,MATCH(I21,'کلاس‌بندی'!$D$5:$D$34,0)),"کد کلاس نامعتبر"))</f>
        <v/>
      </c>
      <c r="K21" s="306">
        <f>IF(I21="","",IFERROR(INDEX('کلاس‌بندی'!$F$5:$F$34,MATCH(I21,'کلاس‌بندی'!$D$5:$D$34,0)),""))</f>
        <v/>
      </c>
      <c r="L21" s="306">
        <f>IF(COUNTA(C21:I21)=0,"",IF(AND(LEN(C21)=10,D21&lt;&gt;"",E21&lt;&gt;"",F21&lt;&gt;"",G21&lt;&gt;"",H21&lt;&gt;"",I21&lt;&gt;""),"کامل","ناقص"))</f>
        <v/>
      </c>
    </row>
    <row r="22">
      <c r="A22" s="306" t="n">
        <v>18</v>
      </c>
      <c r="B22" s="307" t="n">
        <v>18</v>
      </c>
      <c r="C22" s="307" t="n"/>
      <c r="D22" s="307" t="n"/>
      <c r="E22" s="307" t="n"/>
      <c r="F22" s="307" t="n"/>
      <c r="G22" s="307" t="n"/>
      <c r="H22" s="307" t="n"/>
      <c r="I22" s="307" t="n"/>
      <c r="J22" s="306">
        <f>IF(I22="","",IFERROR(INDEX('کلاس‌بندی'!$E$5:$E$34,MATCH(I22,'کلاس‌بندی'!$D$5:$D$34,0)),"کد کلاس نامعتبر"))</f>
        <v/>
      </c>
      <c r="K22" s="306">
        <f>IF(I22="","",IFERROR(INDEX('کلاس‌بندی'!$F$5:$F$34,MATCH(I22,'کلاس‌بندی'!$D$5:$D$34,0)),""))</f>
        <v/>
      </c>
      <c r="L22" s="306">
        <f>IF(COUNTA(C22:I22)=0,"",IF(AND(LEN(C22)=10,D22&lt;&gt;"",E22&lt;&gt;"",F22&lt;&gt;"",G22&lt;&gt;"",H22&lt;&gt;"",I22&lt;&gt;""),"کامل","ناقص"))</f>
        <v/>
      </c>
    </row>
    <row r="23">
      <c r="A23" s="306" t="n">
        <v>19</v>
      </c>
      <c r="B23" s="307" t="n">
        <v>19</v>
      </c>
      <c r="C23" s="307" t="n"/>
      <c r="D23" s="307" t="n"/>
      <c r="E23" s="307" t="n"/>
      <c r="F23" s="307" t="n"/>
      <c r="G23" s="307" t="n"/>
      <c r="H23" s="307" t="n"/>
      <c r="I23" s="307" t="n"/>
      <c r="J23" s="306">
        <f>IF(I23="","",IFERROR(INDEX('کلاس‌بندی'!$E$5:$E$34,MATCH(I23,'کلاس‌بندی'!$D$5:$D$34,0)),"کد کلاس نامعتبر"))</f>
        <v/>
      </c>
      <c r="K23" s="306">
        <f>IF(I23="","",IFERROR(INDEX('کلاس‌بندی'!$F$5:$F$34,MATCH(I23,'کلاس‌بندی'!$D$5:$D$34,0)),""))</f>
        <v/>
      </c>
      <c r="L23" s="306">
        <f>IF(COUNTA(C23:I23)=0,"",IF(AND(LEN(C23)=10,D23&lt;&gt;"",E23&lt;&gt;"",F23&lt;&gt;"",G23&lt;&gt;"",H23&lt;&gt;"",I23&lt;&gt;""),"کامل","ناقص"))</f>
        <v/>
      </c>
    </row>
    <row r="24">
      <c r="A24" s="306" t="n">
        <v>20</v>
      </c>
      <c r="B24" s="307" t="n">
        <v>20</v>
      </c>
      <c r="C24" s="307" t="n"/>
      <c r="D24" s="307" t="n"/>
      <c r="E24" s="307" t="n"/>
      <c r="F24" s="307" t="n"/>
      <c r="G24" s="307" t="n"/>
      <c r="H24" s="307" t="n"/>
      <c r="I24" s="307" t="n"/>
      <c r="J24" s="306">
        <f>IF(I24="","",IFERROR(INDEX('کلاس‌بندی'!$E$5:$E$34,MATCH(I24,'کلاس‌بندی'!$D$5:$D$34,0)),"کد کلاس نامعتبر"))</f>
        <v/>
      </c>
      <c r="K24" s="306">
        <f>IF(I24="","",IFERROR(INDEX('کلاس‌بندی'!$F$5:$F$34,MATCH(I24,'کلاس‌بندی'!$D$5:$D$34,0)),""))</f>
        <v/>
      </c>
      <c r="L24" s="306">
        <f>IF(COUNTA(C24:I24)=0,"",IF(AND(LEN(C24)=10,D24&lt;&gt;"",E24&lt;&gt;"",F24&lt;&gt;"",G24&lt;&gt;"",H24&lt;&gt;"",I24&lt;&gt;""),"کامل","ناقص"))</f>
        <v/>
      </c>
    </row>
    <row r="25">
      <c r="A25" s="306" t="n">
        <v>21</v>
      </c>
      <c r="B25" s="307" t="n">
        <v>21</v>
      </c>
      <c r="C25" s="307" t="n"/>
      <c r="D25" s="307" t="n"/>
      <c r="E25" s="307" t="n"/>
      <c r="F25" s="307" t="n"/>
      <c r="G25" s="307" t="n"/>
      <c r="H25" s="307" t="n"/>
      <c r="I25" s="307" t="n"/>
      <c r="J25" s="306">
        <f>IF(I25="","",IFERROR(INDEX('کلاس‌بندی'!$E$5:$E$34,MATCH(I25,'کلاس‌بندی'!$D$5:$D$34,0)),"کد کلاس نامعتبر"))</f>
        <v/>
      </c>
      <c r="K25" s="306">
        <f>IF(I25="","",IFERROR(INDEX('کلاس‌بندی'!$F$5:$F$34,MATCH(I25,'کلاس‌بندی'!$D$5:$D$34,0)),""))</f>
        <v/>
      </c>
      <c r="L25" s="306">
        <f>IF(COUNTA(C25:I25)=0,"",IF(AND(LEN(C25)=10,D25&lt;&gt;"",E25&lt;&gt;"",F25&lt;&gt;"",G25&lt;&gt;"",H25&lt;&gt;"",I25&lt;&gt;""),"کامل","ناقص"))</f>
        <v/>
      </c>
    </row>
    <row r="26">
      <c r="A26" s="306" t="n">
        <v>22</v>
      </c>
      <c r="B26" s="307" t="n">
        <v>22</v>
      </c>
      <c r="C26" s="307" t="n"/>
      <c r="D26" s="307" t="n"/>
      <c r="E26" s="307" t="n"/>
      <c r="F26" s="307" t="n"/>
      <c r="G26" s="307" t="n"/>
      <c r="H26" s="307" t="n"/>
      <c r="I26" s="307" t="n"/>
      <c r="J26" s="306">
        <f>IF(I26="","",IFERROR(INDEX('کلاس‌بندی'!$E$5:$E$34,MATCH(I26,'کلاس‌بندی'!$D$5:$D$34,0)),"کد کلاس نامعتبر"))</f>
        <v/>
      </c>
      <c r="K26" s="306">
        <f>IF(I26="","",IFERROR(INDEX('کلاس‌بندی'!$F$5:$F$34,MATCH(I26,'کلاس‌بندی'!$D$5:$D$34,0)),""))</f>
        <v/>
      </c>
      <c r="L26" s="306">
        <f>IF(COUNTA(C26:I26)=0,"",IF(AND(LEN(C26)=10,D26&lt;&gt;"",E26&lt;&gt;"",F26&lt;&gt;"",G26&lt;&gt;"",H26&lt;&gt;"",I26&lt;&gt;""),"کامل","ناقص"))</f>
        <v/>
      </c>
    </row>
    <row r="27">
      <c r="A27" s="306" t="n">
        <v>23</v>
      </c>
      <c r="B27" s="307" t="n">
        <v>23</v>
      </c>
      <c r="C27" s="307" t="n"/>
      <c r="D27" s="307" t="n"/>
      <c r="E27" s="307" t="n"/>
      <c r="F27" s="307" t="n"/>
      <c r="G27" s="307" t="n"/>
      <c r="H27" s="307" t="n"/>
      <c r="I27" s="307" t="n"/>
      <c r="J27" s="306">
        <f>IF(I27="","",IFERROR(INDEX('کلاس‌بندی'!$E$5:$E$34,MATCH(I27,'کلاس‌بندی'!$D$5:$D$34,0)),"کد کلاس نامعتبر"))</f>
        <v/>
      </c>
      <c r="K27" s="306">
        <f>IF(I27="","",IFERROR(INDEX('کلاس‌بندی'!$F$5:$F$34,MATCH(I27,'کلاس‌بندی'!$D$5:$D$34,0)),""))</f>
        <v/>
      </c>
      <c r="L27" s="306">
        <f>IF(COUNTA(C27:I27)=0,"",IF(AND(LEN(C27)=10,D27&lt;&gt;"",E27&lt;&gt;"",F27&lt;&gt;"",G27&lt;&gt;"",H27&lt;&gt;"",I27&lt;&gt;""),"کامل","ناقص"))</f>
        <v/>
      </c>
    </row>
    <row r="28">
      <c r="A28" s="306" t="n">
        <v>24</v>
      </c>
      <c r="B28" s="307" t="n">
        <v>24</v>
      </c>
      <c r="C28" s="307" t="n"/>
      <c r="D28" s="307" t="n"/>
      <c r="E28" s="307" t="n"/>
      <c r="F28" s="307" t="n"/>
      <c r="G28" s="307" t="n"/>
      <c r="H28" s="307" t="n"/>
      <c r="I28" s="307" t="n"/>
      <c r="J28" s="306">
        <f>IF(I28="","",IFERROR(INDEX('کلاس‌بندی'!$E$5:$E$34,MATCH(I28,'کلاس‌بندی'!$D$5:$D$34,0)),"کد کلاس نامعتبر"))</f>
        <v/>
      </c>
      <c r="K28" s="306">
        <f>IF(I28="","",IFERROR(INDEX('کلاس‌بندی'!$F$5:$F$34,MATCH(I28,'کلاس‌بندی'!$D$5:$D$34,0)),""))</f>
        <v/>
      </c>
      <c r="L28" s="306">
        <f>IF(COUNTA(C28:I28)=0,"",IF(AND(LEN(C28)=10,D28&lt;&gt;"",E28&lt;&gt;"",F28&lt;&gt;"",G28&lt;&gt;"",H28&lt;&gt;"",I28&lt;&gt;""),"کامل","ناقص"))</f>
        <v/>
      </c>
    </row>
    <row r="29">
      <c r="A29" s="306" t="n">
        <v>25</v>
      </c>
      <c r="B29" s="307" t="n">
        <v>25</v>
      </c>
      <c r="C29" s="307" t="n"/>
      <c r="D29" s="307" t="n"/>
      <c r="E29" s="307" t="n"/>
      <c r="F29" s="307" t="n"/>
      <c r="G29" s="307" t="n"/>
      <c r="H29" s="307" t="n"/>
      <c r="I29" s="307" t="n"/>
      <c r="J29" s="306">
        <f>IF(I29="","",IFERROR(INDEX('کلاس‌بندی'!$E$5:$E$34,MATCH(I29,'کلاس‌بندی'!$D$5:$D$34,0)),"کد کلاس نامعتبر"))</f>
        <v/>
      </c>
      <c r="K29" s="306">
        <f>IF(I29="","",IFERROR(INDEX('کلاس‌بندی'!$F$5:$F$34,MATCH(I29,'کلاس‌بندی'!$D$5:$D$34,0)),""))</f>
        <v/>
      </c>
      <c r="L29" s="306">
        <f>IF(COUNTA(C29:I29)=0,"",IF(AND(LEN(C29)=10,D29&lt;&gt;"",E29&lt;&gt;"",F29&lt;&gt;"",G29&lt;&gt;"",H29&lt;&gt;"",I29&lt;&gt;""),"کامل","ناقص"))</f>
        <v/>
      </c>
    </row>
    <row r="30">
      <c r="A30" s="306" t="n">
        <v>26</v>
      </c>
      <c r="B30" s="307" t="n">
        <v>26</v>
      </c>
      <c r="C30" s="307" t="n"/>
      <c r="D30" s="307" t="n"/>
      <c r="E30" s="307" t="n"/>
      <c r="F30" s="307" t="n"/>
      <c r="G30" s="307" t="n"/>
      <c r="H30" s="307" t="n"/>
      <c r="I30" s="307" t="n"/>
      <c r="J30" s="306">
        <f>IF(I30="","",IFERROR(INDEX('کلاس‌بندی'!$E$5:$E$34,MATCH(I30,'کلاس‌بندی'!$D$5:$D$34,0)),"کد کلاس نامعتبر"))</f>
        <v/>
      </c>
      <c r="K30" s="306">
        <f>IF(I30="","",IFERROR(INDEX('کلاس‌بندی'!$F$5:$F$34,MATCH(I30,'کلاس‌بندی'!$D$5:$D$34,0)),""))</f>
        <v/>
      </c>
      <c r="L30" s="306">
        <f>IF(COUNTA(C30:I30)=0,"",IF(AND(LEN(C30)=10,D30&lt;&gt;"",E30&lt;&gt;"",F30&lt;&gt;"",G30&lt;&gt;"",H30&lt;&gt;"",I30&lt;&gt;""),"کامل","ناقص"))</f>
        <v/>
      </c>
    </row>
    <row r="31">
      <c r="A31" s="306" t="n">
        <v>27</v>
      </c>
      <c r="B31" s="307" t="n">
        <v>27</v>
      </c>
      <c r="C31" s="307" t="n"/>
      <c r="D31" s="307" t="n"/>
      <c r="E31" s="307" t="n"/>
      <c r="F31" s="307" t="n"/>
      <c r="G31" s="307" t="n"/>
      <c r="H31" s="307" t="n"/>
      <c r="I31" s="307" t="n"/>
      <c r="J31" s="306">
        <f>IF(I31="","",IFERROR(INDEX('کلاس‌بندی'!$E$5:$E$34,MATCH(I31,'کلاس‌بندی'!$D$5:$D$34,0)),"کد کلاس نامعتبر"))</f>
        <v/>
      </c>
      <c r="K31" s="306">
        <f>IF(I31="","",IFERROR(INDEX('کلاس‌بندی'!$F$5:$F$34,MATCH(I31,'کلاس‌بندی'!$D$5:$D$34,0)),""))</f>
        <v/>
      </c>
      <c r="L31" s="306">
        <f>IF(COUNTA(C31:I31)=0,"",IF(AND(LEN(C31)=10,D31&lt;&gt;"",E31&lt;&gt;"",F31&lt;&gt;"",G31&lt;&gt;"",H31&lt;&gt;"",I31&lt;&gt;""),"کامل","ناقص"))</f>
        <v/>
      </c>
    </row>
    <row r="32">
      <c r="A32" s="306" t="n">
        <v>28</v>
      </c>
      <c r="B32" s="307" t="n">
        <v>28</v>
      </c>
      <c r="C32" s="307" t="n"/>
      <c r="D32" s="307" t="n"/>
      <c r="E32" s="307" t="n"/>
      <c r="F32" s="307" t="n"/>
      <c r="G32" s="307" t="n"/>
      <c r="H32" s="307" t="n"/>
      <c r="I32" s="307" t="n"/>
      <c r="J32" s="306">
        <f>IF(I32="","",IFERROR(INDEX('کلاس‌بندی'!$E$5:$E$34,MATCH(I32,'کلاس‌بندی'!$D$5:$D$34,0)),"کد کلاس نامعتبر"))</f>
        <v/>
      </c>
      <c r="K32" s="306">
        <f>IF(I32="","",IFERROR(INDEX('کلاس‌بندی'!$F$5:$F$34,MATCH(I32,'کلاس‌بندی'!$D$5:$D$34,0)),""))</f>
        <v/>
      </c>
      <c r="L32" s="306">
        <f>IF(COUNTA(C32:I32)=0,"",IF(AND(LEN(C32)=10,D32&lt;&gt;"",E32&lt;&gt;"",F32&lt;&gt;"",G32&lt;&gt;"",H32&lt;&gt;"",I32&lt;&gt;""),"کامل","ناقص"))</f>
        <v/>
      </c>
    </row>
    <row r="33">
      <c r="A33" s="306" t="n">
        <v>29</v>
      </c>
      <c r="B33" s="307" t="n">
        <v>29</v>
      </c>
      <c r="C33" s="307" t="n"/>
      <c r="D33" s="307" t="n"/>
      <c r="E33" s="307" t="n"/>
      <c r="F33" s="307" t="n"/>
      <c r="G33" s="307" t="n"/>
      <c r="H33" s="307" t="n"/>
      <c r="I33" s="307" t="n"/>
      <c r="J33" s="306">
        <f>IF(I33="","",IFERROR(INDEX('کلاس‌بندی'!$E$5:$E$34,MATCH(I33,'کلاس‌بندی'!$D$5:$D$34,0)),"کد کلاس نامعتبر"))</f>
        <v/>
      </c>
      <c r="K33" s="306">
        <f>IF(I33="","",IFERROR(INDEX('کلاس‌بندی'!$F$5:$F$34,MATCH(I33,'کلاس‌بندی'!$D$5:$D$34,0)),""))</f>
        <v/>
      </c>
      <c r="L33" s="306">
        <f>IF(COUNTA(C33:I33)=0,"",IF(AND(LEN(C33)=10,D33&lt;&gt;"",E33&lt;&gt;"",F33&lt;&gt;"",G33&lt;&gt;"",H33&lt;&gt;"",I33&lt;&gt;""),"کامل","ناقص"))</f>
        <v/>
      </c>
    </row>
    <row r="34">
      <c r="A34" s="306" t="n">
        <v>30</v>
      </c>
      <c r="B34" s="307" t="n">
        <v>30</v>
      </c>
      <c r="C34" s="307" t="n"/>
      <c r="D34" s="307" t="n"/>
      <c r="E34" s="307" t="n"/>
      <c r="F34" s="307" t="n"/>
      <c r="G34" s="307" t="n"/>
      <c r="H34" s="307" t="n"/>
      <c r="I34" s="307" t="n"/>
      <c r="J34" s="306">
        <f>IF(I34="","",IFERROR(INDEX('کلاس‌بندی'!$E$5:$E$34,MATCH(I34,'کلاس‌بندی'!$D$5:$D$34,0)),"کد کلاس نامعتبر"))</f>
        <v/>
      </c>
      <c r="K34" s="306">
        <f>IF(I34="","",IFERROR(INDEX('کلاس‌بندی'!$F$5:$F$34,MATCH(I34,'کلاس‌بندی'!$D$5:$D$34,0)),""))</f>
        <v/>
      </c>
      <c r="L34" s="306">
        <f>IF(COUNTA(C34:I34)=0,"",IF(AND(LEN(C34)=10,D34&lt;&gt;"",E34&lt;&gt;"",F34&lt;&gt;"",G34&lt;&gt;"",H34&lt;&gt;"",I34&lt;&gt;""),"کامل","ناقص"))</f>
        <v/>
      </c>
    </row>
    <row r="35">
      <c r="A35" s="306" t="n">
        <v>31</v>
      </c>
      <c r="B35" s="307" t="n">
        <v>31</v>
      </c>
      <c r="C35" s="307" t="n"/>
      <c r="D35" s="307" t="n"/>
      <c r="E35" s="307" t="n"/>
      <c r="F35" s="307" t="n"/>
      <c r="G35" s="307" t="n"/>
      <c r="H35" s="307" t="n"/>
      <c r="I35" s="307" t="n"/>
      <c r="J35" s="306">
        <f>IF(I35="","",IFERROR(INDEX('کلاس‌بندی'!$E$5:$E$34,MATCH(I35,'کلاس‌بندی'!$D$5:$D$34,0)),"کد کلاس نامعتبر"))</f>
        <v/>
      </c>
      <c r="K35" s="306">
        <f>IF(I35="","",IFERROR(INDEX('کلاس‌بندی'!$F$5:$F$34,MATCH(I35,'کلاس‌بندی'!$D$5:$D$34,0)),""))</f>
        <v/>
      </c>
      <c r="L35" s="306">
        <f>IF(COUNTA(C35:I35)=0,"",IF(AND(LEN(C35)=10,D35&lt;&gt;"",E35&lt;&gt;"",F35&lt;&gt;"",G35&lt;&gt;"",H35&lt;&gt;"",I35&lt;&gt;""),"کامل","ناقص"))</f>
        <v/>
      </c>
    </row>
    <row r="36">
      <c r="A36" s="306" t="n">
        <v>32</v>
      </c>
      <c r="B36" s="307" t="n">
        <v>32</v>
      </c>
      <c r="C36" s="307" t="n"/>
      <c r="D36" s="307" t="n"/>
      <c r="E36" s="307" t="n"/>
      <c r="F36" s="307" t="n"/>
      <c r="G36" s="307" t="n"/>
      <c r="H36" s="307" t="n"/>
      <c r="I36" s="307" t="n"/>
      <c r="J36" s="306">
        <f>IF(I36="","",IFERROR(INDEX('کلاس‌بندی'!$E$5:$E$34,MATCH(I36,'کلاس‌بندی'!$D$5:$D$34,0)),"کد کلاس نامعتبر"))</f>
        <v/>
      </c>
      <c r="K36" s="306">
        <f>IF(I36="","",IFERROR(INDEX('کلاس‌بندی'!$F$5:$F$34,MATCH(I36,'کلاس‌بندی'!$D$5:$D$34,0)),""))</f>
        <v/>
      </c>
      <c r="L36" s="306">
        <f>IF(COUNTA(C36:I36)=0,"",IF(AND(LEN(C36)=10,D36&lt;&gt;"",E36&lt;&gt;"",F36&lt;&gt;"",G36&lt;&gt;"",H36&lt;&gt;"",I36&lt;&gt;""),"کامل","ناقص"))</f>
        <v/>
      </c>
    </row>
    <row r="37">
      <c r="A37" s="306" t="n">
        <v>33</v>
      </c>
      <c r="B37" s="307" t="n">
        <v>33</v>
      </c>
      <c r="C37" s="307" t="n"/>
      <c r="D37" s="307" t="n"/>
      <c r="E37" s="307" t="n"/>
      <c r="F37" s="307" t="n"/>
      <c r="G37" s="307" t="n"/>
      <c r="H37" s="307" t="n"/>
      <c r="I37" s="307" t="n"/>
      <c r="J37" s="306">
        <f>IF(I37="","",IFERROR(INDEX('کلاس‌بندی'!$E$5:$E$34,MATCH(I37,'کلاس‌بندی'!$D$5:$D$34,0)),"کد کلاس نامعتبر"))</f>
        <v/>
      </c>
      <c r="K37" s="306">
        <f>IF(I37="","",IFERROR(INDEX('کلاس‌بندی'!$F$5:$F$34,MATCH(I37,'کلاس‌بندی'!$D$5:$D$34,0)),""))</f>
        <v/>
      </c>
      <c r="L37" s="306">
        <f>IF(COUNTA(C37:I37)=0,"",IF(AND(LEN(C37)=10,D37&lt;&gt;"",E37&lt;&gt;"",F37&lt;&gt;"",G37&lt;&gt;"",H37&lt;&gt;"",I37&lt;&gt;""),"کامل","ناقص"))</f>
        <v/>
      </c>
    </row>
    <row r="38">
      <c r="A38" s="306" t="n">
        <v>34</v>
      </c>
      <c r="B38" s="307" t="n">
        <v>34</v>
      </c>
      <c r="C38" s="307" t="n"/>
      <c r="D38" s="307" t="n"/>
      <c r="E38" s="307" t="n"/>
      <c r="F38" s="307" t="n"/>
      <c r="G38" s="307" t="n"/>
      <c r="H38" s="307" t="n"/>
      <c r="I38" s="307" t="n"/>
      <c r="J38" s="306">
        <f>IF(I38="","",IFERROR(INDEX('کلاس‌بندی'!$E$5:$E$34,MATCH(I38,'کلاس‌بندی'!$D$5:$D$34,0)),"کد کلاس نامعتبر"))</f>
        <v/>
      </c>
      <c r="K38" s="306">
        <f>IF(I38="","",IFERROR(INDEX('کلاس‌بندی'!$F$5:$F$34,MATCH(I38,'کلاس‌بندی'!$D$5:$D$34,0)),""))</f>
        <v/>
      </c>
      <c r="L38" s="306">
        <f>IF(COUNTA(C38:I38)=0,"",IF(AND(LEN(C38)=10,D38&lt;&gt;"",E38&lt;&gt;"",F38&lt;&gt;"",G38&lt;&gt;"",H38&lt;&gt;"",I38&lt;&gt;""),"کامل","ناقص"))</f>
        <v/>
      </c>
    </row>
    <row r="39">
      <c r="A39" s="306" t="n">
        <v>35</v>
      </c>
      <c r="B39" s="307" t="n">
        <v>35</v>
      </c>
      <c r="C39" s="307" t="n"/>
      <c r="D39" s="307" t="n"/>
      <c r="E39" s="307" t="n"/>
      <c r="F39" s="307" t="n"/>
      <c r="G39" s="307" t="n"/>
      <c r="H39" s="307" t="n"/>
      <c r="I39" s="307" t="n"/>
      <c r="J39" s="306">
        <f>IF(I39="","",IFERROR(INDEX('کلاس‌بندی'!$E$5:$E$34,MATCH(I39,'کلاس‌بندی'!$D$5:$D$34,0)),"کد کلاس نامعتبر"))</f>
        <v/>
      </c>
      <c r="K39" s="306">
        <f>IF(I39="","",IFERROR(INDEX('کلاس‌بندی'!$F$5:$F$34,MATCH(I39,'کلاس‌بندی'!$D$5:$D$34,0)),""))</f>
        <v/>
      </c>
      <c r="L39" s="306">
        <f>IF(COUNTA(C39:I39)=0,"",IF(AND(LEN(C39)=10,D39&lt;&gt;"",E39&lt;&gt;"",F39&lt;&gt;"",G39&lt;&gt;"",H39&lt;&gt;"",I39&lt;&gt;""),"کامل","ناقص"))</f>
        <v/>
      </c>
    </row>
    <row r="40">
      <c r="A40" s="306" t="n">
        <v>36</v>
      </c>
      <c r="B40" s="307" t="n">
        <v>36</v>
      </c>
      <c r="C40" s="307" t="n"/>
      <c r="D40" s="307" t="n"/>
      <c r="E40" s="307" t="n"/>
      <c r="F40" s="307" t="n"/>
      <c r="G40" s="307" t="n"/>
      <c r="H40" s="307" t="n"/>
      <c r="I40" s="307" t="n"/>
      <c r="J40" s="306">
        <f>IF(I40="","",IFERROR(INDEX('کلاس‌بندی'!$E$5:$E$34,MATCH(I40,'کلاس‌بندی'!$D$5:$D$34,0)),"کد کلاس نامعتبر"))</f>
        <v/>
      </c>
      <c r="K40" s="306">
        <f>IF(I40="","",IFERROR(INDEX('کلاس‌بندی'!$F$5:$F$34,MATCH(I40,'کلاس‌بندی'!$D$5:$D$34,0)),""))</f>
        <v/>
      </c>
      <c r="L40" s="306">
        <f>IF(COUNTA(C40:I40)=0,"",IF(AND(LEN(C40)=10,D40&lt;&gt;"",E40&lt;&gt;"",F40&lt;&gt;"",G40&lt;&gt;"",H40&lt;&gt;"",I40&lt;&gt;""),"کامل","ناقص"))</f>
        <v/>
      </c>
    </row>
    <row r="41">
      <c r="A41" s="306" t="n">
        <v>37</v>
      </c>
      <c r="B41" s="307" t="n">
        <v>37</v>
      </c>
      <c r="C41" s="307" t="n"/>
      <c r="D41" s="307" t="n"/>
      <c r="E41" s="307" t="n"/>
      <c r="F41" s="307" t="n"/>
      <c r="G41" s="307" t="n"/>
      <c r="H41" s="307" t="n"/>
      <c r="I41" s="307" t="n"/>
      <c r="J41" s="306">
        <f>IF(I41="","",IFERROR(INDEX('کلاس‌بندی'!$E$5:$E$34,MATCH(I41,'کلاس‌بندی'!$D$5:$D$34,0)),"کد کلاس نامعتبر"))</f>
        <v/>
      </c>
      <c r="K41" s="306">
        <f>IF(I41="","",IFERROR(INDEX('کلاس‌بندی'!$F$5:$F$34,MATCH(I41,'کلاس‌بندی'!$D$5:$D$34,0)),""))</f>
        <v/>
      </c>
      <c r="L41" s="306">
        <f>IF(COUNTA(C41:I41)=0,"",IF(AND(LEN(C41)=10,D41&lt;&gt;"",E41&lt;&gt;"",F41&lt;&gt;"",G41&lt;&gt;"",H41&lt;&gt;"",I41&lt;&gt;""),"کامل","ناقص"))</f>
        <v/>
      </c>
    </row>
    <row r="42">
      <c r="A42" s="306" t="n">
        <v>38</v>
      </c>
      <c r="B42" s="307" t="n">
        <v>38</v>
      </c>
      <c r="C42" s="307" t="n"/>
      <c r="D42" s="307" t="n"/>
      <c r="E42" s="307" t="n"/>
      <c r="F42" s="307" t="n"/>
      <c r="G42" s="307" t="n"/>
      <c r="H42" s="307" t="n"/>
      <c r="I42" s="307" t="n"/>
      <c r="J42" s="306">
        <f>IF(I42="","",IFERROR(INDEX('کلاس‌بندی'!$E$5:$E$34,MATCH(I42,'کلاس‌بندی'!$D$5:$D$34,0)),"کد کلاس نامعتبر"))</f>
        <v/>
      </c>
      <c r="K42" s="306">
        <f>IF(I42="","",IFERROR(INDEX('کلاس‌بندی'!$F$5:$F$34,MATCH(I42,'کلاس‌بندی'!$D$5:$D$34,0)),""))</f>
        <v/>
      </c>
      <c r="L42" s="306">
        <f>IF(COUNTA(C42:I42)=0,"",IF(AND(LEN(C42)=10,D42&lt;&gt;"",E42&lt;&gt;"",F42&lt;&gt;"",G42&lt;&gt;"",H42&lt;&gt;"",I42&lt;&gt;""),"کامل","ناقص"))</f>
        <v/>
      </c>
    </row>
    <row r="43">
      <c r="A43" s="306" t="n">
        <v>39</v>
      </c>
      <c r="B43" s="307" t="n">
        <v>39</v>
      </c>
      <c r="C43" s="307" t="n"/>
      <c r="D43" s="307" t="n"/>
      <c r="E43" s="307" t="n"/>
      <c r="F43" s="307" t="n"/>
      <c r="G43" s="307" t="n"/>
      <c r="H43" s="307" t="n"/>
      <c r="I43" s="307" t="n"/>
      <c r="J43" s="306">
        <f>IF(I43="","",IFERROR(INDEX('کلاس‌بندی'!$E$5:$E$34,MATCH(I43,'کلاس‌بندی'!$D$5:$D$34,0)),"کد کلاس نامعتبر"))</f>
        <v/>
      </c>
      <c r="K43" s="306">
        <f>IF(I43="","",IFERROR(INDEX('کلاس‌بندی'!$F$5:$F$34,MATCH(I43,'کلاس‌بندی'!$D$5:$D$34,0)),""))</f>
        <v/>
      </c>
      <c r="L43" s="306">
        <f>IF(COUNTA(C43:I43)=0,"",IF(AND(LEN(C43)=10,D43&lt;&gt;"",E43&lt;&gt;"",F43&lt;&gt;"",G43&lt;&gt;"",H43&lt;&gt;"",I43&lt;&gt;""),"کامل","ناقص"))</f>
        <v/>
      </c>
    </row>
    <row r="44">
      <c r="A44" s="306" t="n">
        <v>40</v>
      </c>
      <c r="B44" s="307" t="n">
        <v>40</v>
      </c>
      <c r="C44" s="307" t="n"/>
      <c r="D44" s="307" t="n"/>
      <c r="E44" s="307" t="n"/>
      <c r="F44" s="307" t="n"/>
      <c r="G44" s="307" t="n"/>
      <c r="H44" s="307" t="n"/>
      <c r="I44" s="307" t="n"/>
      <c r="J44" s="306">
        <f>IF(I44="","",IFERROR(INDEX('کلاس‌بندی'!$E$5:$E$34,MATCH(I44,'کلاس‌بندی'!$D$5:$D$34,0)),"کد کلاس نامعتبر"))</f>
        <v/>
      </c>
      <c r="K44" s="306">
        <f>IF(I44="","",IFERROR(INDEX('کلاس‌بندی'!$F$5:$F$34,MATCH(I44,'کلاس‌بندی'!$D$5:$D$34,0)),""))</f>
        <v/>
      </c>
      <c r="L44" s="306">
        <f>IF(COUNTA(C44:I44)=0,"",IF(AND(LEN(C44)=10,D44&lt;&gt;"",E44&lt;&gt;"",F44&lt;&gt;"",G44&lt;&gt;"",H44&lt;&gt;"",I44&lt;&gt;""),"کامل","ناقص"))</f>
        <v/>
      </c>
    </row>
    <row r="45">
      <c r="A45" s="306" t="n">
        <v>41</v>
      </c>
      <c r="B45" s="307" t="n">
        <v>41</v>
      </c>
      <c r="C45" s="307" t="n"/>
      <c r="D45" s="307" t="n"/>
      <c r="E45" s="307" t="n"/>
      <c r="F45" s="307" t="n"/>
      <c r="G45" s="307" t="n"/>
      <c r="H45" s="307" t="n"/>
      <c r="I45" s="307" t="n"/>
      <c r="J45" s="306">
        <f>IF(I45="","",IFERROR(INDEX('کلاس‌بندی'!$E$5:$E$34,MATCH(I45,'کلاس‌بندی'!$D$5:$D$34,0)),"کد کلاس نامعتبر"))</f>
        <v/>
      </c>
      <c r="K45" s="306">
        <f>IF(I45="","",IFERROR(INDEX('کلاس‌بندی'!$F$5:$F$34,MATCH(I45,'کلاس‌بندی'!$D$5:$D$34,0)),""))</f>
        <v/>
      </c>
      <c r="L45" s="306">
        <f>IF(COUNTA(C45:I45)=0,"",IF(AND(LEN(C45)=10,D45&lt;&gt;"",E45&lt;&gt;"",F45&lt;&gt;"",G45&lt;&gt;"",H45&lt;&gt;"",I45&lt;&gt;""),"کامل","ناقص"))</f>
        <v/>
      </c>
    </row>
    <row r="46">
      <c r="A46" s="306" t="n">
        <v>42</v>
      </c>
      <c r="B46" s="307" t="n">
        <v>42</v>
      </c>
      <c r="C46" s="307" t="n"/>
      <c r="D46" s="307" t="n"/>
      <c r="E46" s="307" t="n"/>
      <c r="F46" s="307" t="n"/>
      <c r="G46" s="307" t="n"/>
      <c r="H46" s="307" t="n"/>
      <c r="I46" s="307" t="n"/>
      <c r="J46" s="306">
        <f>IF(I46="","",IFERROR(INDEX('کلاس‌بندی'!$E$5:$E$34,MATCH(I46,'کلاس‌بندی'!$D$5:$D$34,0)),"کد کلاس نامعتبر"))</f>
        <v/>
      </c>
      <c r="K46" s="306">
        <f>IF(I46="","",IFERROR(INDEX('کلاس‌بندی'!$F$5:$F$34,MATCH(I46,'کلاس‌بندی'!$D$5:$D$34,0)),""))</f>
        <v/>
      </c>
      <c r="L46" s="306">
        <f>IF(COUNTA(C46:I46)=0,"",IF(AND(LEN(C46)=10,D46&lt;&gt;"",E46&lt;&gt;"",F46&lt;&gt;"",G46&lt;&gt;"",H46&lt;&gt;"",I46&lt;&gt;""),"کامل","ناقص"))</f>
        <v/>
      </c>
    </row>
    <row r="47">
      <c r="A47" s="306" t="n">
        <v>43</v>
      </c>
      <c r="B47" s="307" t="n">
        <v>43</v>
      </c>
      <c r="C47" s="307" t="n"/>
      <c r="D47" s="307" t="n"/>
      <c r="E47" s="307" t="n"/>
      <c r="F47" s="307" t="n"/>
      <c r="G47" s="307" t="n"/>
      <c r="H47" s="307" t="n"/>
      <c r="I47" s="307" t="n"/>
      <c r="J47" s="306">
        <f>IF(I47="","",IFERROR(INDEX('کلاس‌بندی'!$E$5:$E$34,MATCH(I47,'کلاس‌بندی'!$D$5:$D$34,0)),"کد کلاس نامعتبر"))</f>
        <v/>
      </c>
      <c r="K47" s="306">
        <f>IF(I47="","",IFERROR(INDEX('کلاس‌بندی'!$F$5:$F$34,MATCH(I47,'کلاس‌بندی'!$D$5:$D$34,0)),""))</f>
        <v/>
      </c>
      <c r="L47" s="306">
        <f>IF(COUNTA(C47:I47)=0,"",IF(AND(LEN(C47)=10,D47&lt;&gt;"",E47&lt;&gt;"",F47&lt;&gt;"",G47&lt;&gt;"",H47&lt;&gt;"",I47&lt;&gt;""),"کامل","ناقص"))</f>
        <v/>
      </c>
    </row>
    <row r="48">
      <c r="A48" s="306" t="n">
        <v>44</v>
      </c>
      <c r="B48" s="307" t="n">
        <v>44</v>
      </c>
      <c r="C48" s="307" t="n"/>
      <c r="D48" s="307" t="n"/>
      <c r="E48" s="307" t="n"/>
      <c r="F48" s="307" t="n"/>
      <c r="G48" s="307" t="n"/>
      <c r="H48" s="307" t="n"/>
      <c r="I48" s="307" t="n"/>
      <c r="J48" s="306">
        <f>IF(I48="","",IFERROR(INDEX('کلاس‌بندی'!$E$5:$E$34,MATCH(I48,'کلاس‌بندی'!$D$5:$D$34,0)),"کد کلاس نامعتبر"))</f>
        <v/>
      </c>
      <c r="K48" s="306">
        <f>IF(I48="","",IFERROR(INDEX('کلاس‌بندی'!$F$5:$F$34,MATCH(I48,'کلاس‌بندی'!$D$5:$D$34,0)),""))</f>
        <v/>
      </c>
      <c r="L48" s="306">
        <f>IF(COUNTA(C48:I48)=0,"",IF(AND(LEN(C48)=10,D48&lt;&gt;"",E48&lt;&gt;"",F48&lt;&gt;"",G48&lt;&gt;"",H48&lt;&gt;"",I48&lt;&gt;""),"کامل","ناقص"))</f>
        <v/>
      </c>
    </row>
    <row r="49">
      <c r="A49" s="306" t="n">
        <v>45</v>
      </c>
      <c r="B49" s="307" t="n">
        <v>45</v>
      </c>
      <c r="C49" s="307" t="n"/>
      <c r="D49" s="307" t="n"/>
      <c r="E49" s="307" t="n"/>
      <c r="F49" s="307" t="n"/>
      <c r="G49" s="307" t="n"/>
      <c r="H49" s="307" t="n"/>
      <c r="I49" s="307" t="n"/>
      <c r="J49" s="306">
        <f>IF(I49="","",IFERROR(INDEX('کلاس‌بندی'!$E$5:$E$34,MATCH(I49,'کلاس‌بندی'!$D$5:$D$34,0)),"کد کلاس نامعتبر"))</f>
        <v/>
      </c>
      <c r="K49" s="306">
        <f>IF(I49="","",IFERROR(INDEX('کلاس‌بندی'!$F$5:$F$34,MATCH(I49,'کلاس‌بندی'!$D$5:$D$34,0)),""))</f>
        <v/>
      </c>
      <c r="L49" s="306">
        <f>IF(COUNTA(C49:I49)=0,"",IF(AND(LEN(C49)=10,D49&lt;&gt;"",E49&lt;&gt;"",F49&lt;&gt;"",G49&lt;&gt;"",H49&lt;&gt;"",I49&lt;&gt;""),"کامل","ناقص"))</f>
        <v/>
      </c>
    </row>
    <row r="50">
      <c r="A50" s="306" t="n">
        <v>46</v>
      </c>
      <c r="B50" s="307" t="n">
        <v>46</v>
      </c>
      <c r="C50" s="307" t="n"/>
      <c r="D50" s="307" t="n"/>
      <c r="E50" s="307" t="n"/>
      <c r="F50" s="307" t="n"/>
      <c r="G50" s="307" t="n"/>
      <c r="H50" s="307" t="n"/>
      <c r="I50" s="307" t="n"/>
      <c r="J50" s="306">
        <f>IF(I50="","",IFERROR(INDEX('کلاس‌بندی'!$E$5:$E$34,MATCH(I50,'کلاس‌بندی'!$D$5:$D$34,0)),"کد کلاس نامعتبر"))</f>
        <v/>
      </c>
      <c r="K50" s="306">
        <f>IF(I50="","",IFERROR(INDEX('کلاس‌بندی'!$F$5:$F$34,MATCH(I50,'کلاس‌بندی'!$D$5:$D$34,0)),""))</f>
        <v/>
      </c>
      <c r="L50" s="306">
        <f>IF(COUNTA(C50:I50)=0,"",IF(AND(LEN(C50)=10,D50&lt;&gt;"",E50&lt;&gt;"",F50&lt;&gt;"",G50&lt;&gt;"",H50&lt;&gt;"",I50&lt;&gt;""),"کامل","ناقص"))</f>
        <v/>
      </c>
    </row>
    <row r="51">
      <c r="A51" s="306" t="n">
        <v>47</v>
      </c>
      <c r="B51" s="307" t="n">
        <v>47</v>
      </c>
      <c r="C51" s="307" t="n"/>
      <c r="D51" s="307" t="n"/>
      <c r="E51" s="307" t="n"/>
      <c r="F51" s="307" t="n"/>
      <c r="G51" s="307" t="n"/>
      <c r="H51" s="307" t="n"/>
      <c r="I51" s="307" t="n"/>
      <c r="J51" s="306">
        <f>IF(I51="","",IFERROR(INDEX('کلاس‌بندی'!$E$5:$E$34,MATCH(I51,'کلاس‌بندی'!$D$5:$D$34,0)),"کد کلاس نامعتبر"))</f>
        <v/>
      </c>
      <c r="K51" s="306">
        <f>IF(I51="","",IFERROR(INDEX('کلاس‌بندی'!$F$5:$F$34,MATCH(I51,'کلاس‌بندی'!$D$5:$D$34,0)),""))</f>
        <v/>
      </c>
      <c r="L51" s="306">
        <f>IF(COUNTA(C51:I51)=0,"",IF(AND(LEN(C51)=10,D51&lt;&gt;"",E51&lt;&gt;"",F51&lt;&gt;"",G51&lt;&gt;"",H51&lt;&gt;"",I51&lt;&gt;""),"کامل","ناقص"))</f>
        <v/>
      </c>
    </row>
    <row r="52">
      <c r="A52" s="306" t="n">
        <v>48</v>
      </c>
      <c r="B52" s="307" t="n">
        <v>48</v>
      </c>
      <c r="C52" s="307" t="n"/>
      <c r="D52" s="307" t="n"/>
      <c r="E52" s="307" t="n"/>
      <c r="F52" s="307" t="n"/>
      <c r="G52" s="307" t="n"/>
      <c r="H52" s="307" t="n"/>
      <c r="I52" s="307" t="n"/>
      <c r="J52" s="306">
        <f>IF(I52="","",IFERROR(INDEX('کلاس‌بندی'!$E$5:$E$34,MATCH(I52,'کلاس‌بندی'!$D$5:$D$34,0)),"کد کلاس نامعتبر"))</f>
        <v/>
      </c>
      <c r="K52" s="306">
        <f>IF(I52="","",IFERROR(INDEX('کلاس‌بندی'!$F$5:$F$34,MATCH(I52,'کلاس‌بندی'!$D$5:$D$34,0)),""))</f>
        <v/>
      </c>
      <c r="L52" s="306">
        <f>IF(COUNTA(C52:I52)=0,"",IF(AND(LEN(C52)=10,D52&lt;&gt;"",E52&lt;&gt;"",F52&lt;&gt;"",G52&lt;&gt;"",H52&lt;&gt;"",I52&lt;&gt;""),"کامل","ناقص"))</f>
        <v/>
      </c>
    </row>
    <row r="53">
      <c r="A53" s="306" t="n">
        <v>49</v>
      </c>
      <c r="B53" s="307" t="n">
        <v>49</v>
      </c>
      <c r="C53" s="307" t="n"/>
      <c r="D53" s="307" t="n"/>
      <c r="E53" s="307" t="n"/>
      <c r="F53" s="307" t="n"/>
      <c r="G53" s="307" t="n"/>
      <c r="H53" s="307" t="n"/>
      <c r="I53" s="307" t="n"/>
      <c r="J53" s="306">
        <f>IF(I53="","",IFERROR(INDEX('کلاس‌بندی'!$E$5:$E$34,MATCH(I53,'کلاس‌بندی'!$D$5:$D$34,0)),"کد کلاس نامعتبر"))</f>
        <v/>
      </c>
      <c r="K53" s="306">
        <f>IF(I53="","",IFERROR(INDEX('کلاس‌بندی'!$F$5:$F$34,MATCH(I53,'کلاس‌بندی'!$D$5:$D$34,0)),""))</f>
        <v/>
      </c>
      <c r="L53" s="306">
        <f>IF(COUNTA(C53:I53)=0,"",IF(AND(LEN(C53)=10,D53&lt;&gt;"",E53&lt;&gt;"",F53&lt;&gt;"",G53&lt;&gt;"",H53&lt;&gt;"",I53&lt;&gt;""),"کامل","ناقص"))</f>
        <v/>
      </c>
    </row>
    <row r="54">
      <c r="A54" s="306" t="n">
        <v>50</v>
      </c>
      <c r="B54" s="307" t="n">
        <v>50</v>
      </c>
      <c r="C54" s="307" t="n"/>
      <c r="D54" s="307" t="n"/>
      <c r="E54" s="307" t="n"/>
      <c r="F54" s="307" t="n"/>
      <c r="G54" s="307" t="n"/>
      <c r="H54" s="307" t="n"/>
      <c r="I54" s="307" t="n"/>
      <c r="J54" s="306">
        <f>IF(I54="","",IFERROR(INDEX('کلاس‌بندی'!$E$5:$E$34,MATCH(I54,'کلاس‌بندی'!$D$5:$D$34,0)),"کد کلاس نامعتبر"))</f>
        <v/>
      </c>
      <c r="K54" s="306">
        <f>IF(I54="","",IFERROR(INDEX('کلاس‌بندی'!$F$5:$F$34,MATCH(I54,'کلاس‌بندی'!$D$5:$D$34,0)),""))</f>
        <v/>
      </c>
      <c r="L54" s="306">
        <f>IF(COUNTA(C54:I54)=0,"",IF(AND(LEN(C54)=10,D54&lt;&gt;"",E54&lt;&gt;"",F54&lt;&gt;"",G54&lt;&gt;"",H54&lt;&gt;"",I54&lt;&gt;""),"کامل","ناقص"))</f>
        <v/>
      </c>
    </row>
    <row r="55">
      <c r="A55" s="306" t="n">
        <v>51</v>
      </c>
      <c r="B55" s="307" t="n">
        <v>51</v>
      </c>
      <c r="C55" s="307" t="n"/>
      <c r="D55" s="307" t="n"/>
      <c r="E55" s="307" t="n"/>
      <c r="F55" s="307" t="n"/>
      <c r="G55" s="307" t="n"/>
      <c r="H55" s="307" t="n"/>
      <c r="I55" s="307" t="n"/>
      <c r="J55" s="306">
        <f>IF(I55="","",IFERROR(INDEX('کلاس‌بندی'!$E$5:$E$34,MATCH(I55,'کلاس‌بندی'!$D$5:$D$34,0)),"کد کلاس نامعتبر"))</f>
        <v/>
      </c>
      <c r="K55" s="306">
        <f>IF(I55="","",IFERROR(INDEX('کلاس‌بندی'!$F$5:$F$34,MATCH(I55,'کلاس‌بندی'!$D$5:$D$34,0)),""))</f>
        <v/>
      </c>
      <c r="L55" s="306">
        <f>IF(COUNTA(C55:I55)=0,"",IF(AND(LEN(C55)=10,D55&lt;&gt;"",E55&lt;&gt;"",F55&lt;&gt;"",G55&lt;&gt;"",H55&lt;&gt;"",I55&lt;&gt;""),"کامل","ناقص"))</f>
        <v/>
      </c>
    </row>
    <row r="56">
      <c r="A56" s="306" t="n">
        <v>52</v>
      </c>
      <c r="B56" s="307" t="n">
        <v>52</v>
      </c>
      <c r="C56" s="307" t="n"/>
      <c r="D56" s="307" t="n"/>
      <c r="E56" s="307" t="n"/>
      <c r="F56" s="307" t="n"/>
      <c r="G56" s="307" t="n"/>
      <c r="H56" s="307" t="n"/>
      <c r="I56" s="307" t="n"/>
      <c r="J56" s="306">
        <f>IF(I56="","",IFERROR(INDEX('کلاس‌بندی'!$E$5:$E$34,MATCH(I56,'کلاس‌بندی'!$D$5:$D$34,0)),"کد کلاس نامعتبر"))</f>
        <v/>
      </c>
      <c r="K56" s="306">
        <f>IF(I56="","",IFERROR(INDEX('کلاس‌بندی'!$F$5:$F$34,MATCH(I56,'کلاس‌بندی'!$D$5:$D$34,0)),""))</f>
        <v/>
      </c>
      <c r="L56" s="306">
        <f>IF(COUNTA(C56:I56)=0,"",IF(AND(LEN(C56)=10,D56&lt;&gt;"",E56&lt;&gt;"",F56&lt;&gt;"",G56&lt;&gt;"",H56&lt;&gt;"",I56&lt;&gt;""),"کامل","ناقص"))</f>
        <v/>
      </c>
    </row>
    <row r="57">
      <c r="A57" s="306" t="n">
        <v>53</v>
      </c>
      <c r="B57" s="307" t="n">
        <v>53</v>
      </c>
      <c r="C57" s="307" t="n"/>
      <c r="D57" s="307" t="n"/>
      <c r="E57" s="307" t="n"/>
      <c r="F57" s="307" t="n"/>
      <c r="G57" s="307" t="n"/>
      <c r="H57" s="307" t="n"/>
      <c r="I57" s="307" t="n"/>
      <c r="J57" s="306">
        <f>IF(I57="","",IFERROR(INDEX('کلاس‌بندی'!$E$5:$E$34,MATCH(I57,'کلاس‌بندی'!$D$5:$D$34,0)),"کد کلاس نامعتبر"))</f>
        <v/>
      </c>
      <c r="K57" s="306">
        <f>IF(I57="","",IFERROR(INDEX('کلاس‌بندی'!$F$5:$F$34,MATCH(I57,'کلاس‌بندی'!$D$5:$D$34,0)),""))</f>
        <v/>
      </c>
      <c r="L57" s="306">
        <f>IF(COUNTA(C57:I57)=0,"",IF(AND(LEN(C57)=10,D57&lt;&gt;"",E57&lt;&gt;"",F57&lt;&gt;"",G57&lt;&gt;"",H57&lt;&gt;"",I57&lt;&gt;""),"کامل","ناقص"))</f>
        <v/>
      </c>
    </row>
    <row r="58">
      <c r="A58" s="306" t="n">
        <v>54</v>
      </c>
      <c r="B58" s="307" t="n">
        <v>54</v>
      </c>
      <c r="C58" s="307" t="n"/>
      <c r="D58" s="307" t="n"/>
      <c r="E58" s="307" t="n"/>
      <c r="F58" s="307" t="n"/>
      <c r="G58" s="307" t="n"/>
      <c r="H58" s="307" t="n"/>
      <c r="I58" s="307" t="n"/>
      <c r="J58" s="306">
        <f>IF(I58="","",IFERROR(INDEX('کلاس‌بندی'!$E$5:$E$34,MATCH(I58,'کلاس‌بندی'!$D$5:$D$34,0)),"کد کلاس نامعتبر"))</f>
        <v/>
      </c>
      <c r="K58" s="306">
        <f>IF(I58="","",IFERROR(INDEX('کلاس‌بندی'!$F$5:$F$34,MATCH(I58,'کلاس‌بندی'!$D$5:$D$34,0)),""))</f>
        <v/>
      </c>
      <c r="L58" s="306">
        <f>IF(COUNTA(C58:I58)=0,"",IF(AND(LEN(C58)=10,D58&lt;&gt;"",E58&lt;&gt;"",F58&lt;&gt;"",G58&lt;&gt;"",H58&lt;&gt;"",I58&lt;&gt;""),"کامل","ناقص"))</f>
        <v/>
      </c>
    </row>
    <row r="59">
      <c r="A59" s="306" t="n">
        <v>55</v>
      </c>
      <c r="B59" s="307" t="n">
        <v>55</v>
      </c>
      <c r="C59" s="307" t="n"/>
      <c r="D59" s="307" t="n"/>
      <c r="E59" s="307" t="n"/>
      <c r="F59" s="307" t="n"/>
      <c r="G59" s="307" t="n"/>
      <c r="H59" s="307" t="n"/>
      <c r="I59" s="307" t="n"/>
      <c r="J59" s="306">
        <f>IF(I59="","",IFERROR(INDEX('کلاس‌بندی'!$E$5:$E$34,MATCH(I59,'کلاس‌بندی'!$D$5:$D$34,0)),"کد کلاس نامعتبر"))</f>
        <v/>
      </c>
      <c r="K59" s="306">
        <f>IF(I59="","",IFERROR(INDEX('کلاس‌بندی'!$F$5:$F$34,MATCH(I59,'کلاس‌بندی'!$D$5:$D$34,0)),""))</f>
        <v/>
      </c>
      <c r="L59" s="306">
        <f>IF(COUNTA(C59:I59)=0,"",IF(AND(LEN(C59)=10,D59&lt;&gt;"",E59&lt;&gt;"",F59&lt;&gt;"",G59&lt;&gt;"",H59&lt;&gt;"",I59&lt;&gt;""),"کامل","ناقص"))</f>
        <v/>
      </c>
    </row>
    <row r="60">
      <c r="A60" s="306" t="n">
        <v>56</v>
      </c>
      <c r="B60" s="307" t="n">
        <v>56</v>
      </c>
      <c r="C60" s="307" t="n"/>
      <c r="D60" s="307" t="n"/>
      <c r="E60" s="307" t="n"/>
      <c r="F60" s="307" t="n"/>
      <c r="G60" s="307" t="n"/>
      <c r="H60" s="307" t="n"/>
      <c r="I60" s="307" t="n"/>
      <c r="J60" s="306">
        <f>IF(I60="","",IFERROR(INDEX('کلاس‌بندی'!$E$5:$E$34,MATCH(I60,'کلاس‌بندی'!$D$5:$D$34,0)),"کد کلاس نامعتبر"))</f>
        <v/>
      </c>
      <c r="K60" s="306">
        <f>IF(I60="","",IFERROR(INDEX('کلاس‌بندی'!$F$5:$F$34,MATCH(I60,'کلاس‌بندی'!$D$5:$D$34,0)),""))</f>
        <v/>
      </c>
      <c r="L60" s="306">
        <f>IF(COUNTA(C60:I60)=0,"",IF(AND(LEN(C60)=10,D60&lt;&gt;"",E60&lt;&gt;"",F60&lt;&gt;"",G60&lt;&gt;"",H60&lt;&gt;"",I60&lt;&gt;""),"کامل","ناقص"))</f>
        <v/>
      </c>
    </row>
    <row r="61">
      <c r="A61" s="306" t="n">
        <v>57</v>
      </c>
      <c r="B61" s="307" t="n">
        <v>57</v>
      </c>
      <c r="C61" s="307" t="n"/>
      <c r="D61" s="307" t="n"/>
      <c r="E61" s="307" t="n"/>
      <c r="F61" s="307" t="n"/>
      <c r="G61" s="307" t="n"/>
      <c r="H61" s="307" t="n"/>
      <c r="I61" s="307" t="n"/>
      <c r="J61" s="306">
        <f>IF(I61="","",IFERROR(INDEX('کلاس‌بندی'!$E$5:$E$34,MATCH(I61,'کلاس‌بندی'!$D$5:$D$34,0)),"کد کلاس نامعتبر"))</f>
        <v/>
      </c>
      <c r="K61" s="306">
        <f>IF(I61="","",IFERROR(INDEX('کلاس‌بندی'!$F$5:$F$34,MATCH(I61,'کلاس‌بندی'!$D$5:$D$34,0)),""))</f>
        <v/>
      </c>
      <c r="L61" s="306">
        <f>IF(COUNTA(C61:I61)=0,"",IF(AND(LEN(C61)=10,D61&lt;&gt;"",E61&lt;&gt;"",F61&lt;&gt;"",G61&lt;&gt;"",H61&lt;&gt;"",I61&lt;&gt;""),"کامل","ناقص"))</f>
        <v/>
      </c>
    </row>
    <row r="62">
      <c r="A62" s="306" t="n">
        <v>58</v>
      </c>
      <c r="B62" s="307" t="n">
        <v>58</v>
      </c>
      <c r="C62" s="307" t="n"/>
      <c r="D62" s="307" t="n"/>
      <c r="E62" s="307" t="n"/>
      <c r="F62" s="307" t="n"/>
      <c r="G62" s="307" t="n"/>
      <c r="H62" s="307" t="n"/>
      <c r="I62" s="307" t="n"/>
      <c r="J62" s="306">
        <f>IF(I62="","",IFERROR(INDEX('کلاس‌بندی'!$E$5:$E$34,MATCH(I62,'کلاس‌بندی'!$D$5:$D$34,0)),"کد کلاس نامعتبر"))</f>
        <v/>
      </c>
      <c r="K62" s="306">
        <f>IF(I62="","",IFERROR(INDEX('کلاس‌بندی'!$F$5:$F$34,MATCH(I62,'کلاس‌بندی'!$D$5:$D$34,0)),""))</f>
        <v/>
      </c>
      <c r="L62" s="306">
        <f>IF(COUNTA(C62:I62)=0,"",IF(AND(LEN(C62)=10,D62&lt;&gt;"",E62&lt;&gt;"",F62&lt;&gt;"",G62&lt;&gt;"",H62&lt;&gt;"",I62&lt;&gt;""),"کامل","ناقص"))</f>
        <v/>
      </c>
    </row>
    <row r="63">
      <c r="A63" s="306" t="n">
        <v>59</v>
      </c>
      <c r="B63" s="307" t="n">
        <v>59</v>
      </c>
      <c r="C63" s="307" t="n"/>
      <c r="D63" s="307" t="n"/>
      <c r="E63" s="307" t="n"/>
      <c r="F63" s="307" t="n"/>
      <c r="G63" s="307" t="n"/>
      <c r="H63" s="307" t="n"/>
      <c r="I63" s="307" t="n"/>
      <c r="J63" s="306">
        <f>IF(I63="","",IFERROR(INDEX('کلاس‌بندی'!$E$5:$E$34,MATCH(I63,'کلاس‌بندی'!$D$5:$D$34,0)),"کد کلاس نامعتبر"))</f>
        <v/>
      </c>
      <c r="K63" s="306">
        <f>IF(I63="","",IFERROR(INDEX('کلاس‌بندی'!$F$5:$F$34,MATCH(I63,'کلاس‌بندی'!$D$5:$D$34,0)),""))</f>
        <v/>
      </c>
      <c r="L63" s="306">
        <f>IF(COUNTA(C63:I63)=0,"",IF(AND(LEN(C63)=10,D63&lt;&gt;"",E63&lt;&gt;"",F63&lt;&gt;"",G63&lt;&gt;"",H63&lt;&gt;"",I63&lt;&gt;""),"کامل","ناقص"))</f>
        <v/>
      </c>
    </row>
    <row r="64">
      <c r="A64" s="306" t="n">
        <v>60</v>
      </c>
      <c r="B64" s="307" t="n">
        <v>60</v>
      </c>
      <c r="C64" s="307" t="n"/>
      <c r="D64" s="307" t="n"/>
      <c r="E64" s="307" t="n"/>
      <c r="F64" s="307" t="n"/>
      <c r="G64" s="307" t="n"/>
      <c r="H64" s="307" t="n"/>
      <c r="I64" s="307" t="n"/>
      <c r="J64" s="306">
        <f>IF(I64="","",IFERROR(INDEX('کلاس‌بندی'!$E$5:$E$34,MATCH(I64,'کلاس‌بندی'!$D$5:$D$34,0)),"کد کلاس نامعتبر"))</f>
        <v/>
      </c>
      <c r="K64" s="306">
        <f>IF(I64="","",IFERROR(INDEX('کلاس‌بندی'!$F$5:$F$34,MATCH(I64,'کلاس‌بندی'!$D$5:$D$34,0)),""))</f>
        <v/>
      </c>
      <c r="L64" s="306">
        <f>IF(COUNTA(C64:I64)=0,"",IF(AND(LEN(C64)=10,D64&lt;&gt;"",E64&lt;&gt;"",F64&lt;&gt;"",G64&lt;&gt;"",H64&lt;&gt;"",I64&lt;&gt;""),"کامل","ناقص"))</f>
        <v/>
      </c>
    </row>
    <row r="65">
      <c r="A65" s="306" t="n">
        <v>61</v>
      </c>
      <c r="B65" s="307" t="n">
        <v>61</v>
      </c>
      <c r="C65" s="307" t="n"/>
      <c r="D65" s="307" t="n"/>
      <c r="E65" s="307" t="n"/>
      <c r="F65" s="307" t="n"/>
      <c r="G65" s="307" t="n"/>
      <c r="H65" s="307" t="n"/>
      <c r="I65" s="307" t="n"/>
      <c r="J65" s="306">
        <f>IF(I65="","",IFERROR(INDEX('کلاس‌بندی'!$E$5:$E$34,MATCH(I65,'کلاس‌بندی'!$D$5:$D$34,0)),"کد کلاس نامعتبر"))</f>
        <v/>
      </c>
      <c r="K65" s="306">
        <f>IF(I65="","",IFERROR(INDEX('کلاس‌بندی'!$F$5:$F$34,MATCH(I65,'کلاس‌بندی'!$D$5:$D$34,0)),""))</f>
        <v/>
      </c>
      <c r="L65" s="306">
        <f>IF(COUNTA(C65:I65)=0,"",IF(AND(LEN(C65)=10,D65&lt;&gt;"",E65&lt;&gt;"",F65&lt;&gt;"",G65&lt;&gt;"",H65&lt;&gt;"",I65&lt;&gt;""),"کامل","ناقص"))</f>
        <v/>
      </c>
    </row>
    <row r="66">
      <c r="A66" s="306" t="n">
        <v>62</v>
      </c>
      <c r="B66" s="307" t="n">
        <v>62</v>
      </c>
      <c r="C66" s="307" t="n"/>
      <c r="D66" s="307" t="n"/>
      <c r="E66" s="307" t="n"/>
      <c r="F66" s="307" t="n"/>
      <c r="G66" s="307" t="n"/>
      <c r="H66" s="307" t="n"/>
      <c r="I66" s="307" t="n"/>
      <c r="J66" s="306">
        <f>IF(I66="","",IFERROR(INDEX('کلاس‌بندی'!$E$5:$E$34,MATCH(I66,'کلاس‌بندی'!$D$5:$D$34,0)),"کد کلاس نامعتبر"))</f>
        <v/>
      </c>
      <c r="K66" s="306">
        <f>IF(I66="","",IFERROR(INDEX('کلاس‌بندی'!$F$5:$F$34,MATCH(I66,'کلاس‌بندی'!$D$5:$D$34,0)),""))</f>
        <v/>
      </c>
      <c r="L66" s="306">
        <f>IF(COUNTA(C66:I66)=0,"",IF(AND(LEN(C66)=10,D66&lt;&gt;"",E66&lt;&gt;"",F66&lt;&gt;"",G66&lt;&gt;"",H66&lt;&gt;"",I66&lt;&gt;""),"کامل","ناقص"))</f>
        <v/>
      </c>
    </row>
    <row r="67">
      <c r="A67" s="306" t="n">
        <v>63</v>
      </c>
      <c r="B67" s="307" t="n">
        <v>63</v>
      </c>
      <c r="C67" s="307" t="n"/>
      <c r="D67" s="307" t="n"/>
      <c r="E67" s="307" t="n"/>
      <c r="F67" s="307" t="n"/>
      <c r="G67" s="307" t="n"/>
      <c r="H67" s="307" t="n"/>
      <c r="I67" s="307" t="n"/>
      <c r="J67" s="306">
        <f>IF(I67="","",IFERROR(INDEX('کلاس‌بندی'!$E$5:$E$34,MATCH(I67,'کلاس‌بندی'!$D$5:$D$34,0)),"کد کلاس نامعتبر"))</f>
        <v/>
      </c>
      <c r="K67" s="306">
        <f>IF(I67="","",IFERROR(INDEX('کلاس‌بندی'!$F$5:$F$34,MATCH(I67,'کلاس‌بندی'!$D$5:$D$34,0)),""))</f>
        <v/>
      </c>
      <c r="L67" s="306">
        <f>IF(COUNTA(C67:I67)=0,"",IF(AND(LEN(C67)=10,D67&lt;&gt;"",E67&lt;&gt;"",F67&lt;&gt;"",G67&lt;&gt;"",H67&lt;&gt;"",I67&lt;&gt;""),"کامل","ناقص"))</f>
        <v/>
      </c>
    </row>
    <row r="68">
      <c r="A68" s="306" t="n">
        <v>64</v>
      </c>
      <c r="B68" s="307" t="n">
        <v>64</v>
      </c>
      <c r="C68" s="307" t="n"/>
      <c r="D68" s="307" t="n"/>
      <c r="E68" s="307" t="n"/>
      <c r="F68" s="307" t="n"/>
      <c r="G68" s="307" t="n"/>
      <c r="H68" s="307" t="n"/>
      <c r="I68" s="307" t="n"/>
      <c r="J68" s="306">
        <f>IF(I68="","",IFERROR(INDEX('کلاس‌بندی'!$E$5:$E$34,MATCH(I68,'کلاس‌بندی'!$D$5:$D$34,0)),"کد کلاس نامعتبر"))</f>
        <v/>
      </c>
      <c r="K68" s="306">
        <f>IF(I68="","",IFERROR(INDEX('کلاس‌بندی'!$F$5:$F$34,MATCH(I68,'کلاس‌بندی'!$D$5:$D$34,0)),""))</f>
        <v/>
      </c>
      <c r="L68" s="306">
        <f>IF(COUNTA(C68:I68)=0,"",IF(AND(LEN(C68)=10,D68&lt;&gt;"",E68&lt;&gt;"",F68&lt;&gt;"",G68&lt;&gt;"",H68&lt;&gt;"",I68&lt;&gt;""),"کامل","ناقص"))</f>
        <v/>
      </c>
    </row>
    <row r="69">
      <c r="A69" s="306" t="n">
        <v>65</v>
      </c>
      <c r="B69" s="307" t="n">
        <v>65</v>
      </c>
      <c r="C69" s="307" t="n"/>
      <c r="D69" s="307" t="n"/>
      <c r="E69" s="307" t="n"/>
      <c r="F69" s="307" t="n"/>
      <c r="G69" s="307" t="n"/>
      <c r="H69" s="307" t="n"/>
      <c r="I69" s="307" t="n"/>
      <c r="J69" s="306">
        <f>IF(I69="","",IFERROR(INDEX('کلاس‌بندی'!$E$5:$E$34,MATCH(I69,'کلاس‌بندی'!$D$5:$D$34,0)),"کد کلاس نامعتبر"))</f>
        <v/>
      </c>
      <c r="K69" s="306">
        <f>IF(I69="","",IFERROR(INDEX('کلاس‌بندی'!$F$5:$F$34,MATCH(I69,'کلاس‌بندی'!$D$5:$D$34,0)),""))</f>
        <v/>
      </c>
      <c r="L69" s="306">
        <f>IF(COUNTA(C69:I69)=0,"",IF(AND(LEN(C69)=10,D69&lt;&gt;"",E69&lt;&gt;"",F69&lt;&gt;"",G69&lt;&gt;"",H69&lt;&gt;"",I69&lt;&gt;""),"کامل","ناقص"))</f>
        <v/>
      </c>
    </row>
    <row r="70">
      <c r="A70" s="306" t="n">
        <v>66</v>
      </c>
      <c r="B70" s="307" t="n">
        <v>66</v>
      </c>
      <c r="C70" s="307" t="n"/>
      <c r="D70" s="307" t="n"/>
      <c r="E70" s="307" t="n"/>
      <c r="F70" s="307" t="n"/>
      <c r="G70" s="307" t="n"/>
      <c r="H70" s="307" t="n"/>
      <c r="I70" s="307" t="n"/>
      <c r="J70" s="306">
        <f>IF(I70="","",IFERROR(INDEX('کلاس‌بندی'!$E$5:$E$34,MATCH(I70,'کلاس‌بندی'!$D$5:$D$34,0)),"کد کلاس نامعتبر"))</f>
        <v/>
      </c>
      <c r="K70" s="306">
        <f>IF(I70="","",IFERROR(INDEX('کلاس‌بندی'!$F$5:$F$34,MATCH(I70,'کلاس‌بندی'!$D$5:$D$34,0)),""))</f>
        <v/>
      </c>
      <c r="L70" s="306">
        <f>IF(COUNTA(C70:I70)=0,"",IF(AND(LEN(C70)=10,D70&lt;&gt;"",E70&lt;&gt;"",F70&lt;&gt;"",G70&lt;&gt;"",H70&lt;&gt;"",I70&lt;&gt;""),"کامل","ناقص"))</f>
        <v/>
      </c>
    </row>
    <row r="71">
      <c r="A71" s="306" t="n">
        <v>67</v>
      </c>
      <c r="B71" s="307" t="n">
        <v>67</v>
      </c>
      <c r="C71" s="307" t="n"/>
      <c r="D71" s="307" t="n"/>
      <c r="E71" s="307" t="n"/>
      <c r="F71" s="307" t="n"/>
      <c r="G71" s="307" t="n"/>
      <c r="H71" s="307" t="n"/>
      <c r="I71" s="307" t="n"/>
      <c r="J71" s="306">
        <f>IF(I71="","",IFERROR(INDEX('کلاس‌بندی'!$E$5:$E$34,MATCH(I71,'کلاس‌بندی'!$D$5:$D$34,0)),"کد کلاس نامعتبر"))</f>
        <v/>
      </c>
      <c r="K71" s="306">
        <f>IF(I71="","",IFERROR(INDEX('کلاس‌بندی'!$F$5:$F$34,MATCH(I71,'کلاس‌بندی'!$D$5:$D$34,0)),""))</f>
        <v/>
      </c>
      <c r="L71" s="306">
        <f>IF(COUNTA(C71:I71)=0,"",IF(AND(LEN(C71)=10,D71&lt;&gt;"",E71&lt;&gt;"",F71&lt;&gt;"",G71&lt;&gt;"",H71&lt;&gt;"",I71&lt;&gt;""),"کامل","ناقص"))</f>
        <v/>
      </c>
    </row>
    <row r="72">
      <c r="A72" s="306" t="n">
        <v>68</v>
      </c>
      <c r="B72" s="307" t="n">
        <v>68</v>
      </c>
      <c r="C72" s="307" t="n"/>
      <c r="D72" s="307" t="n"/>
      <c r="E72" s="307" t="n"/>
      <c r="F72" s="307" t="n"/>
      <c r="G72" s="307" t="n"/>
      <c r="H72" s="307" t="n"/>
      <c r="I72" s="307" t="n"/>
      <c r="J72" s="306">
        <f>IF(I72="","",IFERROR(INDEX('کلاس‌بندی'!$E$5:$E$34,MATCH(I72,'کلاس‌بندی'!$D$5:$D$34,0)),"کد کلاس نامعتبر"))</f>
        <v/>
      </c>
      <c r="K72" s="306">
        <f>IF(I72="","",IFERROR(INDEX('کلاس‌بندی'!$F$5:$F$34,MATCH(I72,'کلاس‌بندی'!$D$5:$D$34,0)),""))</f>
        <v/>
      </c>
      <c r="L72" s="306">
        <f>IF(COUNTA(C72:I72)=0,"",IF(AND(LEN(C72)=10,D72&lt;&gt;"",E72&lt;&gt;"",F72&lt;&gt;"",G72&lt;&gt;"",H72&lt;&gt;"",I72&lt;&gt;""),"کامل","ناقص"))</f>
        <v/>
      </c>
    </row>
    <row r="73">
      <c r="A73" s="306" t="n">
        <v>69</v>
      </c>
      <c r="B73" s="307" t="n">
        <v>69</v>
      </c>
      <c r="C73" s="307" t="n"/>
      <c r="D73" s="307" t="n"/>
      <c r="E73" s="307" t="n"/>
      <c r="F73" s="307" t="n"/>
      <c r="G73" s="307" t="n"/>
      <c r="H73" s="307" t="n"/>
      <c r="I73" s="307" t="n"/>
      <c r="J73" s="306">
        <f>IF(I73="","",IFERROR(INDEX('کلاس‌بندی'!$E$5:$E$34,MATCH(I73,'کلاس‌بندی'!$D$5:$D$34,0)),"کد کلاس نامعتبر"))</f>
        <v/>
      </c>
      <c r="K73" s="306">
        <f>IF(I73="","",IFERROR(INDEX('کلاس‌بندی'!$F$5:$F$34,MATCH(I73,'کلاس‌بندی'!$D$5:$D$34,0)),""))</f>
        <v/>
      </c>
      <c r="L73" s="306">
        <f>IF(COUNTA(C73:I73)=0,"",IF(AND(LEN(C73)=10,D73&lt;&gt;"",E73&lt;&gt;"",F73&lt;&gt;"",G73&lt;&gt;"",H73&lt;&gt;"",I73&lt;&gt;""),"کامل","ناقص"))</f>
        <v/>
      </c>
    </row>
    <row r="74">
      <c r="A74" s="306" t="n">
        <v>70</v>
      </c>
      <c r="B74" s="307" t="n">
        <v>70</v>
      </c>
      <c r="C74" s="307" t="n"/>
      <c r="D74" s="307" t="n"/>
      <c r="E74" s="307" t="n"/>
      <c r="F74" s="307" t="n"/>
      <c r="G74" s="307" t="n"/>
      <c r="H74" s="307" t="n"/>
      <c r="I74" s="307" t="n"/>
      <c r="J74" s="306">
        <f>IF(I74="","",IFERROR(INDEX('کلاس‌بندی'!$E$5:$E$34,MATCH(I74,'کلاس‌بندی'!$D$5:$D$34,0)),"کد کلاس نامعتبر"))</f>
        <v/>
      </c>
      <c r="K74" s="306">
        <f>IF(I74="","",IFERROR(INDEX('کلاس‌بندی'!$F$5:$F$34,MATCH(I74,'کلاس‌بندی'!$D$5:$D$34,0)),""))</f>
        <v/>
      </c>
      <c r="L74" s="306">
        <f>IF(COUNTA(C74:I74)=0,"",IF(AND(LEN(C74)=10,D74&lt;&gt;"",E74&lt;&gt;"",F74&lt;&gt;"",G74&lt;&gt;"",H74&lt;&gt;"",I74&lt;&gt;""),"کامل","ناقص"))</f>
        <v/>
      </c>
    </row>
    <row r="75">
      <c r="A75" s="306" t="n">
        <v>71</v>
      </c>
      <c r="B75" s="307" t="n">
        <v>71</v>
      </c>
      <c r="C75" s="307" t="n"/>
      <c r="D75" s="307" t="n"/>
      <c r="E75" s="307" t="n"/>
      <c r="F75" s="307" t="n"/>
      <c r="G75" s="307" t="n"/>
      <c r="H75" s="307" t="n"/>
      <c r="I75" s="307" t="n"/>
      <c r="J75" s="306">
        <f>IF(I75="","",IFERROR(INDEX('کلاس‌بندی'!$E$5:$E$34,MATCH(I75,'کلاس‌بندی'!$D$5:$D$34,0)),"کد کلاس نامعتبر"))</f>
        <v/>
      </c>
      <c r="K75" s="306">
        <f>IF(I75="","",IFERROR(INDEX('کلاس‌بندی'!$F$5:$F$34,MATCH(I75,'کلاس‌بندی'!$D$5:$D$34,0)),""))</f>
        <v/>
      </c>
      <c r="L75" s="306">
        <f>IF(COUNTA(C75:I75)=0,"",IF(AND(LEN(C75)=10,D75&lt;&gt;"",E75&lt;&gt;"",F75&lt;&gt;"",G75&lt;&gt;"",H75&lt;&gt;"",I75&lt;&gt;""),"کامل","ناقص"))</f>
        <v/>
      </c>
    </row>
    <row r="76">
      <c r="A76" s="306" t="n">
        <v>72</v>
      </c>
      <c r="B76" s="307" t="n">
        <v>72</v>
      </c>
      <c r="C76" s="307" t="n"/>
      <c r="D76" s="307" t="n"/>
      <c r="E76" s="307" t="n"/>
      <c r="F76" s="307" t="n"/>
      <c r="G76" s="307" t="n"/>
      <c r="H76" s="307" t="n"/>
      <c r="I76" s="307" t="n"/>
      <c r="J76" s="306">
        <f>IF(I76="","",IFERROR(INDEX('کلاس‌بندی'!$E$5:$E$34,MATCH(I76,'کلاس‌بندی'!$D$5:$D$34,0)),"کد کلاس نامعتبر"))</f>
        <v/>
      </c>
      <c r="K76" s="306">
        <f>IF(I76="","",IFERROR(INDEX('کلاس‌بندی'!$F$5:$F$34,MATCH(I76,'کلاس‌بندی'!$D$5:$D$34,0)),""))</f>
        <v/>
      </c>
      <c r="L76" s="306">
        <f>IF(COUNTA(C76:I76)=0,"",IF(AND(LEN(C76)=10,D76&lt;&gt;"",E76&lt;&gt;"",F76&lt;&gt;"",G76&lt;&gt;"",H76&lt;&gt;"",I76&lt;&gt;""),"کامل","ناقص"))</f>
        <v/>
      </c>
    </row>
    <row r="77">
      <c r="A77" s="306" t="n">
        <v>73</v>
      </c>
      <c r="B77" s="307" t="n">
        <v>73</v>
      </c>
      <c r="C77" s="307" t="n"/>
      <c r="D77" s="307" t="n"/>
      <c r="E77" s="307" t="n"/>
      <c r="F77" s="307" t="n"/>
      <c r="G77" s="307" t="n"/>
      <c r="H77" s="307" t="n"/>
      <c r="I77" s="307" t="n"/>
      <c r="J77" s="306">
        <f>IF(I77="","",IFERROR(INDEX('کلاس‌بندی'!$E$5:$E$34,MATCH(I77,'کلاس‌بندی'!$D$5:$D$34,0)),"کد کلاس نامعتبر"))</f>
        <v/>
      </c>
      <c r="K77" s="306">
        <f>IF(I77="","",IFERROR(INDEX('کلاس‌بندی'!$F$5:$F$34,MATCH(I77,'کلاس‌بندی'!$D$5:$D$34,0)),""))</f>
        <v/>
      </c>
      <c r="L77" s="306">
        <f>IF(COUNTA(C77:I77)=0,"",IF(AND(LEN(C77)=10,D77&lt;&gt;"",E77&lt;&gt;"",F77&lt;&gt;"",G77&lt;&gt;"",H77&lt;&gt;"",I77&lt;&gt;""),"کامل","ناقص"))</f>
        <v/>
      </c>
    </row>
    <row r="78">
      <c r="A78" s="306" t="n">
        <v>74</v>
      </c>
      <c r="B78" s="307" t="n">
        <v>74</v>
      </c>
      <c r="C78" s="307" t="n"/>
      <c r="D78" s="307" t="n"/>
      <c r="E78" s="307" t="n"/>
      <c r="F78" s="307" t="n"/>
      <c r="G78" s="307" t="n"/>
      <c r="H78" s="307" t="n"/>
      <c r="I78" s="307" t="n"/>
      <c r="J78" s="306">
        <f>IF(I78="","",IFERROR(INDEX('کلاس‌بندی'!$E$5:$E$34,MATCH(I78,'کلاس‌بندی'!$D$5:$D$34,0)),"کد کلاس نامعتبر"))</f>
        <v/>
      </c>
      <c r="K78" s="306">
        <f>IF(I78="","",IFERROR(INDEX('کلاس‌بندی'!$F$5:$F$34,MATCH(I78,'کلاس‌بندی'!$D$5:$D$34,0)),""))</f>
        <v/>
      </c>
      <c r="L78" s="306">
        <f>IF(COUNTA(C78:I78)=0,"",IF(AND(LEN(C78)=10,D78&lt;&gt;"",E78&lt;&gt;"",F78&lt;&gt;"",G78&lt;&gt;"",H78&lt;&gt;"",I78&lt;&gt;""),"کامل","ناقص"))</f>
        <v/>
      </c>
    </row>
    <row r="79">
      <c r="A79" s="306" t="n">
        <v>75</v>
      </c>
      <c r="B79" s="307" t="n">
        <v>75</v>
      </c>
      <c r="C79" s="307" t="n"/>
      <c r="D79" s="307" t="n"/>
      <c r="E79" s="307" t="n"/>
      <c r="F79" s="307" t="n"/>
      <c r="G79" s="307" t="n"/>
      <c r="H79" s="307" t="n"/>
      <c r="I79" s="307" t="n"/>
      <c r="J79" s="306">
        <f>IF(I79="","",IFERROR(INDEX('کلاس‌بندی'!$E$5:$E$34,MATCH(I79,'کلاس‌بندی'!$D$5:$D$34,0)),"کد کلاس نامعتبر"))</f>
        <v/>
      </c>
      <c r="K79" s="306">
        <f>IF(I79="","",IFERROR(INDEX('کلاس‌بندی'!$F$5:$F$34,MATCH(I79,'کلاس‌بندی'!$D$5:$D$34,0)),""))</f>
        <v/>
      </c>
      <c r="L79" s="306">
        <f>IF(COUNTA(C79:I79)=0,"",IF(AND(LEN(C79)=10,D79&lt;&gt;"",E79&lt;&gt;"",F79&lt;&gt;"",G79&lt;&gt;"",H79&lt;&gt;"",I79&lt;&gt;""),"کامل","ناقص"))</f>
        <v/>
      </c>
    </row>
    <row r="80">
      <c r="A80" s="306" t="n">
        <v>76</v>
      </c>
      <c r="B80" s="307" t="n">
        <v>76</v>
      </c>
      <c r="C80" s="307" t="n"/>
      <c r="D80" s="307" t="n"/>
      <c r="E80" s="307" t="n"/>
      <c r="F80" s="307" t="n"/>
      <c r="G80" s="307" t="n"/>
      <c r="H80" s="307" t="n"/>
      <c r="I80" s="307" t="n"/>
      <c r="J80" s="306">
        <f>IF(I80="","",IFERROR(INDEX('کلاس‌بندی'!$E$5:$E$34,MATCH(I80,'کلاس‌بندی'!$D$5:$D$34,0)),"کد کلاس نامعتبر"))</f>
        <v/>
      </c>
      <c r="K80" s="306">
        <f>IF(I80="","",IFERROR(INDEX('کلاس‌بندی'!$F$5:$F$34,MATCH(I80,'کلاس‌بندی'!$D$5:$D$34,0)),""))</f>
        <v/>
      </c>
      <c r="L80" s="306">
        <f>IF(COUNTA(C80:I80)=0,"",IF(AND(LEN(C80)=10,D80&lt;&gt;"",E80&lt;&gt;"",F80&lt;&gt;"",G80&lt;&gt;"",H80&lt;&gt;"",I80&lt;&gt;""),"کامل","ناقص"))</f>
        <v/>
      </c>
    </row>
    <row r="81">
      <c r="A81" s="306" t="n">
        <v>77</v>
      </c>
      <c r="B81" s="307" t="n">
        <v>77</v>
      </c>
      <c r="C81" s="307" t="n"/>
      <c r="D81" s="307" t="n"/>
      <c r="E81" s="307" t="n"/>
      <c r="F81" s="307" t="n"/>
      <c r="G81" s="307" t="n"/>
      <c r="H81" s="307" t="n"/>
      <c r="I81" s="307" t="n"/>
      <c r="J81" s="306">
        <f>IF(I81="","",IFERROR(INDEX('کلاس‌بندی'!$E$5:$E$34,MATCH(I81,'کلاس‌بندی'!$D$5:$D$34,0)),"کد کلاس نامعتبر"))</f>
        <v/>
      </c>
      <c r="K81" s="306">
        <f>IF(I81="","",IFERROR(INDEX('کلاس‌بندی'!$F$5:$F$34,MATCH(I81,'کلاس‌بندی'!$D$5:$D$34,0)),""))</f>
        <v/>
      </c>
      <c r="L81" s="306">
        <f>IF(COUNTA(C81:I81)=0,"",IF(AND(LEN(C81)=10,D81&lt;&gt;"",E81&lt;&gt;"",F81&lt;&gt;"",G81&lt;&gt;"",H81&lt;&gt;"",I81&lt;&gt;""),"کامل","ناقص"))</f>
        <v/>
      </c>
    </row>
    <row r="82">
      <c r="A82" s="306" t="n">
        <v>78</v>
      </c>
      <c r="B82" s="307" t="n">
        <v>78</v>
      </c>
      <c r="C82" s="307" t="n"/>
      <c r="D82" s="307" t="n"/>
      <c r="E82" s="307" t="n"/>
      <c r="F82" s="307" t="n"/>
      <c r="G82" s="307" t="n"/>
      <c r="H82" s="307" t="n"/>
      <c r="I82" s="307" t="n"/>
      <c r="J82" s="306">
        <f>IF(I82="","",IFERROR(INDEX('کلاس‌بندی'!$E$5:$E$34,MATCH(I82,'کلاس‌بندی'!$D$5:$D$34,0)),"کد کلاس نامعتبر"))</f>
        <v/>
      </c>
      <c r="K82" s="306">
        <f>IF(I82="","",IFERROR(INDEX('کلاس‌بندی'!$F$5:$F$34,MATCH(I82,'کلاس‌بندی'!$D$5:$D$34,0)),""))</f>
        <v/>
      </c>
      <c r="L82" s="306">
        <f>IF(COUNTA(C82:I82)=0,"",IF(AND(LEN(C82)=10,D82&lt;&gt;"",E82&lt;&gt;"",F82&lt;&gt;"",G82&lt;&gt;"",H82&lt;&gt;"",I82&lt;&gt;""),"کامل","ناقص"))</f>
        <v/>
      </c>
    </row>
    <row r="83">
      <c r="A83" s="306" t="n">
        <v>79</v>
      </c>
      <c r="B83" s="307" t="n">
        <v>79</v>
      </c>
      <c r="C83" s="307" t="n"/>
      <c r="D83" s="307" t="n"/>
      <c r="E83" s="307" t="n"/>
      <c r="F83" s="307" t="n"/>
      <c r="G83" s="307" t="n"/>
      <c r="H83" s="307" t="n"/>
      <c r="I83" s="307" t="n"/>
      <c r="J83" s="306">
        <f>IF(I83="","",IFERROR(INDEX('کلاس‌بندی'!$E$5:$E$34,MATCH(I83,'کلاس‌بندی'!$D$5:$D$34,0)),"کد کلاس نامعتبر"))</f>
        <v/>
      </c>
      <c r="K83" s="306">
        <f>IF(I83="","",IFERROR(INDEX('کلاس‌بندی'!$F$5:$F$34,MATCH(I83,'کلاس‌بندی'!$D$5:$D$34,0)),""))</f>
        <v/>
      </c>
      <c r="L83" s="306">
        <f>IF(COUNTA(C83:I83)=0,"",IF(AND(LEN(C83)=10,D83&lt;&gt;"",E83&lt;&gt;"",F83&lt;&gt;"",G83&lt;&gt;"",H83&lt;&gt;"",I83&lt;&gt;""),"کامل","ناقص"))</f>
        <v/>
      </c>
    </row>
    <row r="84">
      <c r="A84" s="306" t="n">
        <v>80</v>
      </c>
      <c r="B84" s="307" t="n">
        <v>80</v>
      </c>
      <c r="C84" s="307" t="n"/>
      <c r="D84" s="307" t="n"/>
      <c r="E84" s="307" t="n"/>
      <c r="F84" s="307" t="n"/>
      <c r="G84" s="307" t="n"/>
      <c r="H84" s="307" t="n"/>
      <c r="I84" s="307" t="n"/>
      <c r="J84" s="306">
        <f>IF(I84="","",IFERROR(INDEX('کلاس‌بندی'!$E$5:$E$34,MATCH(I84,'کلاس‌بندی'!$D$5:$D$34,0)),"کد کلاس نامعتبر"))</f>
        <v/>
      </c>
      <c r="K84" s="306">
        <f>IF(I84="","",IFERROR(INDEX('کلاس‌بندی'!$F$5:$F$34,MATCH(I84,'کلاس‌بندی'!$D$5:$D$34,0)),""))</f>
        <v/>
      </c>
      <c r="L84" s="306">
        <f>IF(COUNTA(C84:I84)=0,"",IF(AND(LEN(C84)=10,D84&lt;&gt;"",E84&lt;&gt;"",F84&lt;&gt;"",G84&lt;&gt;"",H84&lt;&gt;"",I84&lt;&gt;""),"کامل","ناقص"))</f>
        <v/>
      </c>
    </row>
    <row r="85">
      <c r="A85" s="306" t="n">
        <v>81</v>
      </c>
      <c r="B85" s="307" t="n">
        <v>81</v>
      </c>
      <c r="C85" s="307" t="n"/>
      <c r="D85" s="307" t="n"/>
      <c r="E85" s="307" t="n"/>
      <c r="F85" s="307" t="n"/>
      <c r="G85" s="307" t="n"/>
      <c r="H85" s="307" t="n"/>
      <c r="I85" s="307" t="n"/>
      <c r="J85" s="306">
        <f>IF(I85="","",IFERROR(INDEX('کلاس‌بندی'!$E$5:$E$34,MATCH(I85,'کلاس‌بندی'!$D$5:$D$34,0)),"کد کلاس نامعتبر"))</f>
        <v/>
      </c>
      <c r="K85" s="306">
        <f>IF(I85="","",IFERROR(INDEX('کلاس‌بندی'!$F$5:$F$34,MATCH(I85,'کلاس‌بندی'!$D$5:$D$34,0)),""))</f>
        <v/>
      </c>
      <c r="L85" s="306">
        <f>IF(COUNTA(C85:I85)=0,"",IF(AND(LEN(C85)=10,D85&lt;&gt;"",E85&lt;&gt;"",F85&lt;&gt;"",G85&lt;&gt;"",H85&lt;&gt;"",I85&lt;&gt;""),"کامل","ناقص"))</f>
        <v/>
      </c>
    </row>
    <row r="86">
      <c r="A86" s="306" t="n">
        <v>82</v>
      </c>
      <c r="B86" s="307" t="n">
        <v>82</v>
      </c>
      <c r="C86" s="307" t="n"/>
      <c r="D86" s="307" t="n"/>
      <c r="E86" s="307" t="n"/>
      <c r="F86" s="307" t="n"/>
      <c r="G86" s="307" t="n"/>
      <c r="H86" s="307" t="n"/>
      <c r="I86" s="307" t="n"/>
      <c r="J86" s="306">
        <f>IF(I86="","",IFERROR(INDEX('کلاس‌بندی'!$E$5:$E$34,MATCH(I86,'کلاس‌بندی'!$D$5:$D$34,0)),"کد کلاس نامعتبر"))</f>
        <v/>
      </c>
      <c r="K86" s="306">
        <f>IF(I86="","",IFERROR(INDEX('کلاس‌بندی'!$F$5:$F$34,MATCH(I86,'کلاس‌بندی'!$D$5:$D$34,0)),""))</f>
        <v/>
      </c>
      <c r="L86" s="306">
        <f>IF(COUNTA(C86:I86)=0,"",IF(AND(LEN(C86)=10,D86&lt;&gt;"",E86&lt;&gt;"",F86&lt;&gt;"",G86&lt;&gt;"",H86&lt;&gt;"",I86&lt;&gt;""),"کامل","ناقص"))</f>
        <v/>
      </c>
    </row>
    <row r="87">
      <c r="A87" s="306" t="n">
        <v>83</v>
      </c>
      <c r="B87" s="307" t="n">
        <v>83</v>
      </c>
      <c r="C87" s="307" t="n"/>
      <c r="D87" s="307" t="n"/>
      <c r="E87" s="307" t="n"/>
      <c r="F87" s="307" t="n"/>
      <c r="G87" s="307" t="n"/>
      <c r="H87" s="307" t="n"/>
      <c r="I87" s="307" t="n"/>
      <c r="J87" s="306">
        <f>IF(I87="","",IFERROR(INDEX('کلاس‌بندی'!$E$5:$E$34,MATCH(I87,'کلاس‌بندی'!$D$5:$D$34,0)),"کد کلاس نامعتبر"))</f>
        <v/>
      </c>
      <c r="K87" s="306">
        <f>IF(I87="","",IFERROR(INDEX('کلاس‌بندی'!$F$5:$F$34,MATCH(I87,'کلاس‌بندی'!$D$5:$D$34,0)),""))</f>
        <v/>
      </c>
      <c r="L87" s="306">
        <f>IF(COUNTA(C87:I87)=0,"",IF(AND(LEN(C87)=10,D87&lt;&gt;"",E87&lt;&gt;"",F87&lt;&gt;"",G87&lt;&gt;"",H87&lt;&gt;"",I87&lt;&gt;""),"کامل","ناقص"))</f>
        <v/>
      </c>
    </row>
    <row r="88">
      <c r="A88" s="306" t="n">
        <v>84</v>
      </c>
      <c r="B88" s="307" t="n">
        <v>84</v>
      </c>
      <c r="C88" s="307" t="n"/>
      <c r="D88" s="307" t="n"/>
      <c r="E88" s="307" t="n"/>
      <c r="F88" s="307" t="n"/>
      <c r="G88" s="307" t="n"/>
      <c r="H88" s="307" t="n"/>
      <c r="I88" s="307" t="n"/>
      <c r="J88" s="306">
        <f>IF(I88="","",IFERROR(INDEX('کلاس‌بندی'!$E$5:$E$34,MATCH(I88,'کلاس‌بندی'!$D$5:$D$34,0)),"کد کلاس نامعتبر"))</f>
        <v/>
      </c>
      <c r="K88" s="306">
        <f>IF(I88="","",IFERROR(INDEX('کلاس‌بندی'!$F$5:$F$34,MATCH(I88,'کلاس‌بندی'!$D$5:$D$34,0)),""))</f>
        <v/>
      </c>
      <c r="L88" s="306">
        <f>IF(COUNTA(C88:I88)=0,"",IF(AND(LEN(C88)=10,D88&lt;&gt;"",E88&lt;&gt;"",F88&lt;&gt;"",G88&lt;&gt;"",H88&lt;&gt;"",I88&lt;&gt;""),"کامل","ناقص"))</f>
        <v/>
      </c>
    </row>
    <row r="89">
      <c r="A89" s="306" t="n">
        <v>85</v>
      </c>
      <c r="B89" s="307" t="n">
        <v>85</v>
      </c>
      <c r="C89" s="307" t="n"/>
      <c r="D89" s="307" t="n"/>
      <c r="E89" s="307" t="n"/>
      <c r="F89" s="307" t="n"/>
      <c r="G89" s="307" t="n"/>
      <c r="H89" s="307" t="n"/>
      <c r="I89" s="307" t="n"/>
      <c r="J89" s="306">
        <f>IF(I89="","",IFERROR(INDEX('کلاس‌بندی'!$E$5:$E$34,MATCH(I89,'کلاس‌بندی'!$D$5:$D$34,0)),"کد کلاس نامعتبر"))</f>
        <v/>
      </c>
      <c r="K89" s="306">
        <f>IF(I89="","",IFERROR(INDEX('کلاس‌بندی'!$F$5:$F$34,MATCH(I89,'کلاس‌بندی'!$D$5:$D$34,0)),""))</f>
        <v/>
      </c>
      <c r="L89" s="306">
        <f>IF(COUNTA(C89:I89)=0,"",IF(AND(LEN(C89)=10,D89&lt;&gt;"",E89&lt;&gt;"",F89&lt;&gt;"",G89&lt;&gt;"",H89&lt;&gt;"",I89&lt;&gt;""),"کامل","ناقص"))</f>
        <v/>
      </c>
    </row>
    <row r="90">
      <c r="A90" s="306" t="n">
        <v>86</v>
      </c>
      <c r="B90" s="307" t="n">
        <v>86</v>
      </c>
      <c r="C90" s="307" t="n"/>
      <c r="D90" s="307" t="n"/>
      <c r="E90" s="307" t="n"/>
      <c r="F90" s="307" t="n"/>
      <c r="G90" s="307" t="n"/>
      <c r="H90" s="307" t="n"/>
      <c r="I90" s="307" t="n"/>
      <c r="J90" s="306">
        <f>IF(I90="","",IFERROR(INDEX('کلاس‌بندی'!$E$5:$E$34,MATCH(I90,'کلاس‌بندی'!$D$5:$D$34,0)),"کد کلاس نامعتبر"))</f>
        <v/>
      </c>
      <c r="K90" s="306">
        <f>IF(I90="","",IFERROR(INDEX('کلاس‌بندی'!$F$5:$F$34,MATCH(I90,'کلاس‌بندی'!$D$5:$D$34,0)),""))</f>
        <v/>
      </c>
      <c r="L90" s="306">
        <f>IF(COUNTA(C90:I90)=0,"",IF(AND(LEN(C90)=10,D90&lt;&gt;"",E90&lt;&gt;"",F90&lt;&gt;"",G90&lt;&gt;"",H90&lt;&gt;"",I90&lt;&gt;""),"کامل","ناقص"))</f>
        <v/>
      </c>
    </row>
    <row r="91">
      <c r="A91" s="306" t="n">
        <v>87</v>
      </c>
      <c r="B91" s="307" t="n">
        <v>87</v>
      </c>
      <c r="C91" s="307" t="n"/>
      <c r="D91" s="307" t="n"/>
      <c r="E91" s="307" t="n"/>
      <c r="F91" s="307" t="n"/>
      <c r="G91" s="307" t="n"/>
      <c r="H91" s="307" t="n"/>
      <c r="I91" s="307" t="n"/>
      <c r="J91" s="306">
        <f>IF(I91="","",IFERROR(INDEX('کلاس‌بندی'!$E$5:$E$34,MATCH(I91,'کلاس‌بندی'!$D$5:$D$34,0)),"کد کلاس نامعتبر"))</f>
        <v/>
      </c>
      <c r="K91" s="306">
        <f>IF(I91="","",IFERROR(INDEX('کلاس‌بندی'!$F$5:$F$34,MATCH(I91,'کلاس‌بندی'!$D$5:$D$34,0)),""))</f>
        <v/>
      </c>
      <c r="L91" s="306">
        <f>IF(COUNTA(C91:I91)=0,"",IF(AND(LEN(C91)=10,D91&lt;&gt;"",E91&lt;&gt;"",F91&lt;&gt;"",G91&lt;&gt;"",H91&lt;&gt;"",I91&lt;&gt;""),"کامل","ناقص"))</f>
        <v/>
      </c>
    </row>
    <row r="92">
      <c r="A92" s="306" t="n">
        <v>88</v>
      </c>
      <c r="B92" s="307" t="n">
        <v>88</v>
      </c>
      <c r="C92" s="307" t="n"/>
      <c r="D92" s="307" t="n"/>
      <c r="E92" s="307" t="n"/>
      <c r="F92" s="307" t="n"/>
      <c r="G92" s="307" t="n"/>
      <c r="H92" s="307" t="n"/>
      <c r="I92" s="307" t="n"/>
      <c r="J92" s="306">
        <f>IF(I92="","",IFERROR(INDEX('کلاس‌بندی'!$E$5:$E$34,MATCH(I92,'کلاس‌بندی'!$D$5:$D$34,0)),"کد کلاس نامعتبر"))</f>
        <v/>
      </c>
      <c r="K92" s="306">
        <f>IF(I92="","",IFERROR(INDEX('کلاس‌بندی'!$F$5:$F$34,MATCH(I92,'کلاس‌بندی'!$D$5:$D$34,0)),""))</f>
        <v/>
      </c>
      <c r="L92" s="306">
        <f>IF(COUNTA(C92:I92)=0,"",IF(AND(LEN(C92)=10,D92&lt;&gt;"",E92&lt;&gt;"",F92&lt;&gt;"",G92&lt;&gt;"",H92&lt;&gt;"",I92&lt;&gt;""),"کامل","ناقص"))</f>
        <v/>
      </c>
    </row>
    <row r="93">
      <c r="A93" s="306" t="n">
        <v>89</v>
      </c>
      <c r="B93" s="307" t="n">
        <v>89</v>
      </c>
      <c r="C93" s="307" t="n"/>
      <c r="D93" s="307" t="n"/>
      <c r="E93" s="307" t="n"/>
      <c r="F93" s="307" t="n"/>
      <c r="G93" s="307" t="n"/>
      <c r="H93" s="307" t="n"/>
      <c r="I93" s="307" t="n"/>
      <c r="J93" s="306">
        <f>IF(I93="","",IFERROR(INDEX('کلاس‌بندی'!$E$5:$E$34,MATCH(I93,'کلاس‌بندی'!$D$5:$D$34,0)),"کد کلاس نامعتبر"))</f>
        <v/>
      </c>
      <c r="K93" s="306">
        <f>IF(I93="","",IFERROR(INDEX('کلاس‌بندی'!$F$5:$F$34,MATCH(I93,'کلاس‌بندی'!$D$5:$D$34,0)),""))</f>
        <v/>
      </c>
      <c r="L93" s="306">
        <f>IF(COUNTA(C93:I93)=0,"",IF(AND(LEN(C93)=10,D93&lt;&gt;"",E93&lt;&gt;"",F93&lt;&gt;"",G93&lt;&gt;"",H93&lt;&gt;"",I93&lt;&gt;""),"کامل","ناقص"))</f>
        <v/>
      </c>
    </row>
    <row r="94">
      <c r="A94" s="306" t="n">
        <v>90</v>
      </c>
      <c r="B94" s="307" t="n">
        <v>90</v>
      </c>
      <c r="C94" s="307" t="n"/>
      <c r="D94" s="307" t="n"/>
      <c r="E94" s="307" t="n"/>
      <c r="F94" s="307" t="n"/>
      <c r="G94" s="307" t="n"/>
      <c r="H94" s="307" t="n"/>
      <c r="I94" s="307" t="n"/>
      <c r="J94" s="306">
        <f>IF(I94="","",IFERROR(INDEX('کلاس‌بندی'!$E$5:$E$34,MATCH(I94,'کلاس‌بندی'!$D$5:$D$34,0)),"کد کلاس نامعتبر"))</f>
        <v/>
      </c>
      <c r="K94" s="306">
        <f>IF(I94="","",IFERROR(INDEX('کلاس‌بندی'!$F$5:$F$34,MATCH(I94,'کلاس‌بندی'!$D$5:$D$34,0)),""))</f>
        <v/>
      </c>
      <c r="L94" s="306">
        <f>IF(COUNTA(C94:I94)=0,"",IF(AND(LEN(C94)=10,D94&lt;&gt;"",E94&lt;&gt;"",F94&lt;&gt;"",G94&lt;&gt;"",H94&lt;&gt;"",I94&lt;&gt;""),"کامل","ناقص"))</f>
        <v/>
      </c>
    </row>
    <row r="95">
      <c r="A95" s="306" t="n">
        <v>91</v>
      </c>
      <c r="B95" s="307" t="n">
        <v>91</v>
      </c>
      <c r="C95" s="307" t="n"/>
      <c r="D95" s="307" t="n"/>
      <c r="E95" s="307" t="n"/>
      <c r="F95" s="307" t="n"/>
      <c r="G95" s="307" t="n"/>
      <c r="H95" s="307" t="n"/>
      <c r="I95" s="307" t="n"/>
      <c r="J95" s="306">
        <f>IF(I95="","",IFERROR(INDEX('کلاس‌بندی'!$E$5:$E$34,MATCH(I95,'کلاس‌بندی'!$D$5:$D$34,0)),"کد کلاس نامعتبر"))</f>
        <v/>
      </c>
      <c r="K95" s="306">
        <f>IF(I95="","",IFERROR(INDEX('کلاس‌بندی'!$F$5:$F$34,MATCH(I95,'کلاس‌بندی'!$D$5:$D$34,0)),""))</f>
        <v/>
      </c>
      <c r="L95" s="306">
        <f>IF(COUNTA(C95:I95)=0,"",IF(AND(LEN(C95)=10,D95&lt;&gt;"",E95&lt;&gt;"",F95&lt;&gt;"",G95&lt;&gt;"",H95&lt;&gt;"",I95&lt;&gt;""),"کامل","ناقص"))</f>
        <v/>
      </c>
    </row>
    <row r="96">
      <c r="A96" s="306" t="n">
        <v>92</v>
      </c>
      <c r="B96" s="307" t="n">
        <v>92</v>
      </c>
      <c r="C96" s="307" t="n"/>
      <c r="D96" s="307" t="n"/>
      <c r="E96" s="307" t="n"/>
      <c r="F96" s="307" t="n"/>
      <c r="G96" s="307" t="n"/>
      <c r="H96" s="307" t="n"/>
      <c r="I96" s="307" t="n"/>
      <c r="J96" s="306">
        <f>IF(I96="","",IFERROR(INDEX('کلاس‌بندی'!$E$5:$E$34,MATCH(I96,'کلاس‌بندی'!$D$5:$D$34,0)),"کد کلاس نامعتبر"))</f>
        <v/>
      </c>
      <c r="K96" s="306">
        <f>IF(I96="","",IFERROR(INDEX('کلاس‌بندی'!$F$5:$F$34,MATCH(I96,'کلاس‌بندی'!$D$5:$D$34,0)),""))</f>
        <v/>
      </c>
      <c r="L96" s="306">
        <f>IF(COUNTA(C96:I96)=0,"",IF(AND(LEN(C96)=10,D96&lt;&gt;"",E96&lt;&gt;"",F96&lt;&gt;"",G96&lt;&gt;"",H96&lt;&gt;"",I96&lt;&gt;""),"کامل","ناقص"))</f>
        <v/>
      </c>
    </row>
    <row r="97">
      <c r="A97" s="306" t="n">
        <v>93</v>
      </c>
      <c r="B97" s="307" t="n">
        <v>93</v>
      </c>
      <c r="C97" s="307" t="n"/>
      <c r="D97" s="307" t="n"/>
      <c r="E97" s="307" t="n"/>
      <c r="F97" s="307" t="n"/>
      <c r="G97" s="307" t="n"/>
      <c r="H97" s="307" t="n"/>
      <c r="I97" s="307" t="n"/>
      <c r="J97" s="306">
        <f>IF(I97="","",IFERROR(INDEX('کلاس‌بندی'!$E$5:$E$34,MATCH(I97,'کلاس‌بندی'!$D$5:$D$34,0)),"کد کلاس نامعتبر"))</f>
        <v/>
      </c>
      <c r="K97" s="306">
        <f>IF(I97="","",IFERROR(INDEX('کلاس‌بندی'!$F$5:$F$34,MATCH(I97,'کلاس‌بندی'!$D$5:$D$34,0)),""))</f>
        <v/>
      </c>
      <c r="L97" s="306">
        <f>IF(COUNTA(C97:I97)=0,"",IF(AND(LEN(C97)=10,D97&lt;&gt;"",E97&lt;&gt;"",F97&lt;&gt;"",G97&lt;&gt;"",H97&lt;&gt;"",I97&lt;&gt;""),"کامل","ناقص"))</f>
        <v/>
      </c>
    </row>
    <row r="98">
      <c r="A98" s="306" t="n">
        <v>94</v>
      </c>
      <c r="B98" s="307" t="n">
        <v>94</v>
      </c>
      <c r="C98" s="307" t="n"/>
      <c r="D98" s="307" t="n"/>
      <c r="E98" s="307" t="n"/>
      <c r="F98" s="307" t="n"/>
      <c r="G98" s="307" t="n"/>
      <c r="H98" s="307" t="n"/>
      <c r="I98" s="307" t="n"/>
      <c r="J98" s="306">
        <f>IF(I98="","",IFERROR(INDEX('کلاس‌بندی'!$E$5:$E$34,MATCH(I98,'کلاس‌بندی'!$D$5:$D$34,0)),"کد کلاس نامعتبر"))</f>
        <v/>
      </c>
      <c r="K98" s="306">
        <f>IF(I98="","",IFERROR(INDEX('کلاس‌بندی'!$F$5:$F$34,MATCH(I98,'کلاس‌بندی'!$D$5:$D$34,0)),""))</f>
        <v/>
      </c>
      <c r="L98" s="306">
        <f>IF(COUNTA(C98:I98)=0,"",IF(AND(LEN(C98)=10,D98&lt;&gt;"",E98&lt;&gt;"",F98&lt;&gt;"",G98&lt;&gt;"",H98&lt;&gt;"",I98&lt;&gt;""),"کامل","ناقص"))</f>
        <v/>
      </c>
    </row>
    <row r="99">
      <c r="A99" s="306" t="n">
        <v>95</v>
      </c>
      <c r="B99" s="307" t="n">
        <v>95</v>
      </c>
      <c r="C99" s="307" t="n"/>
      <c r="D99" s="307" t="n"/>
      <c r="E99" s="307" t="n"/>
      <c r="F99" s="307" t="n"/>
      <c r="G99" s="307" t="n"/>
      <c r="H99" s="307" t="n"/>
      <c r="I99" s="307" t="n"/>
      <c r="J99" s="306">
        <f>IF(I99="","",IFERROR(INDEX('کلاس‌بندی'!$E$5:$E$34,MATCH(I99,'کلاس‌بندی'!$D$5:$D$34,0)),"کد کلاس نامعتبر"))</f>
        <v/>
      </c>
      <c r="K99" s="306">
        <f>IF(I99="","",IFERROR(INDEX('کلاس‌بندی'!$F$5:$F$34,MATCH(I99,'کلاس‌بندی'!$D$5:$D$34,0)),""))</f>
        <v/>
      </c>
      <c r="L99" s="306">
        <f>IF(COUNTA(C99:I99)=0,"",IF(AND(LEN(C99)=10,D99&lt;&gt;"",E99&lt;&gt;"",F99&lt;&gt;"",G99&lt;&gt;"",H99&lt;&gt;"",I99&lt;&gt;""),"کامل","ناقص"))</f>
        <v/>
      </c>
    </row>
    <row r="100">
      <c r="A100" s="306" t="n">
        <v>96</v>
      </c>
      <c r="B100" s="307" t="n">
        <v>96</v>
      </c>
      <c r="C100" s="307" t="n"/>
      <c r="D100" s="307" t="n"/>
      <c r="E100" s="307" t="n"/>
      <c r="F100" s="307" t="n"/>
      <c r="G100" s="307" t="n"/>
      <c r="H100" s="307" t="n"/>
      <c r="I100" s="307" t="n"/>
      <c r="J100" s="306">
        <f>IF(I100="","",IFERROR(INDEX('کلاس‌بندی'!$E$5:$E$34,MATCH(I100,'کلاس‌بندی'!$D$5:$D$34,0)),"کد کلاس نامعتبر"))</f>
        <v/>
      </c>
      <c r="K100" s="306">
        <f>IF(I100="","",IFERROR(INDEX('کلاس‌بندی'!$F$5:$F$34,MATCH(I100,'کلاس‌بندی'!$D$5:$D$34,0)),""))</f>
        <v/>
      </c>
      <c r="L100" s="306">
        <f>IF(COUNTA(C100:I100)=0,"",IF(AND(LEN(C100)=10,D100&lt;&gt;"",E100&lt;&gt;"",F100&lt;&gt;"",G100&lt;&gt;"",H100&lt;&gt;"",I100&lt;&gt;""),"کامل","ناقص"))</f>
        <v/>
      </c>
    </row>
    <row r="101">
      <c r="A101" s="306" t="n">
        <v>97</v>
      </c>
      <c r="B101" s="307" t="n">
        <v>97</v>
      </c>
      <c r="C101" s="307" t="n"/>
      <c r="D101" s="307" t="n"/>
      <c r="E101" s="307" t="n"/>
      <c r="F101" s="307" t="n"/>
      <c r="G101" s="307" t="n"/>
      <c r="H101" s="307" t="n"/>
      <c r="I101" s="307" t="n"/>
      <c r="J101" s="306">
        <f>IF(I101="","",IFERROR(INDEX('کلاس‌بندی'!$E$5:$E$34,MATCH(I101,'کلاس‌بندی'!$D$5:$D$34,0)),"کد کلاس نامعتبر"))</f>
        <v/>
      </c>
      <c r="K101" s="306">
        <f>IF(I101="","",IFERROR(INDEX('کلاس‌بندی'!$F$5:$F$34,MATCH(I101,'کلاس‌بندی'!$D$5:$D$34,0)),""))</f>
        <v/>
      </c>
      <c r="L101" s="306">
        <f>IF(COUNTA(C101:I101)=0,"",IF(AND(LEN(C101)=10,D101&lt;&gt;"",E101&lt;&gt;"",F101&lt;&gt;"",G101&lt;&gt;"",H101&lt;&gt;"",I101&lt;&gt;""),"کامل","ناقص"))</f>
        <v/>
      </c>
    </row>
    <row r="102">
      <c r="A102" s="306" t="n">
        <v>98</v>
      </c>
      <c r="B102" s="307" t="n">
        <v>98</v>
      </c>
      <c r="C102" s="307" t="n"/>
      <c r="D102" s="307" t="n"/>
      <c r="E102" s="307" t="n"/>
      <c r="F102" s="307" t="n"/>
      <c r="G102" s="307" t="n"/>
      <c r="H102" s="307" t="n"/>
      <c r="I102" s="307" t="n"/>
      <c r="J102" s="306">
        <f>IF(I102="","",IFERROR(INDEX('کلاس‌بندی'!$E$5:$E$34,MATCH(I102,'کلاس‌بندی'!$D$5:$D$34,0)),"کد کلاس نامعتبر"))</f>
        <v/>
      </c>
      <c r="K102" s="306">
        <f>IF(I102="","",IFERROR(INDEX('کلاس‌بندی'!$F$5:$F$34,MATCH(I102,'کلاس‌بندی'!$D$5:$D$34,0)),""))</f>
        <v/>
      </c>
      <c r="L102" s="306">
        <f>IF(COUNTA(C102:I102)=0,"",IF(AND(LEN(C102)=10,D102&lt;&gt;"",E102&lt;&gt;"",F102&lt;&gt;"",G102&lt;&gt;"",H102&lt;&gt;"",I102&lt;&gt;""),"کامل","ناقص"))</f>
        <v/>
      </c>
    </row>
    <row r="103">
      <c r="A103" s="306" t="n">
        <v>99</v>
      </c>
      <c r="B103" s="307" t="n">
        <v>99</v>
      </c>
      <c r="C103" s="307" t="n"/>
      <c r="D103" s="307" t="n"/>
      <c r="E103" s="307" t="n"/>
      <c r="F103" s="307" t="n"/>
      <c r="G103" s="307" t="n"/>
      <c r="H103" s="307" t="n"/>
      <c r="I103" s="307" t="n"/>
      <c r="J103" s="306">
        <f>IF(I103="","",IFERROR(INDEX('کلاس‌بندی'!$E$5:$E$34,MATCH(I103,'کلاس‌بندی'!$D$5:$D$34,0)),"کد کلاس نامعتبر"))</f>
        <v/>
      </c>
      <c r="K103" s="306">
        <f>IF(I103="","",IFERROR(INDEX('کلاس‌بندی'!$F$5:$F$34,MATCH(I103,'کلاس‌بندی'!$D$5:$D$34,0)),""))</f>
        <v/>
      </c>
      <c r="L103" s="306">
        <f>IF(COUNTA(C103:I103)=0,"",IF(AND(LEN(C103)=10,D103&lt;&gt;"",E103&lt;&gt;"",F103&lt;&gt;"",G103&lt;&gt;"",H103&lt;&gt;"",I103&lt;&gt;""),"کامل","ناقص"))</f>
        <v/>
      </c>
    </row>
    <row r="104">
      <c r="A104" s="306" t="n">
        <v>100</v>
      </c>
      <c r="B104" s="307" t="n">
        <v>100</v>
      </c>
      <c r="C104" s="307" t="n"/>
      <c r="D104" s="307" t="n"/>
      <c r="E104" s="307" t="n"/>
      <c r="F104" s="307" t="n"/>
      <c r="G104" s="307" t="n"/>
      <c r="H104" s="307" t="n"/>
      <c r="I104" s="307" t="n"/>
      <c r="J104" s="306">
        <f>IF(I104="","",IFERROR(INDEX('کلاس‌بندی'!$E$5:$E$34,MATCH(I104,'کلاس‌بندی'!$D$5:$D$34,0)),"کد کلاس نامعتبر"))</f>
        <v/>
      </c>
      <c r="K104" s="306">
        <f>IF(I104="","",IFERROR(INDEX('کلاس‌بندی'!$F$5:$F$34,MATCH(I104,'کلاس‌بندی'!$D$5:$D$34,0)),""))</f>
        <v/>
      </c>
      <c r="L104" s="306">
        <f>IF(COUNTA(C104:I104)=0,"",IF(AND(LEN(C104)=10,D104&lt;&gt;"",E104&lt;&gt;"",F104&lt;&gt;"",G104&lt;&gt;"",H104&lt;&gt;"",I104&lt;&gt;""),"کامل","ناقص"))</f>
        <v/>
      </c>
    </row>
  </sheetData>
  <autoFilter ref="A4:L104"/>
  <mergeCells count="2">
    <mergeCell ref="A2:L2"/>
    <mergeCell ref="A1:L1"/>
  </mergeCells>
  <conditionalFormatting sqref="L5:L104">
    <cfRule type="cellIs" priority="1" dxfId="0">
      <formula>"کامل"</formula>
    </cfRule>
    <cfRule type="cellIs" priority="2" dxfId="1">
      <formula>"ناقص"</formula>
    </cfRule>
  </conditionalFormatting>
  <dataValidations count="2">
    <dataValidation sqref="G5:G104" showDropDown="0" showInputMessage="0" showErrorMessage="0" allowBlank="0" type="list">
      <formula1>"دختر,پسر"</formula1>
    </dataValidation>
    <dataValidation sqref="I5:I104" showDropDown="0" showInputMessage="0" showErrorMessage="0" allowBlank="0" type="list">
      <formula1>'کلاس‌بندی'!$D$5:$D$34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1204"/>
  <sheetViews>
    <sheetView rightToLeft="1"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15" customWidth="1" min="4" max="4"/>
    <col width="27" customWidth="1" min="5" max="5"/>
    <col width="14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5" customWidth="1" min="12" max="12"/>
    <col width="12" customWidth="1" min="13" max="13"/>
    <col width="16" customWidth="1" min="14" max="14"/>
    <col width="38" customWidth="1" min="15" max="15"/>
  </cols>
  <sheetData>
    <row r="1" ht="34" customHeight="1">
      <c r="A1" s="308" t="inlineStr">
        <is>
          <t>ثبت اطلاعات ماهانه دانش‌آموزان</t>
        </is>
      </c>
    </row>
    <row r="2" ht="26" customHeight="1">
      <c r="A2" s="309" t="inlineStr">
        <is>
          <t>فقط چهار ستون زرد امتیاز و ستون توضیحات را تکمیل کنید؛ اطلاعات هویتی و نتیجه به‌صورت خودکار ساخته می‌شوند.</t>
        </is>
      </c>
    </row>
    <row r="3">
      <c r="G3" s="310" t="inlineStr">
        <is>
          <t>ورودی مدرسه</t>
        </is>
      </c>
      <c r="K3" s="311" t="inlineStr">
        <is>
          <t>محاسبه خودکار</t>
        </is>
      </c>
    </row>
    <row r="4" ht="48" customHeight="1">
      <c r="A4" s="312" t="inlineStr">
        <is>
          <t>ردیف</t>
        </is>
      </c>
      <c r="B4" s="312" t="inlineStr">
        <is>
          <t>ماه</t>
        </is>
      </c>
      <c r="C4" s="312" t="inlineStr">
        <is>
          <t>کد محلی</t>
        </is>
      </c>
      <c r="D4" s="312" t="inlineStr">
        <is>
          <t>کد ملی</t>
        </is>
      </c>
      <c r="E4" s="312" t="inlineStr">
        <is>
          <t>نام و نام خانوادگی</t>
        </is>
      </c>
      <c r="F4" s="312" t="inlineStr">
        <is>
          <t>کد کلاس</t>
        </is>
      </c>
      <c r="G4" s="312" t="inlineStr">
        <is>
          <t>نمرات درسی (۰ تا ۵)</t>
        </is>
      </c>
      <c r="H4" s="312" t="inlineStr">
        <is>
          <t>انجام تکالیف (۰ تا ۵)</t>
        </is>
      </c>
      <c r="I4" s="312" t="inlineStr">
        <is>
          <t>مشارکت در کلاس (۰ تا ۵)</t>
        </is>
      </c>
      <c r="J4" s="312" t="inlineStr">
        <is>
          <t>حضور و غیاب (۰ تا ۵)</t>
        </is>
      </c>
      <c r="K4" s="312" t="inlineStr">
        <is>
          <t>امتیاز کلی (۰ تا ۲۰)</t>
        </is>
      </c>
      <c r="L4" s="312" t="inlineStr">
        <is>
          <t>سطح عملکرد</t>
        </is>
      </c>
      <c r="M4" s="312" t="inlineStr">
        <is>
          <t>شماره ماه</t>
        </is>
      </c>
      <c r="N4" s="312" t="inlineStr">
        <is>
          <t>درصد تکمیل</t>
        </is>
      </c>
      <c r="O4" s="312" t="inlineStr">
        <is>
          <t>توضیحات</t>
        </is>
      </c>
    </row>
    <row r="5" ht="24" customHeight="1">
      <c r="A5" s="306" t="n">
        <v>1</v>
      </c>
      <c r="B5" s="306" t="inlineStr">
        <is>
          <t>تیر</t>
        </is>
      </c>
      <c r="C5" s="306">
        <f>IF('دانش‌آموزان'!E5="","",'دانش‌آموزان'!B5)</f>
        <v/>
      </c>
      <c r="D5" s="306">
        <f>IF('دانش‌آموزان'!C5="","",'دانش‌آموزان'!C5)</f>
        <v/>
      </c>
      <c r="E5" s="306">
        <f>IF('دانش‌آموزان'!E5="","",'دانش‌آموزان'!E5&amp;" "&amp;'دانش‌آموزان'!F5)</f>
        <v/>
      </c>
      <c r="F5" s="306">
        <f>IF('دانش‌آموزان'!I5="","",'دانش‌آموزان'!I5)</f>
        <v/>
      </c>
      <c r="G5" s="307" t="n"/>
      <c r="H5" s="307" t="n"/>
      <c r="I5" s="307" t="n"/>
      <c r="J5" s="307" t="n"/>
      <c r="K5" s="313">
        <f>IF(COUNT(G5:J5)=0,"",AVERAGE(G5:J5)*4)</f>
        <v/>
      </c>
      <c r="L5" s="306">
        <f>IF(C5="","",IF(COUNT(G5:J5)=0,"",IF(COUNT(G5:J5)&lt;4,"موقت - اطلاعات ناقص",IF(K5&gt;=17,"عالی",IF(K5&gt;=14,"خوب",IF(K5&gt;=10,"متوسط","ضعیف"))))))</f>
        <v/>
      </c>
      <c r="M5" s="306" t="n">
        <v>1</v>
      </c>
      <c r="N5" s="314">
        <f>IF(C5="","",COUNT(G5:J5)/4)</f>
        <v/>
      </c>
      <c r="O5" s="307" t="n"/>
    </row>
    <row r="6" ht="24" customHeight="1">
      <c r="A6" s="306" t="n">
        <v>2</v>
      </c>
      <c r="B6" s="306" t="inlineStr">
        <is>
          <t>مرداد</t>
        </is>
      </c>
      <c r="C6" s="306">
        <f>IF('دانش‌آموزان'!E5="","",'دانش‌آموزان'!B5)</f>
        <v/>
      </c>
      <c r="D6" s="306">
        <f>IF('دانش‌آموزان'!C5="","",'دانش‌آموزان'!C5)</f>
        <v/>
      </c>
      <c r="E6" s="306">
        <f>IF('دانش‌آموزان'!E5="","",'دانش‌آموزان'!E5&amp;" "&amp;'دانش‌آموزان'!F5)</f>
        <v/>
      </c>
      <c r="F6" s="306">
        <f>IF('دانش‌آموزان'!I5="","",'دانش‌آموزان'!I5)</f>
        <v/>
      </c>
      <c r="G6" s="307" t="n"/>
      <c r="H6" s="307" t="n"/>
      <c r="I6" s="307" t="n"/>
      <c r="J6" s="307" t="n"/>
      <c r="K6" s="313">
        <f>IF(COUNT(G6:J6)=0,"",AVERAGE(G6:J6)*4)</f>
        <v/>
      </c>
      <c r="L6" s="306">
        <f>IF(C6="","",IF(COUNT(G6:J6)=0,"",IF(COUNT(G6:J6)&lt;4,"موقت - اطلاعات ناقص",IF(K6&gt;=17,"عالی",IF(K6&gt;=14,"خوب",IF(K6&gt;=10,"متوسط","ضعیف"))))))</f>
        <v/>
      </c>
      <c r="M6" s="306" t="n">
        <v>2</v>
      </c>
      <c r="N6" s="314">
        <f>IF(C6="","",COUNT(G6:J6)/4)</f>
        <v/>
      </c>
      <c r="O6" s="307" t="n"/>
    </row>
    <row r="7" ht="24" customHeight="1">
      <c r="A7" s="306" t="n">
        <v>3</v>
      </c>
      <c r="B7" s="306" t="inlineStr">
        <is>
          <t>شهریور</t>
        </is>
      </c>
      <c r="C7" s="306">
        <f>IF('دانش‌آموزان'!E5="","",'دانش‌آموزان'!B5)</f>
        <v/>
      </c>
      <c r="D7" s="306">
        <f>IF('دانش‌آموزان'!C5="","",'دانش‌آموزان'!C5)</f>
        <v/>
      </c>
      <c r="E7" s="306">
        <f>IF('دانش‌آموزان'!E5="","",'دانش‌آموزان'!E5&amp;" "&amp;'دانش‌آموزان'!F5)</f>
        <v/>
      </c>
      <c r="F7" s="306">
        <f>IF('دانش‌آموزان'!I5="","",'دانش‌آموزان'!I5)</f>
        <v/>
      </c>
      <c r="G7" s="307" t="n"/>
      <c r="H7" s="307" t="n"/>
      <c r="I7" s="307" t="n"/>
      <c r="J7" s="307" t="n"/>
      <c r="K7" s="313">
        <f>IF(COUNT(G7:J7)=0,"",AVERAGE(G7:J7)*4)</f>
        <v/>
      </c>
      <c r="L7" s="306">
        <f>IF(C7="","",IF(COUNT(G7:J7)=0,"",IF(COUNT(G7:J7)&lt;4,"موقت - اطلاعات ناقص",IF(K7&gt;=17,"عالی",IF(K7&gt;=14,"خوب",IF(K7&gt;=10,"متوسط","ضعیف"))))))</f>
        <v/>
      </c>
      <c r="M7" s="306" t="n">
        <v>3</v>
      </c>
      <c r="N7" s="314">
        <f>IF(C7="","",COUNT(G7:J7)/4)</f>
        <v/>
      </c>
      <c r="O7" s="307" t="n"/>
    </row>
    <row r="8" ht="24" customHeight="1">
      <c r="A8" s="306" t="n">
        <v>4</v>
      </c>
      <c r="B8" s="306" t="inlineStr">
        <is>
          <t>مهر</t>
        </is>
      </c>
      <c r="C8" s="306">
        <f>IF('دانش‌آموزان'!E5="","",'دانش‌آموزان'!B5)</f>
        <v/>
      </c>
      <c r="D8" s="306">
        <f>IF('دانش‌آموزان'!C5="","",'دانش‌آموزان'!C5)</f>
        <v/>
      </c>
      <c r="E8" s="306">
        <f>IF('دانش‌آموزان'!E5="","",'دانش‌آموزان'!E5&amp;" "&amp;'دانش‌آموزان'!F5)</f>
        <v/>
      </c>
      <c r="F8" s="306">
        <f>IF('دانش‌آموزان'!I5="","",'دانش‌آموزان'!I5)</f>
        <v/>
      </c>
      <c r="G8" s="307" t="n"/>
      <c r="H8" s="307" t="n"/>
      <c r="I8" s="307" t="n"/>
      <c r="J8" s="307" t="n"/>
      <c r="K8" s="313">
        <f>IF(COUNT(G8:J8)=0,"",AVERAGE(G8:J8)*4)</f>
        <v/>
      </c>
      <c r="L8" s="306">
        <f>IF(C8="","",IF(COUNT(G8:J8)=0,"",IF(COUNT(G8:J8)&lt;4,"موقت - اطلاعات ناقص",IF(K8&gt;=17,"عالی",IF(K8&gt;=14,"خوب",IF(K8&gt;=10,"متوسط","ضعیف"))))))</f>
        <v/>
      </c>
      <c r="M8" s="306" t="n">
        <v>4</v>
      </c>
      <c r="N8" s="314">
        <f>IF(C8="","",COUNT(G8:J8)/4)</f>
        <v/>
      </c>
      <c r="O8" s="307" t="n"/>
    </row>
    <row r="9" ht="24" customHeight="1">
      <c r="A9" s="306" t="n">
        <v>5</v>
      </c>
      <c r="B9" s="306" t="inlineStr">
        <is>
          <t>آبان</t>
        </is>
      </c>
      <c r="C9" s="306">
        <f>IF('دانش‌آموزان'!E5="","",'دانش‌آموزان'!B5)</f>
        <v/>
      </c>
      <c r="D9" s="306">
        <f>IF('دانش‌آموزان'!C5="","",'دانش‌آموزان'!C5)</f>
        <v/>
      </c>
      <c r="E9" s="306">
        <f>IF('دانش‌آموزان'!E5="","",'دانش‌آموزان'!E5&amp;" "&amp;'دانش‌آموزان'!F5)</f>
        <v/>
      </c>
      <c r="F9" s="306">
        <f>IF('دانش‌آموزان'!I5="","",'دانش‌آموزان'!I5)</f>
        <v/>
      </c>
      <c r="G9" s="307" t="n"/>
      <c r="H9" s="307" t="n"/>
      <c r="I9" s="307" t="n"/>
      <c r="J9" s="307" t="n"/>
      <c r="K9" s="313">
        <f>IF(COUNT(G9:J9)=0,"",AVERAGE(G9:J9)*4)</f>
        <v/>
      </c>
      <c r="L9" s="306">
        <f>IF(C9="","",IF(COUNT(G9:J9)=0,"",IF(COUNT(G9:J9)&lt;4,"موقت - اطلاعات ناقص",IF(K9&gt;=17,"عالی",IF(K9&gt;=14,"خوب",IF(K9&gt;=10,"متوسط","ضعیف"))))))</f>
        <v/>
      </c>
      <c r="M9" s="306" t="n">
        <v>5</v>
      </c>
      <c r="N9" s="314">
        <f>IF(C9="","",COUNT(G9:J9)/4)</f>
        <v/>
      </c>
      <c r="O9" s="307" t="n"/>
    </row>
    <row r="10" ht="24" customHeight="1">
      <c r="A10" s="306" t="n">
        <v>6</v>
      </c>
      <c r="B10" s="306" t="inlineStr">
        <is>
          <t>آذر</t>
        </is>
      </c>
      <c r="C10" s="306">
        <f>IF('دانش‌آموزان'!E5="","",'دانش‌آموزان'!B5)</f>
        <v/>
      </c>
      <c r="D10" s="306">
        <f>IF('دانش‌آموزان'!C5="","",'دانش‌آموزان'!C5)</f>
        <v/>
      </c>
      <c r="E10" s="306">
        <f>IF('دانش‌آموزان'!E5="","",'دانش‌آموزان'!E5&amp;" "&amp;'دانش‌آموزان'!F5)</f>
        <v/>
      </c>
      <c r="F10" s="306">
        <f>IF('دانش‌آموزان'!I5="","",'دانش‌آموزان'!I5)</f>
        <v/>
      </c>
      <c r="G10" s="307" t="n"/>
      <c r="H10" s="307" t="n"/>
      <c r="I10" s="307" t="n"/>
      <c r="J10" s="307" t="n"/>
      <c r="K10" s="313">
        <f>IF(COUNT(G10:J10)=0,"",AVERAGE(G10:J10)*4)</f>
        <v/>
      </c>
      <c r="L10" s="306">
        <f>IF(C10="","",IF(COUNT(G10:J10)=0,"",IF(COUNT(G10:J10)&lt;4,"موقت - اطلاعات ناقص",IF(K10&gt;=17,"عالی",IF(K10&gt;=14,"خوب",IF(K10&gt;=10,"متوسط","ضعیف"))))))</f>
        <v/>
      </c>
      <c r="M10" s="306" t="n">
        <v>6</v>
      </c>
      <c r="N10" s="314">
        <f>IF(C10="","",COUNT(G10:J10)/4)</f>
        <v/>
      </c>
      <c r="O10" s="307" t="n"/>
    </row>
    <row r="11" ht="24" customHeight="1">
      <c r="A11" s="306" t="n">
        <v>7</v>
      </c>
      <c r="B11" s="306" t="inlineStr">
        <is>
          <t>دی</t>
        </is>
      </c>
      <c r="C11" s="306">
        <f>IF('دانش‌آموزان'!E5="","",'دانش‌آموزان'!B5)</f>
        <v/>
      </c>
      <c r="D11" s="306">
        <f>IF('دانش‌آموزان'!C5="","",'دانش‌آموزان'!C5)</f>
        <v/>
      </c>
      <c r="E11" s="306">
        <f>IF('دانش‌آموزان'!E5="","",'دانش‌آموزان'!E5&amp;" "&amp;'دانش‌آموزان'!F5)</f>
        <v/>
      </c>
      <c r="F11" s="306">
        <f>IF('دانش‌آموزان'!I5="","",'دانش‌آموزان'!I5)</f>
        <v/>
      </c>
      <c r="G11" s="307" t="n"/>
      <c r="H11" s="307" t="n"/>
      <c r="I11" s="307" t="n"/>
      <c r="J11" s="307" t="n"/>
      <c r="K11" s="313">
        <f>IF(COUNT(G11:J11)=0,"",AVERAGE(G11:J11)*4)</f>
        <v/>
      </c>
      <c r="L11" s="306">
        <f>IF(C11="","",IF(COUNT(G11:J11)=0,"",IF(COUNT(G11:J11)&lt;4,"موقت - اطلاعات ناقص",IF(K11&gt;=17,"عالی",IF(K11&gt;=14,"خوب",IF(K11&gt;=10,"متوسط","ضعیف"))))))</f>
        <v/>
      </c>
      <c r="M11" s="306" t="n">
        <v>7</v>
      </c>
      <c r="N11" s="314">
        <f>IF(C11="","",COUNT(G11:J11)/4)</f>
        <v/>
      </c>
      <c r="O11" s="307" t="n"/>
    </row>
    <row r="12" ht="24" customHeight="1">
      <c r="A12" s="306" t="n">
        <v>8</v>
      </c>
      <c r="B12" s="306" t="inlineStr">
        <is>
          <t>بهمن</t>
        </is>
      </c>
      <c r="C12" s="306">
        <f>IF('دانش‌آموزان'!E5="","",'دانش‌آموزان'!B5)</f>
        <v/>
      </c>
      <c r="D12" s="306">
        <f>IF('دانش‌آموزان'!C5="","",'دانش‌آموزان'!C5)</f>
        <v/>
      </c>
      <c r="E12" s="306">
        <f>IF('دانش‌آموزان'!E5="","",'دانش‌آموزان'!E5&amp;" "&amp;'دانش‌آموزان'!F5)</f>
        <v/>
      </c>
      <c r="F12" s="306">
        <f>IF('دانش‌آموزان'!I5="","",'دانش‌آموزان'!I5)</f>
        <v/>
      </c>
      <c r="G12" s="307" t="n"/>
      <c r="H12" s="307" t="n"/>
      <c r="I12" s="307" t="n"/>
      <c r="J12" s="307" t="n"/>
      <c r="K12" s="313">
        <f>IF(COUNT(G12:J12)=0,"",AVERAGE(G12:J12)*4)</f>
        <v/>
      </c>
      <c r="L12" s="306">
        <f>IF(C12="","",IF(COUNT(G12:J12)=0,"",IF(COUNT(G12:J12)&lt;4,"موقت - اطلاعات ناقص",IF(K12&gt;=17,"عالی",IF(K12&gt;=14,"خوب",IF(K12&gt;=10,"متوسط","ضعیف"))))))</f>
        <v/>
      </c>
      <c r="M12" s="306" t="n">
        <v>8</v>
      </c>
      <c r="N12" s="314">
        <f>IF(C12="","",COUNT(G12:J12)/4)</f>
        <v/>
      </c>
      <c r="O12" s="307" t="n"/>
    </row>
    <row r="13" ht="24" customHeight="1">
      <c r="A13" s="306" t="n">
        <v>9</v>
      </c>
      <c r="B13" s="306" t="inlineStr">
        <is>
          <t>اسفند</t>
        </is>
      </c>
      <c r="C13" s="306">
        <f>IF('دانش‌آموزان'!E5="","",'دانش‌آموزان'!B5)</f>
        <v/>
      </c>
      <c r="D13" s="306">
        <f>IF('دانش‌آموزان'!C5="","",'دانش‌آموزان'!C5)</f>
        <v/>
      </c>
      <c r="E13" s="306">
        <f>IF('دانش‌آموزان'!E5="","",'دانش‌آموزان'!E5&amp;" "&amp;'دانش‌آموزان'!F5)</f>
        <v/>
      </c>
      <c r="F13" s="306">
        <f>IF('دانش‌آموزان'!I5="","",'دانش‌آموزان'!I5)</f>
        <v/>
      </c>
      <c r="G13" s="307" t="n"/>
      <c r="H13" s="307" t="n"/>
      <c r="I13" s="307" t="n"/>
      <c r="J13" s="307" t="n"/>
      <c r="K13" s="313">
        <f>IF(COUNT(G13:J13)=0,"",AVERAGE(G13:J13)*4)</f>
        <v/>
      </c>
      <c r="L13" s="306">
        <f>IF(C13="","",IF(COUNT(G13:J13)=0,"",IF(COUNT(G13:J13)&lt;4,"موقت - اطلاعات ناقص",IF(K13&gt;=17,"عالی",IF(K13&gt;=14,"خوب",IF(K13&gt;=10,"متوسط","ضعیف"))))))</f>
        <v/>
      </c>
      <c r="M13" s="306" t="n">
        <v>9</v>
      </c>
      <c r="N13" s="314">
        <f>IF(C13="","",COUNT(G13:J13)/4)</f>
        <v/>
      </c>
      <c r="O13" s="307" t="n"/>
    </row>
    <row r="14" ht="24" customHeight="1">
      <c r="A14" s="306" t="n">
        <v>10</v>
      </c>
      <c r="B14" s="306" t="inlineStr">
        <is>
          <t>فروردین</t>
        </is>
      </c>
      <c r="C14" s="306">
        <f>IF('دانش‌آموزان'!E5="","",'دانش‌آموزان'!B5)</f>
        <v/>
      </c>
      <c r="D14" s="306">
        <f>IF('دانش‌آموزان'!C5="","",'دانش‌آموزان'!C5)</f>
        <v/>
      </c>
      <c r="E14" s="306">
        <f>IF('دانش‌آموزان'!E5="","",'دانش‌آموزان'!E5&amp;" "&amp;'دانش‌آموزان'!F5)</f>
        <v/>
      </c>
      <c r="F14" s="306">
        <f>IF('دانش‌آموزان'!I5="","",'دانش‌آموزان'!I5)</f>
        <v/>
      </c>
      <c r="G14" s="307" t="n"/>
      <c r="H14" s="307" t="n"/>
      <c r="I14" s="307" t="n"/>
      <c r="J14" s="307" t="n"/>
      <c r="K14" s="313">
        <f>IF(COUNT(G14:J14)=0,"",AVERAGE(G14:J14)*4)</f>
        <v/>
      </c>
      <c r="L14" s="306">
        <f>IF(C14="","",IF(COUNT(G14:J14)=0,"",IF(COUNT(G14:J14)&lt;4,"موقت - اطلاعات ناقص",IF(K14&gt;=17,"عالی",IF(K14&gt;=14,"خوب",IF(K14&gt;=10,"متوسط","ضعیف"))))))</f>
        <v/>
      </c>
      <c r="M14" s="306" t="n">
        <v>10</v>
      </c>
      <c r="N14" s="314">
        <f>IF(C14="","",COUNT(G14:J14)/4)</f>
        <v/>
      </c>
      <c r="O14" s="307" t="n"/>
    </row>
    <row r="15" ht="24" customHeight="1">
      <c r="A15" s="306" t="n">
        <v>11</v>
      </c>
      <c r="B15" s="306" t="inlineStr">
        <is>
          <t>اردیبهشت</t>
        </is>
      </c>
      <c r="C15" s="306">
        <f>IF('دانش‌آموزان'!E5="","",'دانش‌آموزان'!B5)</f>
        <v/>
      </c>
      <c r="D15" s="306">
        <f>IF('دانش‌آموزان'!C5="","",'دانش‌آموزان'!C5)</f>
        <v/>
      </c>
      <c r="E15" s="306">
        <f>IF('دانش‌آموزان'!E5="","",'دانش‌آموزان'!E5&amp;" "&amp;'دانش‌آموزان'!F5)</f>
        <v/>
      </c>
      <c r="F15" s="306">
        <f>IF('دانش‌آموزان'!I5="","",'دانش‌آموزان'!I5)</f>
        <v/>
      </c>
      <c r="G15" s="307" t="n"/>
      <c r="H15" s="307" t="n"/>
      <c r="I15" s="307" t="n"/>
      <c r="J15" s="307" t="n"/>
      <c r="K15" s="313">
        <f>IF(COUNT(G15:J15)=0,"",AVERAGE(G15:J15)*4)</f>
        <v/>
      </c>
      <c r="L15" s="306">
        <f>IF(C15="","",IF(COUNT(G15:J15)=0,"",IF(COUNT(G15:J15)&lt;4,"موقت - اطلاعات ناقص",IF(K15&gt;=17,"عالی",IF(K15&gt;=14,"خوب",IF(K15&gt;=10,"متوسط","ضعیف"))))))</f>
        <v/>
      </c>
      <c r="M15" s="306" t="n">
        <v>11</v>
      </c>
      <c r="N15" s="314">
        <f>IF(C15="","",COUNT(G15:J15)/4)</f>
        <v/>
      </c>
      <c r="O15" s="307" t="n"/>
    </row>
    <row r="16" ht="24" customHeight="1">
      <c r="A16" s="306" t="n">
        <v>12</v>
      </c>
      <c r="B16" s="306" t="inlineStr">
        <is>
          <t>خرداد</t>
        </is>
      </c>
      <c r="C16" s="306">
        <f>IF('دانش‌آموزان'!E5="","",'دانش‌آموزان'!B5)</f>
        <v/>
      </c>
      <c r="D16" s="306">
        <f>IF('دانش‌آموزان'!C5="","",'دانش‌آموزان'!C5)</f>
        <v/>
      </c>
      <c r="E16" s="306">
        <f>IF('دانش‌آموزان'!E5="","",'دانش‌آموزان'!E5&amp;" "&amp;'دانش‌آموزان'!F5)</f>
        <v/>
      </c>
      <c r="F16" s="306">
        <f>IF('دانش‌آموزان'!I5="","",'دانش‌آموزان'!I5)</f>
        <v/>
      </c>
      <c r="G16" s="307" t="n"/>
      <c r="H16" s="307" t="n"/>
      <c r="I16" s="307" t="n"/>
      <c r="J16" s="307" t="n"/>
      <c r="K16" s="313">
        <f>IF(COUNT(G16:J16)=0,"",AVERAGE(G16:J16)*4)</f>
        <v/>
      </c>
      <c r="L16" s="306">
        <f>IF(C16="","",IF(COUNT(G16:J16)=0,"",IF(COUNT(G16:J16)&lt;4,"موقت - اطلاعات ناقص",IF(K16&gt;=17,"عالی",IF(K16&gt;=14,"خوب",IF(K16&gt;=10,"متوسط","ضعیف"))))))</f>
        <v/>
      </c>
      <c r="M16" s="306" t="n">
        <v>12</v>
      </c>
      <c r="N16" s="314">
        <f>IF(C16="","",COUNT(G16:J16)/4)</f>
        <v/>
      </c>
      <c r="O16" s="307" t="n"/>
    </row>
    <row r="17" ht="24" customHeight="1">
      <c r="A17" s="306" t="n">
        <v>13</v>
      </c>
      <c r="B17" s="306" t="inlineStr">
        <is>
          <t>تیر</t>
        </is>
      </c>
      <c r="C17" s="306">
        <f>IF('دانش‌آموزان'!E6="","",'دانش‌آموزان'!B6)</f>
        <v/>
      </c>
      <c r="D17" s="306">
        <f>IF('دانش‌آموزان'!C6="","",'دانش‌آموزان'!C6)</f>
        <v/>
      </c>
      <c r="E17" s="306">
        <f>IF('دانش‌آموزان'!E6="","",'دانش‌آموزان'!E6&amp;" "&amp;'دانش‌آموزان'!F6)</f>
        <v/>
      </c>
      <c r="F17" s="306">
        <f>IF('دانش‌آموزان'!I6="","",'دانش‌آموزان'!I6)</f>
        <v/>
      </c>
      <c r="G17" s="307" t="n"/>
      <c r="H17" s="307" t="n"/>
      <c r="I17" s="307" t="n"/>
      <c r="J17" s="307" t="n"/>
      <c r="K17" s="313">
        <f>IF(COUNT(G17:J17)=0,"",AVERAGE(G17:J17)*4)</f>
        <v/>
      </c>
      <c r="L17" s="306">
        <f>IF(C17="","",IF(COUNT(G17:J17)=0,"",IF(COUNT(G17:J17)&lt;4,"موقت - اطلاعات ناقص",IF(K17&gt;=17,"عالی",IF(K17&gt;=14,"خوب",IF(K17&gt;=10,"متوسط","ضعیف"))))))</f>
        <v/>
      </c>
      <c r="M17" s="306" t="n">
        <v>1</v>
      </c>
      <c r="N17" s="314">
        <f>IF(C17="","",COUNT(G17:J17)/4)</f>
        <v/>
      </c>
      <c r="O17" s="307" t="n"/>
    </row>
    <row r="18" ht="24" customHeight="1">
      <c r="A18" s="306" t="n">
        <v>14</v>
      </c>
      <c r="B18" s="306" t="inlineStr">
        <is>
          <t>مرداد</t>
        </is>
      </c>
      <c r="C18" s="306">
        <f>IF('دانش‌آموزان'!E6="","",'دانش‌آموزان'!B6)</f>
        <v/>
      </c>
      <c r="D18" s="306">
        <f>IF('دانش‌آموزان'!C6="","",'دانش‌آموزان'!C6)</f>
        <v/>
      </c>
      <c r="E18" s="306">
        <f>IF('دانش‌آموزان'!E6="","",'دانش‌آموزان'!E6&amp;" "&amp;'دانش‌آموزان'!F6)</f>
        <v/>
      </c>
      <c r="F18" s="306">
        <f>IF('دانش‌آموزان'!I6="","",'دانش‌آموزان'!I6)</f>
        <v/>
      </c>
      <c r="G18" s="307" t="n"/>
      <c r="H18" s="307" t="n"/>
      <c r="I18" s="307" t="n"/>
      <c r="J18" s="307" t="n"/>
      <c r="K18" s="313">
        <f>IF(COUNT(G18:J18)=0,"",AVERAGE(G18:J18)*4)</f>
        <v/>
      </c>
      <c r="L18" s="306">
        <f>IF(C18="","",IF(COUNT(G18:J18)=0,"",IF(COUNT(G18:J18)&lt;4,"موقت - اطلاعات ناقص",IF(K18&gt;=17,"عالی",IF(K18&gt;=14,"خوب",IF(K18&gt;=10,"متوسط","ضعیف"))))))</f>
        <v/>
      </c>
      <c r="M18" s="306" t="n">
        <v>2</v>
      </c>
      <c r="N18" s="314">
        <f>IF(C18="","",COUNT(G18:J18)/4)</f>
        <v/>
      </c>
      <c r="O18" s="307" t="n"/>
    </row>
    <row r="19" ht="24" customHeight="1">
      <c r="A19" s="306" t="n">
        <v>15</v>
      </c>
      <c r="B19" s="306" t="inlineStr">
        <is>
          <t>شهریور</t>
        </is>
      </c>
      <c r="C19" s="306">
        <f>IF('دانش‌آموزان'!E6="","",'دانش‌آموزان'!B6)</f>
        <v/>
      </c>
      <c r="D19" s="306">
        <f>IF('دانش‌آموزان'!C6="","",'دانش‌آموزان'!C6)</f>
        <v/>
      </c>
      <c r="E19" s="306">
        <f>IF('دانش‌آموزان'!E6="","",'دانش‌آموزان'!E6&amp;" "&amp;'دانش‌آموزان'!F6)</f>
        <v/>
      </c>
      <c r="F19" s="306">
        <f>IF('دانش‌آموزان'!I6="","",'دانش‌آموزان'!I6)</f>
        <v/>
      </c>
      <c r="G19" s="307" t="n"/>
      <c r="H19" s="307" t="n"/>
      <c r="I19" s="307" t="n"/>
      <c r="J19" s="307" t="n"/>
      <c r="K19" s="313">
        <f>IF(COUNT(G19:J19)=0,"",AVERAGE(G19:J19)*4)</f>
        <v/>
      </c>
      <c r="L19" s="306">
        <f>IF(C19="","",IF(COUNT(G19:J19)=0,"",IF(COUNT(G19:J19)&lt;4,"موقت - اطلاعات ناقص",IF(K19&gt;=17,"عالی",IF(K19&gt;=14,"خوب",IF(K19&gt;=10,"متوسط","ضعیف"))))))</f>
        <v/>
      </c>
      <c r="M19" s="306" t="n">
        <v>3</v>
      </c>
      <c r="N19" s="314">
        <f>IF(C19="","",COUNT(G19:J19)/4)</f>
        <v/>
      </c>
      <c r="O19" s="307" t="n"/>
    </row>
    <row r="20" ht="24" customHeight="1">
      <c r="A20" s="306" t="n">
        <v>16</v>
      </c>
      <c r="B20" s="306" t="inlineStr">
        <is>
          <t>مهر</t>
        </is>
      </c>
      <c r="C20" s="306">
        <f>IF('دانش‌آموزان'!E6="","",'دانش‌آموزان'!B6)</f>
        <v/>
      </c>
      <c r="D20" s="306">
        <f>IF('دانش‌آموزان'!C6="","",'دانش‌آموزان'!C6)</f>
        <v/>
      </c>
      <c r="E20" s="306">
        <f>IF('دانش‌آموزان'!E6="","",'دانش‌آموزان'!E6&amp;" "&amp;'دانش‌آموزان'!F6)</f>
        <v/>
      </c>
      <c r="F20" s="306">
        <f>IF('دانش‌آموزان'!I6="","",'دانش‌آموزان'!I6)</f>
        <v/>
      </c>
      <c r="G20" s="307" t="n"/>
      <c r="H20" s="307" t="n"/>
      <c r="I20" s="307" t="n"/>
      <c r="J20" s="307" t="n"/>
      <c r="K20" s="313">
        <f>IF(COUNT(G20:J20)=0,"",AVERAGE(G20:J20)*4)</f>
        <v/>
      </c>
      <c r="L20" s="306">
        <f>IF(C20="","",IF(COUNT(G20:J20)=0,"",IF(COUNT(G20:J20)&lt;4,"موقت - اطلاعات ناقص",IF(K20&gt;=17,"عالی",IF(K20&gt;=14,"خوب",IF(K20&gt;=10,"متوسط","ضعیف"))))))</f>
        <v/>
      </c>
      <c r="M20" s="306" t="n">
        <v>4</v>
      </c>
      <c r="N20" s="314">
        <f>IF(C20="","",COUNT(G20:J20)/4)</f>
        <v/>
      </c>
      <c r="O20" s="307" t="n"/>
    </row>
    <row r="21" ht="24" customHeight="1">
      <c r="A21" s="306" t="n">
        <v>17</v>
      </c>
      <c r="B21" s="306" t="inlineStr">
        <is>
          <t>آبان</t>
        </is>
      </c>
      <c r="C21" s="306">
        <f>IF('دانش‌آموزان'!E6="","",'دانش‌آموزان'!B6)</f>
        <v/>
      </c>
      <c r="D21" s="306">
        <f>IF('دانش‌آموزان'!C6="","",'دانش‌آموزان'!C6)</f>
        <v/>
      </c>
      <c r="E21" s="306">
        <f>IF('دانش‌آموزان'!E6="","",'دانش‌آموزان'!E6&amp;" "&amp;'دانش‌آموزان'!F6)</f>
        <v/>
      </c>
      <c r="F21" s="306">
        <f>IF('دانش‌آموزان'!I6="","",'دانش‌آموزان'!I6)</f>
        <v/>
      </c>
      <c r="G21" s="307" t="n"/>
      <c r="H21" s="307" t="n"/>
      <c r="I21" s="307" t="n"/>
      <c r="J21" s="307" t="n"/>
      <c r="K21" s="313">
        <f>IF(COUNT(G21:J21)=0,"",AVERAGE(G21:J21)*4)</f>
        <v/>
      </c>
      <c r="L21" s="306">
        <f>IF(C21="","",IF(COUNT(G21:J21)=0,"",IF(COUNT(G21:J21)&lt;4,"موقت - اطلاعات ناقص",IF(K21&gt;=17,"عالی",IF(K21&gt;=14,"خوب",IF(K21&gt;=10,"متوسط","ضعیف"))))))</f>
        <v/>
      </c>
      <c r="M21" s="306" t="n">
        <v>5</v>
      </c>
      <c r="N21" s="314">
        <f>IF(C21="","",COUNT(G21:J21)/4)</f>
        <v/>
      </c>
      <c r="O21" s="307" t="n"/>
    </row>
    <row r="22" ht="24" customHeight="1">
      <c r="A22" s="306" t="n">
        <v>18</v>
      </c>
      <c r="B22" s="306" t="inlineStr">
        <is>
          <t>آذر</t>
        </is>
      </c>
      <c r="C22" s="306">
        <f>IF('دانش‌آموزان'!E6="","",'دانش‌آموزان'!B6)</f>
        <v/>
      </c>
      <c r="D22" s="306">
        <f>IF('دانش‌آموزان'!C6="","",'دانش‌آموزان'!C6)</f>
        <v/>
      </c>
      <c r="E22" s="306">
        <f>IF('دانش‌آموزان'!E6="","",'دانش‌آموزان'!E6&amp;" "&amp;'دانش‌آموزان'!F6)</f>
        <v/>
      </c>
      <c r="F22" s="306">
        <f>IF('دانش‌آموزان'!I6="","",'دانش‌آموزان'!I6)</f>
        <v/>
      </c>
      <c r="G22" s="307" t="n"/>
      <c r="H22" s="307" t="n"/>
      <c r="I22" s="307" t="n"/>
      <c r="J22" s="307" t="n"/>
      <c r="K22" s="313">
        <f>IF(COUNT(G22:J22)=0,"",AVERAGE(G22:J22)*4)</f>
        <v/>
      </c>
      <c r="L22" s="306">
        <f>IF(C22="","",IF(COUNT(G22:J22)=0,"",IF(COUNT(G22:J22)&lt;4,"موقت - اطلاعات ناقص",IF(K22&gt;=17,"عالی",IF(K22&gt;=14,"خوب",IF(K22&gt;=10,"متوسط","ضعیف"))))))</f>
        <v/>
      </c>
      <c r="M22" s="306" t="n">
        <v>6</v>
      </c>
      <c r="N22" s="314">
        <f>IF(C22="","",COUNT(G22:J22)/4)</f>
        <v/>
      </c>
      <c r="O22" s="307" t="n"/>
    </row>
    <row r="23" ht="24" customHeight="1">
      <c r="A23" s="306" t="n">
        <v>19</v>
      </c>
      <c r="B23" s="306" t="inlineStr">
        <is>
          <t>دی</t>
        </is>
      </c>
      <c r="C23" s="306">
        <f>IF('دانش‌آموزان'!E6="","",'دانش‌آموزان'!B6)</f>
        <v/>
      </c>
      <c r="D23" s="306">
        <f>IF('دانش‌آموزان'!C6="","",'دانش‌آموزان'!C6)</f>
        <v/>
      </c>
      <c r="E23" s="306">
        <f>IF('دانش‌آموزان'!E6="","",'دانش‌آموزان'!E6&amp;" "&amp;'دانش‌آموزان'!F6)</f>
        <v/>
      </c>
      <c r="F23" s="306">
        <f>IF('دانش‌آموزان'!I6="","",'دانش‌آموزان'!I6)</f>
        <v/>
      </c>
      <c r="G23" s="307" t="n"/>
      <c r="H23" s="307" t="n"/>
      <c r="I23" s="307" t="n"/>
      <c r="J23" s="307" t="n"/>
      <c r="K23" s="313">
        <f>IF(COUNT(G23:J23)=0,"",AVERAGE(G23:J23)*4)</f>
        <v/>
      </c>
      <c r="L23" s="306">
        <f>IF(C23="","",IF(COUNT(G23:J23)=0,"",IF(COUNT(G23:J23)&lt;4,"موقت - اطلاعات ناقص",IF(K23&gt;=17,"عالی",IF(K23&gt;=14,"خوب",IF(K23&gt;=10,"متوسط","ضعیف"))))))</f>
        <v/>
      </c>
      <c r="M23" s="306" t="n">
        <v>7</v>
      </c>
      <c r="N23" s="314">
        <f>IF(C23="","",COUNT(G23:J23)/4)</f>
        <v/>
      </c>
      <c r="O23" s="307" t="n"/>
    </row>
    <row r="24" ht="24" customHeight="1">
      <c r="A24" s="306" t="n">
        <v>20</v>
      </c>
      <c r="B24" s="306" t="inlineStr">
        <is>
          <t>بهمن</t>
        </is>
      </c>
      <c r="C24" s="306">
        <f>IF('دانش‌آموزان'!E6="","",'دانش‌آموزان'!B6)</f>
        <v/>
      </c>
      <c r="D24" s="306">
        <f>IF('دانش‌آموزان'!C6="","",'دانش‌آموزان'!C6)</f>
        <v/>
      </c>
      <c r="E24" s="306">
        <f>IF('دانش‌آموزان'!E6="","",'دانش‌آموزان'!E6&amp;" "&amp;'دانش‌آموزان'!F6)</f>
        <v/>
      </c>
      <c r="F24" s="306">
        <f>IF('دانش‌آموزان'!I6="","",'دانش‌آموزان'!I6)</f>
        <v/>
      </c>
      <c r="G24" s="307" t="n"/>
      <c r="H24" s="307" t="n"/>
      <c r="I24" s="307" t="n"/>
      <c r="J24" s="307" t="n"/>
      <c r="K24" s="313">
        <f>IF(COUNT(G24:J24)=0,"",AVERAGE(G24:J24)*4)</f>
        <v/>
      </c>
      <c r="L24" s="306">
        <f>IF(C24="","",IF(COUNT(G24:J24)=0,"",IF(COUNT(G24:J24)&lt;4,"موقت - اطلاعات ناقص",IF(K24&gt;=17,"عالی",IF(K24&gt;=14,"خوب",IF(K24&gt;=10,"متوسط","ضعیف"))))))</f>
        <v/>
      </c>
      <c r="M24" s="306" t="n">
        <v>8</v>
      </c>
      <c r="N24" s="314">
        <f>IF(C24="","",COUNT(G24:J24)/4)</f>
        <v/>
      </c>
      <c r="O24" s="307" t="n"/>
    </row>
    <row r="25" ht="24" customHeight="1">
      <c r="A25" s="306" t="n">
        <v>21</v>
      </c>
      <c r="B25" s="306" t="inlineStr">
        <is>
          <t>اسفند</t>
        </is>
      </c>
      <c r="C25" s="306">
        <f>IF('دانش‌آموزان'!E6="","",'دانش‌آموزان'!B6)</f>
        <v/>
      </c>
      <c r="D25" s="306">
        <f>IF('دانش‌آموزان'!C6="","",'دانش‌آموزان'!C6)</f>
        <v/>
      </c>
      <c r="E25" s="306">
        <f>IF('دانش‌آموزان'!E6="","",'دانش‌آموزان'!E6&amp;" "&amp;'دانش‌آموزان'!F6)</f>
        <v/>
      </c>
      <c r="F25" s="306">
        <f>IF('دانش‌آموزان'!I6="","",'دانش‌آموزان'!I6)</f>
        <v/>
      </c>
      <c r="G25" s="307" t="n"/>
      <c r="H25" s="307" t="n"/>
      <c r="I25" s="307" t="n"/>
      <c r="J25" s="307" t="n"/>
      <c r="K25" s="313">
        <f>IF(COUNT(G25:J25)=0,"",AVERAGE(G25:J25)*4)</f>
        <v/>
      </c>
      <c r="L25" s="306">
        <f>IF(C25="","",IF(COUNT(G25:J25)=0,"",IF(COUNT(G25:J25)&lt;4,"موقت - اطلاعات ناقص",IF(K25&gt;=17,"عالی",IF(K25&gt;=14,"خوب",IF(K25&gt;=10,"متوسط","ضعیف"))))))</f>
        <v/>
      </c>
      <c r="M25" s="306" t="n">
        <v>9</v>
      </c>
      <c r="N25" s="314">
        <f>IF(C25="","",COUNT(G25:J25)/4)</f>
        <v/>
      </c>
      <c r="O25" s="307" t="n"/>
    </row>
    <row r="26" ht="24" customHeight="1">
      <c r="A26" s="306" t="n">
        <v>22</v>
      </c>
      <c r="B26" s="306" t="inlineStr">
        <is>
          <t>فروردین</t>
        </is>
      </c>
      <c r="C26" s="306">
        <f>IF('دانش‌آموزان'!E6="","",'دانش‌آموزان'!B6)</f>
        <v/>
      </c>
      <c r="D26" s="306">
        <f>IF('دانش‌آموزان'!C6="","",'دانش‌آموزان'!C6)</f>
        <v/>
      </c>
      <c r="E26" s="306">
        <f>IF('دانش‌آموزان'!E6="","",'دانش‌آموزان'!E6&amp;" "&amp;'دانش‌آموزان'!F6)</f>
        <v/>
      </c>
      <c r="F26" s="306">
        <f>IF('دانش‌آموزان'!I6="","",'دانش‌آموزان'!I6)</f>
        <v/>
      </c>
      <c r="G26" s="307" t="n"/>
      <c r="H26" s="307" t="n"/>
      <c r="I26" s="307" t="n"/>
      <c r="J26" s="307" t="n"/>
      <c r="K26" s="313">
        <f>IF(COUNT(G26:J26)=0,"",AVERAGE(G26:J26)*4)</f>
        <v/>
      </c>
      <c r="L26" s="306">
        <f>IF(C26="","",IF(COUNT(G26:J26)=0,"",IF(COUNT(G26:J26)&lt;4,"موقت - اطلاعات ناقص",IF(K26&gt;=17,"عالی",IF(K26&gt;=14,"خوب",IF(K26&gt;=10,"متوسط","ضعیف"))))))</f>
        <v/>
      </c>
      <c r="M26" s="306" t="n">
        <v>10</v>
      </c>
      <c r="N26" s="314">
        <f>IF(C26="","",COUNT(G26:J26)/4)</f>
        <v/>
      </c>
      <c r="O26" s="307" t="n"/>
    </row>
    <row r="27" ht="24" customHeight="1">
      <c r="A27" s="306" t="n">
        <v>23</v>
      </c>
      <c r="B27" s="306" t="inlineStr">
        <is>
          <t>اردیبهشت</t>
        </is>
      </c>
      <c r="C27" s="306">
        <f>IF('دانش‌آموزان'!E6="","",'دانش‌آموزان'!B6)</f>
        <v/>
      </c>
      <c r="D27" s="306">
        <f>IF('دانش‌آموزان'!C6="","",'دانش‌آموزان'!C6)</f>
        <v/>
      </c>
      <c r="E27" s="306">
        <f>IF('دانش‌آموزان'!E6="","",'دانش‌آموزان'!E6&amp;" "&amp;'دانش‌آموزان'!F6)</f>
        <v/>
      </c>
      <c r="F27" s="306">
        <f>IF('دانش‌آموزان'!I6="","",'دانش‌آموزان'!I6)</f>
        <v/>
      </c>
      <c r="G27" s="307" t="n"/>
      <c r="H27" s="307" t="n"/>
      <c r="I27" s="307" t="n"/>
      <c r="J27" s="307" t="n"/>
      <c r="K27" s="313">
        <f>IF(COUNT(G27:J27)=0,"",AVERAGE(G27:J27)*4)</f>
        <v/>
      </c>
      <c r="L27" s="306">
        <f>IF(C27="","",IF(COUNT(G27:J27)=0,"",IF(COUNT(G27:J27)&lt;4,"موقت - اطلاعات ناقص",IF(K27&gt;=17,"عالی",IF(K27&gt;=14,"خوب",IF(K27&gt;=10,"متوسط","ضعیف"))))))</f>
        <v/>
      </c>
      <c r="M27" s="306" t="n">
        <v>11</v>
      </c>
      <c r="N27" s="314">
        <f>IF(C27="","",COUNT(G27:J27)/4)</f>
        <v/>
      </c>
      <c r="O27" s="307" t="n"/>
    </row>
    <row r="28" ht="24" customHeight="1">
      <c r="A28" s="306" t="n">
        <v>24</v>
      </c>
      <c r="B28" s="306" t="inlineStr">
        <is>
          <t>خرداد</t>
        </is>
      </c>
      <c r="C28" s="306">
        <f>IF('دانش‌آموزان'!E6="","",'دانش‌آموزان'!B6)</f>
        <v/>
      </c>
      <c r="D28" s="306">
        <f>IF('دانش‌آموزان'!C6="","",'دانش‌آموزان'!C6)</f>
        <v/>
      </c>
      <c r="E28" s="306">
        <f>IF('دانش‌آموزان'!E6="","",'دانش‌آموزان'!E6&amp;" "&amp;'دانش‌آموزان'!F6)</f>
        <v/>
      </c>
      <c r="F28" s="306">
        <f>IF('دانش‌آموزان'!I6="","",'دانش‌آموزان'!I6)</f>
        <v/>
      </c>
      <c r="G28" s="307" t="n"/>
      <c r="H28" s="307" t="n"/>
      <c r="I28" s="307" t="n"/>
      <c r="J28" s="307" t="n"/>
      <c r="K28" s="313">
        <f>IF(COUNT(G28:J28)=0,"",AVERAGE(G28:J28)*4)</f>
        <v/>
      </c>
      <c r="L28" s="306">
        <f>IF(C28="","",IF(COUNT(G28:J28)=0,"",IF(COUNT(G28:J28)&lt;4,"موقت - اطلاعات ناقص",IF(K28&gt;=17,"عالی",IF(K28&gt;=14,"خوب",IF(K28&gt;=10,"متوسط","ضعیف"))))))</f>
        <v/>
      </c>
      <c r="M28" s="306" t="n">
        <v>12</v>
      </c>
      <c r="N28" s="314">
        <f>IF(C28="","",COUNT(G28:J28)/4)</f>
        <v/>
      </c>
      <c r="O28" s="307" t="n"/>
    </row>
    <row r="29" ht="24" customHeight="1">
      <c r="A29" s="306" t="n">
        <v>25</v>
      </c>
      <c r="B29" s="306" t="inlineStr">
        <is>
          <t>تیر</t>
        </is>
      </c>
      <c r="C29" s="306">
        <f>IF('دانش‌آموزان'!E7="","",'دانش‌آموزان'!B7)</f>
        <v/>
      </c>
      <c r="D29" s="306">
        <f>IF('دانش‌آموزان'!C7="","",'دانش‌آموزان'!C7)</f>
        <v/>
      </c>
      <c r="E29" s="306">
        <f>IF('دانش‌آموزان'!E7="","",'دانش‌آموزان'!E7&amp;" "&amp;'دانش‌آموزان'!F7)</f>
        <v/>
      </c>
      <c r="F29" s="306">
        <f>IF('دانش‌آموزان'!I7="","",'دانش‌آموزان'!I7)</f>
        <v/>
      </c>
      <c r="G29" s="307" t="n"/>
      <c r="H29" s="307" t="n"/>
      <c r="I29" s="307" t="n"/>
      <c r="J29" s="307" t="n"/>
      <c r="K29" s="313">
        <f>IF(COUNT(G29:J29)=0,"",AVERAGE(G29:J29)*4)</f>
        <v/>
      </c>
      <c r="L29" s="306">
        <f>IF(C29="","",IF(COUNT(G29:J29)=0,"",IF(COUNT(G29:J29)&lt;4,"موقت - اطلاعات ناقص",IF(K29&gt;=17,"عالی",IF(K29&gt;=14,"خوب",IF(K29&gt;=10,"متوسط","ضعیف"))))))</f>
        <v/>
      </c>
      <c r="M29" s="306" t="n">
        <v>1</v>
      </c>
      <c r="N29" s="314">
        <f>IF(C29="","",COUNT(G29:J29)/4)</f>
        <v/>
      </c>
      <c r="O29" s="307" t="n"/>
    </row>
    <row r="30" ht="24" customHeight="1">
      <c r="A30" s="306" t="n">
        <v>26</v>
      </c>
      <c r="B30" s="306" t="inlineStr">
        <is>
          <t>مرداد</t>
        </is>
      </c>
      <c r="C30" s="306">
        <f>IF('دانش‌آموزان'!E7="","",'دانش‌آموزان'!B7)</f>
        <v/>
      </c>
      <c r="D30" s="306">
        <f>IF('دانش‌آموزان'!C7="","",'دانش‌آموزان'!C7)</f>
        <v/>
      </c>
      <c r="E30" s="306">
        <f>IF('دانش‌آموزان'!E7="","",'دانش‌آموزان'!E7&amp;" "&amp;'دانش‌آموزان'!F7)</f>
        <v/>
      </c>
      <c r="F30" s="306">
        <f>IF('دانش‌آموزان'!I7="","",'دانش‌آموزان'!I7)</f>
        <v/>
      </c>
      <c r="G30" s="307" t="n"/>
      <c r="H30" s="307" t="n"/>
      <c r="I30" s="307" t="n"/>
      <c r="J30" s="307" t="n"/>
      <c r="K30" s="313">
        <f>IF(COUNT(G30:J30)=0,"",AVERAGE(G30:J30)*4)</f>
        <v/>
      </c>
      <c r="L30" s="306">
        <f>IF(C30="","",IF(COUNT(G30:J30)=0,"",IF(COUNT(G30:J30)&lt;4,"موقت - اطلاعات ناقص",IF(K30&gt;=17,"عالی",IF(K30&gt;=14,"خوب",IF(K30&gt;=10,"متوسط","ضعیف"))))))</f>
        <v/>
      </c>
      <c r="M30" s="306" t="n">
        <v>2</v>
      </c>
      <c r="N30" s="314">
        <f>IF(C30="","",COUNT(G30:J30)/4)</f>
        <v/>
      </c>
      <c r="O30" s="307" t="n"/>
    </row>
    <row r="31" ht="24" customHeight="1">
      <c r="A31" s="306" t="n">
        <v>27</v>
      </c>
      <c r="B31" s="306" t="inlineStr">
        <is>
          <t>شهریور</t>
        </is>
      </c>
      <c r="C31" s="306">
        <f>IF('دانش‌آموزان'!E7="","",'دانش‌آموزان'!B7)</f>
        <v/>
      </c>
      <c r="D31" s="306">
        <f>IF('دانش‌آموزان'!C7="","",'دانش‌آموزان'!C7)</f>
        <v/>
      </c>
      <c r="E31" s="306">
        <f>IF('دانش‌آموزان'!E7="","",'دانش‌آموزان'!E7&amp;" "&amp;'دانش‌آموزان'!F7)</f>
        <v/>
      </c>
      <c r="F31" s="306">
        <f>IF('دانش‌آموزان'!I7="","",'دانش‌آموزان'!I7)</f>
        <v/>
      </c>
      <c r="G31" s="307" t="n"/>
      <c r="H31" s="307" t="n"/>
      <c r="I31" s="307" t="n"/>
      <c r="J31" s="307" t="n"/>
      <c r="K31" s="313">
        <f>IF(COUNT(G31:J31)=0,"",AVERAGE(G31:J31)*4)</f>
        <v/>
      </c>
      <c r="L31" s="306">
        <f>IF(C31="","",IF(COUNT(G31:J31)=0,"",IF(COUNT(G31:J31)&lt;4,"موقت - اطلاعات ناقص",IF(K31&gt;=17,"عالی",IF(K31&gt;=14,"خوب",IF(K31&gt;=10,"متوسط","ضعیف"))))))</f>
        <v/>
      </c>
      <c r="M31" s="306" t="n">
        <v>3</v>
      </c>
      <c r="N31" s="314">
        <f>IF(C31="","",COUNT(G31:J31)/4)</f>
        <v/>
      </c>
      <c r="O31" s="307" t="n"/>
    </row>
    <row r="32" ht="24" customHeight="1">
      <c r="A32" s="306" t="n">
        <v>28</v>
      </c>
      <c r="B32" s="306" t="inlineStr">
        <is>
          <t>مهر</t>
        </is>
      </c>
      <c r="C32" s="306">
        <f>IF('دانش‌آموزان'!E7="","",'دانش‌آموزان'!B7)</f>
        <v/>
      </c>
      <c r="D32" s="306">
        <f>IF('دانش‌آموزان'!C7="","",'دانش‌آموزان'!C7)</f>
        <v/>
      </c>
      <c r="E32" s="306">
        <f>IF('دانش‌آموزان'!E7="","",'دانش‌آموزان'!E7&amp;" "&amp;'دانش‌آموزان'!F7)</f>
        <v/>
      </c>
      <c r="F32" s="306">
        <f>IF('دانش‌آموزان'!I7="","",'دانش‌آموزان'!I7)</f>
        <v/>
      </c>
      <c r="G32" s="307" t="n"/>
      <c r="H32" s="307" t="n"/>
      <c r="I32" s="307" t="n"/>
      <c r="J32" s="307" t="n"/>
      <c r="K32" s="313">
        <f>IF(COUNT(G32:J32)=0,"",AVERAGE(G32:J32)*4)</f>
        <v/>
      </c>
      <c r="L32" s="306">
        <f>IF(C32="","",IF(COUNT(G32:J32)=0,"",IF(COUNT(G32:J32)&lt;4,"موقت - اطلاعات ناقص",IF(K32&gt;=17,"عالی",IF(K32&gt;=14,"خوب",IF(K32&gt;=10,"متوسط","ضعیف"))))))</f>
        <v/>
      </c>
      <c r="M32" s="306" t="n">
        <v>4</v>
      </c>
      <c r="N32" s="314">
        <f>IF(C32="","",COUNT(G32:J32)/4)</f>
        <v/>
      </c>
      <c r="O32" s="307" t="n"/>
    </row>
    <row r="33" ht="24" customHeight="1">
      <c r="A33" s="306" t="n">
        <v>29</v>
      </c>
      <c r="B33" s="306" t="inlineStr">
        <is>
          <t>آبان</t>
        </is>
      </c>
      <c r="C33" s="306">
        <f>IF('دانش‌آموزان'!E7="","",'دانش‌آموزان'!B7)</f>
        <v/>
      </c>
      <c r="D33" s="306">
        <f>IF('دانش‌آموزان'!C7="","",'دانش‌آموزان'!C7)</f>
        <v/>
      </c>
      <c r="E33" s="306">
        <f>IF('دانش‌آموزان'!E7="","",'دانش‌آموزان'!E7&amp;" "&amp;'دانش‌آموزان'!F7)</f>
        <v/>
      </c>
      <c r="F33" s="306">
        <f>IF('دانش‌آموزان'!I7="","",'دانش‌آموزان'!I7)</f>
        <v/>
      </c>
      <c r="G33" s="307" t="n"/>
      <c r="H33" s="307" t="n"/>
      <c r="I33" s="307" t="n"/>
      <c r="J33" s="307" t="n"/>
      <c r="K33" s="313">
        <f>IF(COUNT(G33:J33)=0,"",AVERAGE(G33:J33)*4)</f>
        <v/>
      </c>
      <c r="L33" s="306">
        <f>IF(C33="","",IF(COUNT(G33:J33)=0,"",IF(COUNT(G33:J33)&lt;4,"موقت - اطلاعات ناقص",IF(K33&gt;=17,"عالی",IF(K33&gt;=14,"خوب",IF(K33&gt;=10,"متوسط","ضعیف"))))))</f>
        <v/>
      </c>
      <c r="M33" s="306" t="n">
        <v>5</v>
      </c>
      <c r="N33" s="314">
        <f>IF(C33="","",COUNT(G33:J33)/4)</f>
        <v/>
      </c>
      <c r="O33" s="307" t="n"/>
    </row>
    <row r="34" ht="24" customHeight="1">
      <c r="A34" s="306" t="n">
        <v>30</v>
      </c>
      <c r="B34" s="306" t="inlineStr">
        <is>
          <t>آذر</t>
        </is>
      </c>
      <c r="C34" s="306">
        <f>IF('دانش‌آموزان'!E7="","",'دانش‌آموزان'!B7)</f>
        <v/>
      </c>
      <c r="D34" s="306">
        <f>IF('دانش‌آموزان'!C7="","",'دانش‌آموزان'!C7)</f>
        <v/>
      </c>
      <c r="E34" s="306">
        <f>IF('دانش‌آموزان'!E7="","",'دانش‌آموزان'!E7&amp;" "&amp;'دانش‌آموزان'!F7)</f>
        <v/>
      </c>
      <c r="F34" s="306">
        <f>IF('دانش‌آموزان'!I7="","",'دانش‌آموزان'!I7)</f>
        <v/>
      </c>
      <c r="G34" s="307" t="n"/>
      <c r="H34" s="307" t="n"/>
      <c r="I34" s="307" t="n"/>
      <c r="J34" s="307" t="n"/>
      <c r="K34" s="313">
        <f>IF(COUNT(G34:J34)=0,"",AVERAGE(G34:J34)*4)</f>
        <v/>
      </c>
      <c r="L34" s="306">
        <f>IF(C34="","",IF(COUNT(G34:J34)=0,"",IF(COUNT(G34:J34)&lt;4,"موقت - اطلاعات ناقص",IF(K34&gt;=17,"عالی",IF(K34&gt;=14,"خوب",IF(K34&gt;=10,"متوسط","ضعیف"))))))</f>
        <v/>
      </c>
      <c r="M34" s="306" t="n">
        <v>6</v>
      </c>
      <c r="N34" s="314">
        <f>IF(C34="","",COUNT(G34:J34)/4)</f>
        <v/>
      </c>
      <c r="O34" s="307" t="n"/>
    </row>
    <row r="35" ht="24" customHeight="1">
      <c r="A35" s="306" t="n">
        <v>31</v>
      </c>
      <c r="B35" s="306" t="inlineStr">
        <is>
          <t>دی</t>
        </is>
      </c>
      <c r="C35" s="306">
        <f>IF('دانش‌آموزان'!E7="","",'دانش‌آموزان'!B7)</f>
        <v/>
      </c>
      <c r="D35" s="306">
        <f>IF('دانش‌آموزان'!C7="","",'دانش‌آموزان'!C7)</f>
        <v/>
      </c>
      <c r="E35" s="306">
        <f>IF('دانش‌آموزان'!E7="","",'دانش‌آموزان'!E7&amp;" "&amp;'دانش‌آموزان'!F7)</f>
        <v/>
      </c>
      <c r="F35" s="306">
        <f>IF('دانش‌آموزان'!I7="","",'دانش‌آموزان'!I7)</f>
        <v/>
      </c>
      <c r="G35" s="307" t="n"/>
      <c r="H35" s="307" t="n"/>
      <c r="I35" s="307" t="n"/>
      <c r="J35" s="307" t="n"/>
      <c r="K35" s="313">
        <f>IF(COUNT(G35:J35)=0,"",AVERAGE(G35:J35)*4)</f>
        <v/>
      </c>
      <c r="L35" s="306">
        <f>IF(C35="","",IF(COUNT(G35:J35)=0,"",IF(COUNT(G35:J35)&lt;4,"موقت - اطلاعات ناقص",IF(K35&gt;=17,"عالی",IF(K35&gt;=14,"خوب",IF(K35&gt;=10,"متوسط","ضعیف"))))))</f>
        <v/>
      </c>
      <c r="M35" s="306" t="n">
        <v>7</v>
      </c>
      <c r="N35" s="314">
        <f>IF(C35="","",COUNT(G35:J35)/4)</f>
        <v/>
      </c>
      <c r="O35" s="307" t="n"/>
    </row>
    <row r="36" ht="24" customHeight="1">
      <c r="A36" s="306" t="n">
        <v>32</v>
      </c>
      <c r="B36" s="306" t="inlineStr">
        <is>
          <t>بهمن</t>
        </is>
      </c>
      <c r="C36" s="306">
        <f>IF('دانش‌آموزان'!E7="","",'دانش‌آموزان'!B7)</f>
        <v/>
      </c>
      <c r="D36" s="306">
        <f>IF('دانش‌آموزان'!C7="","",'دانش‌آموزان'!C7)</f>
        <v/>
      </c>
      <c r="E36" s="306">
        <f>IF('دانش‌آموزان'!E7="","",'دانش‌آموزان'!E7&amp;" "&amp;'دانش‌آموزان'!F7)</f>
        <v/>
      </c>
      <c r="F36" s="306">
        <f>IF('دانش‌آموزان'!I7="","",'دانش‌آموزان'!I7)</f>
        <v/>
      </c>
      <c r="G36" s="307" t="n"/>
      <c r="H36" s="307" t="n"/>
      <c r="I36" s="307" t="n"/>
      <c r="J36" s="307" t="n"/>
      <c r="K36" s="313">
        <f>IF(COUNT(G36:J36)=0,"",AVERAGE(G36:J36)*4)</f>
        <v/>
      </c>
      <c r="L36" s="306">
        <f>IF(C36="","",IF(COUNT(G36:J36)=0,"",IF(COUNT(G36:J36)&lt;4,"موقت - اطلاعات ناقص",IF(K36&gt;=17,"عالی",IF(K36&gt;=14,"خوب",IF(K36&gt;=10,"متوسط","ضعیف"))))))</f>
        <v/>
      </c>
      <c r="M36" s="306" t="n">
        <v>8</v>
      </c>
      <c r="N36" s="314">
        <f>IF(C36="","",COUNT(G36:J36)/4)</f>
        <v/>
      </c>
      <c r="O36" s="307" t="n"/>
    </row>
    <row r="37" ht="24" customHeight="1">
      <c r="A37" s="306" t="n">
        <v>33</v>
      </c>
      <c r="B37" s="306" t="inlineStr">
        <is>
          <t>اسفند</t>
        </is>
      </c>
      <c r="C37" s="306">
        <f>IF('دانش‌آموزان'!E7="","",'دانش‌آموزان'!B7)</f>
        <v/>
      </c>
      <c r="D37" s="306">
        <f>IF('دانش‌آموزان'!C7="","",'دانش‌آموزان'!C7)</f>
        <v/>
      </c>
      <c r="E37" s="306">
        <f>IF('دانش‌آموزان'!E7="","",'دانش‌آموزان'!E7&amp;" "&amp;'دانش‌آموزان'!F7)</f>
        <v/>
      </c>
      <c r="F37" s="306">
        <f>IF('دانش‌آموزان'!I7="","",'دانش‌آموزان'!I7)</f>
        <v/>
      </c>
      <c r="G37" s="307" t="n"/>
      <c r="H37" s="307" t="n"/>
      <c r="I37" s="307" t="n"/>
      <c r="J37" s="307" t="n"/>
      <c r="K37" s="313">
        <f>IF(COUNT(G37:J37)=0,"",AVERAGE(G37:J37)*4)</f>
        <v/>
      </c>
      <c r="L37" s="306">
        <f>IF(C37="","",IF(COUNT(G37:J37)=0,"",IF(COUNT(G37:J37)&lt;4,"موقت - اطلاعات ناقص",IF(K37&gt;=17,"عالی",IF(K37&gt;=14,"خوب",IF(K37&gt;=10,"متوسط","ضعیف"))))))</f>
        <v/>
      </c>
      <c r="M37" s="306" t="n">
        <v>9</v>
      </c>
      <c r="N37" s="314">
        <f>IF(C37="","",COUNT(G37:J37)/4)</f>
        <v/>
      </c>
      <c r="O37" s="307" t="n"/>
    </row>
    <row r="38" ht="24" customHeight="1">
      <c r="A38" s="306" t="n">
        <v>34</v>
      </c>
      <c r="B38" s="306" t="inlineStr">
        <is>
          <t>فروردین</t>
        </is>
      </c>
      <c r="C38" s="306">
        <f>IF('دانش‌آموزان'!E7="","",'دانش‌آموزان'!B7)</f>
        <v/>
      </c>
      <c r="D38" s="306">
        <f>IF('دانش‌آموزان'!C7="","",'دانش‌آموزان'!C7)</f>
        <v/>
      </c>
      <c r="E38" s="306">
        <f>IF('دانش‌آموزان'!E7="","",'دانش‌آموزان'!E7&amp;" "&amp;'دانش‌آموزان'!F7)</f>
        <v/>
      </c>
      <c r="F38" s="306">
        <f>IF('دانش‌آموزان'!I7="","",'دانش‌آموزان'!I7)</f>
        <v/>
      </c>
      <c r="G38" s="307" t="n"/>
      <c r="H38" s="307" t="n"/>
      <c r="I38" s="307" t="n"/>
      <c r="J38" s="307" t="n"/>
      <c r="K38" s="313">
        <f>IF(COUNT(G38:J38)=0,"",AVERAGE(G38:J38)*4)</f>
        <v/>
      </c>
      <c r="L38" s="306">
        <f>IF(C38="","",IF(COUNT(G38:J38)=0,"",IF(COUNT(G38:J38)&lt;4,"موقت - اطلاعات ناقص",IF(K38&gt;=17,"عالی",IF(K38&gt;=14,"خوب",IF(K38&gt;=10,"متوسط","ضعیف"))))))</f>
        <v/>
      </c>
      <c r="M38" s="306" t="n">
        <v>10</v>
      </c>
      <c r="N38" s="314">
        <f>IF(C38="","",COUNT(G38:J38)/4)</f>
        <v/>
      </c>
      <c r="O38" s="307" t="n"/>
    </row>
    <row r="39" ht="24" customHeight="1">
      <c r="A39" s="306" t="n">
        <v>35</v>
      </c>
      <c r="B39" s="306" t="inlineStr">
        <is>
          <t>اردیبهشت</t>
        </is>
      </c>
      <c r="C39" s="306">
        <f>IF('دانش‌آموزان'!E7="","",'دانش‌آموزان'!B7)</f>
        <v/>
      </c>
      <c r="D39" s="306">
        <f>IF('دانش‌آموزان'!C7="","",'دانش‌آموزان'!C7)</f>
        <v/>
      </c>
      <c r="E39" s="306">
        <f>IF('دانش‌آموزان'!E7="","",'دانش‌آموزان'!E7&amp;" "&amp;'دانش‌آموزان'!F7)</f>
        <v/>
      </c>
      <c r="F39" s="306">
        <f>IF('دانش‌آموزان'!I7="","",'دانش‌آموزان'!I7)</f>
        <v/>
      </c>
      <c r="G39" s="307" t="n"/>
      <c r="H39" s="307" t="n"/>
      <c r="I39" s="307" t="n"/>
      <c r="J39" s="307" t="n"/>
      <c r="K39" s="313">
        <f>IF(COUNT(G39:J39)=0,"",AVERAGE(G39:J39)*4)</f>
        <v/>
      </c>
      <c r="L39" s="306">
        <f>IF(C39="","",IF(COUNT(G39:J39)=0,"",IF(COUNT(G39:J39)&lt;4,"موقت - اطلاعات ناقص",IF(K39&gt;=17,"عالی",IF(K39&gt;=14,"خوب",IF(K39&gt;=10,"متوسط","ضعیف"))))))</f>
        <v/>
      </c>
      <c r="M39" s="306" t="n">
        <v>11</v>
      </c>
      <c r="N39" s="314">
        <f>IF(C39="","",COUNT(G39:J39)/4)</f>
        <v/>
      </c>
      <c r="O39" s="307" t="n"/>
    </row>
    <row r="40" ht="24" customHeight="1">
      <c r="A40" s="306" t="n">
        <v>36</v>
      </c>
      <c r="B40" s="306" t="inlineStr">
        <is>
          <t>خرداد</t>
        </is>
      </c>
      <c r="C40" s="306">
        <f>IF('دانش‌آموزان'!E7="","",'دانش‌آموزان'!B7)</f>
        <v/>
      </c>
      <c r="D40" s="306">
        <f>IF('دانش‌آموزان'!C7="","",'دانش‌آموزان'!C7)</f>
        <v/>
      </c>
      <c r="E40" s="306">
        <f>IF('دانش‌آموزان'!E7="","",'دانش‌آموزان'!E7&amp;" "&amp;'دانش‌آموزان'!F7)</f>
        <v/>
      </c>
      <c r="F40" s="306">
        <f>IF('دانش‌آموزان'!I7="","",'دانش‌آموزان'!I7)</f>
        <v/>
      </c>
      <c r="G40" s="307" t="n"/>
      <c r="H40" s="307" t="n"/>
      <c r="I40" s="307" t="n"/>
      <c r="J40" s="307" t="n"/>
      <c r="K40" s="313">
        <f>IF(COUNT(G40:J40)=0,"",AVERAGE(G40:J40)*4)</f>
        <v/>
      </c>
      <c r="L40" s="306">
        <f>IF(C40="","",IF(COUNT(G40:J40)=0,"",IF(COUNT(G40:J40)&lt;4,"موقت - اطلاعات ناقص",IF(K40&gt;=17,"عالی",IF(K40&gt;=14,"خوب",IF(K40&gt;=10,"متوسط","ضعیف"))))))</f>
        <v/>
      </c>
      <c r="M40" s="306" t="n">
        <v>12</v>
      </c>
      <c r="N40" s="314">
        <f>IF(C40="","",COUNT(G40:J40)/4)</f>
        <v/>
      </c>
      <c r="O40" s="307" t="n"/>
    </row>
    <row r="41" ht="24" customHeight="1">
      <c r="A41" s="306" t="n">
        <v>37</v>
      </c>
      <c r="B41" s="306" t="inlineStr">
        <is>
          <t>تیر</t>
        </is>
      </c>
      <c r="C41" s="306">
        <f>IF('دانش‌آموزان'!E8="","",'دانش‌آموزان'!B8)</f>
        <v/>
      </c>
      <c r="D41" s="306">
        <f>IF('دانش‌آموزان'!C8="","",'دانش‌آموزان'!C8)</f>
        <v/>
      </c>
      <c r="E41" s="306">
        <f>IF('دانش‌آموزان'!E8="","",'دانش‌آموزان'!E8&amp;" "&amp;'دانش‌آموزان'!F8)</f>
        <v/>
      </c>
      <c r="F41" s="306">
        <f>IF('دانش‌آموزان'!I8="","",'دانش‌آموزان'!I8)</f>
        <v/>
      </c>
      <c r="G41" s="307" t="n"/>
      <c r="H41" s="307" t="n"/>
      <c r="I41" s="307" t="n"/>
      <c r="J41" s="307" t="n"/>
      <c r="K41" s="313">
        <f>IF(COUNT(G41:J41)=0,"",AVERAGE(G41:J41)*4)</f>
        <v/>
      </c>
      <c r="L41" s="306">
        <f>IF(C41="","",IF(COUNT(G41:J41)=0,"",IF(COUNT(G41:J41)&lt;4,"موقت - اطلاعات ناقص",IF(K41&gt;=17,"عالی",IF(K41&gt;=14,"خوب",IF(K41&gt;=10,"متوسط","ضعیف"))))))</f>
        <v/>
      </c>
      <c r="M41" s="306" t="n">
        <v>1</v>
      </c>
      <c r="N41" s="314">
        <f>IF(C41="","",COUNT(G41:J41)/4)</f>
        <v/>
      </c>
      <c r="O41" s="307" t="n"/>
    </row>
    <row r="42" ht="24" customHeight="1">
      <c r="A42" s="306" t="n">
        <v>38</v>
      </c>
      <c r="B42" s="306" t="inlineStr">
        <is>
          <t>مرداد</t>
        </is>
      </c>
      <c r="C42" s="306">
        <f>IF('دانش‌آموزان'!E8="","",'دانش‌آموزان'!B8)</f>
        <v/>
      </c>
      <c r="D42" s="306">
        <f>IF('دانش‌آموزان'!C8="","",'دانش‌آموزان'!C8)</f>
        <v/>
      </c>
      <c r="E42" s="306">
        <f>IF('دانش‌آموزان'!E8="","",'دانش‌آموزان'!E8&amp;" "&amp;'دانش‌آموزان'!F8)</f>
        <v/>
      </c>
      <c r="F42" s="306">
        <f>IF('دانش‌آموزان'!I8="","",'دانش‌آموزان'!I8)</f>
        <v/>
      </c>
      <c r="G42" s="307" t="n"/>
      <c r="H42" s="307" t="n"/>
      <c r="I42" s="307" t="n"/>
      <c r="J42" s="307" t="n"/>
      <c r="K42" s="313">
        <f>IF(COUNT(G42:J42)=0,"",AVERAGE(G42:J42)*4)</f>
        <v/>
      </c>
      <c r="L42" s="306">
        <f>IF(C42="","",IF(COUNT(G42:J42)=0,"",IF(COUNT(G42:J42)&lt;4,"موقت - اطلاعات ناقص",IF(K42&gt;=17,"عالی",IF(K42&gt;=14,"خوب",IF(K42&gt;=10,"متوسط","ضعیف"))))))</f>
        <v/>
      </c>
      <c r="M42" s="306" t="n">
        <v>2</v>
      </c>
      <c r="N42" s="314">
        <f>IF(C42="","",COUNT(G42:J42)/4)</f>
        <v/>
      </c>
      <c r="O42" s="307" t="n"/>
    </row>
    <row r="43" ht="24" customHeight="1">
      <c r="A43" s="306" t="n">
        <v>39</v>
      </c>
      <c r="B43" s="306" t="inlineStr">
        <is>
          <t>شهریور</t>
        </is>
      </c>
      <c r="C43" s="306">
        <f>IF('دانش‌آموزان'!E8="","",'دانش‌آموزان'!B8)</f>
        <v/>
      </c>
      <c r="D43" s="306">
        <f>IF('دانش‌آموزان'!C8="","",'دانش‌آموزان'!C8)</f>
        <v/>
      </c>
      <c r="E43" s="306">
        <f>IF('دانش‌آموزان'!E8="","",'دانش‌آموزان'!E8&amp;" "&amp;'دانش‌آموزان'!F8)</f>
        <v/>
      </c>
      <c r="F43" s="306">
        <f>IF('دانش‌آموزان'!I8="","",'دانش‌آموزان'!I8)</f>
        <v/>
      </c>
      <c r="G43" s="307" t="n"/>
      <c r="H43" s="307" t="n"/>
      <c r="I43" s="307" t="n"/>
      <c r="J43" s="307" t="n"/>
      <c r="K43" s="313">
        <f>IF(COUNT(G43:J43)=0,"",AVERAGE(G43:J43)*4)</f>
        <v/>
      </c>
      <c r="L43" s="306">
        <f>IF(C43="","",IF(COUNT(G43:J43)=0,"",IF(COUNT(G43:J43)&lt;4,"موقت - اطلاعات ناقص",IF(K43&gt;=17,"عالی",IF(K43&gt;=14,"خوب",IF(K43&gt;=10,"متوسط","ضعیف"))))))</f>
        <v/>
      </c>
      <c r="M43" s="306" t="n">
        <v>3</v>
      </c>
      <c r="N43" s="314">
        <f>IF(C43="","",COUNT(G43:J43)/4)</f>
        <v/>
      </c>
      <c r="O43" s="307" t="n"/>
    </row>
    <row r="44" ht="24" customHeight="1">
      <c r="A44" s="306" t="n">
        <v>40</v>
      </c>
      <c r="B44" s="306" t="inlineStr">
        <is>
          <t>مهر</t>
        </is>
      </c>
      <c r="C44" s="306">
        <f>IF('دانش‌آموزان'!E8="","",'دانش‌آموزان'!B8)</f>
        <v/>
      </c>
      <c r="D44" s="306">
        <f>IF('دانش‌آموزان'!C8="","",'دانش‌آموزان'!C8)</f>
        <v/>
      </c>
      <c r="E44" s="306">
        <f>IF('دانش‌آموزان'!E8="","",'دانش‌آموزان'!E8&amp;" "&amp;'دانش‌آموزان'!F8)</f>
        <v/>
      </c>
      <c r="F44" s="306">
        <f>IF('دانش‌آموزان'!I8="","",'دانش‌آموزان'!I8)</f>
        <v/>
      </c>
      <c r="G44" s="307" t="n"/>
      <c r="H44" s="307" t="n"/>
      <c r="I44" s="307" t="n"/>
      <c r="J44" s="307" t="n"/>
      <c r="K44" s="313">
        <f>IF(COUNT(G44:J44)=0,"",AVERAGE(G44:J44)*4)</f>
        <v/>
      </c>
      <c r="L44" s="306">
        <f>IF(C44="","",IF(COUNT(G44:J44)=0,"",IF(COUNT(G44:J44)&lt;4,"موقت - اطلاعات ناقص",IF(K44&gt;=17,"عالی",IF(K44&gt;=14,"خوب",IF(K44&gt;=10,"متوسط","ضعیف"))))))</f>
        <v/>
      </c>
      <c r="M44" s="306" t="n">
        <v>4</v>
      </c>
      <c r="N44" s="314">
        <f>IF(C44="","",COUNT(G44:J44)/4)</f>
        <v/>
      </c>
      <c r="O44" s="307" t="n"/>
    </row>
    <row r="45" ht="24" customHeight="1">
      <c r="A45" s="306" t="n">
        <v>41</v>
      </c>
      <c r="B45" s="306" t="inlineStr">
        <is>
          <t>آبان</t>
        </is>
      </c>
      <c r="C45" s="306">
        <f>IF('دانش‌آموزان'!E8="","",'دانش‌آموزان'!B8)</f>
        <v/>
      </c>
      <c r="D45" s="306">
        <f>IF('دانش‌آموزان'!C8="","",'دانش‌آموزان'!C8)</f>
        <v/>
      </c>
      <c r="E45" s="306">
        <f>IF('دانش‌آموزان'!E8="","",'دانش‌آموزان'!E8&amp;" "&amp;'دانش‌آموزان'!F8)</f>
        <v/>
      </c>
      <c r="F45" s="306">
        <f>IF('دانش‌آموزان'!I8="","",'دانش‌آموزان'!I8)</f>
        <v/>
      </c>
      <c r="G45" s="307" t="n"/>
      <c r="H45" s="307" t="n"/>
      <c r="I45" s="307" t="n"/>
      <c r="J45" s="307" t="n"/>
      <c r="K45" s="313">
        <f>IF(COUNT(G45:J45)=0,"",AVERAGE(G45:J45)*4)</f>
        <v/>
      </c>
      <c r="L45" s="306">
        <f>IF(C45="","",IF(COUNT(G45:J45)=0,"",IF(COUNT(G45:J45)&lt;4,"موقت - اطلاعات ناقص",IF(K45&gt;=17,"عالی",IF(K45&gt;=14,"خوب",IF(K45&gt;=10,"متوسط","ضعیف"))))))</f>
        <v/>
      </c>
      <c r="M45" s="306" t="n">
        <v>5</v>
      </c>
      <c r="N45" s="314">
        <f>IF(C45="","",COUNT(G45:J45)/4)</f>
        <v/>
      </c>
      <c r="O45" s="307" t="n"/>
    </row>
    <row r="46" ht="24" customHeight="1">
      <c r="A46" s="306" t="n">
        <v>42</v>
      </c>
      <c r="B46" s="306" t="inlineStr">
        <is>
          <t>آذر</t>
        </is>
      </c>
      <c r="C46" s="306">
        <f>IF('دانش‌آموزان'!E8="","",'دانش‌آموزان'!B8)</f>
        <v/>
      </c>
      <c r="D46" s="306">
        <f>IF('دانش‌آموزان'!C8="","",'دانش‌آموزان'!C8)</f>
        <v/>
      </c>
      <c r="E46" s="306">
        <f>IF('دانش‌آموزان'!E8="","",'دانش‌آموزان'!E8&amp;" "&amp;'دانش‌آموزان'!F8)</f>
        <v/>
      </c>
      <c r="F46" s="306">
        <f>IF('دانش‌آموزان'!I8="","",'دانش‌آموزان'!I8)</f>
        <v/>
      </c>
      <c r="G46" s="307" t="n"/>
      <c r="H46" s="307" t="n"/>
      <c r="I46" s="307" t="n"/>
      <c r="J46" s="307" t="n"/>
      <c r="K46" s="313">
        <f>IF(COUNT(G46:J46)=0,"",AVERAGE(G46:J46)*4)</f>
        <v/>
      </c>
      <c r="L46" s="306">
        <f>IF(C46="","",IF(COUNT(G46:J46)=0,"",IF(COUNT(G46:J46)&lt;4,"موقت - اطلاعات ناقص",IF(K46&gt;=17,"عالی",IF(K46&gt;=14,"خوب",IF(K46&gt;=10,"متوسط","ضعیف"))))))</f>
        <v/>
      </c>
      <c r="M46" s="306" t="n">
        <v>6</v>
      </c>
      <c r="N46" s="314">
        <f>IF(C46="","",COUNT(G46:J46)/4)</f>
        <v/>
      </c>
      <c r="O46" s="307" t="n"/>
    </row>
    <row r="47" ht="24" customHeight="1">
      <c r="A47" s="306" t="n">
        <v>43</v>
      </c>
      <c r="B47" s="306" t="inlineStr">
        <is>
          <t>دی</t>
        </is>
      </c>
      <c r="C47" s="306">
        <f>IF('دانش‌آموزان'!E8="","",'دانش‌آموزان'!B8)</f>
        <v/>
      </c>
      <c r="D47" s="306">
        <f>IF('دانش‌آموزان'!C8="","",'دانش‌آموزان'!C8)</f>
        <v/>
      </c>
      <c r="E47" s="306">
        <f>IF('دانش‌آموزان'!E8="","",'دانش‌آموزان'!E8&amp;" "&amp;'دانش‌آموزان'!F8)</f>
        <v/>
      </c>
      <c r="F47" s="306">
        <f>IF('دانش‌آموزان'!I8="","",'دانش‌آموزان'!I8)</f>
        <v/>
      </c>
      <c r="G47" s="307" t="n"/>
      <c r="H47" s="307" t="n"/>
      <c r="I47" s="307" t="n"/>
      <c r="J47" s="307" t="n"/>
      <c r="K47" s="313">
        <f>IF(COUNT(G47:J47)=0,"",AVERAGE(G47:J47)*4)</f>
        <v/>
      </c>
      <c r="L47" s="306">
        <f>IF(C47="","",IF(COUNT(G47:J47)=0,"",IF(COUNT(G47:J47)&lt;4,"موقت - اطلاعات ناقص",IF(K47&gt;=17,"عالی",IF(K47&gt;=14,"خوب",IF(K47&gt;=10,"متوسط","ضعیف"))))))</f>
        <v/>
      </c>
      <c r="M47" s="306" t="n">
        <v>7</v>
      </c>
      <c r="N47" s="314">
        <f>IF(C47="","",COUNT(G47:J47)/4)</f>
        <v/>
      </c>
      <c r="O47" s="307" t="n"/>
    </row>
    <row r="48" ht="24" customHeight="1">
      <c r="A48" s="306" t="n">
        <v>44</v>
      </c>
      <c r="B48" s="306" t="inlineStr">
        <is>
          <t>بهمن</t>
        </is>
      </c>
      <c r="C48" s="306">
        <f>IF('دانش‌آموزان'!E8="","",'دانش‌آموزان'!B8)</f>
        <v/>
      </c>
      <c r="D48" s="306">
        <f>IF('دانش‌آموزان'!C8="","",'دانش‌آموزان'!C8)</f>
        <v/>
      </c>
      <c r="E48" s="306">
        <f>IF('دانش‌آموزان'!E8="","",'دانش‌آموزان'!E8&amp;" "&amp;'دانش‌آموزان'!F8)</f>
        <v/>
      </c>
      <c r="F48" s="306">
        <f>IF('دانش‌آموزان'!I8="","",'دانش‌آموزان'!I8)</f>
        <v/>
      </c>
      <c r="G48" s="307" t="n"/>
      <c r="H48" s="307" t="n"/>
      <c r="I48" s="307" t="n"/>
      <c r="J48" s="307" t="n"/>
      <c r="K48" s="313">
        <f>IF(COUNT(G48:J48)=0,"",AVERAGE(G48:J48)*4)</f>
        <v/>
      </c>
      <c r="L48" s="306">
        <f>IF(C48="","",IF(COUNT(G48:J48)=0,"",IF(COUNT(G48:J48)&lt;4,"موقت - اطلاعات ناقص",IF(K48&gt;=17,"عالی",IF(K48&gt;=14,"خوب",IF(K48&gt;=10,"متوسط","ضعیف"))))))</f>
        <v/>
      </c>
      <c r="M48" s="306" t="n">
        <v>8</v>
      </c>
      <c r="N48" s="314">
        <f>IF(C48="","",COUNT(G48:J48)/4)</f>
        <v/>
      </c>
      <c r="O48" s="307" t="n"/>
    </row>
    <row r="49" ht="24" customHeight="1">
      <c r="A49" s="306" t="n">
        <v>45</v>
      </c>
      <c r="B49" s="306" t="inlineStr">
        <is>
          <t>اسفند</t>
        </is>
      </c>
      <c r="C49" s="306">
        <f>IF('دانش‌آموزان'!E8="","",'دانش‌آموزان'!B8)</f>
        <v/>
      </c>
      <c r="D49" s="306">
        <f>IF('دانش‌آموزان'!C8="","",'دانش‌آموزان'!C8)</f>
        <v/>
      </c>
      <c r="E49" s="306">
        <f>IF('دانش‌آموزان'!E8="","",'دانش‌آموزان'!E8&amp;" "&amp;'دانش‌آموزان'!F8)</f>
        <v/>
      </c>
      <c r="F49" s="306">
        <f>IF('دانش‌آموزان'!I8="","",'دانش‌آموزان'!I8)</f>
        <v/>
      </c>
      <c r="G49" s="307" t="n"/>
      <c r="H49" s="307" t="n"/>
      <c r="I49" s="307" t="n"/>
      <c r="J49" s="307" t="n"/>
      <c r="K49" s="313">
        <f>IF(COUNT(G49:J49)=0,"",AVERAGE(G49:J49)*4)</f>
        <v/>
      </c>
      <c r="L49" s="306">
        <f>IF(C49="","",IF(COUNT(G49:J49)=0,"",IF(COUNT(G49:J49)&lt;4,"موقت - اطلاعات ناقص",IF(K49&gt;=17,"عالی",IF(K49&gt;=14,"خوب",IF(K49&gt;=10,"متوسط","ضعیف"))))))</f>
        <v/>
      </c>
      <c r="M49" s="306" t="n">
        <v>9</v>
      </c>
      <c r="N49" s="314">
        <f>IF(C49="","",COUNT(G49:J49)/4)</f>
        <v/>
      </c>
      <c r="O49" s="307" t="n"/>
    </row>
    <row r="50" ht="24" customHeight="1">
      <c r="A50" s="306" t="n">
        <v>46</v>
      </c>
      <c r="B50" s="306" t="inlineStr">
        <is>
          <t>فروردین</t>
        </is>
      </c>
      <c r="C50" s="306">
        <f>IF('دانش‌آموزان'!E8="","",'دانش‌آموزان'!B8)</f>
        <v/>
      </c>
      <c r="D50" s="306">
        <f>IF('دانش‌آموزان'!C8="","",'دانش‌آموزان'!C8)</f>
        <v/>
      </c>
      <c r="E50" s="306">
        <f>IF('دانش‌آموزان'!E8="","",'دانش‌آموزان'!E8&amp;" "&amp;'دانش‌آموزان'!F8)</f>
        <v/>
      </c>
      <c r="F50" s="306">
        <f>IF('دانش‌آموزان'!I8="","",'دانش‌آموزان'!I8)</f>
        <v/>
      </c>
      <c r="G50" s="307" t="n"/>
      <c r="H50" s="307" t="n"/>
      <c r="I50" s="307" t="n"/>
      <c r="J50" s="307" t="n"/>
      <c r="K50" s="313">
        <f>IF(COUNT(G50:J50)=0,"",AVERAGE(G50:J50)*4)</f>
        <v/>
      </c>
      <c r="L50" s="306">
        <f>IF(C50="","",IF(COUNT(G50:J50)=0,"",IF(COUNT(G50:J50)&lt;4,"موقت - اطلاعات ناقص",IF(K50&gt;=17,"عالی",IF(K50&gt;=14,"خوب",IF(K50&gt;=10,"متوسط","ضعیف"))))))</f>
        <v/>
      </c>
      <c r="M50" s="306" t="n">
        <v>10</v>
      </c>
      <c r="N50" s="314">
        <f>IF(C50="","",COUNT(G50:J50)/4)</f>
        <v/>
      </c>
      <c r="O50" s="307" t="n"/>
    </row>
    <row r="51" ht="24" customHeight="1">
      <c r="A51" s="306" t="n">
        <v>47</v>
      </c>
      <c r="B51" s="306" t="inlineStr">
        <is>
          <t>اردیبهشت</t>
        </is>
      </c>
      <c r="C51" s="306">
        <f>IF('دانش‌آموزان'!E8="","",'دانش‌آموزان'!B8)</f>
        <v/>
      </c>
      <c r="D51" s="306">
        <f>IF('دانش‌آموزان'!C8="","",'دانش‌آموزان'!C8)</f>
        <v/>
      </c>
      <c r="E51" s="306">
        <f>IF('دانش‌آموزان'!E8="","",'دانش‌آموزان'!E8&amp;" "&amp;'دانش‌آموزان'!F8)</f>
        <v/>
      </c>
      <c r="F51" s="306">
        <f>IF('دانش‌آموزان'!I8="","",'دانش‌آموزان'!I8)</f>
        <v/>
      </c>
      <c r="G51" s="307" t="n"/>
      <c r="H51" s="307" t="n"/>
      <c r="I51" s="307" t="n"/>
      <c r="J51" s="307" t="n"/>
      <c r="K51" s="313">
        <f>IF(COUNT(G51:J51)=0,"",AVERAGE(G51:J51)*4)</f>
        <v/>
      </c>
      <c r="L51" s="306">
        <f>IF(C51="","",IF(COUNT(G51:J51)=0,"",IF(COUNT(G51:J51)&lt;4,"موقت - اطلاعات ناقص",IF(K51&gt;=17,"عالی",IF(K51&gt;=14,"خوب",IF(K51&gt;=10,"متوسط","ضعیف"))))))</f>
        <v/>
      </c>
      <c r="M51" s="306" t="n">
        <v>11</v>
      </c>
      <c r="N51" s="314">
        <f>IF(C51="","",COUNT(G51:J51)/4)</f>
        <v/>
      </c>
      <c r="O51" s="307" t="n"/>
    </row>
    <row r="52" ht="24" customHeight="1">
      <c r="A52" s="306" t="n">
        <v>48</v>
      </c>
      <c r="B52" s="306" t="inlineStr">
        <is>
          <t>خرداد</t>
        </is>
      </c>
      <c r="C52" s="306">
        <f>IF('دانش‌آموزان'!E8="","",'دانش‌آموزان'!B8)</f>
        <v/>
      </c>
      <c r="D52" s="306">
        <f>IF('دانش‌آموزان'!C8="","",'دانش‌آموزان'!C8)</f>
        <v/>
      </c>
      <c r="E52" s="306">
        <f>IF('دانش‌آموزان'!E8="","",'دانش‌آموزان'!E8&amp;" "&amp;'دانش‌آموزان'!F8)</f>
        <v/>
      </c>
      <c r="F52" s="306">
        <f>IF('دانش‌آموزان'!I8="","",'دانش‌آموزان'!I8)</f>
        <v/>
      </c>
      <c r="G52" s="307" t="n"/>
      <c r="H52" s="307" t="n"/>
      <c r="I52" s="307" t="n"/>
      <c r="J52" s="307" t="n"/>
      <c r="K52" s="313">
        <f>IF(COUNT(G52:J52)=0,"",AVERAGE(G52:J52)*4)</f>
        <v/>
      </c>
      <c r="L52" s="306">
        <f>IF(C52="","",IF(COUNT(G52:J52)=0,"",IF(COUNT(G52:J52)&lt;4,"موقت - اطلاعات ناقص",IF(K52&gt;=17,"عالی",IF(K52&gt;=14,"خوب",IF(K52&gt;=10,"متوسط","ضعیف"))))))</f>
        <v/>
      </c>
      <c r="M52" s="306" t="n">
        <v>12</v>
      </c>
      <c r="N52" s="314">
        <f>IF(C52="","",COUNT(G52:J52)/4)</f>
        <v/>
      </c>
      <c r="O52" s="307" t="n"/>
    </row>
    <row r="53" ht="24" customHeight="1">
      <c r="A53" s="306" t="n">
        <v>49</v>
      </c>
      <c r="B53" s="306" t="inlineStr">
        <is>
          <t>تیر</t>
        </is>
      </c>
      <c r="C53" s="306">
        <f>IF('دانش‌آموزان'!E9="","",'دانش‌آموزان'!B9)</f>
        <v/>
      </c>
      <c r="D53" s="306">
        <f>IF('دانش‌آموزان'!C9="","",'دانش‌آموزان'!C9)</f>
        <v/>
      </c>
      <c r="E53" s="306">
        <f>IF('دانش‌آموزان'!E9="","",'دانش‌آموزان'!E9&amp;" "&amp;'دانش‌آموزان'!F9)</f>
        <v/>
      </c>
      <c r="F53" s="306">
        <f>IF('دانش‌آموزان'!I9="","",'دانش‌آموزان'!I9)</f>
        <v/>
      </c>
      <c r="G53" s="307" t="n"/>
      <c r="H53" s="307" t="n"/>
      <c r="I53" s="307" t="n"/>
      <c r="J53" s="307" t="n"/>
      <c r="K53" s="313">
        <f>IF(COUNT(G53:J53)=0,"",AVERAGE(G53:J53)*4)</f>
        <v/>
      </c>
      <c r="L53" s="306">
        <f>IF(C53="","",IF(COUNT(G53:J53)=0,"",IF(COUNT(G53:J53)&lt;4,"موقت - اطلاعات ناقص",IF(K53&gt;=17,"عالی",IF(K53&gt;=14,"خوب",IF(K53&gt;=10,"متوسط","ضعیف"))))))</f>
        <v/>
      </c>
      <c r="M53" s="306" t="n">
        <v>1</v>
      </c>
      <c r="N53" s="314">
        <f>IF(C53="","",COUNT(G53:J53)/4)</f>
        <v/>
      </c>
      <c r="O53" s="307" t="n"/>
    </row>
    <row r="54" ht="24" customHeight="1">
      <c r="A54" s="306" t="n">
        <v>50</v>
      </c>
      <c r="B54" s="306" t="inlineStr">
        <is>
          <t>مرداد</t>
        </is>
      </c>
      <c r="C54" s="306">
        <f>IF('دانش‌آموزان'!E9="","",'دانش‌آموزان'!B9)</f>
        <v/>
      </c>
      <c r="D54" s="306">
        <f>IF('دانش‌آموزان'!C9="","",'دانش‌آموزان'!C9)</f>
        <v/>
      </c>
      <c r="E54" s="306">
        <f>IF('دانش‌آموزان'!E9="","",'دانش‌آموزان'!E9&amp;" "&amp;'دانش‌آموزان'!F9)</f>
        <v/>
      </c>
      <c r="F54" s="306">
        <f>IF('دانش‌آموزان'!I9="","",'دانش‌آموزان'!I9)</f>
        <v/>
      </c>
      <c r="G54" s="307" t="n"/>
      <c r="H54" s="307" t="n"/>
      <c r="I54" s="307" t="n"/>
      <c r="J54" s="307" t="n"/>
      <c r="K54" s="313">
        <f>IF(COUNT(G54:J54)=0,"",AVERAGE(G54:J54)*4)</f>
        <v/>
      </c>
      <c r="L54" s="306">
        <f>IF(C54="","",IF(COUNT(G54:J54)=0,"",IF(COUNT(G54:J54)&lt;4,"موقت - اطلاعات ناقص",IF(K54&gt;=17,"عالی",IF(K54&gt;=14,"خوب",IF(K54&gt;=10,"متوسط","ضعیف"))))))</f>
        <v/>
      </c>
      <c r="M54" s="306" t="n">
        <v>2</v>
      </c>
      <c r="N54" s="314">
        <f>IF(C54="","",COUNT(G54:J54)/4)</f>
        <v/>
      </c>
      <c r="O54" s="307" t="n"/>
    </row>
    <row r="55" ht="24" customHeight="1">
      <c r="A55" s="306" t="n">
        <v>51</v>
      </c>
      <c r="B55" s="306" t="inlineStr">
        <is>
          <t>شهریور</t>
        </is>
      </c>
      <c r="C55" s="306">
        <f>IF('دانش‌آموزان'!E9="","",'دانش‌آموزان'!B9)</f>
        <v/>
      </c>
      <c r="D55" s="306">
        <f>IF('دانش‌آموزان'!C9="","",'دانش‌آموزان'!C9)</f>
        <v/>
      </c>
      <c r="E55" s="306">
        <f>IF('دانش‌آموزان'!E9="","",'دانش‌آموزان'!E9&amp;" "&amp;'دانش‌آموزان'!F9)</f>
        <v/>
      </c>
      <c r="F55" s="306">
        <f>IF('دانش‌آموزان'!I9="","",'دانش‌آموزان'!I9)</f>
        <v/>
      </c>
      <c r="G55" s="307" t="n"/>
      <c r="H55" s="307" t="n"/>
      <c r="I55" s="307" t="n"/>
      <c r="J55" s="307" t="n"/>
      <c r="K55" s="313">
        <f>IF(COUNT(G55:J55)=0,"",AVERAGE(G55:J55)*4)</f>
        <v/>
      </c>
      <c r="L55" s="306">
        <f>IF(C55="","",IF(COUNT(G55:J55)=0,"",IF(COUNT(G55:J55)&lt;4,"موقت - اطلاعات ناقص",IF(K55&gt;=17,"عالی",IF(K55&gt;=14,"خوب",IF(K55&gt;=10,"متوسط","ضعیف"))))))</f>
        <v/>
      </c>
      <c r="M55" s="306" t="n">
        <v>3</v>
      </c>
      <c r="N55" s="314">
        <f>IF(C55="","",COUNT(G55:J55)/4)</f>
        <v/>
      </c>
      <c r="O55" s="307" t="n"/>
    </row>
    <row r="56" ht="24" customHeight="1">
      <c r="A56" s="306" t="n">
        <v>52</v>
      </c>
      <c r="B56" s="306" t="inlineStr">
        <is>
          <t>مهر</t>
        </is>
      </c>
      <c r="C56" s="306">
        <f>IF('دانش‌آموزان'!E9="","",'دانش‌آموزان'!B9)</f>
        <v/>
      </c>
      <c r="D56" s="306">
        <f>IF('دانش‌آموزان'!C9="","",'دانش‌آموزان'!C9)</f>
        <v/>
      </c>
      <c r="E56" s="306">
        <f>IF('دانش‌آموزان'!E9="","",'دانش‌آموزان'!E9&amp;" "&amp;'دانش‌آموزان'!F9)</f>
        <v/>
      </c>
      <c r="F56" s="306">
        <f>IF('دانش‌آموزان'!I9="","",'دانش‌آموزان'!I9)</f>
        <v/>
      </c>
      <c r="G56" s="307" t="n"/>
      <c r="H56" s="307" t="n"/>
      <c r="I56" s="307" t="n"/>
      <c r="J56" s="307" t="n"/>
      <c r="K56" s="313">
        <f>IF(COUNT(G56:J56)=0,"",AVERAGE(G56:J56)*4)</f>
        <v/>
      </c>
      <c r="L56" s="306">
        <f>IF(C56="","",IF(COUNT(G56:J56)=0,"",IF(COUNT(G56:J56)&lt;4,"موقت - اطلاعات ناقص",IF(K56&gt;=17,"عالی",IF(K56&gt;=14,"خوب",IF(K56&gt;=10,"متوسط","ضعیف"))))))</f>
        <v/>
      </c>
      <c r="M56" s="306" t="n">
        <v>4</v>
      </c>
      <c r="N56" s="314">
        <f>IF(C56="","",COUNT(G56:J56)/4)</f>
        <v/>
      </c>
      <c r="O56" s="307" t="n"/>
    </row>
    <row r="57" ht="24" customHeight="1">
      <c r="A57" s="306" t="n">
        <v>53</v>
      </c>
      <c r="B57" s="306" t="inlineStr">
        <is>
          <t>آبان</t>
        </is>
      </c>
      <c r="C57" s="306">
        <f>IF('دانش‌آموزان'!E9="","",'دانش‌آموزان'!B9)</f>
        <v/>
      </c>
      <c r="D57" s="306">
        <f>IF('دانش‌آموزان'!C9="","",'دانش‌آموزان'!C9)</f>
        <v/>
      </c>
      <c r="E57" s="306">
        <f>IF('دانش‌آموزان'!E9="","",'دانش‌آموزان'!E9&amp;" "&amp;'دانش‌آموزان'!F9)</f>
        <v/>
      </c>
      <c r="F57" s="306">
        <f>IF('دانش‌آموزان'!I9="","",'دانش‌آموزان'!I9)</f>
        <v/>
      </c>
      <c r="G57" s="307" t="n"/>
      <c r="H57" s="307" t="n"/>
      <c r="I57" s="307" t="n"/>
      <c r="J57" s="307" t="n"/>
      <c r="K57" s="313">
        <f>IF(COUNT(G57:J57)=0,"",AVERAGE(G57:J57)*4)</f>
        <v/>
      </c>
      <c r="L57" s="306">
        <f>IF(C57="","",IF(COUNT(G57:J57)=0,"",IF(COUNT(G57:J57)&lt;4,"موقت - اطلاعات ناقص",IF(K57&gt;=17,"عالی",IF(K57&gt;=14,"خوب",IF(K57&gt;=10,"متوسط","ضعیف"))))))</f>
        <v/>
      </c>
      <c r="M57" s="306" t="n">
        <v>5</v>
      </c>
      <c r="N57" s="314">
        <f>IF(C57="","",COUNT(G57:J57)/4)</f>
        <v/>
      </c>
      <c r="O57" s="307" t="n"/>
    </row>
    <row r="58" ht="24" customHeight="1">
      <c r="A58" s="306" t="n">
        <v>54</v>
      </c>
      <c r="B58" s="306" t="inlineStr">
        <is>
          <t>آذر</t>
        </is>
      </c>
      <c r="C58" s="306">
        <f>IF('دانش‌آموزان'!E9="","",'دانش‌آموزان'!B9)</f>
        <v/>
      </c>
      <c r="D58" s="306">
        <f>IF('دانش‌آموزان'!C9="","",'دانش‌آموزان'!C9)</f>
        <v/>
      </c>
      <c r="E58" s="306">
        <f>IF('دانش‌آموزان'!E9="","",'دانش‌آموزان'!E9&amp;" "&amp;'دانش‌آموزان'!F9)</f>
        <v/>
      </c>
      <c r="F58" s="306">
        <f>IF('دانش‌آموزان'!I9="","",'دانش‌آموزان'!I9)</f>
        <v/>
      </c>
      <c r="G58" s="307" t="n"/>
      <c r="H58" s="307" t="n"/>
      <c r="I58" s="307" t="n"/>
      <c r="J58" s="307" t="n"/>
      <c r="K58" s="313">
        <f>IF(COUNT(G58:J58)=0,"",AVERAGE(G58:J58)*4)</f>
        <v/>
      </c>
      <c r="L58" s="306">
        <f>IF(C58="","",IF(COUNT(G58:J58)=0,"",IF(COUNT(G58:J58)&lt;4,"موقت - اطلاعات ناقص",IF(K58&gt;=17,"عالی",IF(K58&gt;=14,"خوب",IF(K58&gt;=10,"متوسط","ضعیف"))))))</f>
        <v/>
      </c>
      <c r="M58" s="306" t="n">
        <v>6</v>
      </c>
      <c r="N58" s="314">
        <f>IF(C58="","",COUNT(G58:J58)/4)</f>
        <v/>
      </c>
      <c r="O58" s="307" t="n"/>
    </row>
    <row r="59" ht="24" customHeight="1">
      <c r="A59" s="306" t="n">
        <v>55</v>
      </c>
      <c r="B59" s="306" t="inlineStr">
        <is>
          <t>دی</t>
        </is>
      </c>
      <c r="C59" s="306">
        <f>IF('دانش‌آموزان'!E9="","",'دانش‌آموزان'!B9)</f>
        <v/>
      </c>
      <c r="D59" s="306">
        <f>IF('دانش‌آموزان'!C9="","",'دانش‌آموزان'!C9)</f>
        <v/>
      </c>
      <c r="E59" s="306">
        <f>IF('دانش‌آموزان'!E9="","",'دانش‌آموزان'!E9&amp;" "&amp;'دانش‌آموزان'!F9)</f>
        <v/>
      </c>
      <c r="F59" s="306">
        <f>IF('دانش‌آموزان'!I9="","",'دانش‌آموزان'!I9)</f>
        <v/>
      </c>
      <c r="G59" s="307" t="n"/>
      <c r="H59" s="307" t="n"/>
      <c r="I59" s="307" t="n"/>
      <c r="J59" s="307" t="n"/>
      <c r="K59" s="313">
        <f>IF(COUNT(G59:J59)=0,"",AVERAGE(G59:J59)*4)</f>
        <v/>
      </c>
      <c r="L59" s="306">
        <f>IF(C59="","",IF(COUNT(G59:J59)=0,"",IF(COUNT(G59:J59)&lt;4,"موقت - اطلاعات ناقص",IF(K59&gt;=17,"عالی",IF(K59&gt;=14,"خوب",IF(K59&gt;=10,"متوسط","ضعیف"))))))</f>
        <v/>
      </c>
      <c r="M59" s="306" t="n">
        <v>7</v>
      </c>
      <c r="N59" s="314">
        <f>IF(C59="","",COUNT(G59:J59)/4)</f>
        <v/>
      </c>
      <c r="O59" s="307" t="n"/>
    </row>
    <row r="60" ht="24" customHeight="1">
      <c r="A60" s="306" t="n">
        <v>56</v>
      </c>
      <c r="B60" s="306" t="inlineStr">
        <is>
          <t>بهمن</t>
        </is>
      </c>
      <c r="C60" s="306">
        <f>IF('دانش‌آموزان'!E9="","",'دانش‌آموزان'!B9)</f>
        <v/>
      </c>
      <c r="D60" s="306">
        <f>IF('دانش‌آموزان'!C9="","",'دانش‌آموزان'!C9)</f>
        <v/>
      </c>
      <c r="E60" s="306">
        <f>IF('دانش‌آموزان'!E9="","",'دانش‌آموزان'!E9&amp;" "&amp;'دانش‌آموزان'!F9)</f>
        <v/>
      </c>
      <c r="F60" s="306">
        <f>IF('دانش‌آموزان'!I9="","",'دانش‌آموزان'!I9)</f>
        <v/>
      </c>
      <c r="G60" s="307" t="n"/>
      <c r="H60" s="307" t="n"/>
      <c r="I60" s="307" t="n"/>
      <c r="J60" s="307" t="n"/>
      <c r="K60" s="313">
        <f>IF(COUNT(G60:J60)=0,"",AVERAGE(G60:J60)*4)</f>
        <v/>
      </c>
      <c r="L60" s="306">
        <f>IF(C60="","",IF(COUNT(G60:J60)=0,"",IF(COUNT(G60:J60)&lt;4,"موقت - اطلاعات ناقص",IF(K60&gt;=17,"عالی",IF(K60&gt;=14,"خوب",IF(K60&gt;=10,"متوسط","ضعیف"))))))</f>
        <v/>
      </c>
      <c r="M60" s="306" t="n">
        <v>8</v>
      </c>
      <c r="N60" s="314">
        <f>IF(C60="","",COUNT(G60:J60)/4)</f>
        <v/>
      </c>
      <c r="O60" s="307" t="n"/>
    </row>
    <row r="61" ht="24" customHeight="1">
      <c r="A61" s="306" t="n">
        <v>57</v>
      </c>
      <c r="B61" s="306" t="inlineStr">
        <is>
          <t>اسفند</t>
        </is>
      </c>
      <c r="C61" s="306">
        <f>IF('دانش‌آموزان'!E9="","",'دانش‌آموزان'!B9)</f>
        <v/>
      </c>
      <c r="D61" s="306">
        <f>IF('دانش‌آموزان'!C9="","",'دانش‌آموزان'!C9)</f>
        <v/>
      </c>
      <c r="E61" s="306">
        <f>IF('دانش‌آموزان'!E9="","",'دانش‌آموزان'!E9&amp;" "&amp;'دانش‌آموزان'!F9)</f>
        <v/>
      </c>
      <c r="F61" s="306">
        <f>IF('دانش‌آموزان'!I9="","",'دانش‌آموزان'!I9)</f>
        <v/>
      </c>
      <c r="G61" s="307" t="n"/>
      <c r="H61" s="307" t="n"/>
      <c r="I61" s="307" t="n"/>
      <c r="J61" s="307" t="n"/>
      <c r="K61" s="313">
        <f>IF(COUNT(G61:J61)=0,"",AVERAGE(G61:J61)*4)</f>
        <v/>
      </c>
      <c r="L61" s="306">
        <f>IF(C61="","",IF(COUNT(G61:J61)=0,"",IF(COUNT(G61:J61)&lt;4,"موقت - اطلاعات ناقص",IF(K61&gt;=17,"عالی",IF(K61&gt;=14,"خوب",IF(K61&gt;=10,"متوسط","ضعیف"))))))</f>
        <v/>
      </c>
      <c r="M61" s="306" t="n">
        <v>9</v>
      </c>
      <c r="N61" s="314">
        <f>IF(C61="","",COUNT(G61:J61)/4)</f>
        <v/>
      </c>
      <c r="O61" s="307" t="n"/>
    </row>
    <row r="62" ht="24" customHeight="1">
      <c r="A62" s="306" t="n">
        <v>58</v>
      </c>
      <c r="B62" s="306" t="inlineStr">
        <is>
          <t>فروردین</t>
        </is>
      </c>
      <c r="C62" s="306">
        <f>IF('دانش‌آموزان'!E9="","",'دانش‌آموزان'!B9)</f>
        <v/>
      </c>
      <c r="D62" s="306">
        <f>IF('دانش‌آموزان'!C9="","",'دانش‌آموزان'!C9)</f>
        <v/>
      </c>
      <c r="E62" s="306">
        <f>IF('دانش‌آموزان'!E9="","",'دانش‌آموزان'!E9&amp;" "&amp;'دانش‌آموزان'!F9)</f>
        <v/>
      </c>
      <c r="F62" s="306">
        <f>IF('دانش‌آموزان'!I9="","",'دانش‌آموزان'!I9)</f>
        <v/>
      </c>
      <c r="G62" s="307" t="n"/>
      <c r="H62" s="307" t="n"/>
      <c r="I62" s="307" t="n"/>
      <c r="J62" s="307" t="n"/>
      <c r="K62" s="313">
        <f>IF(COUNT(G62:J62)=0,"",AVERAGE(G62:J62)*4)</f>
        <v/>
      </c>
      <c r="L62" s="306">
        <f>IF(C62="","",IF(COUNT(G62:J62)=0,"",IF(COUNT(G62:J62)&lt;4,"موقت - اطلاعات ناقص",IF(K62&gt;=17,"عالی",IF(K62&gt;=14,"خوب",IF(K62&gt;=10,"متوسط","ضعیف"))))))</f>
        <v/>
      </c>
      <c r="M62" s="306" t="n">
        <v>10</v>
      </c>
      <c r="N62" s="314">
        <f>IF(C62="","",COUNT(G62:J62)/4)</f>
        <v/>
      </c>
      <c r="O62" s="307" t="n"/>
    </row>
    <row r="63" ht="24" customHeight="1">
      <c r="A63" s="306" t="n">
        <v>59</v>
      </c>
      <c r="B63" s="306" t="inlineStr">
        <is>
          <t>اردیبهشت</t>
        </is>
      </c>
      <c r="C63" s="306">
        <f>IF('دانش‌آموزان'!E9="","",'دانش‌آموزان'!B9)</f>
        <v/>
      </c>
      <c r="D63" s="306">
        <f>IF('دانش‌آموزان'!C9="","",'دانش‌آموزان'!C9)</f>
        <v/>
      </c>
      <c r="E63" s="306">
        <f>IF('دانش‌آموزان'!E9="","",'دانش‌آموزان'!E9&amp;" "&amp;'دانش‌آموزان'!F9)</f>
        <v/>
      </c>
      <c r="F63" s="306">
        <f>IF('دانش‌آموزان'!I9="","",'دانش‌آموزان'!I9)</f>
        <v/>
      </c>
      <c r="G63" s="307" t="n"/>
      <c r="H63" s="307" t="n"/>
      <c r="I63" s="307" t="n"/>
      <c r="J63" s="307" t="n"/>
      <c r="K63" s="313">
        <f>IF(COUNT(G63:J63)=0,"",AVERAGE(G63:J63)*4)</f>
        <v/>
      </c>
      <c r="L63" s="306">
        <f>IF(C63="","",IF(COUNT(G63:J63)=0,"",IF(COUNT(G63:J63)&lt;4,"موقت - اطلاعات ناقص",IF(K63&gt;=17,"عالی",IF(K63&gt;=14,"خوب",IF(K63&gt;=10,"متوسط","ضعیف"))))))</f>
        <v/>
      </c>
      <c r="M63" s="306" t="n">
        <v>11</v>
      </c>
      <c r="N63" s="314">
        <f>IF(C63="","",COUNT(G63:J63)/4)</f>
        <v/>
      </c>
      <c r="O63" s="307" t="n"/>
    </row>
    <row r="64" ht="24" customHeight="1">
      <c r="A64" s="306" t="n">
        <v>60</v>
      </c>
      <c r="B64" s="306" t="inlineStr">
        <is>
          <t>خرداد</t>
        </is>
      </c>
      <c r="C64" s="306">
        <f>IF('دانش‌آموزان'!E9="","",'دانش‌آموزان'!B9)</f>
        <v/>
      </c>
      <c r="D64" s="306">
        <f>IF('دانش‌آموزان'!C9="","",'دانش‌آموزان'!C9)</f>
        <v/>
      </c>
      <c r="E64" s="306">
        <f>IF('دانش‌آموزان'!E9="","",'دانش‌آموزان'!E9&amp;" "&amp;'دانش‌آموزان'!F9)</f>
        <v/>
      </c>
      <c r="F64" s="306">
        <f>IF('دانش‌آموزان'!I9="","",'دانش‌آموزان'!I9)</f>
        <v/>
      </c>
      <c r="G64" s="307" t="n"/>
      <c r="H64" s="307" t="n"/>
      <c r="I64" s="307" t="n"/>
      <c r="J64" s="307" t="n"/>
      <c r="K64" s="313">
        <f>IF(COUNT(G64:J64)=0,"",AVERAGE(G64:J64)*4)</f>
        <v/>
      </c>
      <c r="L64" s="306">
        <f>IF(C64="","",IF(COUNT(G64:J64)=0,"",IF(COUNT(G64:J64)&lt;4,"موقت - اطلاعات ناقص",IF(K64&gt;=17,"عالی",IF(K64&gt;=14,"خوب",IF(K64&gt;=10,"متوسط","ضعیف"))))))</f>
        <v/>
      </c>
      <c r="M64" s="306" t="n">
        <v>12</v>
      </c>
      <c r="N64" s="314">
        <f>IF(C64="","",COUNT(G64:J64)/4)</f>
        <v/>
      </c>
      <c r="O64" s="307" t="n"/>
    </row>
    <row r="65" ht="24" customHeight="1">
      <c r="A65" s="306" t="n">
        <v>61</v>
      </c>
      <c r="B65" s="306" t="inlineStr">
        <is>
          <t>تیر</t>
        </is>
      </c>
      <c r="C65" s="306">
        <f>IF('دانش‌آموزان'!E10="","",'دانش‌آموزان'!B10)</f>
        <v/>
      </c>
      <c r="D65" s="306">
        <f>IF('دانش‌آموزان'!C10="","",'دانش‌آموزان'!C10)</f>
        <v/>
      </c>
      <c r="E65" s="306">
        <f>IF('دانش‌آموزان'!E10="","",'دانش‌آموزان'!E10&amp;" "&amp;'دانش‌آموزان'!F10)</f>
        <v/>
      </c>
      <c r="F65" s="306">
        <f>IF('دانش‌آموزان'!I10="","",'دانش‌آموزان'!I10)</f>
        <v/>
      </c>
      <c r="G65" s="307" t="n"/>
      <c r="H65" s="307" t="n"/>
      <c r="I65" s="307" t="n"/>
      <c r="J65" s="307" t="n"/>
      <c r="K65" s="313">
        <f>IF(COUNT(G65:J65)=0,"",AVERAGE(G65:J65)*4)</f>
        <v/>
      </c>
      <c r="L65" s="306">
        <f>IF(C65="","",IF(COUNT(G65:J65)=0,"",IF(COUNT(G65:J65)&lt;4,"موقت - اطلاعات ناقص",IF(K65&gt;=17,"عالی",IF(K65&gt;=14,"خوب",IF(K65&gt;=10,"متوسط","ضعیف"))))))</f>
        <v/>
      </c>
      <c r="M65" s="306" t="n">
        <v>1</v>
      </c>
      <c r="N65" s="314">
        <f>IF(C65="","",COUNT(G65:J65)/4)</f>
        <v/>
      </c>
      <c r="O65" s="307" t="n"/>
    </row>
    <row r="66" ht="24" customHeight="1">
      <c r="A66" s="306" t="n">
        <v>62</v>
      </c>
      <c r="B66" s="306" t="inlineStr">
        <is>
          <t>مرداد</t>
        </is>
      </c>
      <c r="C66" s="306">
        <f>IF('دانش‌آموزان'!E10="","",'دانش‌آموزان'!B10)</f>
        <v/>
      </c>
      <c r="D66" s="306">
        <f>IF('دانش‌آموزان'!C10="","",'دانش‌آموزان'!C10)</f>
        <v/>
      </c>
      <c r="E66" s="306">
        <f>IF('دانش‌آموزان'!E10="","",'دانش‌آموزان'!E10&amp;" "&amp;'دانش‌آموزان'!F10)</f>
        <v/>
      </c>
      <c r="F66" s="306">
        <f>IF('دانش‌آموزان'!I10="","",'دانش‌آموزان'!I10)</f>
        <v/>
      </c>
      <c r="G66" s="307" t="n"/>
      <c r="H66" s="307" t="n"/>
      <c r="I66" s="307" t="n"/>
      <c r="J66" s="307" t="n"/>
      <c r="K66" s="313">
        <f>IF(COUNT(G66:J66)=0,"",AVERAGE(G66:J66)*4)</f>
        <v/>
      </c>
      <c r="L66" s="306">
        <f>IF(C66="","",IF(COUNT(G66:J66)=0,"",IF(COUNT(G66:J66)&lt;4,"موقت - اطلاعات ناقص",IF(K66&gt;=17,"عالی",IF(K66&gt;=14,"خوب",IF(K66&gt;=10,"متوسط","ضعیف"))))))</f>
        <v/>
      </c>
      <c r="M66" s="306" t="n">
        <v>2</v>
      </c>
      <c r="N66" s="314">
        <f>IF(C66="","",COUNT(G66:J66)/4)</f>
        <v/>
      </c>
      <c r="O66" s="307" t="n"/>
    </row>
    <row r="67" ht="24" customHeight="1">
      <c r="A67" s="306" t="n">
        <v>63</v>
      </c>
      <c r="B67" s="306" t="inlineStr">
        <is>
          <t>شهریور</t>
        </is>
      </c>
      <c r="C67" s="306">
        <f>IF('دانش‌آموزان'!E10="","",'دانش‌آموزان'!B10)</f>
        <v/>
      </c>
      <c r="D67" s="306">
        <f>IF('دانش‌آموزان'!C10="","",'دانش‌آموزان'!C10)</f>
        <v/>
      </c>
      <c r="E67" s="306">
        <f>IF('دانش‌آموزان'!E10="","",'دانش‌آموزان'!E10&amp;" "&amp;'دانش‌آموزان'!F10)</f>
        <v/>
      </c>
      <c r="F67" s="306">
        <f>IF('دانش‌آموزان'!I10="","",'دانش‌آموزان'!I10)</f>
        <v/>
      </c>
      <c r="G67" s="307" t="n"/>
      <c r="H67" s="307" t="n"/>
      <c r="I67" s="307" t="n"/>
      <c r="J67" s="307" t="n"/>
      <c r="K67" s="313">
        <f>IF(COUNT(G67:J67)=0,"",AVERAGE(G67:J67)*4)</f>
        <v/>
      </c>
      <c r="L67" s="306">
        <f>IF(C67="","",IF(COUNT(G67:J67)=0,"",IF(COUNT(G67:J67)&lt;4,"موقت - اطلاعات ناقص",IF(K67&gt;=17,"عالی",IF(K67&gt;=14,"خوب",IF(K67&gt;=10,"متوسط","ضعیف"))))))</f>
        <v/>
      </c>
      <c r="M67" s="306" t="n">
        <v>3</v>
      </c>
      <c r="N67" s="314">
        <f>IF(C67="","",COUNT(G67:J67)/4)</f>
        <v/>
      </c>
      <c r="O67" s="307" t="n"/>
    </row>
    <row r="68" ht="24" customHeight="1">
      <c r="A68" s="306" t="n">
        <v>64</v>
      </c>
      <c r="B68" s="306" t="inlineStr">
        <is>
          <t>مهر</t>
        </is>
      </c>
      <c r="C68" s="306">
        <f>IF('دانش‌آموزان'!E10="","",'دانش‌آموزان'!B10)</f>
        <v/>
      </c>
      <c r="D68" s="306">
        <f>IF('دانش‌آموزان'!C10="","",'دانش‌آموزان'!C10)</f>
        <v/>
      </c>
      <c r="E68" s="306">
        <f>IF('دانش‌آموزان'!E10="","",'دانش‌آموزان'!E10&amp;" "&amp;'دانش‌آموزان'!F10)</f>
        <v/>
      </c>
      <c r="F68" s="306">
        <f>IF('دانش‌آموزان'!I10="","",'دانش‌آموزان'!I10)</f>
        <v/>
      </c>
      <c r="G68" s="307" t="n"/>
      <c r="H68" s="307" t="n"/>
      <c r="I68" s="307" t="n"/>
      <c r="J68" s="307" t="n"/>
      <c r="K68" s="313">
        <f>IF(COUNT(G68:J68)=0,"",AVERAGE(G68:J68)*4)</f>
        <v/>
      </c>
      <c r="L68" s="306">
        <f>IF(C68="","",IF(COUNT(G68:J68)=0,"",IF(COUNT(G68:J68)&lt;4,"موقت - اطلاعات ناقص",IF(K68&gt;=17,"عالی",IF(K68&gt;=14,"خوب",IF(K68&gt;=10,"متوسط","ضعیف"))))))</f>
        <v/>
      </c>
      <c r="M68" s="306" t="n">
        <v>4</v>
      </c>
      <c r="N68" s="314">
        <f>IF(C68="","",COUNT(G68:J68)/4)</f>
        <v/>
      </c>
      <c r="O68" s="307" t="n"/>
    </row>
    <row r="69" ht="24" customHeight="1">
      <c r="A69" s="306" t="n">
        <v>65</v>
      </c>
      <c r="B69" s="306" t="inlineStr">
        <is>
          <t>آبان</t>
        </is>
      </c>
      <c r="C69" s="306">
        <f>IF('دانش‌آموزان'!E10="","",'دانش‌آموزان'!B10)</f>
        <v/>
      </c>
      <c r="D69" s="306">
        <f>IF('دانش‌آموزان'!C10="","",'دانش‌آموزان'!C10)</f>
        <v/>
      </c>
      <c r="E69" s="306">
        <f>IF('دانش‌آموزان'!E10="","",'دانش‌آموزان'!E10&amp;" "&amp;'دانش‌آموزان'!F10)</f>
        <v/>
      </c>
      <c r="F69" s="306">
        <f>IF('دانش‌آموزان'!I10="","",'دانش‌آموزان'!I10)</f>
        <v/>
      </c>
      <c r="G69" s="307" t="n"/>
      <c r="H69" s="307" t="n"/>
      <c r="I69" s="307" t="n"/>
      <c r="J69" s="307" t="n"/>
      <c r="K69" s="313">
        <f>IF(COUNT(G69:J69)=0,"",AVERAGE(G69:J69)*4)</f>
        <v/>
      </c>
      <c r="L69" s="306">
        <f>IF(C69="","",IF(COUNT(G69:J69)=0,"",IF(COUNT(G69:J69)&lt;4,"موقت - اطلاعات ناقص",IF(K69&gt;=17,"عالی",IF(K69&gt;=14,"خوب",IF(K69&gt;=10,"متوسط","ضعیف"))))))</f>
        <v/>
      </c>
      <c r="M69" s="306" t="n">
        <v>5</v>
      </c>
      <c r="N69" s="314">
        <f>IF(C69="","",COUNT(G69:J69)/4)</f>
        <v/>
      </c>
      <c r="O69" s="307" t="n"/>
    </row>
    <row r="70" ht="24" customHeight="1">
      <c r="A70" s="306" t="n">
        <v>66</v>
      </c>
      <c r="B70" s="306" t="inlineStr">
        <is>
          <t>آذر</t>
        </is>
      </c>
      <c r="C70" s="306">
        <f>IF('دانش‌آموزان'!E10="","",'دانش‌آموزان'!B10)</f>
        <v/>
      </c>
      <c r="D70" s="306">
        <f>IF('دانش‌آموزان'!C10="","",'دانش‌آموزان'!C10)</f>
        <v/>
      </c>
      <c r="E70" s="306">
        <f>IF('دانش‌آموزان'!E10="","",'دانش‌آموزان'!E10&amp;" "&amp;'دانش‌آموزان'!F10)</f>
        <v/>
      </c>
      <c r="F70" s="306">
        <f>IF('دانش‌آموزان'!I10="","",'دانش‌آموزان'!I10)</f>
        <v/>
      </c>
      <c r="G70" s="307" t="n"/>
      <c r="H70" s="307" t="n"/>
      <c r="I70" s="307" t="n"/>
      <c r="J70" s="307" t="n"/>
      <c r="K70" s="313">
        <f>IF(COUNT(G70:J70)=0,"",AVERAGE(G70:J70)*4)</f>
        <v/>
      </c>
      <c r="L70" s="306">
        <f>IF(C70="","",IF(COUNT(G70:J70)=0,"",IF(COUNT(G70:J70)&lt;4,"موقت - اطلاعات ناقص",IF(K70&gt;=17,"عالی",IF(K70&gt;=14,"خوب",IF(K70&gt;=10,"متوسط","ضعیف"))))))</f>
        <v/>
      </c>
      <c r="M70" s="306" t="n">
        <v>6</v>
      </c>
      <c r="N70" s="314">
        <f>IF(C70="","",COUNT(G70:J70)/4)</f>
        <v/>
      </c>
      <c r="O70" s="307" t="n"/>
    </row>
    <row r="71" ht="24" customHeight="1">
      <c r="A71" s="306" t="n">
        <v>67</v>
      </c>
      <c r="B71" s="306" t="inlineStr">
        <is>
          <t>دی</t>
        </is>
      </c>
      <c r="C71" s="306">
        <f>IF('دانش‌آموزان'!E10="","",'دانش‌آموزان'!B10)</f>
        <v/>
      </c>
      <c r="D71" s="306">
        <f>IF('دانش‌آموزان'!C10="","",'دانش‌آموزان'!C10)</f>
        <v/>
      </c>
      <c r="E71" s="306">
        <f>IF('دانش‌آموزان'!E10="","",'دانش‌آموزان'!E10&amp;" "&amp;'دانش‌آموزان'!F10)</f>
        <v/>
      </c>
      <c r="F71" s="306">
        <f>IF('دانش‌آموزان'!I10="","",'دانش‌آموزان'!I10)</f>
        <v/>
      </c>
      <c r="G71" s="307" t="n"/>
      <c r="H71" s="307" t="n"/>
      <c r="I71" s="307" t="n"/>
      <c r="J71" s="307" t="n"/>
      <c r="K71" s="313">
        <f>IF(COUNT(G71:J71)=0,"",AVERAGE(G71:J71)*4)</f>
        <v/>
      </c>
      <c r="L71" s="306">
        <f>IF(C71="","",IF(COUNT(G71:J71)=0,"",IF(COUNT(G71:J71)&lt;4,"موقت - اطلاعات ناقص",IF(K71&gt;=17,"عالی",IF(K71&gt;=14,"خوب",IF(K71&gt;=10,"متوسط","ضعیف"))))))</f>
        <v/>
      </c>
      <c r="M71" s="306" t="n">
        <v>7</v>
      </c>
      <c r="N71" s="314">
        <f>IF(C71="","",COUNT(G71:J71)/4)</f>
        <v/>
      </c>
      <c r="O71" s="307" t="n"/>
    </row>
    <row r="72" ht="24" customHeight="1">
      <c r="A72" s="306" t="n">
        <v>68</v>
      </c>
      <c r="B72" s="306" t="inlineStr">
        <is>
          <t>بهمن</t>
        </is>
      </c>
      <c r="C72" s="306">
        <f>IF('دانش‌آموزان'!E10="","",'دانش‌آموزان'!B10)</f>
        <v/>
      </c>
      <c r="D72" s="306">
        <f>IF('دانش‌آموزان'!C10="","",'دانش‌آموزان'!C10)</f>
        <v/>
      </c>
      <c r="E72" s="306">
        <f>IF('دانش‌آموزان'!E10="","",'دانش‌آموزان'!E10&amp;" "&amp;'دانش‌آموزان'!F10)</f>
        <v/>
      </c>
      <c r="F72" s="306">
        <f>IF('دانش‌آموزان'!I10="","",'دانش‌آموزان'!I10)</f>
        <v/>
      </c>
      <c r="G72" s="307" t="n"/>
      <c r="H72" s="307" t="n"/>
      <c r="I72" s="307" t="n"/>
      <c r="J72" s="307" t="n"/>
      <c r="K72" s="313">
        <f>IF(COUNT(G72:J72)=0,"",AVERAGE(G72:J72)*4)</f>
        <v/>
      </c>
      <c r="L72" s="306">
        <f>IF(C72="","",IF(COUNT(G72:J72)=0,"",IF(COUNT(G72:J72)&lt;4,"موقت - اطلاعات ناقص",IF(K72&gt;=17,"عالی",IF(K72&gt;=14,"خوب",IF(K72&gt;=10,"متوسط","ضعیف"))))))</f>
        <v/>
      </c>
      <c r="M72" s="306" t="n">
        <v>8</v>
      </c>
      <c r="N72" s="314">
        <f>IF(C72="","",COUNT(G72:J72)/4)</f>
        <v/>
      </c>
      <c r="O72" s="307" t="n"/>
    </row>
    <row r="73" ht="24" customHeight="1">
      <c r="A73" s="306" t="n">
        <v>69</v>
      </c>
      <c r="B73" s="306" t="inlineStr">
        <is>
          <t>اسفند</t>
        </is>
      </c>
      <c r="C73" s="306">
        <f>IF('دانش‌آموزان'!E10="","",'دانش‌آموزان'!B10)</f>
        <v/>
      </c>
      <c r="D73" s="306">
        <f>IF('دانش‌آموزان'!C10="","",'دانش‌آموزان'!C10)</f>
        <v/>
      </c>
      <c r="E73" s="306">
        <f>IF('دانش‌آموزان'!E10="","",'دانش‌آموزان'!E10&amp;" "&amp;'دانش‌آموزان'!F10)</f>
        <v/>
      </c>
      <c r="F73" s="306">
        <f>IF('دانش‌آموزان'!I10="","",'دانش‌آموزان'!I10)</f>
        <v/>
      </c>
      <c r="G73" s="307" t="n"/>
      <c r="H73" s="307" t="n"/>
      <c r="I73" s="307" t="n"/>
      <c r="J73" s="307" t="n"/>
      <c r="K73" s="313">
        <f>IF(COUNT(G73:J73)=0,"",AVERAGE(G73:J73)*4)</f>
        <v/>
      </c>
      <c r="L73" s="306">
        <f>IF(C73="","",IF(COUNT(G73:J73)=0,"",IF(COUNT(G73:J73)&lt;4,"موقت - اطلاعات ناقص",IF(K73&gt;=17,"عالی",IF(K73&gt;=14,"خوب",IF(K73&gt;=10,"متوسط","ضعیف"))))))</f>
        <v/>
      </c>
      <c r="M73" s="306" t="n">
        <v>9</v>
      </c>
      <c r="N73" s="314">
        <f>IF(C73="","",COUNT(G73:J73)/4)</f>
        <v/>
      </c>
      <c r="O73" s="307" t="n"/>
    </row>
    <row r="74" ht="24" customHeight="1">
      <c r="A74" s="306" t="n">
        <v>70</v>
      </c>
      <c r="B74" s="306" t="inlineStr">
        <is>
          <t>فروردین</t>
        </is>
      </c>
      <c r="C74" s="306">
        <f>IF('دانش‌آموزان'!E10="","",'دانش‌آموزان'!B10)</f>
        <v/>
      </c>
      <c r="D74" s="306">
        <f>IF('دانش‌آموزان'!C10="","",'دانش‌آموزان'!C10)</f>
        <v/>
      </c>
      <c r="E74" s="306">
        <f>IF('دانش‌آموزان'!E10="","",'دانش‌آموزان'!E10&amp;" "&amp;'دانش‌آموزان'!F10)</f>
        <v/>
      </c>
      <c r="F74" s="306">
        <f>IF('دانش‌آموزان'!I10="","",'دانش‌آموزان'!I10)</f>
        <v/>
      </c>
      <c r="G74" s="307" t="n"/>
      <c r="H74" s="307" t="n"/>
      <c r="I74" s="307" t="n"/>
      <c r="J74" s="307" t="n"/>
      <c r="K74" s="313">
        <f>IF(COUNT(G74:J74)=0,"",AVERAGE(G74:J74)*4)</f>
        <v/>
      </c>
      <c r="L74" s="306">
        <f>IF(C74="","",IF(COUNT(G74:J74)=0,"",IF(COUNT(G74:J74)&lt;4,"موقت - اطلاعات ناقص",IF(K74&gt;=17,"عالی",IF(K74&gt;=14,"خوب",IF(K74&gt;=10,"متوسط","ضعیف"))))))</f>
        <v/>
      </c>
      <c r="M74" s="306" t="n">
        <v>10</v>
      </c>
      <c r="N74" s="314">
        <f>IF(C74="","",COUNT(G74:J74)/4)</f>
        <v/>
      </c>
      <c r="O74" s="307" t="n"/>
    </row>
    <row r="75" ht="24" customHeight="1">
      <c r="A75" s="306" t="n">
        <v>71</v>
      </c>
      <c r="B75" s="306" t="inlineStr">
        <is>
          <t>اردیبهشت</t>
        </is>
      </c>
      <c r="C75" s="306">
        <f>IF('دانش‌آموزان'!E10="","",'دانش‌آموزان'!B10)</f>
        <v/>
      </c>
      <c r="D75" s="306">
        <f>IF('دانش‌آموزان'!C10="","",'دانش‌آموزان'!C10)</f>
        <v/>
      </c>
      <c r="E75" s="306">
        <f>IF('دانش‌آموزان'!E10="","",'دانش‌آموزان'!E10&amp;" "&amp;'دانش‌آموزان'!F10)</f>
        <v/>
      </c>
      <c r="F75" s="306">
        <f>IF('دانش‌آموزان'!I10="","",'دانش‌آموزان'!I10)</f>
        <v/>
      </c>
      <c r="G75" s="307" t="n"/>
      <c r="H75" s="307" t="n"/>
      <c r="I75" s="307" t="n"/>
      <c r="J75" s="307" t="n"/>
      <c r="K75" s="313">
        <f>IF(COUNT(G75:J75)=0,"",AVERAGE(G75:J75)*4)</f>
        <v/>
      </c>
      <c r="L75" s="306">
        <f>IF(C75="","",IF(COUNT(G75:J75)=0,"",IF(COUNT(G75:J75)&lt;4,"موقت - اطلاعات ناقص",IF(K75&gt;=17,"عالی",IF(K75&gt;=14,"خوب",IF(K75&gt;=10,"متوسط","ضعیف"))))))</f>
        <v/>
      </c>
      <c r="M75" s="306" t="n">
        <v>11</v>
      </c>
      <c r="N75" s="314">
        <f>IF(C75="","",COUNT(G75:J75)/4)</f>
        <v/>
      </c>
      <c r="O75" s="307" t="n"/>
    </row>
    <row r="76" ht="24" customHeight="1">
      <c r="A76" s="306" t="n">
        <v>72</v>
      </c>
      <c r="B76" s="306" t="inlineStr">
        <is>
          <t>خرداد</t>
        </is>
      </c>
      <c r="C76" s="306">
        <f>IF('دانش‌آموزان'!E10="","",'دانش‌آموزان'!B10)</f>
        <v/>
      </c>
      <c r="D76" s="306">
        <f>IF('دانش‌آموزان'!C10="","",'دانش‌آموزان'!C10)</f>
        <v/>
      </c>
      <c r="E76" s="306">
        <f>IF('دانش‌آموزان'!E10="","",'دانش‌آموزان'!E10&amp;" "&amp;'دانش‌آموزان'!F10)</f>
        <v/>
      </c>
      <c r="F76" s="306">
        <f>IF('دانش‌آموزان'!I10="","",'دانش‌آموزان'!I10)</f>
        <v/>
      </c>
      <c r="G76" s="307" t="n"/>
      <c r="H76" s="307" t="n"/>
      <c r="I76" s="307" t="n"/>
      <c r="J76" s="307" t="n"/>
      <c r="K76" s="313">
        <f>IF(COUNT(G76:J76)=0,"",AVERAGE(G76:J76)*4)</f>
        <v/>
      </c>
      <c r="L76" s="306">
        <f>IF(C76="","",IF(COUNT(G76:J76)=0,"",IF(COUNT(G76:J76)&lt;4,"موقت - اطلاعات ناقص",IF(K76&gt;=17,"عالی",IF(K76&gt;=14,"خوب",IF(K76&gt;=10,"متوسط","ضعیف"))))))</f>
        <v/>
      </c>
      <c r="M76" s="306" t="n">
        <v>12</v>
      </c>
      <c r="N76" s="314">
        <f>IF(C76="","",COUNT(G76:J76)/4)</f>
        <v/>
      </c>
      <c r="O76" s="307" t="n"/>
    </row>
    <row r="77" ht="24" customHeight="1">
      <c r="A77" s="306" t="n">
        <v>73</v>
      </c>
      <c r="B77" s="306" t="inlineStr">
        <is>
          <t>تیر</t>
        </is>
      </c>
      <c r="C77" s="306">
        <f>IF('دانش‌آموزان'!E11="","",'دانش‌آموزان'!B11)</f>
        <v/>
      </c>
      <c r="D77" s="306">
        <f>IF('دانش‌آموزان'!C11="","",'دانش‌آموزان'!C11)</f>
        <v/>
      </c>
      <c r="E77" s="306">
        <f>IF('دانش‌آموزان'!E11="","",'دانش‌آموزان'!E11&amp;" "&amp;'دانش‌آموزان'!F11)</f>
        <v/>
      </c>
      <c r="F77" s="306">
        <f>IF('دانش‌آموزان'!I11="","",'دانش‌آموزان'!I11)</f>
        <v/>
      </c>
      <c r="G77" s="307" t="n"/>
      <c r="H77" s="307" t="n"/>
      <c r="I77" s="307" t="n"/>
      <c r="J77" s="307" t="n"/>
      <c r="K77" s="313">
        <f>IF(COUNT(G77:J77)=0,"",AVERAGE(G77:J77)*4)</f>
        <v/>
      </c>
      <c r="L77" s="306">
        <f>IF(C77="","",IF(COUNT(G77:J77)=0,"",IF(COUNT(G77:J77)&lt;4,"موقت - اطلاعات ناقص",IF(K77&gt;=17,"عالی",IF(K77&gt;=14,"خوب",IF(K77&gt;=10,"متوسط","ضعیف"))))))</f>
        <v/>
      </c>
      <c r="M77" s="306" t="n">
        <v>1</v>
      </c>
      <c r="N77" s="314">
        <f>IF(C77="","",COUNT(G77:J77)/4)</f>
        <v/>
      </c>
      <c r="O77" s="307" t="n"/>
    </row>
    <row r="78" ht="24" customHeight="1">
      <c r="A78" s="306" t="n">
        <v>74</v>
      </c>
      <c r="B78" s="306" t="inlineStr">
        <is>
          <t>مرداد</t>
        </is>
      </c>
      <c r="C78" s="306">
        <f>IF('دانش‌آموزان'!E11="","",'دانش‌آموزان'!B11)</f>
        <v/>
      </c>
      <c r="D78" s="306">
        <f>IF('دانش‌آموزان'!C11="","",'دانش‌آموزان'!C11)</f>
        <v/>
      </c>
      <c r="E78" s="306">
        <f>IF('دانش‌آموزان'!E11="","",'دانش‌آموزان'!E11&amp;" "&amp;'دانش‌آموزان'!F11)</f>
        <v/>
      </c>
      <c r="F78" s="306">
        <f>IF('دانش‌آموزان'!I11="","",'دانش‌آموزان'!I11)</f>
        <v/>
      </c>
      <c r="G78" s="307" t="n"/>
      <c r="H78" s="307" t="n"/>
      <c r="I78" s="307" t="n"/>
      <c r="J78" s="307" t="n"/>
      <c r="K78" s="313">
        <f>IF(COUNT(G78:J78)=0,"",AVERAGE(G78:J78)*4)</f>
        <v/>
      </c>
      <c r="L78" s="306">
        <f>IF(C78="","",IF(COUNT(G78:J78)=0,"",IF(COUNT(G78:J78)&lt;4,"موقت - اطلاعات ناقص",IF(K78&gt;=17,"عالی",IF(K78&gt;=14,"خوب",IF(K78&gt;=10,"متوسط","ضعیف"))))))</f>
        <v/>
      </c>
      <c r="M78" s="306" t="n">
        <v>2</v>
      </c>
      <c r="N78" s="314">
        <f>IF(C78="","",COUNT(G78:J78)/4)</f>
        <v/>
      </c>
      <c r="O78" s="307" t="n"/>
    </row>
    <row r="79" ht="24" customHeight="1">
      <c r="A79" s="306" t="n">
        <v>75</v>
      </c>
      <c r="B79" s="306" t="inlineStr">
        <is>
          <t>شهریور</t>
        </is>
      </c>
      <c r="C79" s="306">
        <f>IF('دانش‌آموزان'!E11="","",'دانش‌آموزان'!B11)</f>
        <v/>
      </c>
      <c r="D79" s="306">
        <f>IF('دانش‌آموزان'!C11="","",'دانش‌آموزان'!C11)</f>
        <v/>
      </c>
      <c r="E79" s="306">
        <f>IF('دانش‌آموزان'!E11="","",'دانش‌آموزان'!E11&amp;" "&amp;'دانش‌آموزان'!F11)</f>
        <v/>
      </c>
      <c r="F79" s="306">
        <f>IF('دانش‌آموزان'!I11="","",'دانش‌آموزان'!I11)</f>
        <v/>
      </c>
      <c r="G79" s="307" t="n"/>
      <c r="H79" s="307" t="n"/>
      <c r="I79" s="307" t="n"/>
      <c r="J79" s="307" t="n"/>
      <c r="K79" s="313">
        <f>IF(COUNT(G79:J79)=0,"",AVERAGE(G79:J79)*4)</f>
        <v/>
      </c>
      <c r="L79" s="306">
        <f>IF(C79="","",IF(COUNT(G79:J79)=0,"",IF(COUNT(G79:J79)&lt;4,"موقت - اطلاعات ناقص",IF(K79&gt;=17,"عالی",IF(K79&gt;=14,"خوب",IF(K79&gt;=10,"متوسط","ضعیف"))))))</f>
        <v/>
      </c>
      <c r="M79" s="306" t="n">
        <v>3</v>
      </c>
      <c r="N79" s="314">
        <f>IF(C79="","",COUNT(G79:J79)/4)</f>
        <v/>
      </c>
      <c r="O79" s="307" t="n"/>
    </row>
    <row r="80" ht="24" customHeight="1">
      <c r="A80" s="306" t="n">
        <v>76</v>
      </c>
      <c r="B80" s="306" t="inlineStr">
        <is>
          <t>مهر</t>
        </is>
      </c>
      <c r="C80" s="306">
        <f>IF('دانش‌آموزان'!E11="","",'دانش‌آموزان'!B11)</f>
        <v/>
      </c>
      <c r="D80" s="306">
        <f>IF('دانش‌آموزان'!C11="","",'دانش‌آموزان'!C11)</f>
        <v/>
      </c>
      <c r="E80" s="306">
        <f>IF('دانش‌آموزان'!E11="","",'دانش‌آموزان'!E11&amp;" "&amp;'دانش‌آموزان'!F11)</f>
        <v/>
      </c>
      <c r="F80" s="306">
        <f>IF('دانش‌آموزان'!I11="","",'دانش‌آموزان'!I11)</f>
        <v/>
      </c>
      <c r="G80" s="307" t="n"/>
      <c r="H80" s="307" t="n"/>
      <c r="I80" s="307" t="n"/>
      <c r="J80" s="307" t="n"/>
      <c r="K80" s="313">
        <f>IF(COUNT(G80:J80)=0,"",AVERAGE(G80:J80)*4)</f>
        <v/>
      </c>
      <c r="L80" s="306">
        <f>IF(C80="","",IF(COUNT(G80:J80)=0,"",IF(COUNT(G80:J80)&lt;4,"موقت - اطلاعات ناقص",IF(K80&gt;=17,"عالی",IF(K80&gt;=14,"خوب",IF(K80&gt;=10,"متوسط","ضعیف"))))))</f>
        <v/>
      </c>
      <c r="M80" s="306" t="n">
        <v>4</v>
      </c>
      <c r="N80" s="314">
        <f>IF(C80="","",COUNT(G80:J80)/4)</f>
        <v/>
      </c>
      <c r="O80" s="307" t="n"/>
    </row>
    <row r="81" ht="24" customHeight="1">
      <c r="A81" s="306" t="n">
        <v>77</v>
      </c>
      <c r="B81" s="306" t="inlineStr">
        <is>
          <t>آبان</t>
        </is>
      </c>
      <c r="C81" s="306">
        <f>IF('دانش‌آموزان'!E11="","",'دانش‌آموزان'!B11)</f>
        <v/>
      </c>
      <c r="D81" s="306">
        <f>IF('دانش‌آموزان'!C11="","",'دانش‌آموزان'!C11)</f>
        <v/>
      </c>
      <c r="E81" s="306">
        <f>IF('دانش‌آموزان'!E11="","",'دانش‌آموزان'!E11&amp;" "&amp;'دانش‌آموزان'!F11)</f>
        <v/>
      </c>
      <c r="F81" s="306">
        <f>IF('دانش‌آموزان'!I11="","",'دانش‌آموزان'!I11)</f>
        <v/>
      </c>
      <c r="G81" s="307" t="n"/>
      <c r="H81" s="307" t="n"/>
      <c r="I81" s="307" t="n"/>
      <c r="J81" s="307" t="n"/>
      <c r="K81" s="313">
        <f>IF(COUNT(G81:J81)=0,"",AVERAGE(G81:J81)*4)</f>
        <v/>
      </c>
      <c r="L81" s="306">
        <f>IF(C81="","",IF(COUNT(G81:J81)=0,"",IF(COUNT(G81:J81)&lt;4,"موقت - اطلاعات ناقص",IF(K81&gt;=17,"عالی",IF(K81&gt;=14,"خوب",IF(K81&gt;=10,"متوسط","ضعیف"))))))</f>
        <v/>
      </c>
      <c r="M81" s="306" t="n">
        <v>5</v>
      </c>
      <c r="N81" s="314">
        <f>IF(C81="","",COUNT(G81:J81)/4)</f>
        <v/>
      </c>
      <c r="O81" s="307" t="n"/>
    </row>
    <row r="82" ht="24" customHeight="1">
      <c r="A82" s="306" t="n">
        <v>78</v>
      </c>
      <c r="B82" s="306" t="inlineStr">
        <is>
          <t>آذر</t>
        </is>
      </c>
      <c r="C82" s="306">
        <f>IF('دانش‌آموزان'!E11="","",'دانش‌آموزان'!B11)</f>
        <v/>
      </c>
      <c r="D82" s="306">
        <f>IF('دانش‌آموزان'!C11="","",'دانش‌آموزان'!C11)</f>
        <v/>
      </c>
      <c r="E82" s="306">
        <f>IF('دانش‌آموزان'!E11="","",'دانش‌آموزان'!E11&amp;" "&amp;'دانش‌آموزان'!F11)</f>
        <v/>
      </c>
      <c r="F82" s="306">
        <f>IF('دانش‌آموزان'!I11="","",'دانش‌آموزان'!I11)</f>
        <v/>
      </c>
      <c r="G82" s="307" t="n"/>
      <c r="H82" s="307" t="n"/>
      <c r="I82" s="307" t="n"/>
      <c r="J82" s="307" t="n"/>
      <c r="K82" s="313">
        <f>IF(COUNT(G82:J82)=0,"",AVERAGE(G82:J82)*4)</f>
        <v/>
      </c>
      <c r="L82" s="306">
        <f>IF(C82="","",IF(COUNT(G82:J82)=0,"",IF(COUNT(G82:J82)&lt;4,"موقت - اطلاعات ناقص",IF(K82&gt;=17,"عالی",IF(K82&gt;=14,"خوب",IF(K82&gt;=10,"متوسط","ضعیف"))))))</f>
        <v/>
      </c>
      <c r="M82" s="306" t="n">
        <v>6</v>
      </c>
      <c r="N82" s="314">
        <f>IF(C82="","",COUNT(G82:J82)/4)</f>
        <v/>
      </c>
      <c r="O82" s="307" t="n"/>
    </row>
    <row r="83" ht="24" customHeight="1">
      <c r="A83" s="306" t="n">
        <v>79</v>
      </c>
      <c r="B83" s="306" t="inlineStr">
        <is>
          <t>دی</t>
        </is>
      </c>
      <c r="C83" s="306">
        <f>IF('دانش‌آموزان'!E11="","",'دانش‌آموزان'!B11)</f>
        <v/>
      </c>
      <c r="D83" s="306">
        <f>IF('دانش‌آموزان'!C11="","",'دانش‌آموزان'!C11)</f>
        <v/>
      </c>
      <c r="E83" s="306">
        <f>IF('دانش‌آموزان'!E11="","",'دانش‌آموزان'!E11&amp;" "&amp;'دانش‌آموزان'!F11)</f>
        <v/>
      </c>
      <c r="F83" s="306">
        <f>IF('دانش‌آموزان'!I11="","",'دانش‌آموزان'!I11)</f>
        <v/>
      </c>
      <c r="G83" s="307" t="n"/>
      <c r="H83" s="307" t="n"/>
      <c r="I83" s="307" t="n"/>
      <c r="J83" s="307" t="n"/>
      <c r="K83" s="313">
        <f>IF(COUNT(G83:J83)=0,"",AVERAGE(G83:J83)*4)</f>
        <v/>
      </c>
      <c r="L83" s="306">
        <f>IF(C83="","",IF(COUNT(G83:J83)=0,"",IF(COUNT(G83:J83)&lt;4,"موقت - اطلاعات ناقص",IF(K83&gt;=17,"عالی",IF(K83&gt;=14,"خوب",IF(K83&gt;=10,"متوسط","ضعیف"))))))</f>
        <v/>
      </c>
      <c r="M83" s="306" t="n">
        <v>7</v>
      </c>
      <c r="N83" s="314">
        <f>IF(C83="","",COUNT(G83:J83)/4)</f>
        <v/>
      </c>
      <c r="O83" s="307" t="n"/>
    </row>
    <row r="84" ht="24" customHeight="1">
      <c r="A84" s="306" t="n">
        <v>80</v>
      </c>
      <c r="B84" s="306" t="inlineStr">
        <is>
          <t>بهمن</t>
        </is>
      </c>
      <c r="C84" s="306">
        <f>IF('دانش‌آموزان'!E11="","",'دانش‌آموزان'!B11)</f>
        <v/>
      </c>
      <c r="D84" s="306">
        <f>IF('دانش‌آموزان'!C11="","",'دانش‌آموزان'!C11)</f>
        <v/>
      </c>
      <c r="E84" s="306">
        <f>IF('دانش‌آموزان'!E11="","",'دانش‌آموزان'!E11&amp;" "&amp;'دانش‌آموزان'!F11)</f>
        <v/>
      </c>
      <c r="F84" s="306">
        <f>IF('دانش‌آموزان'!I11="","",'دانش‌آموزان'!I11)</f>
        <v/>
      </c>
      <c r="G84" s="307" t="n"/>
      <c r="H84" s="307" t="n"/>
      <c r="I84" s="307" t="n"/>
      <c r="J84" s="307" t="n"/>
      <c r="K84" s="313">
        <f>IF(COUNT(G84:J84)=0,"",AVERAGE(G84:J84)*4)</f>
        <v/>
      </c>
      <c r="L84" s="306">
        <f>IF(C84="","",IF(COUNT(G84:J84)=0,"",IF(COUNT(G84:J84)&lt;4,"موقت - اطلاعات ناقص",IF(K84&gt;=17,"عالی",IF(K84&gt;=14,"خوب",IF(K84&gt;=10,"متوسط","ضعیف"))))))</f>
        <v/>
      </c>
      <c r="M84" s="306" t="n">
        <v>8</v>
      </c>
      <c r="N84" s="314">
        <f>IF(C84="","",COUNT(G84:J84)/4)</f>
        <v/>
      </c>
      <c r="O84" s="307" t="n"/>
    </row>
    <row r="85" ht="24" customHeight="1">
      <c r="A85" s="306" t="n">
        <v>81</v>
      </c>
      <c r="B85" s="306" t="inlineStr">
        <is>
          <t>اسفند</t>
        </is>
      </c>
      <c r="C85" s="306">
        <f>IF('دانش‌آموزان'!E11="","",'دانش‌آموزان'!B11)</f>
        <v/>
      </c>
      <c r="D85" s="306">
        <f>IF('دانش‌آموزان'!C11="","",'دانش‌آموزان'!C11)</f>
        <v/>
      </c>
      <c r="E85" s="306">
        <f>IF('دانش‌آموزان'!E11="","",'دانش‌آموزان'!E11&amp;" "&amp;'دانش‌آموزان'!F11)</f>
        <v/>
      </c>
      <c r="F85" s="306">
        <f>IF('دانش‌آموزان'!I11="","",'دانش‌آموزان'!I11)</f>
        <v/>
      </c>
      <c r="G85" s="307" t="n"/>
      <c r="H85" s="307" t="n"/>
      <c r="I85" s="307" t="n"/>
      <c r="J85" s="307" t="n"/>
      <c r="K85" s="313">
        <f>IF(COUNT(G85:J85)=0,"",AVERAGE(G85:J85)*4)</f>
        <v/>
      </c>
      <c r="L85" s="306">
        <f>IF(C85="","",IF(COUNT(G85:J85)=0,"",IF(COUNT(G85:J85)&lt;4,"موقت - اطلاعات ناقص",IF(K85&gt;=17,"عالی",IF(K85&gt;=14,"خوب",IF(K85&gt;=10,"متوسط","ضعیف"))))))</f>
        <v/>
      </c>
      <c r="M85" s="306" t="n">
        <v>9</v>
      </c>
      <c r="N85" s="314">
        <f>IF(C85="","",COUNT(G85:J85)/4)</f>
        <v/>
      </c>
      <c r="O85" s="307" t="n"/>
    </row>
    <row r="86" ht="24" customHeight="1">
      <c r="A86" s="306" t="n">
        <v>82</v>
      </c>
      <c r="B86" s="306" t="inlineStr">
        <is>
          <t>فروردین</t>
        </is>
      </c>
      <c r="C86" s="306">
        <f>IF('دانش‌آموزان'!E11="","",'دانش‌آموزان'!B11)</f>
        <v/>
      </c>
      <c r="D86" s="306">
        <f>IF('دانش‌آموزان'!C11="","",'دانش‌آموزان'!C11)</f>
        <v/>
      </c>
      <c r="E86" s="306">
        <f>IF('دانش‌آموزان'!E11="","",'دانش‌آموزان'!E11&amp;" "&amp;'دانش‌آموزان'!F11)</f>
        <v/>
      </c>
      <c r="F86" s="306">
        <f>IF('دانش‌آموزان'!I11="","",'دانش‌آموزان'!I11)</f>
        <v/>
      </c>
      <c r="G86" s="307" t="n"/>
      <c r="H86" s="307" t="n"/>
      <c r="I86" s="307" t="n"/>
      <c r="J86" s="307" t="n"/>
      <c r="K86" s="313">
        <f>IF(COUNT(G86:J86)=0,"",AVERAGE(G86:J86)*4)</f>
        <v/>
      </c>
      <c r="L86" s="306">
        <f>IF(C86="","",IF(COUNT(G86:J86)=0,"",IF(COUNT(G86:J86)&lt;4,"موقت - اطلاعات ناقص",IF(K86&gt;=17,"عالی",IF(K86&gt;=14,"خوب",IF(K86&gt;=10,"متوسط","ضعیف"))))))</f>
        <v/>
      </c>
      <c r="M86" s="306" t="n">
        <v>10</v>
      </c>
      <c r="N86" s="314">
        <f>IF(C86="","",COUNT(G86:J86)/4)</f>
        <v/>
      </c>
      <c r="O86" s="307" t="n"/>
    </row>
    <row r="87" ht="24" customHeight="1">
      <c r="A87" s="306" t="n">
        <v>83</v>
      </c>
      <c r="B87" s="306" t="inlineStr">
        <is>
          <t>اردیبهشت</t>
        </is>
      </c>
      <c r="C87" s="306">
        <f>IF('دانش‌آموزان'!E11="","",'دانش‌آموزان'!B11)</f>
        <v/>
      </c>
      <c r="D87" s="306">
        <f>IF('دانش‌آموزان'!C11="","",'دانش‌آموزان'!C11)</f>
        <v/>
      </c>
      <c r="E87" s="306">
        <f>IF('دانش‌آموزان'!E11="","",'دانش‌آموزان'!E11&amp;" "&amp;'دانش‌آموزان'!F11)</f>
        <v/>
      </c>
      <c r="F87" s="306">
        <f>IF('دانش‌آموزان'!I11="","",'دانش‌آموزان'!I11)</f>
        <v/>
      </c>
      <c r="G87" s="307" t="n"/>
      <c r="H87" s="307" t="n"/>
      <c r="I87" s="307" t="n"/>
      <c r="J87" s="307" t="n"/>
      <c r="K87" s="313">
        <f>IF(COUNT(G87:J87)=0,"",AVERAGE(G87:J87)*4)</f>
        <v/>
      </c>
      <c r="L87" s="306">
        <f>IF(C87="","",IF(COUNT(G87:J87)=0,"",IF(COUNT(G87:J87)&lt;4,"موقت - اطلاعات ناقص",IF(K87&gt;=17,"عالی",IF(K87&gt;=14,"خوب",IF(K87&gt;=10,"متوسط","ضعیف"))))))</f>
        <v/>
      </c>
      <c r="M87" s="306" t="n">
        <v>11</v>
      </c>
      <c r="N87" s="314">
        <f>IF(C87="","",COUNT(G87:J87)/4)</f>
        <v/>
      </c>
      <c r="O87" s="307" t="n"/>
    </row>
    <row r="88" ht="24" customHeight="1">
      <c r="A88" s="306" t="n">
        <v>84</v>
      </c>
      <c r="B88" s="306" t="inlineStr">
        <is>
          <t>خرداد</t>
        </is>
      </c>
      <c r="C88" s="306">
        <f>IF('دانش‌آموزان'!E11="","",'دانش‌آموزان'!B11)</f>
        <v/>
      </c>
      <c r="D88" s="306">
        <f>IF('دانش‌آموزان'!C11="","",'دانش‌آموزان'!C11)</f>
        <v/>
      </c>
      <c r="E88" s="306">
        <f>IF('دانش‌آموزان'!E11="","",'دانش‌آموزان'!E11&amp;" "&amp;'دانش‌آموزان'!F11)</f>
        <v/>
      </c>
      <c r="F88" s="306">
        <f>IF('دانش‌آموزان'!I11="","",'دانش‌آموزان'!I11)</f>
        <v/>
      </c>
      <c r="G88" s="307" t="n"/>
      <c r="H88" s="307" t="n"/>
      <c r="I88" s="307" t="n"/>
      <c r="J88" s="307" t="n"/>
      <c r="K88" s="313">
        <f>IF(COUNT(G88:J88)=0,"",AVERAGE(G88:J88)*4)</f>
        <v/>
      </c>
      <c r="L88" s="306">
        <f>IF(C88="","",IF(COUNT(G88:J88)=0,"",IF(COUNT(G88:J88)&lt;4,"موقت - اطلاعات ناقص",IF(K88&gt;=17,"عالی",IF(K88&gt;=14,"خوب",IF(K88&gt;=10,"متوسط","ضعیف"))))))</f>
        <v/>
      </c>
      <c r="M88" s="306" t="n">
        <v>12</v>
      </c>
      <c r="N88" s="314">
        <f>IF(C88="","",COUNT(G88:J88)/4)</f>
        <v/>
      </c>
      <c r="O88" s="307" t="n"/>
    </row>
    <row r="89" ht="24" customHeight="1">
      <c r="A89" s="306" t="n">
        <v>85</v>
      </c>
      <c r="B89" s="306" t="inlineStr">
        <is>
          <t>تیر</t>
        </is>
      </c>
      <c r="C89" s="306">
        <f>IF('دانش‌آموزان'!E12="","",'دانش‌آموزان'!B12)</f>
        <v/>
      </c>
      <c r="D89" s="306">
        <f>IF('دانش‌آموزان'!C12="","",'دانش‌آموزان'!C12)</f>
        <v/>
      </c>
      <c r="E89" s="306">
        <f>IF('دانش‌آموزان'!E12="","",'دانش‌آموزان'!E12&amp;" "&amp;'دانش‌آموزان'!F12)</f>
        <v/>
      </c>
      <c r="F89" s="306">
        <f>IF('دانش‌آموزان'!I12="","",'دانش‌آموزان'!I12)</f>
        <v/>
      </c>
      <c r="G89" s="307" t="n"/>
      <c r="H89" s="307" t="n"/>
      <c r="I89" s="307" t="n"/>
      <c r="J89" s="307" t="n"/>
      <c r="K89" s="313">
        <f>IF(COUNT(G89:J89)=0,"",AVERAGE(G89:J89)*4)</f>
        <v/>
      </c>
      <c r="L89" s="306">
        <f>IF(C89="","",IF(COUNT(G89:J89)=0,"",IF(COUNT(G89:J89)&lt;4,"موقت - اطلاعات ناقص",IF(K89&gt;=17,"عالی",IF(K89&gt;=14,"خوب",IF(K89&gt;=10,"متوسط","ضعیف"))))))</f>
        <v/>
      </c>
      <c r="M89" s="306" t="n">
        <v>1</v>
      </c>
      <c r="N89" s="314">
        <f>IF(C89="","",COUNT(G89:J89)/4)</f>
        <v/>
      </c>
      <c r="O89" s="307" t="n"/>
    </row>
    <row r="90" ht="24" customHeight="1">
      <c r="A90" s="306" t="n">
        <v>86</v>
      </c>
      <c r="B90" s="306" t="inlineStr">
        <is>
          <t>مرداد</t>
        </is>
      </c>
      <c r="C90" s="306">
        <f>IF('دانش‌آموزان'!E12="","",'دانش‌آموزان'!B12)</f>
        <v/>
      </c>
      <c r="D90" s="306">
        <f>IF('دانش‌آموزان'!C12="","",'دانش‌آموزان'!C12)</f>
        <v/>
      </c>
      <c r="E90" s="306">
        <f>IF('دانش‌آموزان'!E12="","",'دانش‌آموزان'!E12&amp;" "&amp;'دانش‌آموزان'!F12)</f>
        <v/>
      </c>
      <c r="F90" s="306">
        <f>IF('دانش‌آموزان'!I12="","",'دانش‌آموزان'!I12)</f>
        <v/>
      </c>
      <c r="G90" s="307" t="n"/>
      <c r="H90" s="307" t="n"/>
      <c r="I90" s="307" t="n"/>
      <c r="J90" s="307" t="n"/>
      <c r="K90" s="313">
        <f>IF(COUNT(G90:J90)=0,"",AVERAGE(G90:J90)*4)</f>
        <v/>
      </c>
      <c r="L90" s="306">
        <f>IF(C90="","",IF(COUNT(G90:J90)=0,"",IF(COUNT(G90:J90)&lt;4,"موقت - اطلاعات ناقص",IF(K90&gt;=17,"عالی",IF(K90&gt;=14,"خوب",IF(K90&gt;=10,"متوسط","ضعیف"))))))</f>
        <v/>
      </c>
      <c r="M90" s="306" t="n">
        <v>2</v>
      </c>
      <c r="N90" s="314">
        <f>IF(C90="","",COUNT(G90:J90)/4)</f>
        <v/>
      </c>
      <c r="O90" s="307" t="n"/>
    </row>
    <row r="91" ht="24" customHeight="1">
      <c r="A91" s="306" t="n">
        <v>87</v>
      </c>
      <c r="B91" s="306" t="inlineStr">
        <is>
          <t>شهریور</t>
        </is>
      </c>
      <c r="C91" s="306">
        <f>IF('دانش‌آموزان'!E12="","",'دانش‌آموزان'!B12)</f>
        <v/>
      </c>
      <c r="D91" s="306">
        <f>IF('دانش‌آموزان'!C12="","",'دانش‌آموزان'!C12)</f>
        <v/>
      </c>
      <c r="E91" s="306">
        <f>IF('دانش‌آموزان'!E12="","",'دانش‌آموزان'!E12&amp;" "&amp;'دانش‌آموزان'!F12)</f>
        <v/>
      </c>
      <c r="F91" s="306">
        <f>IF('دانش‌آموزان'!I12="","",'دانش‌آموزان'!I12)</f>
        <v/>
      </c>
      <c r="G91" s="307" t="n"/>
      <c r="H91" s="307" t="n"/>
      <c r="I91" s="307" t="n"/>
      <c r="J91" s="307" t="n"/>
      <c r="K91" s="313">
        <f>IF(COUNT(G91:J91)=0,"",AVERAGE(G91:J91)*4)</f>
        <v/>
      </c>
      <c r="L91" s="306">
        <f>IF(C91="","",IF(COUNT(G91:J91)=0,"",IF(COUNT(G91:J91)&lt;4,"موقت - اطلاعات ناقص",IF(K91&gt;=17,"عالی",IF(K91&gt;=14,"خوب",IF(K91&gt;=10,"متوسط","ضعیف"))))))</f>
        <v/>
      </c>
      <c r="M91" s="306" t="n">
        <v>3</v>
      </c>
      <c r="N91" s="314">
        <f>IF(C91="","",COUNT(G91:J91)/4)</f>
        <v/>
      </c>
      <c r="O91" s="307" t="n"/>
    </row>
    <row r="92" ht="24" customHeight="1">
      <c r="A92" s="306" t="n">
        <v>88</v>
      </c>
      <c r="B92" s="306" t="inlineStr">
        <is>
          <t>مهر</t>
        </is>
      </c>
      <c r="C92" s="306">
        <f>IF('دانش‌آموزان'!E12="","",'دانش‌آموزان'!B12)</f>
        <v/>
      </c>
      <c r="D92" s="306">
        <f>IF('دانش‌آموزان'!C12="","",'دانش‌آموزان'!C12)</f>
        <v/>
      </c>
      <c r="E92" s="306">
        <f>IF('دانش‌آموزان'!E12="","",'دانش‌آموزان'!E12&amp;" "&amp;'دانش‌آموزان'!F12)</f>
        <v/>
      </c>
      <c r="F92" s="306">
        <f>IF('دانش‌آموزان'!I12="","",'دانش‌آموزان'!I12)</f>
        <v/>
      </c>
      <c r="G92" s="307" t="n"/>
      <c r="H92" s="307" t="n"/>
      <c r="I92" s="307" t="n"/>
      <c r="J92" s="307" t="n"/>
      <c r="K92" s="313">
        <f>IF(COUNT(G92:J92)=0,"",AVERAGE(G92:J92)*4)</f>
        <v/>
      </c>
      <c r="L92" s="306">
        <f>IF(C92="","",IF(COUNT(G92:J92)=0,"",IF(COUNT(G92:J92)&lt;4,"موقت - اطلاعات ناقص",IF(K92&gt;=17,"عالی",IF(K92&gt;=14,"خوب",IF(K92&gt;=10,"متوسط","ضعیف"))))))</f>
        <v/>
      </c>
      <c r="M92" s="306" t="n">
        <v>4</v>
      </c>
      <c r="N92" s="314">
        <f>IF(C92="","",COUNT(G92:J92)/4)</f>
        <v/>
      </c>
      <c r="O92" s="307" t="n"/>
    </row>
    <row r="93" ht="24" customHeight="1">
      <c r="A93" s="306" t="n">
        <v>89</v>
      </c>
      <c r="B93" s="306" t="inlineStr">
        <is>
          <t>آبان</t>
        </is>
      </c>
      <c r="C93" s="306">
        <f>IF('دانش‌آموزان'!E12="","",'دانش‌آموزان'!B12)</f>
        <v/>
      </c>
      <c r="D93" s="306">
        <f>IF('دانش‌آموزان'!C12="","",'دانش‌آموزان'!C12)</f>
        <v/>
      </c>
      <c r="E93" s="306">
        <f>IF('دانش‌آموزان'!E12="","",'دانش‌آموزان'!E12&amp;" "&amp;'دانش‌آموزان'!F12)</f>
        <v/>
      </c>
      <c r="F93" s="306">
        <f>IF('دانش‌آموزان'!I12="","",'دانش‌آموزان'!I12)</f>
        <v/>
      </c>
      <c r="G93" s="307" t="n"/>
      <c r="H93" s="307" t="n"/>
      <c r="I93" s="307" t="n"/>
      <c r="J93" s="307" t="n"/>
      <c r="K93" s="313">
        <f>IF(COUNT(G93:J93)=0,"",AVERAGE(G93:J93)*4)</f>
        <v/>
      </c>
      <c r="L93" s="306">
        <f>IF(C93="","",IF(COUNT(G93:J93)=0,"",IF(COUNT(G93:J93)&lt;4,"موقت - اطلاعات ناقص",IF(K93&gt;=17,"عالی",IF(K93&gt;=14,"خوب",IF(K93&gt;=10,"متوسط","ضعیف"))))))</f>
        <v/>
      </c>
      <c r="M93" s="306" t="n">
        <v>5</v>
      </c>
      <c r="N93" s="314">
        <f>IF(C93="","",COUNT(G93:J93)/4)</f>
        <v/>
      </c>
      <c r="O93" s="307" t="n"/>
    </row>
    <row r="94" ht="24" customHeight="1">
      <c r="A94" s="306" t="n">
        <v>90</v>
      </c>
      <c r="B94" s="306" t="inlineStr">
        <is>
          <t>آذر</t>
        </is>
      </c>
      <c r="C94" s="306">
        <f>IF('دانش‌آموزان'!E12="","",'دانش‌آموزان'!B12)</f>
        <v/>
      </c>
      <c r="D94" s="306">
        <f>IF('دانش‌آموزان'!C12="","",'دانش‌آموزان'!C12)</f>
        <v/>
      </c>
      <c r="E94" s="306">
        <f>IF('دانش‌آموزان'!E12="","",'دانش‌آموزان'!E12&amp;" "&amp;'دانش‌آموزان'!F12)</f>
        <v/>
      </c>
      <c r="F94" s="306">
        <f>IF('دانش‌آموزان'!I12="","",'دانش‌آموزان'!I12)</f>
        <v/>
      </c>
      <c r="G94" s="307" t="n"/>
      <c r="H94" s="307" t="n"/>
      <c r="I94" s="307" t="n"/>
      <c r="J94" s="307" t="n"/>
      <c r="K94" s="313">
        <f>IF(COUNT(G94:J94)=0,"",AVERAGE(G94:J94)*4)</f>
        <v/>
      </c>
      <c r="L94" s="306">
        <f>IF(C94="","",IF(COUNT(G94:J94)=0,"",IF(COUNT(G94:J94)&lt;4,"موقت - اطلاعات ناقص",IF(K94&gt;=17,"عالی",IF(K94&gt;=14,"خوب",IF(K94&gt;=10,"متوسط","ضعیف"))))))</f>
        <v/>
      </c>
      <c r="M94" s="306" t="n">
        <v>6</v>
      </c>
      <c r="N94" s="314">
        <f>IF(C94="","",COUNT(G94:J94)/4)</f>
        <v/>
      </c>
      <c r="O94" s="307" t="n"/>
    </row>
    <row r="95" ht="24" customHeight="1">
      <c r="A95" s="306" t="n">
        <v>91</v>
      </c>
      <c r="B95" s="306" t="inlineStr">
        <is>
          <t>دی</t>
        </is>
      </c>
      <c r="C95" s="306">
        <f>IF('دانش‌آموزان'!E12="","",'دانش‌آموزان'!B12)</f>
        <v/>
      </c>
      <c r="D95" s="306">
        <f>IF('دانش‌آموزان'!C12="","",'دانش‌آموزان'!C12)</f>
        <v/>
      </c>
      <c r="E95" s="306">
        <f>IF('دانش‌آموزان'!E12="","",'دانش‌آموزان'!E12&amp;" "&amp;'دانش‌آموزان'!F12)</f>
        <v/>
      </c>
      <c r="F95" s="306">
        <f>IF('دانش‌آموزان'!I12="","",'دانش‌آموزان'!I12)</f>
        <v/>
      </c>
      <c r="G95" s="307" t="n"/>
      <c r="H95" s="307" t="n"/>
      <c r="I95" s="307" t="n"/>
      <c r="J95" s="307" t="n"/>
      <c r="K95" s="313">
        <f>IF(COUNT(G95:J95)=0,"",AVERAGE(G95:J95)*4)</f>
        <v/>
      </c>
      <c r="L95" s="306">
        <f>IF(C95="","",IF(COUNT(G95:J95)=0,"",IF(COUNT(G95:J95)&lt;4,"موقت - اطلاعات ناقص",IF(K95&gt;=17,"عالی",IF(K95&gt;=14,"خوب",IF(K95&gt;=10,"متوسط","ضعیف"))))))</f>
        <v/>
      </c>
      <c r="M95" s="306" t="n">
        <v>7</v>
      </c>
      <c r="N95" s="314">
        <f>IF(C95="","",COUNT(G95:J95)/4)</f>
        <v/>
      </c>
      <c r="O95" s="307" t="n"/>
    </row>
    <row r="96" ht="24" customHeight="1">
      <c r="A96" s="306" t="n">
        <v>92</v>
      </c>
      <c r="B96" s="306" t="inlineStr">
        <is>
          <t>بهمن</t>
        </is>
      </c>
      <c r="C96" s="306">
        <f>IF('دانش‌آموزان'!E12="","",'دانش‌آموزان'!B12)</f>
        <v/>
      </c>
      <c r="D96" s="306">
        <f>IF('دانش‌آموزان'!C12="","",'دانش‌آموزان'!C12)</f>
        <v/>
      </c>
      <c r="E96" s="306">
        <f>IF('دانش‌آموزان'!E12="","",'دانش‌آموزان'!E12&amp;" "&amp;'دانش‌آموزان'!F12)</f>
        <v/>
      </c>
      <c r="F96" s="306">
        <f>IF('دانش‌آموزان'!I12="","",'دانش‌آموزان'!I12)</f>
        <v/>
      </c>
      <c r="G96" s="307" t="n"/>
      <c r="H96" s="307" t="n"/>
      <c r="I96" s="307" t="n"/>
      <c r="J96" s="307" t="n"/>
      <c r="K96" s="313">
        <f>IF(COUNT(G96:J96)=0,"",AVERAGE(G96:J96)*4)</f>
        <v/>
      </c>
      <c r="L96" s="306">
        <f>IF(C96="","",IF(COUNT(G96:J96)=0,"",IF(COUNT(G96:J96)&lt;4,"موقت - اطلاعات ناقص",IF(K96&gt;=17,"عالی",IF(K96&gt;=14,"خوب",IF(K96&gt;=10,"متوسط","ضعیف"))))))</f>
        <v/>
      </c>
      <c r="M96" s="306" t="n">
        <v>8</v>
      </c>
      <c r="N96" s="314">
        <f>IF(C96="","",COUNT(G96:J96)/4)</f>
        <v/>
      </c>
      <c r="O96" s="307" t="n"/>
    </row>
    <row r="97" ht="24" customHeight="1">
      <c r="A97" s="306" t="n">
        <v>93</v>
      </c>
      <c r="B97" s="306" t="inlineStr">
        <is>
          <t>اسفند</t>
        </is>
      </c>
      <c r="C97" s="306">
        <f>IF('دانش‌آموزان'!E12="","",'دانش‌آموزان'!B12)</f>
        <v/>
      </c>
      <c r="D97" s="306">
        <f>IF('دانش‌آموزان'!C12="","",'دانش‌آموزان'!C12)</f>
        <v/>
      </c>
      <c r="E97" s="306">
        <f>IF('دانش‌آموزان'!E12="","",'دانش‌آموزان'!E12&amp;" "&amp;'دانش‌آموزان'!F12)</f>
        <v/>
      </c>
      <c r="F97" s="306">
        <f>IF('دانش‌آموزان'!I12="","",'دانش‌آموزان'!I12)</f>
        <v/>
      </c>
      <c r="G97" s="307" t="n"/>
      <c r="H97" s="307" t="n"/>
      <c r="I97" s="307" t="n"/>
      <c r="J97" s="307" t="n"/>
      <c r="K97" s="313">
        <f>IF(COUNT(G97:J97)=0,"",AVERAGE(G97:J97)*4)</f>
        <v/>
      </c>
      <c r="L97" s="306">
        <f>IF(C97="","",IF(COUNT(G97:J97)=0,"",IF(COUNT(G97:J97)&lt;4,"موقت - اطلاعات ناقص",IF(K97&gt;=17,"عالی",IF(K97&gt;=14,"خوب",IF(K97&gt;=10,"متوسط","ضعیف"))))))</f>
        <v/>
      </c>
      <c r="M97" s="306" t="n">
        <v>9</v>
      </c>
      <c r="N97" s="314">
        <f>IF(C97="","",COUNT(G97:J97)/4)</f>
        <v/>
      </c>
      <c r="O97" s="307" t="n"/>
    </row>
    <row r="98" ht="24" customHeight="1">
      <c r="A98" s="306" t="n">
        <v>94</v>
      </c>
      <c r="B98" s="306" t="inlineStr">
        <is>
          <t>فروردین</t>
        </is>
      </c>
      <c r="C98" s="306">
        <f>IF('دانش‌آموزان'!E12="","",'دانش‌آموزان'!B12)</f>
        <v/>
      </c>
      <c r="D98" s="306">
        <f>IF('دانش‌آموزان'!C12="","",'دانش‌آموزان'!C12)</f>
        <v/>
      </c>
      <c r="E98" s="306">
        <f>IF('دانش‌آموزان'!E12="","",'دانش‌آموزان'!E12&amp;" "&amp;'دانش‌آموزان'!F12)</f>
        <v/>
      </c>
      <c r="F98" s="306">
        <f>IF('دانش‌آموزان'!I12="","",'دانش‌آموزان'!I12)</f>
        <v/>
      </c>
      <c r="G98" s="307" t="n"/>
      <c r="H98" s="307" t="n"/>
      <c r="I98" s="307" t="n"/>
      <c r="J98" s="307" t="n"/>
      <c r="K98" s="313">
        <f>IF(COUNT(G98:J98)=0,"",AVERAGE(G98:J98)*4)</f>
        <v/>
      </c>
      <c r="L98" s="306">
        <f>IF(C98="","",IF(COUNT(G98:J98)=0,"",IF(COUNT(G98:J98)&lt;4,"موقت - اطلاعات ناقص",IF(K98&gt;=17,"عالی",IF(K98&gt;=14,"خوب",IF(K98&gt;=10,"متوسط","ضعیف"))))))</f>
        <v/>
      </c>
      <c r="M98" s="306" t="n">
        <v>10</v>
      </c>
      <c r="N98" s="314">
        <f>IF(C98="","",COUNT(G98:J98)/4)</f>
        <v/>
      </c>
      <c r="O98" s="307" t="n"/>
    </row>
    <row r="99" ht="24" customHeight="1">
      <c r="A99" s="306" t="n">
        <v>95</v>
      </c>
      <c r="B99" s="306" t="inlineStr">
        <is>
          <t>اردیبهشت</t>
        </is>
      </c>
      <c r="C99" s="306">
        <f>IF('دانش‌آموزان'!E12="","",'دانش‌آموزان'!B12)</f>
        <v/>
      </c>
      <c r="D99" s="306">
        <f>IF('دانش‌آموزان'!C12="","",'دانش‌آموزان'!C12)</f>
        <v/>
      </c>
      <c r="E99" s="306">
        <f>IF('دانش‌آموزان'!E12="","",'دانش‌آموزان'!E12&amp;" "&amp;'دانش‌آموزان'!F12)</f>
        <v/>
      </c>
      <c r="F99" s="306">
        <f>IF('دانش‌آموزان'!I12="","",'دانش‌آموزان'!I12)</f>
        <v/>
      </c>
      <c r="G99" s="307" t="n"/>
      <c r="H99" s="307" t="n"/>
      <c r="I99" s="307" t="n"/>
      <c r="J99" s="307" t="n"/>
      <c r="K99" s="313">
        <f>IF(COUNT(G99:J99)=0,"",AVERAGE(G99:J99)*4)</f>
        <v/>
      </c>
      <c r="L99" s="306">
        <f>IF(C99="","",IF(COUNT(G99:J99)=0,"",IF(COUNT(G99:J99)&lt;4,"موقت - اطلاعات ناقص",IF(K99&gt;=17,"عالی",IF(K99&gt;=14,"خوب",IF(K99&gt;=10,"متوسط","ضعیف"))))))</f>
        <v/>
      </c>
      <c r="M99" s="306" t="n">
        <v>11</v>
      </c>
      <c r="N99" s="314">
        <f>IF(C99="","",COUNT(G99:J99)/4)</f>
        <v/>
      </c>
      <c r="O99" s="307" t="n"/>
    </row>
    <row r="100" ht="24" customHeight="1">
      <c r="A100" s="306" t="n">
        <v>96</v>
      </c>
      <c r="B100" s="306" t="inlineStr">
        <is>
          <t>خرداد</t>
        </is>
      </c>
      <c r="C100" s="306">
        <f>IF('دانش‌آموزان'!E12="","",'دانش‌آموزان'!B12)</f>
        <v/>
      </c>
      <c r="D100" s="306">
        <f>IF('دانش‌آموزان'!C12="","",'دانش‌آموزان'!C12)</f>
        <v/>
      </c>
      <c r="E100" s="306">
        <f>IF('دانش‌آموزان'!E12="","",'دانش‌آموزان'!E12&amp;" "&amp;'دانش‌آموزان'!F12)</f>
        <v/>
      </c>
      <c r="F100" s="306">
        <f>IF('دانش‌آموزان'!I12="","",'دانش‌آموزان'!I12)</f>
        <v/>
      </c>
      <c r="G100" s="307" t="n"/>
      <c r="H100" s="307" t="n"/>
      <c r="I100" s="307" t="n"/>
      <c r="J100" s="307" t="n"/>
      <c r="K100" s="313">
        <f>IF(COUNT(G100:J100)=0,"",AVERAGE(G100:J100)*4)</f>
        <v/>
      </c>
      <c r="L100" s="306">
        <f>IF(C100="","",IF(COUNT(G100:J100)=0,"",IF(COUNT(G100:J100)&lt;4,"موقت - اطلاعات ناقص",IF(K100&gt;=17,"عالی",IF(K100&gt;=14,"خوب",IF(K100&gt;=10,"متوسط","ضعیف"))))))</f>
        <v/>
      </c>
      <c r="M100" s="306" t="n">
        <v>12</v>
      </c>
      <c r="N100" s="314">
        <f>IF(C100="","",COUNT(G100:J100)/4)</f>
        <v/>
      </c>
      <c r="O100" s="307" t="n"/>
    </row>
    <row r="101" ht="24" customHeight="1">
      <c r="A101" s="306" t="n">
        <v>97</v>
      </c>
      <c r="B101" s="306" t="inlineStr">
        <is>
          <t>تیر</t>
        </is>
      </c>
      <c r="C101" s="306">
        <f>IF('دانش‌آموزان'!E13="","",'دانش‌آموزان'!B13)</f>
        <v/>
      </c>
      <c r="D101" s="306">
        <f>IF('دانش‌آموزان'!C13="","",'دانش‌آموزان'!C13)</f>
        <v/>
      </c>
      <c r="E101" s="306">
        <f>IF('دانش‌آموزان'!E13="","",'دانش‌آموزان'!E13&amp;" "&amp;'دانش‌آموزان'!F13)</f>
        <v/>
      </c>
      <c r="F101" s="306">
        <f>IF('دانش‌آموزان'!I13="","",'دانش‌آموزان'!I13)</f>
        <v/>
      </c>
      <c r="G101" s="307" t="n"/>
      <c r="H101" s="307" t="n"/>
      <c r="I101" s="307" t="n"/>
      <c r="J101" s="307" t="n"/>
      <c r="K101" s="313">
        <f>IF(COUNT(G101:J101)=0,"",AVERAGE(G101:J101)*4)</f>
        <v/>
      </c>
      <c r="L101" s="306">
        <f>IF(C101="","",IF(COUNT(G101:J101)=0,"",IF(COUNT(G101:J101)&lt;4,"موقت - اطلاعات ناقص",IF(K101&gt;=17,"عالی",IF(K101&gt;=14,"خوب",IF(K101&gt;=10,"متوسط","ضعیف"))))))</f>
        <v/>
      </c>
      <c r="M101" s="306" t="n">
        <v>1</v>
      </c>
      <c r="N101" s="314">
        <f>IF(C101="","",COUNT(G101:J101)/4)</f>
        <v/>
      </c>
      <c r="O101" s="307" t="n"/>
    </row>
    <row r="102" ht="24" customHeight="1">
      <c r="A102" s="306" t="n">
        <v>98</v>
      </c>
      <c r="B102" s="306" t="inlineStr">
        <is>
          <t>مرداد</t>
        </is>
      </c>
      <c r="C102" s="306">
        <f>IF('دانش‌آموزان'!E13="","",'دانش‌آموزان'!B13)</f>
        <v/>
      </c>
      <c r="D102" s="306">
        <f>IF('دانش‌آموزان'!C13="","",'دانش‌آموزان'!C13)</f>
        <v/>
      </c>
      <c r="E102" s="306">
        <f>IF('دانش‌آموزان'!E13="","",'دانش‌آموزان'!E13&amp;" "&amp;'دانش‌آموزان'!F13)</f>
        <v/>
      </c>
      <c r="F102" s="306">
        <f>IF('دانش‌آموزان'!I13="","",'دانش‌آموزان'!I13)</f>
        <v/>
      </c>
      <c r="G102" s="307" t="n"/>
      <c r="H102" s="307" t="n"/>
      <c r="I102" s="307" t="n"/>
      <c r="J102" s="307" t="n"/>
      <c r="K102" s="313">
        <f>IF(COUNT(G102:J102)=0,"",AVERAGE(G102:J102)*4)</f>
        <v/>
      </c>
      <c r="L102" s="306">
        <f>IF(C102="","",IF(COUNT(G102:J102)=0,"",IF(COUNT(G102:J102)&lt;4,"موقت - اطلاعات ناقص",IF(K102&gt;=17,"عالی",IF(K102&gt;=14,"خوب",IF(K102&gt;=10,"متوسط","ضعیف"))))))</f>
        <v/>
      </c>
      <c r="M102" s="306" t="n">
        <v>2</v>
      </c>
      <c r="N102" s="314">
        <f>IF(C102="","",COUNT(G102:J102)/4)</f>
        <v/>
      </c>
      <c r="O102" s="307" t="n"/>
    </row>
    <row r="103" ht="24" customHeight="1">
      <c r="A103" s="306" t="n">
        <v>99</v>
      </c>
      <c r="B103" s="306" t="inlineStr">
        <is>
          <t>شهریور</t>
        </is>
      </c>
      <c r="C103" s="306">
        <f>IF('دانش‌آموزان'!E13="","",'دانش‌آموزان'!B13)</f>
        <v/>
      </c>
      <c r="D103" s="306">
        <f>IF('دانش‌آموزان'!C13="","",'دانش‌آموزان'!C13)</f>
        <v/>
      </c>
      <c r="E103" s="306">
        <f>IF('دانش‌آموزان'!E13="","",'دانش‌آموزان'!E13&amp;" "&amp;'دانش‌آموزان'!F13)</f>
        <v/>
      </c>
      <c r="F103" s="306">
        <f>IF('دانش‌آموزان'!I13="","",'دانش‌آموزان'!I13)</f>
        <v/>
      </c>
      <c r="G103" s="307" t="n"/>
      <c r="H103" s="307" t="n"/>
      <c r="I103" s="307" t="n"/>
      <c r="J103" s="307" t="n"/>
      <c r="K103" s="313">
        <f>IF(COUNT(G103:J103)=0,"",AVERAGE(G103:J103)*4)</f>
        <v/>
      </c>
      <c r="L103" s="306">
        <f>IF(C103="","",IF(COUNT(G103:J103)=0,"",IF(COUNT(G103:J103)&lt;4,"موقت - اطلاعات ناقص",IF(K103&gt;=17,"عالی",IF(K103&gt;=14,"خوب",IF(K103&gt;=10,"متوسط","ضعیف"))))))</f>
        <v/>
      </c>
      <c r="M103" s="306" t="n">
        <v>3</v>
      </c>
      <c r="N103" s="314">
        <f>IF(C103="","",COUNT(G103:J103)/4)</f>
        <v/>
      </c>
      <c r="O103" s="307" t="n"/>
    </row>
    <row r="104" ht="24" customHeight="1">
      <c r="A104" s="306" t="n">
        <v>100</v>
      </c>
      <c r="B104" s="306" t="inlineStr">
        <is>
          <t>مهر</t>
        </is>
      </c>
      <c r="C104" s="306">
        <f>IF('دانش‌آموزان'!E13="","",'دانش‌آموزان'!B13)</f>
        <v/>
      </c>
      <c r="D104" s="306">
        <f>IF('دانش‌آموزان'!C13="","",'دانش‌آموزان'!C13)</f>
        <v/>
      </c>
      <c r="E104" s="306">
        <f>IF('دانش‌آموزان'!E13="","",'دانش‌آموزان'!E13&amp;" "&amp;'دانش‌آموزان'!F13)</f>
        <v/>
      </c>
      <c r="F104" s="306">
        <f>IF('دانش‌آموزان'!I13="","",'دانش‌آموزان'!I13)</f>
        <v/>
      </c>
      <c r="G104" s="307" t="n"/>
      <c r="H104" s="307" t="n"/>
      <c r="I104" s="307" t="n"/>
      <c r="J104" s="307" t="n"/>
      <c r="K104" s="313">
        <f>IF(COUNT(G104:J104)=0,"",AVERAGE(G104:J104)*4)</f>
        <v/>
      </c>
      <c r="L104" s="306">
        <f>IF(C104="","",IF(COUNT(G104:J104)=0,"",IF(COUNT(G104:J104)&lt;4,"موقت - اطلاعات ناقص",IF(K104&gt;=17,"عالی",IF(K104&gt;=14,"خوب",IF(K104&gt;=10,"متوسط","ضعیف"))))))</f>
        <v/>
      </c>
      <c r="M104" s="306" t="n">
        <v>4</v>
      </c>
      <c r="N104" s="314">
        <f>IF(C104="","",COUNT(G104:J104)/4)</f>
        <v/>
      </c>
      <c r="O104" s="307" t="n"/>
    </row>
    <row r="105" ht="24" customHeight="1">
      <c r="A105" s="306" t="n">
        <v>101</v>
      </c>
      <c r="B105" s="306" t="inlineStr">
        <is>
          <t>آبان</t>
        </is>
      </c>
      <c r="C105" s="306">
        <f>IF('دانش‌آموزان'!E13="","",'دانش‌آموزان'!B13)</f>
        <v/>
      </c>
      <c r="D105" s="306">
        <f>IF('دانش‌آموزان'!C13="","",'دانش‌آموزان'!C13)</f>
        <v/>
      </c>
      <c r="E105" s="306">
        <f>IF('دانش‌آموزان'!E13="","",'دانش‌آموزان'!E13&amp;" "&amp;'دانش‌آموزان'!F13)</f>
        <v/>
      </c>
      <c r="F105" s="306">
        <f>IF('دانش‌آموزان'!I13="","",'دانش‌آموزان'!I13)</f>
        <v/>
      </c>
      <c r="G105" s="307" t="n"/>
      <c r="H105" s="307" t="n"/>
      <c r="I105" s="307" t="n"/>
      <c r="J105" s="307" t="n"/>
      <c r="K105" s="313">
        <f>IF(COUNT(G105:J105)=0,"",AVERAGE(G105:J105)*4)</f>
        <v/>
      </c>
      <c r="L105" s="306">
        <f>IF(C105="","",IF(COUNT(G105:J105)=0,"",IF(COUNT(G105:J105)&lt;4,"موقت - اطلاعات ناقص",IF(K105&gt;=17,"عالی",IF(K105&gt;=14,"خوب",IF(K105&gt;=10,"متوسط","ضعیف"))))))</f>
        <v/>
      </c>
      <c r="M105" s="306" t="n">
        <v>5</v>
      </c>
      <c r="N105" s="314">
        <f>IF(C105="","",COUNT(G105:J105)/4)</f>
        <v/>
      </c>
      <c r="O105" s="307" t="n"/>
    </row>
    <row r="106" ht="24" customHeight="1">
      <c r="A106" s="306" t="n">
        <v>102</v>
      </c>
      <c r="B106" s="306" t="inlineStr">
        <is>
          <t>آذر</t>
        </is>
      </c>
      <c r="C106" s="306">
        <f>IF('دانش‌آموزان'!E13="","",'دانش‌آموزان'!B13)</f>
        <v/>
      </c>
      <c r="D106" s="306">
        <f>IF('دانش‌آموزان'!C13="","",'دانش‌آموزان'!C13)</f>
        <v/>
      </c>
      <c r="E106" s="306">
        <f>IF('دانش‌آموزان'!E13="","",'دانش‌آموزان'!E13&amp;" "&amp;'دانش‌آموزان'!F13)</f>
        <v/>
      </c>
      <c r="F106" s="306">
        <f>IF('دانش‌آموزان'!I13="","",'دانش‌آموزان'!I13)</f>
        <v/>
      </c>
      <c r="G106" s="307" t="n"/>
      <c r="H106" s="307" t="n"/>
      <c r="I106" s="307" t="n"/>
      <c r="J106" s="307" t="n"/>
      <c r="K106" s="313">
        <f>IF(COUNT(G106:J106)=0,"",AVERAGE(G106:J106)*4)</f>
        <v/>
      </c>
      <c r="L106" s="306">
        <f>IF(C106="","",IF(COUNT(G106:J106)=0,"",IF(COUNT(G106:J106)&lt;4,"موقت - اطلاعات ناقص",IF(K106&gt;=17,"عالی",IF(K106&gt;=14,"خوب",IF(K106&gt;=10,"متوسط","ضعیف"))))))</f>
        <v/>
      </c>
      <c r="M106" s="306" t="n">
        <v>6</v>
      </c>
      <c r="N106" s="314">
        <f>IF(C106="","",COUNT(G106:J106)/4)</f>
        <v/>
      </c>
      <c r="O106" s="307" t="n"/>
    </row>
    <row r="107" ht="24" customHeight="1">
      <c r="A107" s="306" t="n">
        <v>103</v>
      </c>
      <c r="B107" s="306" t="inlineStr">
        <is>
          <t>دی</t>
        </is>
      </c>
      <c r="C107" s="306">
        <f>IF('دانش‌آموزان'!E13="","",'دانش‌آموزان'!B13)</f>
        <v/>
      </c>
      <c r="D107" s="306">
        <f>IF('دانش‌آموزان'!C13="","",'دانش‌آموزان'!C13)</f>
        <v/>
      </c>
      <c r="E107" s="306">
        <f>IF('دانش‌آموزان'!E13="","",'دانش‌آموزان'!E13&amp;" "&amp;'دانش‌آموزان'!F13)</f>
        <v/>
      </c>
      <c r="F107" s="306">
        <f>IF('دانش‌آموزان'!I13="","",'دانش‌آموزان'!I13)</f>
        <v/>
      </c>
      <c r="G107" s="307" t="n"/>
      <c r="H107" s="307" t="n"/>
      <c r="I107" s="307" t="n"/>
      <c r="J107" s="307" t="n"/>
      <c r="K107" s="313">
        <f>IF(COUNT(G107:J107)=0,"",AVERAGE(G107:J107)*4)</f>
        <v/>
      </c>
      <c r="L107" s="306">
        <f>IF(C107="","",IF(COUNT(G107:J107)=0,"",IF(COUNT(G107:J107)&lt;4,"موقت - اطلاعات ناقص",IF(K107&gt;=17,"عالی",IF(K107&gt;=14,"خوب",IF(K107&gt;=10,"متوسط","ضعیف"))))))</f>
        <v/>
      </c>
      <c r="M107" s="306" t="n">
        <v>7</v>
      </c>
      <c r="N107" s="314">
        <f>IF(C107="","",COUNT(G107:J107)/4)</f>
        <v/>
      </c>
      <c r="O107" s="307" t="n"/>
    </row>
    <row r="108" ht="24" customHeight="1">
      <c r="A108" s="306" t="n">
        <v>104</v>
      </c>
      <c r="B108" s="306" t="inlineStr">
        <is>
          <t>بهمن</t>
        </is>
      </c>
      <c r="C108" s="306">
        <f>IF('دانش‌آموزان'!E13="","",'دانش‌آموزان'!B13)</f>
        <v/>
      </c>
      <c r="D108" s="306">
        <f>IF('دانش‌آموزان'!C13="","",'دانش‌آموزان'!C13)</f>
        <v/>
      </c>
      <c r="E108" s="306">
        <f>IF('دانش‌آموزان'!E13="","",'دانش‌آموزان'!E13&amp;" "&amp;'دانش‌آموزان'!F13)</f>
        <v/>
      </c>
      <c r="F108" s="306">
        <f>IF('دانش‌آموزان'!I13="","",'دانش‌آموزان'!I13)</f>
        <v/>
      </c>
      <c r="G108" s="307" t="n"/>
      <c r="H108" s="307" t="n"/>
      <c r="I108" s="307" t="n"/>
      <c r="J108" s="307" t="n"/>
      <c r="K108" s="313">
        <f>IF(COUNT(G108:J108)=0,"",AVERAGE(G108:J108)*4)</f>
        <v/>
      </c>
      <c r="L108" s="306">
        <f>IF(C108="","",IF(COUNT(G108:J108)=0,"",IF(COUNT(G108:J108)&lt;4,"موقت - اطلاعات ناقص",IF(K108&gt;=17,"عالی",IF(K108&gt;=14,"خوب",IF(K108&gt;=10,"متوسط","ضعیف"))))))</f>
        <v/>
      </c>
      <c r="M108" s="306" t="n">
        <v>8</v>
      </c>
      <c r="N108" s="314">
        <f>IF(C108="","",COUNT(G108:J108)/4)</f>
        <v/>
      </c>
      <c r="O108" s="307" t="n"/>
    </row>
    <row r="109" ht="24" customHeight="1">
      <c r="A109" s="306" t="n">
        <v>105</v>
      </c>
      <c r="B109" s="306" t="inlineStr">
        <is>
          <t>اسفند</t>
        </is>
      </c>
      <c r="C109" s="306">
        <f>IF('دانش‌آموزان'!E13="","",'دانش‌آموزان'!B13)</f>
        <v/>
      </c>
      <c r="D109" s="306">
        <f>IF('دانش‌آموزان'!C13="","",'دانش‌آموزان'!C13)</f>
        <v/>
      </c>
      <c r="E109" s="306">
        <f>IF('دانش‌آموزان'!E13="","",'دانش‌آموزان'!E13&amp;" "&amp;'دانش‌آموزان'!F13)</f>
        <v/>
      </c>
      <c r="F109" s="306">
        <f>IF('دانش‌آموزان'!I13="","",'دانش‌آموزان'!I13)</f>
        <v/>
      </c>
      <c r="G109" s="307" t="n"/>
      <c r="H109" s="307" t="n"/>
      <c r="I109" s="307" t="n"/>
      <c r="J109" s="307" t="n"/>
      <c r="K109" s="313">
        <f>IF(COUNT(G109:J109)=0,"",AVERAGE(G109:J109)*4)</f>
        <v/>
      </c>
      <c r="L109" s="306">
        <f>IF(C109="","",IF(COUNT(G109:J109)=0,"",IF(COUNT(G109:J109)&lt;4,"موقت - اطلاعات ناقص",IF(K109&gt;=17,"عالی",IF(K109&gt;=14,"خوب",IF(K109&gt;=10,"متوسط","ضعیف"))))))</f>
        <v/>
      </c>
      <c r="M109" s="306" t="n">
        <v>9</v>
      </c>
      <c r="N109" s="314">
        <f>IF(C109="","",COUNT(G109:J109)/4)</f>
        <v/>
      </c>
      <c r="O109" s="307" t="n"/>
    </row>
    <row r="110" ht="24" customHeight="1">
      <c r="A110" s="306" t="n">
        <v>106</v>
      </c>
      <c r="B110" s="306" t="inlineStr">
        <is>
          <t>فروردین</t>
        </is>
      </c>
      <c r="C110" s="306">
        <f>IF('دانش‌آموزان'!E13="","",'دانش‌آموزان'!B13)</f>
        <v/>
      </c>
      <c r="D110" s="306">
        <f>IF('دانش‌آموزان'!C13="","",'دانش‌آموزان'!C13)</f>
        <v/>
      </c>
      <c r="E110" s="306">
        <f>IF('دانش‌آموزان'!E13="","",'دانش‌آموزان'!E13&amp;" "&amp;'دانش‌آموزان'!F13)</f>
        <v/>
      </c>
      <c r="F110" s="306">
        <f>IF('دانش‌آموزان'!I13="","",'دانش‌آموزان'!I13)</f>
        <v/>
      </c>
      <c r="G110" s="307" t="n"/>
      <c r="H110" s="307" t="n"/>
      <c r="I110" s="307" t="n"/>
      <c r="J110" s="307" t="n"/>
      <c r="K110" s="313">
        <f>IF(COUNT(G110:J110)=0,"",AVERAGE(G110:J110)*4)</f>
        <v/>
      </c>
      <c r="L110" s="306">
        <f>IF(C110="","",IF(COUNT(G110:J110)=0,"",IF(COUNT(G110:J110)&lt;4,"موقت - اطلاعات ناقص",IF(K110&gt;=17,"عالی",IF(K110&gt;=14,"خوب",IF(K110&gt;=10,"متوسط","ضعیف"))))))</f>
        <v/>
      </c>
      <c r="M110" s="306" t="n">
        <v>10</v>
      </c>
      <c r="N110" s="314">
        <f>IF(C110="","",COUNT(G110:J110)/4)</f>
        <v/>
      </c>
      <c r="O110" s="307" t="n"/>
    </row>
    <row r="111" ht="24" customHeight="1">
      <c r="A111" s="306" t="n">
        <v>107</v>
      </c>
      <c r="B111" s="306" t="inlineStr">
        <is>
          <t>اردیبهشت</t>
        </is>
      </c>
      <c r="C111" s="306">
        <f>IF('دانش‌آموزان'!E13="","",'دانش‌آموزان'!B13)</f>
        <v/>
      </c>
      <c r="D111" s="306">
        <f>IF('دانش‌آموزان'!C13="","",'دانش‌آموزان'!C13)</f>
        <v/>
      </c>
      <c r="E111" s="306">
        <f>IF('دانش‌آموزان'!E13="","",'دانش‌آموزان'!E13&amp;" "&amp;'دانش‌آموزان'!F13)</f>
        <v/>
      </c>
      <c r="F111" s="306">
        <f>IF('دانش‌آموزان'!I13="","",'دانش‌آموزان'!I13)</f>
        <v/>
      </c>
      <c r="G111" s="307" t="n"/>
      <c r="H111" s="307" t="n"/>
      <c r="I111" s="307" t="n"/>
      <c r="J111" s="307" t="n"/>
      <c r="K111" s="313">
        <f>IF(COUNT(G111:J111)=0,"",AVERAGE(G111:J111)*4)</f>
        <v/>
      </c>
      <c r="L111" s="306">
        <f>IF(C111="","",IF(COUNT(G111:J111)=0,"",IF(COUNT(G111:J111)&lt;4,"موقت - اطلاعات ناقص",IF(K111&gt;=17,"عالی",IF(K111&gt;=14,"خوب",IF(K111&gt;=10,"متوسط","ضعیف"))))))</f>
        <v/>
      </c>
      <c r="M111" s="306" t="n">
        <v>11</v>
      </c>
      <c r="N111" s="314">
        <f>IF(C111="","",COUNT(G111:J111)/4)</f>
        <v/>
      </c>
      <c r="O111" s="307" t="n"/>
    </row>
    <row r="112" ht="24" customHeight="1">
      <c r="A112" s="306" t="n">
        <v>108</v>
      </c>
      <c r="B112" s="306" t="inlineStr">
        <is>
          <t>خرداد</t>
        </is>
      </c>
      <c r="C112" s="306">
        <f>IF('دانش‌آموزان'!E13="","",'دانش‌آموزان'!B13)</f>
        <v/>
      </c>
      <c r="D112" s="306">
        <f>IF('دانش‌آموزان'!C13="","",'دانش‌آموزان'!C13)</f>
        <v/>
      </c>
      <c r="E112" s="306">
        <f>IF('دانش‌آموزان'!E13="","",'دانش‌آموزان'!E13&amp;" "&amp;'دانش‌آموزان'!F13)</f>
        <v/>
      </c>
      <c r="F112" s="306">
        <f>IF('دانش‌آموزان'!I13="","",'دانش‌آموزان'!I13)</f>
        <v/>
      </c>
      <c r="G112" s="307" t="n"/>
      <c r="H112" s="307" t="n"/>
      <c r="I112" s="307" t="n"/>
      <c r="J112" s="307" t="n"/>
      <c r="K112" s="313">
        <f>IF(COUNT(G112:J112)=0,"",AVERAGE(G112:J112)*4)</f>
        <v/>
      </c>
      <c r="L112" s="306">
        <f>IF(C112="","",IF(COUNT(G112:J112)=0,"",IF(COUNT(G112:J112)&lt;4,"موقت - اطلاعات ناقص",IF(K112&gt;=17,"عالی",IF(K112&gt;=14,"خوب",IF(K112&gt;=10,"متوسط","ضعیف"))))))</f>
        <v/>
      </c>
      <c r="M112" s="306" t="n">
        <v>12</v>
      </c>
      <c r="N112" s="314">
        <f>IF(C112="","",COUNT(G112:J112)/4)</f>
        <v/>
      </c>
      <c r="O112" s="307" t="n"/>
    </row>
    <row r="113" ht="24" customHeight="1">
      <c r="A113" s="306" t="n">
        <v>109</v>
      </c>
      <c r="B113" s="306" t="inlineStr">
        <is>
          <t>تیر</t>
        </is>
      </c>
      <c r="C113" s="306">
        <f>IF('دانش‌آموزان'!E14="","",'دانش‌آموزان'!B14)</f>
        <v/>
      </c>
      <c r="D113" s="306">
        <f>IF('دانش‌آموزان'!C14="","",'دانش‌آموزان'!C14)</f>
        <v/>
      </c>
      <c r="E113" s="306">
        <f>IF('دانش‌آموزان'!E14="","",'دانش‌آموزان'!E14&amp;" "&amp;'دانش‌آموزان'!F14)</f>
        <v/>
      </c>
      <c r="F113" s="306">
        <f>IF('دانش‌آموزان'!I14="","",'دانش‌آموزان'!I14)</f>
        <v/>
      </c>
      <c r="G113" s="307" t="n"/>
      <c r="H113" s="307" t="n"/>
      <c r="I113" s="307" t="n"/>
      <c r="J113" s="307" t="n"/>
      <c r="K113" s="313">
        <f>IF(COUNT(G113:J113)=0,"",AVERAGE(G113:J113)*4)</f>
        <v/>
      </c>
      <c r="L113" s="306">
        <f>IF(C113="","",IF(COUNT(G113:J113)=0,"",IF(COUNT(G113:J113)&lt;4,"موقت - اطلاعات ناقص",IF(K113&gt;=17,"عالی",IF(K113&gt;=14,"خوب",IF(K113&gt;=10,"متوسط","ضعیف"))))))</f>
        <v/>
      </c>
      <c r="M113" s="306" t="n">
        <v>1</v>
      </c>
      <c r="N113" s="314">
        <f>IF(C113="","",COUNT(G113:J113)/4)</f>
        <v/>
      </c>
      <c r="O113" s="307" t="n"/>
    </row>
    <row r="114" ht="24" customHeight="1">
      <c r="A114" s="306" t="n">
        <v>110</v>
      </c>
      <c r="B114" s="306" t="inlineStr">
        <is>
          <t>مرداد</t>
        </is>
      </c>
      <c r="C114" s="306">
        <f>IF('دانش‌آموزان'!E14="","",'دانش‌آموزان'!B14)</f>
        <v/>
      </c>
      <c r="D114" s="306">
        <f>IF('دانش‌آموزان'!C14="","",'دانش‌آموزان'!C14)</f>
        <v/>
      </c>
      <c r="E114" s="306">
        <f>IF('دانش‌آموزان'!E14="","",'دانش‌آموزان'!E14&amp;" "&amp;'دانش‌آموزان'!F14)</f>
        <v/>
      </c>
      <c r="F114" s="306">
        <f>IF('دانش‌آموزان'!I14="","",'دانش‌آموزان'!I14)</f>
        <v/>
      </c>
      <c r="G114" s="307" t="n"/>
      <c r="H114" s="307" t="n"/>
      <c r="I114" s="307" t="n"/>
      <c r="J114" s="307" t="n"/>
      <c r="K114" s="313">
        <f>IF(COUNT(G114:J114)=0,"",AVERAGE(G114:J114)*4)</f>
        <v/>
      </c>
      <c r="L114" s="306">
        <f>IF(C114="","",IF(COUNT(G114:J114)=0,"",IF(COUNT(G114:J114)&lt;4,"موقت - اطلاعات ناقص",IF(K114&gt;=17,"عالی",IF(K114&gt;=14,"خوب",IF(K114&gt;=10,"متوسط","ضعیف"))))))</f>
        <v/>
      </c>
      <c r="M114" s="306" t="n">
        <v>2</v>
      </c>
      <c r="N114" s="314">
        <f>IF(C114="","",COUNT(G114:J114)/4)</f>
        <v/>
      </c>
      <c r="O114" s="307" t="n"/>
    </row>
    <row r="115" ht="24" customHeight="1">
      <c r="A115" s="306" t="n">
        <v>111</v>
      </c>
      <c r="B115" s="306" t="inlineStr">
        <is>
          <t>شهریور</t>
        </is>
      </c>
      <c r="C115" s="306">
        <f>IF('دانش‌آموزان'!E14="","",'دانش‌آموزان'!B14)</f>
        <v/>
      </c>
      <c r="D115" s="306">
        <f>IF('دانش‌آموزان'!C14="","",'دانش‌آموزان'!C14)</f>
        <v/>
      </c>
      <c r="E115" s="306">
        <f>IF('دانش‌آموزان'!E14="","",'دانش‌آموزان'!E14&amp;" "&amp;'دانش‌آموزان'!F14)</f>
        <v/>
      </c>
      <c r="F115" s="306">
        <f>IF('دانش‌آموزان'!I14="","",'دانش‌آموزان'!I14)</f>
        <v/>
      </c>
      <c r="G115" s="307" t="n"/>
      <c r="H115" s="307" t="n"/>
      <c r="I115" s="307" t="n"/>
      <c r="J115" s="307" t="n"/>
      <c r="K115" s="313">
        <f>IF(COUNT(G115:J115)=0,"",AVERAGE(G115:J115)*4)</f>
        <v/>
      </c>
      <c r="L115" s="306">
        <f>IF(C115="","",IF(COUNT(G115:J115)=0,"",IF(COUNT(G115:J115)&lt;4,"موقت - اطلاعات ناقص",IF(K115&gt;=17,"عالی",IF(K115&gt;=14,"خوب",IF(K115&gt;=10,"متوسط","ضعیف"))))))</f>
        <v/>
      </c>
      <c r="M115" s="306" t="n">
        <v>3</v>
      </c>
      <c r="N115" s="314">
        <f>IF(C115="","",COUNT(G115:J115)/4)</f>
        <v/>
      </c>
      <c r="O115" s="307" t="n"/>
    </row>
    <row r="116" ht="24" customHeight="1">
      <c r="A116" s="306" t="n">
        <v>112</v>
      </c>
      <c r="B116" s="306" t="inlineStr">
        <is>
          <t>مهر</t>
        </is>
      </c>
      <c r="C116" s="306">
        <f>IF('دانش‌آموزان'!E14="","",'دانش‌آموزان'!B14)</f>
        <v/>
      </c>
      <c r="D116" s="306">
        <f>IF('دانش‌آموزان'!C14="","",'دانش‌آموزان'!C14)</f>
        <v/>
      </c>
      <c r="E116" s="306">
        <f>IF('دانش‌آموزان'!E14="","",'دانش‌آموزان'!E14&amp;" "&amp;'دانش‌آموزان'!F14)</f>
        <v/>
      </c>
      <c r="F116" s="306">
        <f>IF('دانش‌آموزان'!I14="","",'دانش‌آموزان'!I14)</f>
        <v/>
      </c>
      <c r="G116" s="307" t="n"/>
      <c r="H116" s="307" t="n"/>
      <c r="I116" s="307" t="n"/>
      <c r="J116" s="307" t="n"/>
      <c r="K116" s="313">
        <f>IF(COUNT(G116:J116)=0,"",AVERAGE(G116:J116)*4)</f>
        <v/>
      </c>
      <c r="L116" s="306">
        <f>IF(C116="","",IF(COUNT(G116:J116)=0,"",IF(COUNT(G116:J116)&lt;4,"موقت - اطلاعات ناقص",IF(K116&gt;=17,"عالی",IF(K116&gt;=14,"خوب",IF(K116&gt;=10,"متوسط","ضعیف"))))))</f>
        <v/>
      </c>
      <c r="M116" s="306" t="n">
        <v>4</v>
      </c>
      <c r="N116" s="314">
        <f>IF(C116="","",COUNT(G116:J116)/4)</f>
        <v/>
      </c>
      <c r="O116" s="307" t="n"/>
    </row>
    <row r="117" ht="24" customHeight="1">
      <c r="A117" s="306" t="n">
        <v>113</v>
      </c>
      <c r="B117" s="306" t="inlineStr">
        <is>
          <t>آبان</t>
        </is>
      </c>
      <c r="C117" s="306">
        <f>IF('دانش‌آموزان'!E14="","",'دانش‌آموزان'!B14)</f>
        <v/>
      </c>
      <c r="D117" s="306">
        <f>IF('دانش‌آموزان'!C14="","",'دانش‌آموزان'!C14)</f>
        <v/>
      </c>
      <c r="E117" s="306">
        <f>IF('دانش‌آموزان'!E14="","",'دانش‌آموزان'!E14&amp;" "&amp;'دانش‌آموزان'!F14)</f>
        <v/>
      </c>
      <c r="F117" s="306">
        <f>IF('دانش‌آموزان'!I14="","",'دانش‌آموزان'!I14)</f>
        <v/>
      </c>
      <c r="G117" s="307" t="n"/>
      <c r="H117" s="307" t="n"/>
      <c r="I117" s="307" t="n"/>
      <c r="J117" s="307" t="n"/>
      <c r="K117" s="313">
        <f>IF(COUNT(G117:J117)=0,"",AVERAGE(G117:J117)*4)</f>
        <v/>
      </c>
      <c r="L117" s="306">
        <f>IF(C117="","",IF(COUNT(G117:J117)=0,"",IF(COUNT(G117:J117)&lt;4,"موقت - اطلاعات ناقص",IF(K117&gt;=17,"عالی",IF(K117&gt;=14,"خوب",IF(K117&gt;=10,"متوسط","ضعیف"))))))</f>
        <v/>
      </c>
      <c r="M117" s="306" t="n">
        <v>5</v>
      </c>
      <c r="N117" s="314">
        <f>IF(C117="","",COUNT(G117:J117)/4)</f>
        <v/>
      </c>
      <c r="O117" s="307" t="n"/>
    </row>
    <row r="118" ht="24" customHeight="1">
      <c r="A118" s="306" t="n">
        <v>114</v>
      </c>
      <c r="B118" s="306" t="inlineStr">
        <is>
          <t>آذر</t>
        </is>
      </c>
      <c r="C118" s="306">
        <f>IF('دانش‌آموزان'!E14="","",'دانش‌آموزان'!B14)</f>
        <v/>
      </c>
      <c r="D118" s="306">
        <f>IF('دانش‌آموزان'!C14="","",'دانش‌آموزان'!C14)</f>
        <v/>
      </c>
      <c r="E118" s="306">
        <f>IF('دانش‌آموزان'!E14="","",'دانش‌آموزان'!E14&amp;" "&amp;'دانش‌آموزان'!F14)</f>
        <v/>
      </c>
      <c r="F118" s="306">
        <f>IF('دانش‌آموزان'!I14="","",'دانش‌آموزان'!I14)</f>
        <v/>
      </c>
      <c r="G118" s="307" t="n"/>
      <c r="H118" s="307" t="n"/>
      <c r="I118" s="307" t="n"/>
      <c r="J118" s="307" t="n"/>
      <c r="K118" s="313">
        <f>IF(COUNT(G118:J118)=0,"",AVERAGE(G118:J118)*4)</f>
        <v/>
      </c>
      <c r="L118" s="306">
        <f>IF(C118="","",IF(COUNT(G118:J118)=0,"",IF(COUNT(G118:J118)&lt;4,"موقت - اطلاعات ناقص",IF(K118&gt;=17,"عالی",IF(K118&gt;=14,"خوب",IF(K118&gt;=10,"متوسط","ضعیف"))))))</f>
        <v/>
      </c>
      <c r="M118" s="306" t="n">
        <v>6</v>
      </c>
      <c r="N118" s="314">
        <f>IF(C118="","",COUNT(G118:J118)/4)</f>
        <v/>
      </c>
      <c r="O118" s="307" t="n"/>
    </row>
    <row r="119" ht="24" customHeight="1">
      <c r="A119" s="306" t="n">
        <v>115</v>
      </c>
      <c r="B119" s="306" t="inlineStr">
        <is>
          <t>دی</t>
        </is>
      </c>
      <c r="C119" s="306">
        <f>IF('دانش‌آموزان'!E14="","",'دانش‌آموزان'!B14)</f>
        <v/>
      </c>
      <c r="D119" s="306">
        <f>IF('دانش‌آموزان'!C14="","",'دانش‌آموزان'!C14)</f>
        <v/>
      </c>
      <c r="E119" s="306">
        <f>IF('دانش‌آموزان'!E14="","",'دانش‌آموزان'!E14&amp;" "&amp;'دانش‌آموزان'!F14)</f>
        <v/>
      </c>
      <c r="F119" s="306">
        <f>IF('دانش‌آموزان'!I14="","",'دانش‌آموزان'!I14)</f>
        <v/>
      </c>
      <c r="G119" s="307" t="n"/>
      <c r="H119" s="307" t="n"/>
      <c r="I119" s="307" t="n"/>
      <c r="J119" s="307" t="n"/>
      <c r="K119" s="313">
        <f>IF(COUNT(G119:J119)=0,"",AVERAGE(G119:J119)*4)</f>
        <v/>
      </c>
      <c r="L119" s="306">
        <f>IF(C119="","",IF(COUNT(G119:J119)=0,"",IF(COUNT(G119:J119)&lt;4,"موقت - اطلاعات ناقص",IF(K119&gt;=17,"عالی",IF(K119&gt;=14,"خوب",IF(K119&gt;=10,"متوسط","ضعیف"))))))</f>
        <v/>
      </c>
      <c r="M119" s="306" t="n">
        <v>7</v>
      </c>
      <c r="N119" s="314">
        <f>IF(C119="","",COUNT(G119:J119)/4)</f>
        <v/>
      </c>
      <c r="O119" s="307" t="n"/>
    </row>
    <row r="120" ht="24" customHeight="1">
      <c r="A120" s="306" t="n">
        <v>116</v>
      </c>
      <c r="B120" s="306" t="inlineStr">
        <is>
          <t>بهمن</t>
        </is>
      </c>
      <c r="C120" s="306">
        <f>IF('دانش‌آموزان'!E14="","",'دانش‌آموزان'!B14)</f>
        <v/>
      </c>
      <c r="D120" s="306">
        <f>IF('دانش‌آموزان'!C14="","",'دانش‌آموزان'!C14)</f>
        <v/>
      </c>
      <c r="E120" s="306">
        <f>IF('دانش‌آموزان'!E14="","",'دانش‌آموزان'!E14&amp;" "&amp;'دانش‌آموزان'!F14)</f>
        <v/>
      </c>
      <c r="F120" s="306">
        <f>IF('دانش‌آموزان'!I14="","",'دانش‌آموزان'!I14)</f>
        <v/>
      </c>
      <c r="G120" s="307" t="n"/>
      <c r="H120" s="307" t="n"/>
      <c r="I120" s="307" t="n"/>
      <c r="J120" s="307" t="n"/>
      <c r="K120" s="313">
        <f>IF(COUNT(G120:J120)=0,"",AVERAGE(G120:J120)*4)</f>
        <v/>
      </c>
      <c r="L120" s="306">
        <f>IF(C120="","",IF(COUNT(G120:J120)=0,"",IF(COUNT(G120:J120)&lt;4,"موقت - اطلاعات ناقص",IF(K120&gt;=17,"عالی",IF(K120&gt;=14,"خوب",IF(K120&gt;=10,"متوسط","ضعیف"))))))</f>
        <v/>
      </c>
      <c r="M120" s="306" t="n">
        <v>8</v>
      </c>
      <c r="N120" s="314">
        <f>IF(C120="","",COUNT(G120:J120)/4)</f>
        <v/>
      </c>
      <c r="O120" s="307" t="n"/>
    </row>
    <row r="121" ht="24" customHeight="1">
      <c r="A121" s="306" t="n">
        <v>117</v>
      </c>
      <c r="B121" s="306" t="inlineStr">
        <is>
          <t>اسفند</t>
        </is>
      </c>
      <c r="C121" s="306">
        <f>IF('دانش‌آموزان'!E14="","",'دانش‌آموزان'!B14)</f>
        <v/>
      </c>
      <c r="D121" s="306">
        <f>IF('دانش‌آموزان'!C14="","",'دانش‌آموزان'!C14)</f>
        <v/>
      </c>
      <c r="E121" s="306">
        <f>IF('دانش‌آموزان'!E14="","",'دانش‌آموزان'!E14&amp;" "&amp;'دانش‌آموزان'!F14)</f>
        <v/>
      </c>
      <c r="F121" s="306">
        <f>IF('دانش‌آموزان'!I14="","",'دانش‌آموزان'!I14)</f>
        <v/>
      </c>
      <c r="G121" s="307" t="n"/>
      <c r="H121" s="307" t="n"/>
      <c r="I121" s="307" t="n"/>
      <c r="J121" s="307" t="n"/>
      <c r="K121" s="313">
        <f>IF(COUNT(G121:J121)=0,"",AVERAGE(G121:J121)*4)</f>
        <v/>
      </c>
      <c r="L121" s="306">
        <f>IF(C121="","",IF(COUNT(G121:J121)=0,"",IF(COUNT(G121:J121)&lt;4,"موقت - اطلاعات ناقص",IF(K121&gt;=17,"عالی",IF(K121&gt;=14,"خوب",IF(K121&gt;=10,"متوسط","ضعیف"))))))</f>
        <v/>
      </c>
      <c r="M121" s="306" t="n">
        <v>9</v>
      </c>
      <c r="N121" s="314">
        <f>IF(C121="","",COUNT(G121:J121)/4)</f>
        <v/>
      </c>
      <c r="O121" s="307" t="n"/>
    </row>
    <row r="122" ht="24" customHeight="1">
      <c r="A122" s="306" t="n">
        <v>118</v>
      </c>
      <c r="B122" s="306" t="inlineStr">
        <is>
          <t>فروردین</t>
        </is>
      </c>
      <c r="C122" s="306">
        <f>IF('دانش‌آموزان'!E14="","",'دانش‌آموزان'!B14)</f>
        <v/>
      </c>
      <c r="D122" s="306">
        <f>IF('دانش‌آموزان'!C14="","",'دانش‌آموزان'!C14)</f>
        <v/>
      </c>
      <c r="E122" s="306">
        <f>IF('دانش‌آموزان'!E14="","",'دانش‌آموزان'!E14&amp;" "&amp;'دانش‌آموزان'!F14)</f>
        <v/>
      </c>
      <c r="F122" s="306">
        <f>IF('دانش‌آموزان'!I14="","",'دانش‌آموزان'!I14)</f>
        <v/>
      </c>
      <c r="G122" s="307" t="n"/>
      <c r="H122" s="307" t="n"/>
      <c r="I122" s="307" t="n"/>
      <c r="J122" s="307" t="n"/>
      <c r="K122" s="313">
        <f>IF(COUNT(G122:J122)=0,"",AVERAGE(G122:J122)*4)</f>
        <v/>
      </c>
      <c r="L122" s="306">
        <f>IF(C122="","",IF(COUNT(G122:J122)=0,"",IF(COUNT(G122:J122)&lt;4,"موقت - اطلاعات ناقص",IF(K122&gt;=17,"عالی",IF(K122&gt;=14,"خوب",IF(K122&gt;=10,"متوسط","ضعیف"))))))</f>
        <v/>
      </c>
      <c r="M122" s="306" t="n">
        <v>10</v>
      </c>
      <c r="N122" s="314">
        <f>IF(C122="","",COUNT(G122:J122)/4)</f>
        <v/>
      </c>
      <c r="O122" s="307" t="n"/>
    </row>
    <row r="123" ht="24" customHeight="1">
      <c r="A123" s="306" t="n">
        <v>119</v>
      </c>
      <c r="B123" s="306" t="inlineStr">
        <is>
          <t>اردیبهشت</t>
        </is>
      </c>
      <c r="C123" s="306">
        <f>IF('دانش‌آموزان'!E14="","",'دانش‌آموزان'!B14)</f>
        <v/>
      </c>
      <c r="D123" s="306">
        <f>IF('دانش‌آموزان'!C14="","",'دانش‌آموزان'!C14)</f>
        <v/>
      </c>
      <c r="E123" s="306">
        <f>IF('دانش‌آموزان'!E14="","",'دانش‌آموزان'!E14&amp;" "&amp;'دانش‌آموزان'!F14)</f>
        <v/>
      </c>
      <c r="F123" s="306">
        <f>IF('دانش‌آموزان'!I14="","",'دانش‌آموزان'!I14)</f>
        <v/>
      </c>
      <c r="G123" s="307" t="n"/>
      <c r="H123" s="307" t="n"/>
      <c r="I123" s="307" t="n"/>
      <c r="J123" s="307" t="n"/>
      <c r="K123" s="313">
        <f>IF(COUNT(G123:J123)=0,"",AVERAGE(G123:J123)*4)</f>
        <v/>
      </c>
      <c r="L123" s="306">
        <f>IF(C123="","",IF(COUNT(G123:J123)=0,"",IF(COUNT(G123:J123)&lt;4,"موقت - اطلاعات ناقص",IF(K123&gt;=17,"عالی",IF(K123&gt;=14,"خوب",IF(K123&gt;=10,"متوسط","ضعیف"))))))</f>
        <v/>
      </c>
      <c r="M123" s="306" t="n">
        <v>11</v>
      </c>
      <c r="N123" s="314">
        <f>IF(C123="","",COUNT(G123:J123)/4)</f>
        <v/>
      </c>
      <c r="O123" s="307" t="n"/>
    </row>
    <row r="124" ht="24" customHeight="1">
      <c r="A124" s="306" t="n">
        <v>120</v>
      </c>
      <c r="B124" s="306" t="inlineStr">
        <is>
          <t>خرداد</t>
        </is>
      </c>
      <c r="C124" s="306">
        <f>IF('دانش‌آموزان'!E14="","",'دانش‌آموزان'!B14)</f>
        <v/>
      </c>
      <c r="D124" s="306">
        <f>IF('دانش‌آموزان'!C14="","",'دانش‌آموزان'!C14)</f>
        <v/>
      </c>
      <c r="E124" s="306">
        <f>IF('دانش‌آموزان'!E14="","",'دانش‌آموزان'!E14&amp;" "&amp;'دانش‌آموزان'!F14)</f>
        <v/>
      </c>
      <c r="F124" s="306">
        <f>IF('دانش‌آموزان'!I14="","",'دانش‌آموزان'!I14)</f>
        <v/>
      </c>
      <c r="G124" s="307" t="n"/>
      <c r="H124" s="307" t="n"/>
      <c r="I124" s="307" t="n"/>
      <c r="J124" s="307" t="n"/>
      <c r="K124" s="313">
        <f>IF(COUNT(G124:J124)=0,"",AVERAGE(G124:J124)*4)</f>
        <v/>
      </c>
      <c r="L124" s="306">
        <f>IF(C124="","",IF(COUNT(G124:J124)=0,"",IF(COUNT(G124:J124)&lt;4,"موقت - اطلاعات ناقص",IF(K124&gt;=17,"عالی",IF(K124&gt;=14,"خوب",IF(K124&gt;=10,"متوسط","ضعیف"))))))</f>
        <v/>
      </c>
      <c r="M124" s="306" t="n">
        <v>12</v>
      </c>
      <c r="N124" s="314">
        <f>IF(C124="","",COUNT(G124:J124)/4)</f>
        <v/>
      </c>
      <c r="O124" s="307" t="n"/>
    </row>
    <row r="125" ht="24" customHeight="1">
      <c r="A125" s="306" t="n">
        <v>121</v>
      </c>
      <c r="B125" s="306" t="inlineStr">
        <is>
          <t>تیر</t>
        </is>
      </c>
      <c r="C125" s="306">
        <f>IF('دانش‌آموزان'!E15="","",'دانش‌آموزان'!B15)</f>
        <v/>
      </c>
      <c r="D125" s="306">
        <f>IF('دانش‌آموزان'!C15="","",'دانش‌آموزان'!C15)</f>
        <v/>
      </c>
      <c r="E125" s="306">
        <f>IF('دانش‌آموزان'!E15="","",'دانش‌آموزان'!E15&amp;" "&amp;'دانش‌آموزان'!F15)</f>
        <v/>
      </c>
      <c r="F125" s="306">
        <f>IF('دانش‌آموزان'!I15="","",'دانش‌آموزان'!I15)</f>
        <v/>
      </c>
      <c r="G125" s="307" t="n"/>
      <c r="H125" s="307" t="n"/>
      <c r="I125" s="307" t="n"/>
      <c r="J125" s="307" t="n"/>
      <c r="K125" s="313">
        <f>IF(COUNT(G125:J125)=0,"",AVERAGE(G125:J125)*4)</f>
        <v/>
      </c>
      <c r="L125" s="306">
        <f>IF(C125="","",IF(COUNT(G125:J125)=0,"",IF(COUNT(G125:J125)&lt;4,"موقت - اطلاعات ناقص",IF(K125&gt;=17,"عالی",IF(K125&gt;=14,"خوب",IF(K125&gt;=10,"متوسط","ضعیف"))))))</f>
        <v/>
      </c>
      <c r="M125" s="306" t="n">
        <v>1</v>
      </c>
      <c r="N125" s="314">
        <f>IF(C125="","",COUNT(G125:J125)/4)</f>
        <v/>
      </c>
      <c r="O125" s="307" t="n"/>
    </row>
    <row r="126" ht="24" customHeight="1">
      <c r="A126" s="306" t="n">
        <v>122</v>
      </c>
      <c r="B126" s="306" t="inlineStr">
        <is>
          <t>مرداد</t>
        </is>
      </c>
      <c r="C126" s="306">
        <f>IF('دانش‌آموزان'!E15="","",'دانش‌آموزان'!B15)</f>
        <v/>
      </c>
      <c r="D126" s="306">
        <f>IF('دانش‌آموزان'!C15="","",'دانش‌آموزان'!C15)</f>
        <v/>
      </c>
      <c r="E126" s="306">
        <f>IF('دانش‌آموزان'!E15="","",'دانش‌آموزان'!E15&amp;" "&amp;'دانش‌آموزان'!F15)</f>
        <v/>
      </c>
      <c r="F126" s="306">
        <f>IF('دانش‌آموزان'!I15="","",'دانش‌آموزان'!I15)</f>
        <v/>
      </c>
      <c r="G126" s="307" t="n"/>
      <c r="H126" s="307" t="n"/>
      <c r="I126" s="307" t="n"/>
      <c r="J126" s="307" t="n"/>
      <c r="K126" s="313">
        <f>IF(COUNT(G126:J126)=0,"",AVERAGE(G126:J126)*4)</f>
        <v/>
      </c>
      <c r="L126" s="306">
        <f>IF(C126="","",IF(COUNT(G126:J126)=0,"",IF(COUNT(G126:J126)&lt;4,"موقت - اطلاعات ناقص",IF(K126&gt;=17,"عالی",IF(K126&gt;=14,"خوب",IF(K126&gt;=10,"متوسط","ضعیف"))))))</f>
        <v/>
      </c>
      <c r="M126" s="306" t="n">
        <v>2</v>
      </c>
      <c r="N126" s="314">
        <f>IF(C126="","",COUNT(G126:J126)/4)</f>
        <v/>
      </c>
      <c r="O126" s="307" t="n"/>
    </row>
    <row r="127" ht="24" customHeight="1">
      <c r="A127" s="306" t="n">
        <v>123</v>
      </c>
      <c r="B127" s="306" t="inlineStr">
        <is>
          <t>شهریور</t>
        </is>
      </c>
      <c r="C127" s="306">
        <f>IF('دانش‌آموزان'!E15="","",'دانش‌آموزان'!B15)</f>
        <v/>
      </c>
      <c r="D127" s="306">
        <f>IF('دانش‌آموزان'!C15="","",'دانش‌آموزان'!C15)</f>
        <v/>
      </c>
      <c r="E127" s="306">
        <f>IF('دانش‌آموزان'!E15="","",'دانش‌آموزان'!E15&amp;" "&amp;'دانش‌آموزان'!F15)</f>
        <v/>
      </c>
      <c r="F127" s="306">
        <f>IF('دانش‌آموزان'!I15="","",'دانش‌آموزان'!I15)</f>
        <v/>
      </c>
      <c r="G127" s="307" t="n"/>
      <c r="H127" s="307" t="n"/>
      <c r="I127" s="307" t="n"/>
      <c r="J127" s="307" t="n"/>
      <c r="K127" s="313">
        <f>IF(COUNT(G127:J127)=0,"",AVERAGE(G127:J127)*4)</f>
        <v/>
      </c>
      <c r="L127" s="306">
        <f>IF(C127="","",IF(COUNT(G127:J127)=0,"",IF(COUNT(G127:J127)&lt;4,"موقت - اطلاعات ناقص",IF(K127&gt;=17,"عالی",IF(K127&gt;=14,"خوب",IF(K127&gt;=10,"متوسط","ضعیف"))))))</f>
        <v/>
      </c>
      <c r="M127" s="306" t="n">
        <v>3</v>
      </c>
      <c r="N127" s="314">
        <f>IF(C127="","",COUNT(G127:J127)/4)</f>
        <v/>
      </c>
      <c r="O127" s="307" t="n"/>
    </row>
    <row r="128" ht="24" customHeight="1">
      <c r="A128" s="306" t="n">
        <v>124</v>
      </c>
      <c r="B128" s="306" t="inlineStr">
        <is>
          <t>مهر</t>
        </is>
      </c>
      <c r="C128" s="306">
        <f>IF('دانش‌آموزان'!E15="","",'دانش‌آموزان'!B15)</f>
        <v/>
      </c>
      <c r="D128" s="306">
        <f>IF('دانش‌آموزان'!C15="","",'دانش‌آموزان'!C15)</f>
        <v/>
      </c>
      <c r="E128" s="306">
        <f>IF('دانش‌آموزان'!E15="","",'دانش‌آموزان'!E15&amp;" "&amp;'دانش‌آموزان'!F15)</f>
        <v/>
      </c>
      <c r="F128" s="306">
        <f>IF('دانش‌آموزان'!I15="","",'دانش‌آموزان'!I15)</f>
        <v/>
      </c>
      <c r="G128" s="307" t="n"/>
      <c r="H128" s="307" t="n"/>
      <c r="I128" s="307" t="n"/>
      <c r="J128" s="307" t="n"/>
      <c r="K128" s="313">
        <f>IF(COUNT(G128:J128)=0,"",AVERAGE(G128:J128)*4)</f>
        <v/>
      </c>
      <c r="L128" s="306">
        <f>IF(C128="","",IF(COUNT(G128:J128)=0,"",IF(COUNT(G128:J128)&lt;4,"موقت - اطلاعات ناقص",IF(K128&gt;=17,"عالی",IF(K128&gt;=14,"خوب",IF(K128&gt;=10,"متوسط","ضعیف"))))))</f>
        <v/>
      </c>
      <c r="M128" s="306" t="n">
        <v>4</v>
      </c>
      <c r="N128" s="314">
        <f>IF(C128="","",COUNT(G128:J128)/4)</f>
        <v/>
      </c>
      <c r="O128" s="307" t="n"/>
    </row>
    <row r="129" ht="24" customHeight="1">
      <c r="A129" s="306" t="n">
        <v>125</v>
      </c>
      <c r="B129" s="306" t="inlineStr">
        <is>
          <t>آبان</t>
        </is>
      </c>
      <c r="C129" s="306">
        <f>IF('دانش‌آموزان'!E15="","",'دانش‌آموزان'!B15)</f>
        <v/>
      </c>
      <c r="D129" s="306">
        <f>IF('دانش‌آموزان'!C15="","",'دانش‌آموزان'!C15)</f>
        <v/>
      </c>
      <c r="E129" s="306">
        <f>IF('دانش‌آموزان'!E15="","",'دانش‌آموزان'!E15&amp;" "&amp;'دانش‌آموزان'!F15)</f>
        <v/>
      </c>
      <c r="F129" s="306">
        <f>IF('دانش‌آموزان'!I15="","",'دانش‌آموزان'!I15)</f>
        <v/>
      </c>
      <c r="G129" s="307" t="n"/>
      <c r="H129" s="307" t="n"/>
      <c r="I129" s="307" t="n"/>
      <c r="J129" s="307" t="n"/>
      <c r="K129" s="313">
        <f>IF(COUNT(G129:J129)=0,"",AVERAGE(G129:J129)*4)</f>
        <v/>
      </c>
      <c r="L129" s="306">
        <f>IF(C129="","",IF(COUNT(G129:J129)=0,"",IF(COUNT(G129:J129)&lt;4,"موقت - اطلاعات ناقص",IF(K129&gt;=17,"عالی",IF(K129&gt;=14,"خوب",IF(K129&gt;=10,"متوسط","ضعیف"))))))</f>
        <v/>
      </c>
      <c r="M129" s="306" t="n">
        <v>5</v>
      </c>
      <c r="N129" s="314">
        <f>IF(C129="","",COUNT(G129:J129)/4)</f>
        <v/>
      </c>
      <c r="O129" s="307" t="n"/>
    </row>
    <row r="130" ht="24" customHeight="1">
      <c r="A130" s="306" t="n">
        <v>126</v>
      </c>
      <c r="B130" s="306" t="inlineStr">
        <is>
          <t>آذر</t>
        </is>
      </c>
      <c r="C130" s="306">
        <f>IF('دانش‌آموزان'!E15="","",'دانش‌آموزان'!B15)</f>
        <v/>
      </c>
      <c r="D130" s="306">
        <f>IF('دانش‌آموزان'!C15="","",'دانش‌آموزان'!C15)</f>
        <v/>
      </c>
      <c r="E130" s="306">
        <f>IF('دانش‌آموزان'!E15="","",'دانش‌آموزان'!E15&amp;" "&amp;'دانش‌آموزان'!F15)</f>
        <v/>
      </c>
      <c r="F130" s="306">
        <f>IF('دانش‌آموزان'!I15="","",'دانش‌آموزان'!I15)</f>
        <v/>
      </c>
      <c r="G130" s="307" t="n"/>
      <c r="H130" s="307" t="n"/>
      <c r="I130" s="307" t="n"/>
      <c r="J130" s="307" t="n"/>
      <c r="K130" s="313">
        <f>IF(COUNT(G130:J130)=0,"",AVERAGE(G130:J130)*4)</f>
        <v/>
      </c>
      <c r="L130" s="306">
        <f>IF(C130="","",IF(COUNT(G130:J130)=0,"",IF(COUNT(G130:J130)&lt;4,"موقت - اطلاعات ناقص",IF(K130&gt;=17,"عالی",IF(K130&gt;=14,"خوب",IF(K130&gt;=10,"متوسط","ضعیف"))))))</f>
        <v/>
      </c>
      <c r="M130" s="306" t="n">
        <v>6</v>
      </c>
      <c r="N130" s="314">
        <f>IF(C130="","",COUNT(G130:J130)/4)</f>
        <v/>
      </c>
      <c r="O130" s="307" t="n"/>
    </row>
    <row r="131" ht="24" customHeight="1">
      <c r="A131" s="306" t="n">
        <v>127</v>
      </c>
      <c r="B131" s="306" t="inlineStr">
        <is>
          <t>دی</t>
        </is>
      </c>
      <c r="C131" s="306">
        <f>IF('دانش‌آموزان'!E15="","",'دانش‌آموزان'!B15)</f>
        <v/>
      </c>
      <c r="D131" s="306">
        <f>IF('دانش‌آموزان'!C15="","",'دانش‌آموزان'!C15)</f>
        <v/>
      </c>
      <c r="E131" s="306">
        <f>IF('دانش‌آموزان'!E15="","",'دانش‌آموزان'!E15&amp;" "&amp;'دانش‌آموزان'!F15)</f>
        <v/>
      </c>
      <c r="F131" s="306">
        <f>IF('دانش‌آموزان'!I15="","",'دانش‌آموزان'!I15)</f>
        <v/>
      </c>
      <c r="G131" s="307" t="n"/>
      <c r="H131" s="307" t="n"/>
      <c r="I131" s="307" t="n"/>
      <c r="J131" s="307" t="n"/>
      <c r="K131" s="313">
        <f>IF(COUNT(G131:J131)=0,"",AVERAGE(G131:J131)*4)</f>
        <v/>
      </c>
      <c r="L131" s="306">
        <f>IF(C131="","",IF(COUNT(G131:J131)=0,"",IF(COUNT(G131:J131)&lt;4,"موقت - اطلاعات ناقص",IF(K131&gt;=17,"عالی",IF(K131&gt;=14,"خوب",IF(K131&gt;=10,"متوسط","ضعیف"))))))</f>
        <v/>
      </c>
      <c r="M131" s="306" t="n">
        <v>7</v>
      </c>
      <c r="N131" s="314">
        <f>IF(C131="","",COUNT(G131:J131)/4)</f>
        <v/>
      </c>
      <c r="O131" s="307" t="n"/>
    </row>
    <row r="132" ht="24" customHeight="1">
      <c r="A132" s="306" t="n">
        <v>128</v>
      </c>
      <c r="B132" s="306" t="inlineStr">
        <is>
          <t>بهمن</t>
        </is>
      </c>
      <c r="C132" s="306">
        <f>IF('دانش‌آموزان'!E15="","",'دانش‌آموزان'!B15)</f>
        <v/>
      </c>
      <c r="D132" s="306">
        <f>IF('دانش‌آموزان'!C15="","",'دانش‌آموزان'!C15)</f>
        <v/>
      </c>
      <c r="E132" s="306">
        <f>IF('دانش‌آموزان'!E15="","",'دانش‌آموزان'!E15&amp;" "&amp;'دانش‌آموزان'!F15)</f>
        <v/>
      </c>
      <c r="F132" s="306">
        <f>IF('دانش‌آموزان'!I15="","",'دانش‌آموزان'!I15)</f>
        <v/>
      </c>
      <c r="G132" s="307" t="n"/>
      <c r="H132" s="307" t="n"/>
      <c r="I132" s="307" t="n"/>
      <c r="J132" s="307" t="n"/>
      <c r="K132" s="313">
        <f>IF(COUNT(G132:J132)=0,"",AVERAGE(G132:J132)*4)</f>
        <v/>
      </c>
      <c r="L132" s="306">
        <f>IF(C132="","",IF(COUNT(G132:J132)=0,"",IF(COUNT(G132:J132)&lt;4,"موقت - اطلاعات ناقص",IF(K132&gt;=17,"عالی",IF(K132&gt;=14,"خوب",IF(K132&gt;=10,"متوسط","ضعیف"))))))</f>
        <v/>
      </c>
      <c r="M132" s="306" t="n">
        <v>8</v>
      </c>
      <c r="N132" s="314">
        <f>IF(C132="","",COUNT(G132:J132)/4)</f>
        <v/>
      </c>
      <c r="O132" s="307" t="n"/>
    </row>
    <row r="133" ht="24" customHeight="1">
      <c r="A133" s="306" t="n">
        <v>129</v>
      </c>
      <c r="B133" s="306" t="inlineStr">
        <is>
          <t>اسفند</t>
        </is>
      </c>
      <c r="C133" s="306">
        <f>IF('دانش‌آموزان'!E15="","",'دانش‌آموزان'!B15)</f>
        <v/>
      </c>
      <c r="D133" s="306">
        <f>IF('دانش‌آموزان'!C15="","",'دانش‌آموزان'!C15)</f>
        <v/>
      </c>
      <c r="E133" s="306">
        <f>IF('دانش‌آموزان'!E15="","",'دانش‌آموزان'!E15&amp;" "&amp;'دانش‌آموزان'!F15)</f>
        <v/>
      </c>
      <c r="F133" s="306">
        <f>IF('دانش‌آموزان'!I15="","",'دانش‌آموزان'!I15)</f>
        <v/>
      </c>
      <c r="G133" s="307" t="n"/>
      <c r="H133" s="307" t="n"/>
      <c r="I133" s="307" t="n"/>
      <c r="J133" s="307" t="n"/>
      <c r="K133" s="313">
        <f>IF(COUNT(G133:J133)=0,"",AVERAGE(G133:J133)*4)</f>
        <v/>
      </c>
      <c r="L133" s="306">
        <f>IF(C133="","",IF(COUNT(G133:J133)=0,"",IF(COUNT(G133:J133)&lt;4,"موقت - اطلاعات ناقص",IF(K133&gt;=17,"عالی",IF(K133&gt;=14,"خوب",IF(K133&gt;=10,"متوسط","ضعیف"))))))</f>
        <v/>
      </c>
      <c r="M133" s="306" t="n">
        <v>9</v>
      </c>
      <c r="N133" s="314">
        <f>IF(C133="","",COUNT(G133:J133)/4)</f>
        <v/>
      </c>
      <c r="O133" s="307" t="n"/>
    </row>
    <row r="134" ht="24" customHeight="1">
      <c r="A134" s="306" t="n">
        <v>130</v>
      </c>
      <c r="B134" s="306" t="inlineStr">
        <is>
          <t>فروردین</t>
        </is>
      </c>
      <c r="C134" s="306">
        <f>IF('دانش‌آموزان'!E15="","",'دانش‌آموزان'!B15)</f>
        <v/>
      </c>
      <c r="D134" s="306">
        <f>IF('دانش‌آموزان'!C15="","",'دانش‌آموزان'!C15)</f>
        <v/>
      </c>
      <c r="E134" s="306">
        <f>IF('دانش‌آموزان'!E15="","",'دانش‌آموزان'!E15&amp;" "&amp;'دانش‌آموزان'!F15)</f>
        <v/>
      </c>
      <c r="F134" s="306">
        <f>IF('دانش‌آموزان'!I15="","",'دانش‌آموزان'!I15)</f>
        <v/>
      </c>
      <c r="G134" s="307" t="n"/>
      <c r="H134" s="307" t="n"/>
      <c r="I134" s="307" t="n"/>
      <c r="J134" s="307" t="n"/>
      <c r="K134" s="313">
        <f>IF(COUNT(G134:J134)=0,"",AVERAGE(G134:J134)*4)</f>
        <v/>
      </c>
      <c r="L134" s="306">
        <f>IF(C134="","",IF(COUNT(G134:J134)=0,"",IF(COUNT(G134:J134)&lt;4,"موقت - اطلاعات ناقص",IF(K134&gt;=17,"عالی",IF(K134&gt;=14,"خوب",IF(K134&gt;=10,"متوسط","ضعیف"))))))</f>
        <v/>
      </c>
      <c r="M134" s="306" t="n">
        <v>10</v>
      </c>
      <c r="N134" s="314">
        <f>IF(C134="","",COUNT(G134:J134)/4)</f>
        <v/>
      </c>
      <c r="O134" s="307" t="n"/>
    </row>
    <row r="135" ht="24" customHeight="1">
      <c r="A135" s="306" t="n">
        <v>131</v>
      </c>
      <c r="B135" s="306" t="inlineStr">
        <is>
          <t>اردیبهشت</t>
        </is>
      </c>
      <c r="C135" s="306">
        <f>IF('دانش‌آموزان'!E15="","",'دانش‌آموزان'!B15)</f>
        <v/>
      </c>
      <c r="D135" s="306">
        <f>IF('دانش‌آموزان'!C15="","",'دانش‌آموزان'!C15)</f>
        <v/>
      </c>
      <c r="E135" s="306">
        <f>IF('دانش‌آموزان'!E15="","",'دانش‌آموزان'!E15&amp;" "&amp;'دانش‌آموزان'!F15)</f>
        <v/>
      </c>
      <c r="F135" s="306">
        <f>IF('دانش‌آموزان'!I15="","",'دانش‌آموزان'!I15)</f>
        <v/>
      </c>
      <c r="G135" s="307" t="n"/>
      <c r="H135" s="307" t="n"/>
      <c r="I135" s="307" t="n"/>
      <c r="J135" s="307" t="n"/>
      <c r="K135" s="313">
        <f>IF(COUNT(G135:J135)=0,"",AVERAGE(G135:J135)*4)</f>
        <v/>
      </c>
      <c r="L135" s="306">
        <f>IF(C135="","",IF(COUNT(G135:J135)=0,"",IF(COUNT(G135:J135)&lt;4,"موقت - اطلاعات ناقص",IF(K135&gt;=17,"عالی",IF(K135&gt;=14,"خوب",IF(K135&gt;=10,"متوسط","ضعیف"))))))</f>
        <v/>
      </c>
      <c r="M135" s="306" t="n">
        <v>11</v>
      </c>
      <c r="N135" s="314">
        <f>IF(C135="","",COUNT(G135:J135)/4)</f>
        <v/>
      </c>
      <c r="O135" s="307" t="n"/>
    </row>
    <row r="136" ht="24" customHeight="1">
      <c r="A136" s="306" t="n">
        <v>132</v>
      </c>
      <c r="B136" s="306" t="inlineStr">
        <is>
          <t>خرداد</t>
        </is>
      </c>
      <c r="C136" s="306">
        <f>IF('دانش‌آموزان'!E15="","",'دانش‌آموزان'!B15)</f>
        <v/>
      </c>
      <c r="D136" s="306">
        <f>IF('دانش‌آموزان'!C15="","",'دانش‌آموزان'!C15)</f>
        <v/>
      </c>
      <c r="E136" s="306">
        <f>IF('دانش‌آموزان'!E15="","",'دانش‌آموزان'!E15&amp;" "&amp;'دانش‌آموزان'!F15)</f>
        <v/>
      </c>
      <c r="F136" s="306">
        <f>IF('دانش‌آموزان'!I15="","",'دانش‌آموزان'!I15)</f>
        <v/>
      </c>
      <c r="G136" s="307" t="n"/>
      <c r="H136" s="307" t="n"/>
      <c r="I136" s="307" t="n"/>
      <c r="J136" s="307" t="n"/>
      <c r="K136" s="313">
        <f>IF(COUNT(G136:J136)=0,"",AVERAGE(G136:J136)*4)</f>
        <v/>
      </c>
      <c r="L136" s="306">
        <f>IF(C136="","",IF(COUNT(G136:J136)=0,"",IF(COUNT(G136:J136)&lt;4,"موقت - اطلاعات ناقص",IF(K136&gt;=17,"عالی",IF(K136&gt;=14,"خوب",IF(K136&gt;=10,"متوسط","ضعیف"))))))</f>
        <v/>
      </c>
      <c r="M136" s="306" t="n">
        <v>12</v>
      </c>
      <c r="N136" s="314">
        <f>IF(C136="","",COUNT(G136:J136)/4)</f>
        <v/>
      </c>
      <c r="O136" s="307" t="n"/>
    </row>
    <row r="137" ht="24" customHeight="1">
      <c r="A137" s="306" t="n">
        <v>133</v>
      </c>
      <c r="B137" s="306" t="inlineStr">
        <is>
          <t>تیر</t>
        </is>
      </c>
      <c r="C137" s="306">
        <f>IF('دانش‌آموزان'!E16="","",'دانش‌آموزان'!B16)</f>
        <v/>
      </c>
      <c r="D137" s="306">
        <f>IF('دانش‌آموزان'!C16="","",'دانش‌آموزان'!C16)</f>
        <v/>
      </c>
      <c r="E137" s="306">
        <f>IF('دانش‌آموزان'!E16="","",'دانش‌آموزان'!E16&amp;" "&amp;'دانش‌آموزان'!F16)</f>
        <v/>
      </c>
      <c r="F137" s="306">
        <f>IF('دانش‌آموزان'!I16="","",'دانش‌آموزان'!I16)</f>
        <v/>
      </c>
      <c r="G137" s="307" t="n"/>
      <c r="H137" s="307" t="n"/>
      <c r="I137" s="307" t="n"/>
      <c r="J137" s="307" t="n"/>
      <c r="K137" s="313">
        <f>IF(COUNT(G137:J137)=0,"",AVERAGE(G137:J137)*4)</f>
        <v/>
      </c>
      <c r="L137" s="306">
        <f>IF(C137="","",IF(COUNT(G137:J137)=0,"",IF(COUNT(G137:J137)&lt;4,"موقت - اطلاعات ناقص",IF(K137&gt;=17,"عالی",IF(K137&gt;=14,"خوب",IF(K137&gt;=10,"متوسط","ضعیف"))))))</f>
        <v/>
      </c>
      <c r="M137" s="306" t="n">
        <v>1</v>
      </c>
      <c r="N137" s="314">
        <f>IF(C137="","",COUNT(G137:J137)/4)</f>
        <v/>
      </c>
      <c r="O137" s="307" t="n"/>
    </row>
    <row r="138" ht="24" customHeight="1">
      <c r="A138" s="306" t="n">
        <v>134</v>
      </c>
      <c r="B138" s="306" t="inlineStr">
        <is>
          <t>مرداد</t>
        </is>
      </c>
      <c r="C138" s="306">
        <f>IF('دانش‌آموزان'!E16="","",'دانش‌آموزان'!B16)</f>
        <v/>
      </c>
      <c r="D138" s="306">
        <f>IF('دانش‌آموزان'!C16="","",'دانش‌آموزان'!C16)</f>
        <v/>
      </c>
      <c r="E138" s="306">
        <f>IF('دانش‌آموزان'!E16="","",'دانش‌آموزان'!E16&amp;" "&amp;'دانش‌آموزان'!F16)</f>
        <v/>
      </c>
      <c r="F138" s="306">
        <f>IF('دانش‌آموزان'!I16="","",'دانش‌آموزان'!I16)</f>
        <v/>
      </c>
      <c r="G138" s="307" t="n"/>
      <c r="H138" s="307" t="n"/>
      <c r="I138" s="307" t="n"/>
      <c r="J138" s="307" t="n"/>
      <c r="K138" s="313">
        <f>IF(COUNT(G138:J138)=0,"",AVERAGE(G138:J138)*4)</f>
        <v/>
      </c>
      <c r="L138" s="306">
        <f>IF(C138="","",IF(COUNT(G138:J138)=0,"",IF(COUNT(G138:J138)&lt;4,"موقت - اطلاعات ناقص",IF(K138&gt;=17,"عالی",IF(K138&gt;=14,"خوب",IF(K138&gt;=10,"متوسط","ضعیف"))))))</f>
        <v/>
      </c>
      <c r="M138" s="306" t="n">
        <v>2</v>
      </c>
      <c r="N138" s="314">
        <f>IF(C138="","",COUNT(G138:J138)/4)</f>
        <v/>
      </c>
      <c r="O138" s="307" t="n"/>
    </row>
    <row r="139" ht="24" customHeight="1">
      <c r="A139" s="306" t="n">
        <v>135</v>
      </c>
      <c r="B139" s="306" t="inlineStr">
        <is>
          <t>شهریور</t>
        </is>
      </c>
      <c r="C139" s="306">
        <f>IF('دانش‌آموزان'!E16="","",'دانش‌آموزان'!B16)</f>
        <v/>
      </c>
      <c r="D139" s="306">
        <f>IF('دانش‌آموزان'!C16="","",'دانش‌آموزان'!C16)</f>
        <v/>
      </c>
      <c r="E139" s="306">
        <f>IF('دانش‌آموزان'!E16="","",'دانش‌آموزان'!E16&amp;" "&amp;'دانش‌آموزان'!F16)</f>
        <v/>
      </c>
      <c r="F139" s="306">
        <f>IF('دانش‌آموزان'!I16="","",'دانش‌آموزان'!I16)</f>
        <v/>
      </c>
      <c r="G139" s="307" t="n"/>
      <c r="H139" s="307" t="n"/>
      <c r="I139" s="307" t="n"/>
      <c r="J139" s="307" t="n"/>
      <c r="K139" s="313">
        <f>IF(COUNT(G139:J139)=0,"",AVERAGE(G139:J139)*4)</f>
        <v/>
      </c>
      <c r="L139" s="306">
        <f>IF(C139="","",IF(COUNT(G139:J139)=0,"",IF(COUNT(G139:J139)&lt;4,"موقت - اطلاعات ناقص",IF(K139&gt;=17,"عالی",IF(K139&gt;=14,"خوب",IF(K139&gt;=10,"متوسط","ضعیف"))))))</f>
        <v/>
      </c>
      <c r="M139" s="306" t="n">
        <v>3</v>
      </c>
      <c r="N139" s="314">
        <f>IF(C139="","",COUNT(G139:J139)/4)</f>
        <v/>
      </c>
      <c r="O139" s="307" t="n"/>
    </row>
    <row r="140" ht="24" customHeight="1">
      <c r="A140" s="306" t="n">
        <v>136</v>
      </c>
      <c r="B140" s="306" t="inlineStr">
        <is>
          <t>مهر</t>
        </is>
      </c>
      <c r="C140" s="306">
        <f>IF('دانش‌آموزان'!E16="","",'دانش‌آموزان'!B16)</f>
        <v/>
      </c>
      <c r="D140" s="306">
        <f>IF('دانش‌آموزان'!C16="","",'دانش‌آموزان'!C16)</f>
        <v/>
      </c>
      <c r="E140" s="306">
        <f>IF('دانش‌آموزان'!E16="","",'دانش‌آموزان'!E16&amp;" "&amp;'دانش‌آموزان'!F16)</f>
        <v/>
      </c>
      <c r="F140" s="306">
        <f>IF('دانش‌آموزان'!I16="","",'دانش‌آموزان'!I16)</f>
        <v/>
      </c>
      <c r="G140" s="307" t="n"/>
      <c r="H140" s="307" t="n"/>
      <c r="I140" s="307" t="n"/>
      <c r="J140" s="307" t="n"/>
      <c r="K140" s="313">
        <f>IF(COUNT(G140:J140)=0,"",AVERAGE(G140:J140)*4)</f>
        <v/>
      </c>
      <c r="L140" s="306">
        <f>IF(C140="","",IF(COUNT(G140:J140)=0,"",IF(COUNT(G140:J140)&lt;4,"موقت - اطلاعات ناقص",IF(K140&gt;=17,"عالی",IF(K140&gt;=14,"خوب",IF(K140&gt;=10,"متوسط","ضعیف"))))))</f>
        <v/>
      </c>
      <c r="M140" s="306" t="n">
        <v>4</v>
      </c>
      <c r="N140" s="314">
        <f>IF(C140="","",COUNT(G140:J140)/4)</f>
        <v/>
      </c>
      <c r="O140" s="307" t="n"/>
    </row>
    <row r="141" ht="24" customHeight="1">
      <c r="A141" s="306" t="n">
        <v>137</v>
      </c>
      <c r="B141" s="306" t="inlineStr">
        <is>
          <t>آبان</t>
        </is>
      </c>
      <c r="C141" s="306">
        <f>IF('دانش‌آموزان'!E16="","",'دانش‌آموزان'!B16)</f>
        <v/>
      </c>
      <c r="D141" s="306">
        <f>IF('دانش‌آموزان'!C16="","",'دانش‌آموزان'!C16)</f>
        <v/>
      </c>
      <c r="E141" s="306">
        <f>IF('دانش‌آموزان'!E16="","",'دانش‌آموزان'!E16&amp;" "&amp;'دانش‌آموزان'!F16)</f>
        <v/>
      </c>
      <c r="F141" s="306">
        <f>IF('دانش‌آموزان'!I16="","",'دانش‌آموزان'!I16)</f>
        <v/>
      </c>
      <c r="G141" s="307" t="n"/>
      <c r="H141" s="307" t="n"/>
      <c r="I141" s="307" t="n"/>
      <c r="J141" s="307" t="n"/>
      <c r="K141" s="313">
        <f>IF(COUNT(G141:J141)=0,"",AVERAGE(G141:J141)*4)</f>
        <v/>
      </c>
      <c r="L141" s="306">
        <f>IF(C141="","",IF(COUNT(G141:J141)=0,"",IF(COUNT(G141:J141)&lt;4,"موقت - اطلاعات ناقص",IF(K141&gt;=17,"عالی",IF(K141&gt;=14,"خوب",IF(K141&gt;=10,"متوسط","ضعیف"))))))</f>
        <v/>
      </c>
      <c r="M141" s="306" t="n">
        <v>5</v>
      </c>
      <c r="N141" s="314">
        <f>IF(C141="","",COUNT(G141:J141)/4)</f>
        <v/>
      </c>
      <c r="O141" s="307" t="n"/>
    </row>
    <row r="142" ht="24" customHeight="1">
      <c r="A142" s="306" t="n">
        <v>138</v>
      </c>
      <c r="B142" s="306" t="inlineStr">
        <is>
          <t>آذر</t>
        </is>
      </c>
      <c r="C142" s="306">
        <f>IF('دانش‌آموزان'!E16="","",'دانش‌آموزان'!B16)</f>
        <v/>
      </c>
      <c r="D142" s="306">
        <f>IF('دانش‌آموزان'!C16="","",'دانش‌آموزان'!C16)</f>
        <v/>
      </c>
      <c r="E142" s="306">
        <f>IF('دانش‌آموزان'!E16="","",'دانش‌آموزان'!E16&amp;" "&amp;'دانش‌آموزان'!F16)</f>
        <v/>
      </c>
      <c r="F142" s="306">
        <f>IF('دانش‌آموزان'!I16="","",'دانش‌آموزان'!I16)</f>
        <v/>
      </c>
      <c r="G142" s="307" t="n"/>
      <c r="H142" s="307" t="n"/>
      <c r="I142" s="307" t="n"/>
      <c r="J142" s="307" t="n"/>
      <c r="K142" s="313">
        <f>IF(COUNT(G142:J142)=0,"",AVERAGE(G142:J142)*4)</f>
        <v/>
      </c>
      <c r="L142" s="306">
        <f>IF(C142="","",IF(COUNT(G142:J142)=0,"",IF(COUNT(G142:J142)&lt;4,"موقت - اطلاعات ناقص",IF(K142&gt;=17,"عالی",IF(K142&gt;=14,"خوب",IF(K142&gt;=10,"متوسط","ضعیف"))))))</f>
        <v/>
      </c>
      <c r="M142" s="306" t="n">
        <v>6</v>
      </c>
      <c r="N142" s="314">
        <f>IF(C142="","",COUNT(G142:J142)/4)</f>
        <v/>
      </c>
      <c r="O142" s="307" t="n"/>
    </row>
    <row r="143" ht="24" customHeight="1">
      <c r="A143" s="306" t="n">
        <v>139</v>
      </c>
      <c r="B143" s="306" t="inlineStr">
        <is>
          <t>دی</t>
        </is>
      </c>
      <c r="C143" s="306">
        <f>IF('دانش‌آموزان'!E16="","",'دانش‌آموزان'!B16)</f>
        <v/>
      </c>
      <c r="D143" s="306">
        <f>IF('دانش‌آموزان'!C16="","",'دانش‌آموزان'!C16)</f>
        <v/>
      </c>
      <c r="E143" s="306">
        <f>IF('دانش‌آموزان'!E16="","",'دانش‌آموزان'!E16&amp;" "&amp;'دانش‌آموزان'!F16)</f>
        <v/>
      </c>
      <c r="F143" s="306">
        <f>IF('دانش‌آموزان'!I16="","",'دانش‌آموزان'!I16)</f>
        <v/>
      </c>
      <c r="G143" s="307" t="n"/>
      <c r="H143" s="307" t="n"/>
      <c r="I143" s="307" t="n"/>
      <c r="J143" s="307" t="n"/>
      <c r="K143" s="313">
        <f>IF(COUNT(G143:J143)=0,"",AVERAGE(G143:J143)*4)</f>
        <v/>
      </c>
      <c r="L143" s="306">
        <f>IF(C143="","",IF(COUNT(G143:J143)=0,"",IF(COUNT(G143:J143)&lt;4,"موقت - اطلاعات ناقص",IF(K143&gt;=17,"عالی",IF(K143&gt;=14,"خوب",IF(K143&gt;=10,"متوسط","ضعیف"))))))</f>
        <v/>
      </c>
      <c r="M143" s="306" t="n">
        <v>7</v>
      </c>
      <c r="N143" s="314">
        <f>IF(C143="","",COUNT(G143:J143)/4)</f>
        <v/>
      </c>
      <c r="O143" s="307" t="n"/>
    </row>
    <row r="144" ht="24" customHeight="1">
      <c r="A144" s="306" t="n">
        <v>140</v>
      </c>
      <c r="B144" s="306" t="inlineStr">
        <is>
          <t>بهمن</t>
        </is>
      </c>
      <c r="C144" s="306">
        <f>IF('دانش‌آموزان'!E16="","",'دانش‌آموزان'!B16)</f>
        <v/>
      </c>
      <c r="D144" s="306">
        <f>IF('دانش‌آموزان'!C16="","",'دانش‌آموزان'!C16)</f>
        <v/>
      </c>
      <c r="E144" s="306">
        <f>IF('دانش‌آموزان'!E16="","",'دانش‌آموزان'!E16&amp;" "&amp;'دانش‌آموزان'!F16)</f>
        <v/>
      </c>
      <c r="F144" s="306">
        <f>IF('دانش‌آموزان'!I16="","",'دانش‌آموزان'!I16)</f>
        <v/>
      </c>
      <c r="G144" s="307" t="n"/>
      <c r="H144" s="307" t="n"/>
      <c r="I144" s="307" t="n"/>
      <c r="J144" s="307" t="n"/>
      <c r="K144" s="313">
        <f>IF(COUNT(G144:J144)=0,"",AVERAGE(G144:J144)*4)</f>
        <v/>
      </c>
      <c r="L144" s="306">
        <f>IF(C144="","",IF(COUNT(G144:J144)=0,"",IF(COUNT(G144:J144)&lt;4,"موقت - اطلاعات ناقص",IF(K144&gt;=17,"عالی",IF(K144&gt;=14,"خوب",IF(K144&gt;=10,"متوسط","ضعیف"))))))</f>
        <v/>
      </c>
      <c r="M144" s="306" t="n">
        <v>8</v>
      </c>
      <c r="N144" s="314">
        <f>IF(C144="","",COUNT(G144:J144)/4)</f>
        <v/>
      </c>
      <c r="O144" s="307" t="n"/>
    </row>
    <row r="145" ht="24" customHeight="1">
      <c r="A145" s="306" t="n">
        <v>141</v>
      </c>
      <c r="B145" s="306" t="inlineStr">
        <is>
          <t>اسفند</t>
        </is>
      </c>
      <c r="C145" s="306">
        <f>IF('دانش‌آموزان'!E16="","",'دانش‌آموزان'!B16)</f>
        <v/>
      </c>
      <c r="D145" s="306">
        <f>IF('دانش‌آموزان'!C16="","",'دانش‌آموزان'!C16)</f>
        <v/>
      </c>
      <c r="E145" s="306">
        <f>IF('دانش‌آموزان'!E16="","",'دانش‌آموزان'!E16&amp;" "&amp;'دانش‌آموزان'!F16)</f>
        <v/>
      </c>
      <c r="F145" s="306">
        <f>IF('دانش‌آموزان'!I16="","",'دانش‌آموزان'!I16)</f>
        <v/>
      </c>
      <c r="G145" s="307" t="n"/>
      <c r="H145" s="307" t="n"/>
      <c r="I145" s="307" t="n"/>
      <c r="J145" s="307" t="n"/>
      <c r="K145" s="313">
        <f>IF(COUNT(G145:J145)=0,"",AVERAGE(G145:J145)*4)</f>
        <v/>
      </c>
      <c r="L145" s="306">
        <f>IF(C145="","",IF(COUNT(G145:J145)=0,"",IF(COUNT(G145:J145)&lt;4,"موقت - اطلاعات ناقص",IF(K145&gt;=17,"عالی",IF(K145&gt;=14,"خوب",IF(K145&gt;=10,"متوسط","ضعیف"))))))</f>
        <v/>
      </c>
      <c r="M145" s="306" t="n">
        <v>9</v>
      </c>
      <c r="N145" s="314">
        <f>IF(C145="","",COUNT(G145:J145)/4)</f>
        <v/>
      </c>
      <c r="O145" s="307" t="n"/>
    </row>
    <row r="146" ht="24" customHeight="1">
      <c r="A146" s="306" t="n">
        <v>142</v>
      </c>
      <c r="B146" s="306" t="inlineStr">
        <is>
          <t>فروردین</t>
        </is>
      </c>
      <c r="C146" s="306">
        <f>IF('دانش‌آموزان'!E16="","",'دانش‌آموزان'!B16)</f>
        <v/>
      </c>
      <c r="D146" s="306">
        <f>IF('دانش‌آموزان'!C16="","",'دانش‌آموزان'!C16)</f>
        <v/>
      </c>
      <c r="E146" s="306">
        <f>IF('دانش‌آموزان'!E16="","",'دانش‌آموزان'!E16&amp;" "&amp;'دانش‌آموزان'!F16)</f>
        <v/>
      </c>
      <c r="F146" s="306">
        <f>IF('دانش‌آموزان'!I16="","",'دانش‌آموزان'!I16)</f>
        <v/>
      </c>
      <c r="G146" s="307" t="n"/>
      <c r="H146" s="307" t="n"/>
      <c r="I146" s="307" t="n"/>
      <c r="J146" s="307" t="n"/>
      <c r="K146" s="313">
        <f>IF(COUNT(G146:J146)=0,"",AVERAGE(G146:J146)*4)</f>
        <v/>
      </c>
      <c r="L146" s="306">
        <f>IF(C146="","",IF(COUNT(G146:J146)=0,"",IF(COUNT(G146:J146)&lt;4,"موقت - اطلاعات ناقص",IF(K146&gt;=17,"عالی",IF(K146&gt;=14,"خوب",IF(K146&gt;=10,"متوسط","ضعیف"))))))</f>
        <v/>
      </c>
      <c r="M146" s="306" t="n">
        <v>10</v>
      </c>
      <c r="N146" s="314">
        <f>IF(C146="","",COUNT(G146:J146)/4)</f>
        <v/>
      </c>
      <c r="O146" s="307" t="n"/>
    </row>
    <row r="147" ht="24" customHeight="1">
      <c r="A147" s="306" t="n">
        <v>143</v>
      </c>
      <c r="B147" s="306" t="inlineStr">
        <is>
          <t>اردیبهشت</t>
        </is>
      </c>
      <c r="C147" s="306">
        <f>IF('دانش‌آموزان'!E16="","",'دانش‌آموزان'!B16)</f>
        <v/>
      </c>
      <c r="D147" s="306">
        <f>IF('دانش‌آموزان'!C16="","",'دانش‌آموزان'!C16)</f>
        <v/>
      </c>
      <c r="E147" s="306">
        <f>IF('دانش‌آموزان'!E16="","",'دانش‌آموزان'!E16&amp;" "&amp;'دانش‌آموزان'!F16)</f>
        <v/>
      </c>
      <c r="F147" s="306">
        <f>IF('دانش‌آموزان'!I16="","",'دانش‌آموزان'!I16)</f>
        <v/>
      </c>
      <c r="G147" s="307" t="n"/>
      <c r="H147" s="307" t="n"/>
      <c r="I147" s="307" t="n"/>
      <c r="J147" s="307" t="n"/>
      <c r="K147" s="313">
        <f>IF(COUNT(G147:J147)=0,"",AVERAGE(G147:J147)*4)</f>
        <v/>
      </c>
      <c r="L147" s="306">
        <f>IF(C147="","",IF(COUNT(G147:J147)=0,"",IF(COUNT(G147:J147)&lt;4,"موقت - اطلاعات ناقص",IF(K147&gt;=17,"عالی",IF(K147&gt;=14,"خوب",IF(K147&gt;=10,"متوسط","ضعیف"))))))</f>
        <v/>
      </c>
      <c r="M147" s="306" t="n">
        <v>11</v>
      </c>
      <c r="N147" s="314">
        <f>IF(C147="","",COUNT(G147:J147)/4)</f>
        <v/>
      </c>
      <c r="O147" s="307" t="n"/>
    </row>
    <row r="148" ht="24" customHeight="1">
      <c r="A148" s="306" t="n">
        <v>144</v>
      </c>
      <c r="B148" s="306" t="inlineStr">
        <is>
          <t>خرداد</t>
        </is>
      </c>
      <c r="C148" s="306">
        <f>IF('دانش‌آموزان'!E16="","",'دانش‌آموزان'!B16)</f>
        <v/>
      </c>
      <c r="D148" s="306">
        <f>IF('دانش‌آموزان'!C16="","",'دانش‌آموزان'!C16)</f>
        <v/>
      </c>
      <c r="E148" s="306">
        <f>IF('دانش‌آموزان'!E16="","",'دانش‌آموزان'!E16&amp;" "&amp;'دانش‌آموزان'!F16)</f>
        <v/>
      </c>
      <c r="F148" s="306">
        <f>IF('دانش‌آموزان'!I16="","",'دانش‌آموزان'!I16)</f>
        <v/>
      </c>
      <c r="G148" s="307" t="n"/>
      <c r="H148" s="307" t="n"/>
      <c r="I148" s="307" t="n"/>
      <c r="J148" s="307" t="n"/>
      <c r="K148" s="313">
        <f>IF(COUNT(G148:J148)=0,"",AVERAGE(G148:J148)*4)</f>
        <v/>
      </c>
      <c r="L148" s="306">
        <f>IF(C148="","",IF(COUNT(G148:J148)=0,"",IF(COUNT(G148:J148)&lt;4,"موقت - اطلاعات ناقص",IF(K148&gt;=17,"عالی",IF(K148&gt;=14,"خوب",IF(K148&gt;=10,"متوسط","ضعیف"))))))</f>
        <v/>
      </c>
      <c r="M148" s="306" t="n">
        <v>12</v>
      </c>
      <c r="N148" s="314">
        <f>IF(C148="","",COUNT(G148:J148)/4)</f>
        <v/>
      </c>
      <c r="O148" s="307" t="n"/>
    </row>
    <row r="149" ht="24" customHeight="1">
      <c r="A149" s="306" t="n">
        <v>145</v>
      </c>
      <c r="B149" s="306" t="inlineStr">
        <is>
          <t>تیر</t>
        </is>
      </c>
      <c r="C149" s="306">
        <f>IF('دانش‌آموزان'!E17="","",'دانش‌آموزان'!B17)</f>
        <v/>
      </c>
      <c r="D149" s="306">
        <f>IF('دانش‌آموزان'!C17="","",'دانش‌آموزان'!C17)</f>
        <v/>
      </c>
      <c r="E149" s="306">
        <f>IF('دانش‌آموزان'!E17="","",'دانش‌آموزان'!E17&amp;" "&amp;'دانش‌آموزان'!F17)</f>
        <v/>
      </c>
      <c r="F149" s="306">
        <f>IF('دانش‌آموزان'!I17="","",'دانش‌آموزان'!I17)</f>
        <v/>
      </c>
      <c r="G149" s="307" t="n"/>
      <c r="H149" s="307" t="n"/>
      <c r="I149" s="307" t="n"/>
      <c r="J149" s="307" t="n"/>
      <c r="K149" s="313">
        <f>IF(COUNT(G149:J149)=0,"",AVERAGE(G149:J149)*4)</f>
        <v/>
      </c>
      <c r="L149" s="306">
        <f>IF(C149="","",IF(COUNT(G149:J149)=0,"",IF(COUNT(G149:J149)&lt;4,"موقت - اطلاعات ناقص",IF(K149&gt;=17,"عالی",IF(K149&gt;=14,"خوب",IF(K149&gt;=10,"متوسط","ضعیف"))))))</f>
        <v/>
      </c>
      <c r="M149" s="306" t="n">
        <v>1</v>
      </c>
      <c r="N149" s="314">
        <f>IF(C149="","",COUNT(G149:J149)/4)</f>
        <v/>
      </c>
      <c r="O149" s="307" t="n"/>
    </row>
    <row r="150" ht="24" customHeight="1">
      <c r="A150" s="306" t="n">
        <v>146</v>
      </c>
      <c r="B150" s="306" t="inlineStr">
        <is>
          <t>مرداد</t>
        </is>
      </c>
      <c r="C150" s="306">
        <f>IF('دانش‌آموزان'!E17="","",'دانش‌آموزان'!B17)</f>
        <v/>
      </c>
      <c r="D150" s="306">
        <f>IF('دانش‌آموزان'!C17="","",'دانش‌آموزان'!C17)</f>
        <v/>
      </c>
      <c r="E150" s="306">
        <f>IF('دانش‌آموزان'!E17="","",'دانش‌آموزان'!E17&amp;" "&amp;'دانش‌آموزان'!F17)</f>
        <v/>
      </c>
      <c r="F150" s="306">
        <f>IF('دانش‌آموزان'!I17="","",'دانش‌آموزان'!I17)</f>
        <v/>
      </c>
      <c r="G150" s="307" t="n"/>
      <c r="H150" s="307" t="n"/>
      <c r="I150" s="307" t="n"/>
      <c r="J150" s="307" t="n"/>
      <c r="K150" s="313">
        <f>IF(COUNT(G150:J150)=0,"",AVERAGE(G150:J150)*4)</f>
        <v/>
      </c>
      <c r="L150" s="306">
        <f>IF(C150="","",IF(COUNT(G150:J150)=0,"",IF(COUNT(G150:J150)&lt;4,"موقت - اطلاعات ناقص",IF(K150&gt;=17,"عالی",IF(K150&gt;=14,"خوب",IF(K150&gt;=10,"متوسط","ضعیف"))))))</f>
        <v/>
      </c>
      <c r="M150" s="306" t="n">
        <v>2</v>
      </c>
      <c r="N150" s="314">
        <f>IF(C150="","",COUNT(G150:J150)/4)</f>
        <v/>
      </c>
      <c r="O150" s="307" t="n"/>
    </row>
    <row r="151" ht="24" customHeight="1">
      <c r="A151" s="306" t="n">
        <v>147</v>
      </c>
      <c r="B151" s="306" t="inlineStr">
        <is>
          <t>شهریور</t>
        </is>
      </c>
      <c r="C151" s="306">
        <f>IF('دانش‌آموزان'!E17="","",'دانش‌آموزان'!B17)</f>
        <v/>
      </c>
      <c r="D151" s="306">
        <f>IF('دانش‌آموزان'!C17="","",'دانش‌آموزان'!C17)</f>
        <v/>
      </c>
      <c r="E151" s="306">
        <f>IF('دانش‌آموزان'!E17="","",'دانش‌آموزان'!E17&amp;" "&amp;'دانش‌آموزان'!F17)</f>
        <v/>
      </c>
      <c r="F151" s="306">
        <f>IF('دانش‌آموزان'!I17="","",'دانش‌آموزان'!I17)</f>
        <v/>
      </c>
      <c r="G151" s="307" t="n"/>
      <c r="H151" s="307" t="n"/>
      <c r="I151" s="307" t="n"/>
      <c r="J151" s="307" t="n"/>
      <c r="K151" s="313">
        <f>IF(COUNT(G151:J151)=0,"",AVERAGE(G151:J151)*4)</f>
        <v/>
      </c>
      <c r="L151" s="306">
        <f>IF(C151="","",IF(COUNT(G151:J151)=0,"",IF(COUNT(G151:J151)&lt;4,"موقت - اطلاعات ناقص",IF(K151&gt;=17,"عالی",IF(K151&gt;=14,"خوب",IF(K151&gt;=10,"متوسط","ضعیف"))))))</f>
        <v/>
      </c>
      <c r="M151" s="306" t="n">
        <v>3</v>
      </c>
      <c r="N151" s="314">
        <f>IF(C151="","",COUNT(G151:J151)/4)</f>
        <v/>
      </c>
      <c r="O151" s="307" t="n"/>
    </row>
    <row r="152" ht="24" customHeight="1">
      <c r="A152" s="306" t="n">
        <v>148</v>
      </c>
      <c r="B152" s="306" t="inlineStr">
        <is>
          <t>مهر</t>
        </is>
      </c>
      <c r="C152" s="306">
        <f>IF('دانش‌آموزان'!E17="","",'دانش‌آموزان'!B17)</f>
        <v/>
      </c>
      <c r="D152" s="306">
        <f>IF('دانش‌آموزان'!C17="","",'دانش‌آموزان'!C17)</f>
        <v/>
      </c>
      <c r="E152" s="306">
        <f>IF('دانش‌آموزان'!E17="","",'دانش‌آموزان'!E17&amp;" "&amp;'دانش‌آموزان'!F17)</f>
        <v/>
      </c>
      <c r="F152" s="306">
        <f>IF('دانش‌آموزان'!I17="","",'دانش‌آموزان'!I17)</f>
        <v/>
      </c>
      <c r="G152" s="307" t="n"/>
      <c r="H152" s="307" t="n"/>
      <c r="I152" s="307" t="n"/>
      <c r="J152" s="307" t="n"/>
      <c r="K152" s="313">
        <f>IF(COUNT(G152:J152)=0,"",AVERAGE(G152:J152)*4)</f>
        <v/>
      </c>
      <c r="L152" s="306">
        <f>IF(C152="","",IF(COUNT(G152:J152)=0,"",IF(COUNT(G152:J152)&lt;4,"موقت - اطلاعات ناقص",IF(K152&gt;=17,"عالی",IF(K152&gt;=14,"خوب",IF(K152&gt;=10,"متوسط","ضعیف"))))))</f>
        <v/>
      </c>
      <c r="M152" s="306" t="n">
        <v>4</v>
      </c>
      <c r="N152" s="314">
        <f>IF(C152="","",COUNT(G152:J152)/4)</f>
        <v/>
      </c>
      <c r="O152" s="307" t="n"/>
    </row>
    <row r="153" ht="24" customHeight="1">
      <c r="A153" s="306" t="n">
        <v>149</v>
      </c>
      <c r="B153" s="306" t="inlineStr">
        <is>
          <t>آبان</t>
        </is>
      </c>
      <c r="C153" s="306">
        <f>IF('دانش‌آموزان'!E17="","",'دانش‌آموزان'!B17)</f>
        <v/>
      </c>
      <c r="D153" s="306">
        <f>IF('دانش‌آموزان'!C17="","",'دانش‌آموزان'!C17)</f>
        <v/>
      </c>
      <c r="E153" s="306">
        <f>IF('دانش‌آموزان'!E17="","",'دانش‌آموزان'!E17&amp;" "&amp;'دانش‌آموزان'!F17)</f>
        <v/>
      </c>
      <c r="F153" s="306">
        <f>IF('دانش‌آموزان'!I17="","",'دانش‌آموزان'!I17)</f>
        <v/>
      </c>
      <c r="G153" s="307" t="n"/>
      <c r="H153" s="307" t="n"/>
      <c r="I153" s="307" t="n"/>
      <c r="J153" s="307" t="n"/>
      <c r="K153" s="313">
        <f>IF(COUNT(G153:J153)=0,"",AVERAGE(G153:J153)*4)</f>
        <v/>
      </c>
      <c r="L153" s="306">
        <f>IF(C153="","",IF(COUNT(G153:J153)=0,"",IF(COUNT(G153:J153)&lt;4,"موقت - اطلاعات ناقص",IF(K153&gt;=17,"عالی",IF(K153&gt;=14,"خوب",IF(K153&gt;=10,"متوسط","ضعیف"))))))</f>
        <v/>
      </c>
      <c r="M153" s="306" t="n">
        <v>5</v>
      </c>
      <c r="N153" s="314">
        <f>IF(C153="","",COUNT(G153:J153)/4)</f>
        <v/>
      </c>
      <c r="O153" s="307" t="n"/>
    </row>
    <row r="154" ht="24" customHeight="1">
      <c r="A154" s="306" t="n">
        <v>150</v>
      </c>
      <c r="B154" s="306" t="inlineStr">
        <is>
          <t>آذر</t>
        </is>
      </c>
      <c r="C154" s="306">
        <f>IF('دانش‌آموزان'!E17="","",'دانش‌آموزان'!B17)</f>
        <v/>
      </c>
      <c r="D154" s="306">
        <f>IF('دانش‌آموزان'!C17="","",'دانش‌آموزان'!C17)</f>
        <v/>
      </c>
      <c r="E154" s="306">
        <f>IF('دانش‌آموزان'!E17="","",'دانش‌آموزان'!E17&amp;" "&amp;'دانش‌آموزان'!F17)</f>
        <v/>
      </c>
      <c r="F154" s="306">
        <f>IF('دانش‌آموزان'!I17="","",'دانش‌آموزان'!I17)</f>
        <v/>
      </c>
      <c r="G154" s="307" t="n"/>
      <c r="H154" s="307" t="n"/>
      <c r="I154" s="307" t="n"/>
      <c r="J154" s="307" t="n"/>
      <c r="K154" s="313">
        <f>IF(COUNT(G154:J154)=0,"",AVERAGE(G154:J154)*4)</f>
        <v/>
      </c>
      <c r="L154" s="306">
        <f>IF(C154="","",IF(COUNT(G154:J154)=0,"",IF(COUNT(G154:J154)&lt;4,"موقت - اطلاعات ناقص",IF(K154&gt;=17,"عالی",IF(K154&gt;=14,"خوب",IF(K154&gt;=10,"متوسط","ضعیف"))))))</f>
        <v/>
      </c>
      <c r="M154" s="306" t="n">
        <v>6</v>
      </c>
      <c r="N154" s="314">
        <f>IF(C154="","",COUNT(G154:J154)/4)</f>
        <v/>
      </c>
      <c r="O154" s="307" t="n"/>
    </row>
    <row r="155" ht="24" customHeight="1">
      <c r="A155" s="306" t="n">
        <v>151</v>
      </c>
      <c r="B155" s="306" t="inlineStr">
        <is>
          <t>دی</t>
        </is>
      </c>
      <c r="C155" s="306">
        <f>IF('دانش‌آموزان'!E17="","",'دانش‌آموزان'!B17)</f>
        <v/>
      </c>
      <c r="D155" s="306">
        <f>IF('دانش‌آموزان'!C17="","",'دانش‌آموزان'!C17)</f>
        <v/>
      </c>
      <c r="E155" s="306">
        <f>IF('دانش‌آموزان'!E17="","",'دانش‌آموزان'!E17&amp;" "&amp;'دانش‌آموزان'!F17)</f>
        <v/>
      </c>
      <c r="F155" s="306">
        <f>IF('دانش‌آموزان'!I17="","",'دانش‌آموزان'!I17)</f>
        <v/>
      </c>
      <c r="G155" s="307" t="n"/>
      <c r="H155" s="307" t="n"/>
      <c r="I155" s="307" t="n"/>
      <c r="J155" s="307" t="n"/>
      <c r="K155" s="313">
        <f>IF(COUNT(G155:J155)=0,"",AVERAGE(G155:J155)*4)</f>
        <v/>
      </c>
      <c r="L155" s="306">
        <f>IF(C155="","",IF(COUNT(G155:J155)=0,"",IF(COUNT(G155:J155)&lt;4,"موقت - اطلاعات ناقص",IF(K155&gt;=17,"عالی",IF(K155&gt;=14,"خوب",IF(K155&gt;=10,"متوسط","ضعیف"))))))</f>
        <v/>
      </c>
      <c r="M155" s="306" t="n">
        <v>7</v>
      </c>
      <c r="N155" s="314">
        <f>IF(C155="","",COUNT(G155:J155)/4)</f>
        <v/>
      </c>
      <c r="O155" s="307" t="n"/>
    </row>
    <row r="156" ht="24" customHeight="1">
      <c r="A156" s="306" t="n">
        <v>152</v>
      </c>
      <c r="B156" s="306" t="inlineStr">
        <is>
          <t>بهمن</t>
        </is>
      </c>
      <c r="C156" s="306">
        <f>IF('دانش‌آموزان'!E17="","",'دانش‌آموزان'!B17)</f>
        <v/>
      </c>
      <c r="D156" s="306">
        <f>IF('دانش‌آموزان'!C17="","",'دانش‌آموزان'!C17)</f>
        <v/>
      </c>
      <c r="E156" s="306">
        <f>IF('دانش‌آموزان'!E17="","",'دانش‌آموزان'!E17&amp;" "&amp;'دانش‌آموزان'!F17)</f>
        <v/>
      </c>
      <c r="F156" s="306">
        <f>IF('دانش‌آموزان'!I17="","",'دانش‌آموزان'!I17)</f>
        <v/>
      </c>
      <c r="G156" s="307" t="n"/>
      <c r="H156" s="307" t="n"/>
      <c r="I156" s="307" t="n"/>
      <c r="J156" s="307" t="n"/>
      <c r="K156" s="313">
        <f>IF(COUNT(G156:J156)=0,"",AVERAGE(G156:J156)*4)</f>
        <v/>
      </c>
      <c r="L156" s="306">
        <f>IF(C156="","",IF(COUNT(G156:J156)=0,"",IF(COUNT(G156:J156)&lt;4,"موقت - اطلاعات ناقص",IF(K156&gt;=17,"عالی",IF(K156&gt;=14,"خوب",IF(K156&gt;=10,"متوسط","ضعیف"))))))</f>
        <v/>
      </c>
      <c r="M156" s="306" t="n">
        <v>8</v>
      </c>
      <c r="N156" s="314">
        <f>IF(C156="","",COUNT(G156:J156)/4)</f>
        <v/>
      </c>
      <c r="O156" s="307" t="n"/>
    </row>
    <row r="157" ht="24" customHeight="1">
      <c r="A157" s="306" t="n">
        <v>153</v>
      </c>
      <c r="B157" s="306" t="inlineStr">
        <is>
          <t>اسفند</t>
        </is>
      </c>
      <c r="C157" s="306">
        <f>IF('دانش‌آموزان'!E17="","",'دانش‌آموزان'!B17)</f>
        <v/>
      </c>
      <c r="D157" s="306">
        <f>IF('دانش‌آموزان'!C17="","",'دانش‌آموزان'!C17)</f>
        <v/>
      </c>
      <c r="E157" s="306">
        <f>IF('دانش‌آموزان'!E17="","",'دانش‌آموزان'!E17&amp;" "&amp;'دانش‌آموزان'!F17)</f>
        <v/>
      </c>
      <c r="F157" s="306">
        <f>IF('دانش‌آموزان'!I17="","",'دانش‌آموزان'!I17)</f>
        <v/>
      </c>
      <c r="G157" s="307" t="n"/>
      <c r="H157" s="307" t="n"/>
      <c r="I157" s="307" t="n"/>
      <c r="J157" s="307" t="n"/>
      <c r="K157" s="313">
        <f>IF(COUNT(G157:J157)=0,"",AVERAGE(G157:J157)*4)</f>
        <v/>
      </c>
      <c r="L157" s="306">
        <f>IF(C157="","",IF(COUNT(G157:J157)=0,"",IF(COUNT(G157:J157)&lt;4,"موقت - اطلاعات ناقص",IF(K157&gt;=17,"عالی",IF(K157&gt;=14,"خوب",IF(K157&gt;=10,"متوسط","ضعیف"))))))</f>
        <v/>
      </c>
      <c r="M157" s="306" t="n">
        <v>9</v>
      </c>
      <c r="N157" s="314">
        <f>IF(C157="","",COUNT(G157:J157)/4)</f>
        <v/>
      </c>
      <c r="O157" s="307" t="n"/>
    </row>
    <row r="158" ht="24" customHeight="1">
      <c r="A158" s="306" t="n">
        <v>154</v>
      </c>
      <c r="B158" s="306" t="inlineStr">
        <is>
          <t>فروردین</t>
        </is>
      </c>
      <c r="C158" s="306">
        <f>IF('دانش‌آموزان'!E17="","",'دانش‌آموزان'!B17)</f>
        <v/>
      </c>
      <c r="D158" s="306">
        <f>IF('دانش‌آموزان'!C17="","",'دانش‌آموزان'!C17)</f>
        <v/>
      </c>
      <c r="E158" s="306">
        <f>IF('دانش‌آموزان'!E17="","",'دانش‌آموزان'!E17&amp;" "&amp;'دانش‌آموزان'!F17)</f>
        <v/>
      </c>
      <c r="F158" s="306">
        <f>IF('دانش‌آموزان'!I17="","",'دانش‌آموزان'!I17)</f>
        <v/>
      </c>
      <c r="G158" s="307" t="n"/>
      <c r="H158" s="307" t="n"/>
      <c r="I158" s="307" t="n"/>
      <c r="J158" s="307" t="n"/>
      <c r="K158" s="313">
        <f>IF(COUNT(G158:J158)=0,"",AVERAGE(G158:J158)*4)</f>
        <v/>
      </c>
      <c r="L158" s="306">
        <f>IF(C158="","",IF(COUNT(G158:J158)=0,"",IF(COUNT(G158:J158)&lt;4,"موقت - اطلاعات ناقص",IF(K158&gt;=17,"عالی",IF(K158&gt;=14,"خوب",IF(K158&gt;=10,"متوسط","ضعیف"))))))</f>
        <v/>
      </c>
      <c r="M158" s="306" t="n">
        <v>10</v>
      </c>
      <c r="N158" s="314">
        <f>IF(C158="","",COUNT(G158:J158)/4)</f>
        <v/>
      </c>
      <c r="O158" s="307" t="n"/>
    </row>
    <row r="159" ht="24" customHeight="1">
      <c r="A159" s="306" t="n">
        <v>155</v>
      </c>
      <c r="B159" s="306" t="inlineStr">
        <is>
          <t>اردیبهشت</t>
        </is>
      </c>
      <c r="C159" s="306">
        <f>IF('دانش‌آموزان'!E17="","",'دانش‌آموزان'!B17)</f>
        <v/>
      </c>
      <c r="D159" s="306">
        <f>IF('دانش‌آموزان'!C17="","",'دانش‌آموزان'!C17)</f>
        <v/>
      </c>
      <c r="E159" s="306">
        <f>IF('دانش‌آموزان'!E17="","",'دانش‌آموزان'!E17&amp;" "&amp;'دانش‌آموزان'!F17)</f>
        <v/>
      </c>
      <c r="F159" s="306">
        <f>IF('دانش‌آموزان'!I17="","",'دانش‌آموزان'!I17)</f>
        <v/>
      </c>
      <c r="G159" s="307" t="n"/>
      <c r="H159" s="307" t="n"/>
      <c r="I159" s="307" t="n"/>
      <c r="J159" s="307" t="n"/>
      <c r="K159" s="313">
        <f>IF(COUNT(G159:J159)=0,"",AVERAGE(G159:J159)*4)</f>
        <v/>
      </c>
      <c r="L159" s="306">
        <f>IF(C159="","",IF(COUNT(G159:J159)=0,"",IF(COUNT(G159:J159)&lt;4,"موقت - اطلاعات ناقص",IF(K159&gt;=17,"عالی",IF(K159&gt;=14,"خوب",IF(K159&gt;=10,"متوسط","ضعیف"))))))</f>
        <v/>
      </c>
      <c r="M159" s="306" t="n">
        <v>11</v>
      </c>
      <c r="N159" s="314">
        <f>IF(C159="","",COUNT(G159:J159)/4)</f>
        <v/>
      </c>
      <c r="O159" s="307" t="n"/>
    </row>
    <row r="160" ht="24" customHeight="1">
      <c r="A160" s="306" t="n">
        <v>156</v>
      </c>
      <c r="B160" s="306" t="inlineStr">
        <is>
          <t>خرداد</t>
        </is>
      </c>
      <c r="C160" s="306">
        <f>IF('دانش‌آموزان'!E17="","",'دانش‌آموزان'!B17)</f>
        <v/>
      </c>
      <c r="D160" s="306">
        <f>IF('دانش‌آموزان'!C17="","",'دانش‌آموزان'!C17)</f>
        <v/>
      </c>
      <c r="E160" s="306">
        <f>IF('دانش‌آموزان'!E17="","",'دانش‌آموزان'!E17&amp;" "&amp;'دانش‌آموزان'!F17)</f>
        <v/>
      </c>
      <c r="F160" s="306">
        <f>IF('دانش‌آموزان'!I17="","",'دانش‌آموزان'!I17)</f>
        <v/>
      </c>
      <c r="G160" s="307" t="n"/>
      <c r="H160" s="307" t="n"/>
      <c r="I160" s="307" t="n"/>
      <c r="J160" s="307" t="n"/>
      <c r="K160" s="313">
        <f>IF(COUNT(G160:J160)=0,"",AVERAGE(G160:J160)*4)</f>
        <v/>
      </c>
      <c r="L160" s="306">
        <f>IF(C160="","",IF(COUNT(G160:J160)=0,"",IF(COUNT(G160:J160)&lt;4,"موقت - اطلاعات ناقص",IF(K160&gt;=17,"عالی",IF(K160&gt;=14,"خوب",IF(K160&gt;=10,"متوسط","ضعیف"))))))</f>
        <v/>
      </c>
      <c r="M160" s="306" t="n">
        <v>12</v>
      </c>
      <c r="N160" s="314">
        <f>IF(C160="","",COUNT(G160:J160)/4)</f>
        <v/>
      </c>
      <c r="O160" s="307" t="n"/>
    </row>
    <row r="161" ht="24" customHeight="1">
      <c r="A161" s="306" t="n">
        <v>157</v>
      </c>
      <c r="B161" s="306" t="inlineStr">
        <is>
          <t>تیر</t>
        </is>
      </c>
      <c r="C161" s="306">
        <f>IF('دانش‌آموزان'!E18="","",'دانش‌آموزان'!B18)</f>
        <v/>
      </c>
      <c r="D161" s="306">
        <f>IF('دانش‌آموزان'!C18="","",'دانش‌آموزان'!C18)</f>
        <v/>
      </c>
      <c r="E161" s="306">
        <f>IF('دانش‌آموزان'!E18="","",'دانش‌آموزان'!E18&amp;" "&amp;'دانش‌آموزان'!F18)</f>
        <v/>
      </c>
      <c r="F161" s="306">
        <f>IF('دانش‌آموزان'!I18="","",'دانش‌آموزان'!I18)</f>
        <v/>
      </c>
      <c r="G161" s="307" t="n"/>
      <c r="H161" s="307" t="n"/>
      <c r="I161" s="307" t="n"/>
      <c r="J161" s="307" t="n"/>
      <c r="K161" s="313">
        <f>IF(COUNT(G161:J161)=0,"",AVERAGE(G161:J161)*4)</f>
        <v/>
      </c>
      <c r="L161" s="306">
        <f>IF(C161="","",IF(COUNT(G161:J161)=0,"",IF(COUNT(G161:J161)&lt;4,"موقت - اطلاعات ناقص",IF(K161&gt;=17,"عالی",IF(K161&gt;=14,"خوب",IF(K161&gt;=10,"متوسط","ضعیف"))))))</f>
        <v/>
      </c>
      <c r="M161" s="306" t="n">
        <v>1</v>
      </c>
      <c r="N161" s="314">
        <f>IF(C161="","",COUNT(G161:J161)/4)</f>
        <v/>
      </c>
      <c r="O161" s="307" t="n"/>
    </row>
    <row r="162" ht="24" customHeight="1">
      <c r="A162" s="306" t="n">
        <v>158</v>
      </c>
      <c r="B162" s="306" t="inlineStr">
        <is>
          <t>مرداد</t>
        </is>
      </c>
      <c r="C162" s="306">
        <f>IF('دانش‌آموزان'!E18="","",'دانش‌آموزان'!B18)</f>
        <v/>
      </c>
      <c r="D162" s="306">
        <f>IF('دانش‌آموزان'!C18="","",'دانش‌آموزان'!C18)</f>
        <v/>
      </c>
      <c r="E162" s="306">
        <f>IF('دانش‌آموزان'!E18="","",'دانش‌آموزان'!E18&amp;" "&amp;'دانش‌آموزان'!F18)</f>
        <v/>
      </c>
      <c r="F162" s="306">
        <f>IF('دانش‌آموزان'!I18="","",'دانش‌آموزان'!I18)</f>
        <v/>
      </c>
      <c r="G162" s="307" t="n"/>
      <c r="H162" s="307" t="n"/>
      <c r="I162" s="307" t="n"/>
      <c r="J162" s="307" t="n"/>
      <c r="K162" s="313">
        <f>IF(COUNT(G162:J162)=0,"",AVERAGE(G162:J162)*4)</f>
        <v/>
      </c>
      <c r="L162" s="306">
        <f>IF(C162="","",IF(COUNT(G162:J162)=0,"",IF(COUNT(G162:J162)&lt;4,"موقت - اطلاعات ناقص",IF(K162&gt;=17,"عالی",IF(K162&gt;=14,"خوب",IF(K162&gt;=10,"متوسط","ضعیف"))))))</f>
        <v/>
      </c>
      <c r="M162" s="306" t="n">
        <v>2</v>
      </c>
      <c r="N162" s="314">
        <f>IF(C162="","",COUNT(G162:J162)/4)</f>
        <v/>
      </c>
      <c r="O162" s="307" t="n"/>
    </row>
    <row r="163" ht="24" customHeight="1">
      <c r="A163" s="306" t="n">
        <v>159</v>
      </c>
      <c r="B163" s="306" t="inlineStr">
        <is>
          <t>شهریور</t>
        </is>
      </c>
      <c r="C163" s="306">
        <f>IF('دانش‌آموزان'!E18="","",'دانش‌آموزان'!B18)</f>
        <v/>
      </c>
      <c r="D163" s="306">
        <f>IF('دانش‌آموزان'!C18="","",'دانش‌آموزان'!C18)</f>
        <v/>
      </c>
      <c r="E163" s="306">
        <f>IF('دانش‌آموزان'!E18="","",'دانش‌آموزان'!E18&amp;" "&amp;'دانش‌آموزان'!F18)</f>
        <v/>
      </c>
      <c r="F163" s="306">
        <f>IF('دانش‌آموزان'!I18="","",'دانش‌آموزان'!I18)</f>
        <v/>
      </c>
      <c r="G163" s="307" t="n"/>
      <c r="H163" s="307" t="n"/>
      <c r="I163" s="307" t="n"/>
      <c r="J163" s="307" t="n"/>
      <c r="K163" s="313">
        <f>IF(COUNT(G163:J163)=0,"",AVERAGE(G163:J163)*4)</f>
        <v/>
      </c>
      <c r="L163" s="306">
        <f>IF(C163="","",IF(COUNT(G163:J163)=0,"",IF(COUNT(G163:J163)&lt;4,"موقت - اطلاعات ناقص",IF(K163&gt;=17,"عالی",IF(K163&gt;=14,"خوب",IF(K163&gt;=10,"متوسط","ضعیف"))))))</f>
        <v/>
      </c>
      <c r="M163" s="306" t="n">
        <v>3</v>
      </c>
      <c r="N163" s="314">
        <f>IF(C163="","",COUNT(G163:J163)/4)</f>
        <v/>
      </c>
      <c r="O163" s="307" t="n"/>
    </row>
    <row r="164" ht="24" customHeight="1">
      <c r="A164" s="306" t="n">
        <v>160</v>
      </c>
      <c r="B164" s="306" t="inlineStr">
        <is>
          <t>مهر</t>
        </is>
      </c>
      <c r="C164" s="306">
        <f>IF('دانش‌آموزان'!E18="","",'دانش‌آموزان'!B18)</f>
        <v/>
      </c>
      <c r="D164" s="306">
        <f>IF('دانش‌آموزان'!C18="","",'دانش‌آموزان'!C18)</f>
        <v/>
      </c>
      <c r="E164" s="306">
        <f>IF('دانش‌آموزان'!E18="","",'دانش‌آموزان'!E18&amp;" "&amp;'دانش‌آموزان'!F18)</f>
        <v/>
      </c>
      <c r="F164" s="306">
        <f>IF('دانش‌آموزان'!I18="","",'دانش‌آموزان'!I18)</f>
        <v/>
      </c>
      <c r="G164" s="307" t="n"/>
      <c r="H164" s="307" t="n"/>
      <c r="I164" s="307" t="n"/>
      <c r="J164" s="307" t="n"/>
      <c r="K164" s="313">
        <f>IF(COUNT(G164:J164)=0,"",AVERAGE(G164:J164)*4)</f>
        <v/>
      </c>
      <c r="L164" s="306">
        <f>IF(C164="","",IF(COUNT(G164:J164)=0,"",IF(COUNT(G164:J164)&lt;4,"موقت - اطلاعات ناقص",IF(K164&gt;=17,"عالی",IF(K164&gt;=14,"خوب",IF(K164&gt;=10,"متوسط","ضعیف"))))))</f>
        <v/>
      </c>
      <c r="M164" s="306" t="n">
        <v>4</v>
      </c>
      <c r="N164" s="314">
        <f>IF(C164="","",COUNT(G164:J164)/4)</f>
        <v/>
      </c>
      <c r="O164" s="307" t="n"/>
    </row>
    <row r="165" ht="24" customHeight="1">
      <c r="A165" s="306" t="n">
        <v>161</v>
      </c>
      <c r="B165" s="306" t="inlineStr">
        <is>
          <t>آبان</t>
        </is>
      </c>
      <c r="C165" s="306">
        <f>IF('دانش‌آموزان'!E18="","",'دانش‌آموزان'!B18)</f>
        <v/>
      </c>
      <c r="D165" s="306">
        <f>IF('دانش‌آموزان'!C18="","",'دانش‌آموزان'!C18)</f>
        <v/>
      </c>
      <c r="E165" s="306">
        <f>IF('دانش‌آموزان'!E18="","",'دانش‌آموزان'!E18&amp;" "&amp;'دانش‌آموزان'!F18)</f>
        <v/>
      </c>
      <c r="F165" s="306">
        <f>IF('دانش‌آموزان'!I18="","",'دانش‌آموزان'!I18)</f>
        <v/>
      </c>
      <c r="G165" s="307" t="n"/>
      <c r="H165" s="307" t="n"/>
      <c r="I165" s="307" t="n"/>
      <c r="J165" s="307" t="n"/>
      <c r="K165" s="313">
        <f>IF(COUNT(G165:J165)=0,"",AVERAGE(G165:J165)*4)</f>
        <v/>
      </c>
      <c r="L165" s="306">
        <f>IF(C165="","",IF(COUNT(G165:J165)=0,"",IF(COUNT(G165:J165)&lt;4,"موقت - اطلاعات ناقص",IF(K165&gt;=17,"عالی",IF(K165&gt;=14,"خوب",IF(K165&gt;=10,"متوسط","ضعیف"))))))</f>
        <v/>
      </c>
      <c r="M165" s="306" t="n">
        <v>5</v>
      </c>
      <c r="N165" s="314">
        <f>IF(C165="","",COUNT(G165:J165)/4)</f>
        <v/>
      </c>
      <c r="O165" s="307" t="n"/>
    </row>
    <row r="166" ht="24" customHeight="1">
      <c r="A166" s="306" t="n">
        <v>162</v>
      </c>
      <c r="B166" s="306" t="inlineStr">
        <is>
          <t>آذر</t>
        </is>
      </c>
      <c r="C166" s="306">
        <f>IF('دانش‌آموزان'!E18="","",'دانش‌آموزان'!B18)</f>
        <v/>
      </c>
      <c r="D166" s="306">
        <f>IF('دانش‌آموزان'!C18="","",'دانش‌آموزان'!C18)</f>
        <v/>
      </c>
      <c r="E166" s="306">
        <f>IF('دانش‌آموزان'!E18="","",'دانش‌آموزان'!E18&amp;" "&amp;'دانش‌آموزان'!F18)</f>
        <v/>
      </c>
      <c r="F166" s="306">
        <f>IF('دانش‌آموزان'!I18="","",'دانش‌آموزان'!I18)</f>
        <v/>
      </c>
      <c r="G166" s="307" t="n"/>
      <c r="H166" s="307" t="n"/>
      <c r="I166" s="307" t="n"/>
      <c r="J166" s="307" t="n"/>
      <c r="K166" s="313">
        <f>IF(COUNT(G166:J166)=0,"",AVERAGE(G166:J166)*4)</f>
        <v/>
      </c>
      <c r="L166" s="306">
        <f>IF(C166="","",IF(COUNT(G166:J166)=0,"",IF(COUNT(G166:J166)&lt;4,"موقت - اطلاعات ناقص",IF(K166&gt;=17,"عالی",IF(K166&gt;=14,"خوب",IF(K166&gt;=10,"متوسط","ضعیف"))))))</f>
        <v/>
      </c>
      <c r="M166" s="306" t="n">
        <v>6</v>
      </c>
      <c r="N166" s="314">
        <f>IF(C166="","",COUNT(G166:J166)/4)</f>
        <v/>
      </c>
      <c r="O166" s="307" t="n"/>
    </row>
    <row r="167" ht="24" customHeight="1">
      <c r="A167" s="306" t="n">
        <v>163</v>
      </c>
      <c r="B167" s="306" t="inlineStr">
        <is>
          <t>دی</t>
        </is>
      </c>
      <c r="C167" s="306">
        <f>IF('دانش‌آموزان'!E18="","",'دانش‌آموزان'!B18)</f>
        <v/>
      </c>
      <c r="D167" s="306">
        <f>IF('دانش‌آموزان'!C18="","",'دانش‌آموزان'!C18)</f>
        <v/>
      </c>
      <c r="E167" s="306">
        <f>IF('دانش‌آموزان'!E18="","",'دانش‌آموزان'!E18&amp;" "&amp;'دانش‌آموزان'!F18)</f>
        <v/>
      </c>
      <c r="F167" s="306">
        <f>IF('دانش‌آموزان'!I18="","",'دانش‌آموزان'!I18)</f>
        <v/>
      </c>
      <c r="G167" s="307" t="n"/>
      <c r="H167" s="307" t="n"/>
      <c r="I167" s="307" t="n"/>
      <c r="J167" s="307" t="n"/>
      <c r="K167" s="313">
        <f>IF(COUNT(G167:J167)=0,"",AVERAGE(G167:J167)*4)</f>
        <v/>
      </c>
      <c r="L167" s="306">
        <f>IF(C167="","",IF(COUNT(G167:J167)=0,"",IF(COUNT(G167:J167)&lt;4,"موقت - اطلاعات ناقص",IF(K167&gt;=17,"عالی",IF(K167&gt;=14,"خوب",IF(K167&gt;=10,"متوسط","ضعیف"))))))</f>
        <v/>
      </c>
      <c r="M167" s="306" t="n">
        <v>7</v>
      </c>
      <c r="N167" s="314">
        <f>IF(C167="","",COUNT(G167:J167)/4)</f>
        <v/>
      </c>
      <c r="O167" s="307" t="n"/>
    </row>
    <row r="168" ht="24" customHeight="1">
      <c r="A168" s="306" t="n">
        <v>164</v>
      </c>
      <c r="B168" s="306" t="inlineStr">
        <is>
          <t>بهمن</t>
        </is>
      </c>
      <c r="C168" s="306">
        <f>IF('دانش‌آموزان'!E18="","",'دانش‌آموزان'!B18)</f>
        <v/>
      </c>
      <c r="D168" s="306">
        <f>IF('دانش‌آموزان'!C18="","",'دانش‌آموزان'!C18)</f>
        <v/>
      </c>
      <c r="E168" s="306">
        <f>IF('دانش‌آموزان'!E18="","",'دانش‌آموزان'!E18&amp;" "&amp;'دانش‌آموزان'!F18)</f>
        <v/>
      </c>
      <c r="F168" s="306">
        <f>IF('دانش‌آموزان'!I18="","",'دانش‌آموزان'!I18)</f>
        <v/>
      </c>
      <c r="G168" s="307" t="n"/>
      <c r="H168" s="307" t="n"/>
      <c r="I168" s="307" t="n"/>
      <c r="J168" s="307" t="n"/>
      <c r="K168" s="313">
        <f>IF(COUNT(G168:J168)=0,"",AVERAGE(G168:J168)*4)</f>
        <v/>
      </c>
      <c r="L168" s="306">
        <f>IF(C168="","",IF(COUNT(G168:J168)=0,"",IF(COUNT(G168:J168)&lt;4,"موقت - اطلاعات ناقص",IF(K168&gt;=17,"عالی",IF(K168&gt;=14,"خوب",IF(K168&gt;=10,"متوسط","ضعیف"))))))</f>
        <v/>
      </c>
      <c r="M168" s="306" t="n">
        <v>8</v>
      </c>
      <c r="N168" s="314">
        <f>IF(C168="","",COUNT(G168:J168)/4)</f>
        <v/>
      </c>
      <c r="O168" s="307" t="n"/>
    </row>
    <row r="169" ht="24" customHeight="1">
      <c r="A169" s="306" t="n">
        <v>165</v>
      </c>
      <c r="B169" s="306" t="inlineStr">
        <is>
          <t>اسفند</t>
        </is>
      </c>
      <c r="C169" s="306">
        <f>IF('دانش‌آموزان'!E18="","",'دانش‌آموزان'!B18)</f>
        <v/>
      </c>
      <c r="D169" s="306">
        <f>IF('دانش‌آموزان'!C18="","",'دانش‌آموزان'!C18)</f>
        <v/>
      </c>
      <c r="E169" s="306">
        <f>IF('دانش‌آموزان'!E18="","",'دانش‌آموزان'!E18&amp;" "&amp;'دانش‌آموزان'!F18)</f>
        <v/>
      </c>
      <c r="F169" s="306">
        <f>IF('دانش‌آموزان'!I18="","",'دانش‌آموزان'!I18)</f>
        <v/>
      </c>
      <c r="G169" s="307" t="n"/>
      <c r="H169" s="307" t="n"/>
      <c r="I169" s="307" t="n"/>
      <c r="J169" s="307" t="n"/>
      <c r="K169" s="313">
        <f>IF(COUNT(G169:J169)=0,"",AVERAGE(G169:J169)*4)</f>
        <v/>
      </c>
      <c r="L169" s="306">
        <f>IF(C169="","",IF(COUNT(G169:J169)=0,"",IF(COUNT(G169:J169)&lt;4,"موقت - اطلاعات ناقص",IF(K169&gt;=17,"عالی",IF(K169&gt;=14,"خوب",IF(K169&gt;=10,"متوسط","ضعیف"))))))</f>
        <v/>
      </c>
      <c r="M169" s="306" t="n">
        <v>9</v>
      </c>
      <c r="N169" s="314">
        <f>IF(C169="","",COUNT(G169:J169)/4)</f>
        <v/>
      </c>
      <c r="O169" s="307" t="n"/>
    </row>
    <row r="170" ht="24" customHeight="1">
      <c r="A170" s="306" t="n">
        <v>166</v>
      </c>
      <c r="B170" s="306" t="inlineStr">
        <is>
          <t>فروردین</t>
        </is>
      </c>
      <c r="C170" s="306">
        <f>IF('دانش‌آموزان'!E18="","",'دانش‌آموزان'!B18)</f>
        <v/>
      </c>
      <c r="D170" s="306">
        <f>IF('دانش‌آموزان'!C18="","",'دانش‌آموزان'!C18)</f>
        <v/>
      </c>
      <c r="E170" s="306">
        <f>IF('دانش‌آموزان'!E18="","",'دانش‌آموزان'!E18&amp;" "&amp;'دانش‌آموزان'!F18)</f>
        <v/>
      </c>
      <c r="F170" s="306">
        <f>IF('دانش‌آموزان'!I18="","",'دانش‌آموزان'!I18)</f>
        <v/>
      </c>
      <c r="G170" s="307" t="n"/>
      <c r="H170" s="307" t="n"/>
      <c r="I170" s="307" t="n"/>
      <c r="J170" s="307" t="n"/>
      <c r="K170" s="313">
        <f>IF(COUNT(G170:J170)=0,"",AVERAGE(G170:J170)*4)</f>
        <v/>
      </c>
      <c r="L170" s="306">
        <f>IF(C170="","",IF(COUNT(G170:J170)=0,"",IF(COUNT(G170:J170)&lt;4,"موقت - اطلاعات ناقص",IF(K170&gt;=17,"عالی",IF(K170&gt;=14,"خوب",IF(K170&gt;=10,"متوسط","ضعیف"))))))</f>
        <v/>
      </c>
      <c r="M170" s="306" t="n">
        <v>10</v>
      </c>
      <c r="N170" s="314">
        <f>IF(C170="","",COUNT(G170:J170)/4)</f>
        <v/>
      </c>
      <c r="O170" s="307" t="n"/>
    </row>
    <row r="171" ht="24" customHeight="1">
      <c r="A171" s="306" t="n">
        <v>167</v>
      </c>
      <c r="B171" s="306" t="inlineStr">
        <is>
          <t>اردیبهشت</t>
        </is>
      </c>
      <c r="C171" s="306">
        <f>IF('دانش‌آموزان'!E18="","",'دانش‌آموزان'!B18)</f>
        <v/>
      </c>
      <c r="D171" s="306">
        <f>IF('دانش‌آموزان'!C18="","",'دانش‌آموزان'!C18)</f>
        <v/>
      </c>
      <c r="E171" s="306">
        <f>IF('دانش‌آموزان'!E18="","",'دانش‌آموزان'!E18&amp;" "&amp;'دانش‌آموزان'!F18)</f>
        <v/>
      </c>
      <c r="F171" s="306">
        <f>IF('دانش‌آموزان'!I18="","",'دانش‌آموزان'!I18)</f>
        <v/>
      </c>
      <c r="G171" s="307" t="n"/>
      <c r="H171" s="307" t="n"/>
      <c r="I171" s="307" t="n"/>
      <c r="J171" s="307" t="n"/>
      <c r="K171" s="313">
        <f>IF(COUNT(G171:J171)=0,"",AVERAGE(G171:J171)*4)</f>
        <v/>
      </c>
      <c r="L171" s="306">
        <f>IF(C171="","",IF(COUNT(G171:J171)=0,"",IF(COUNT(G171:J171)&lt;4,"موقت - اطلاعات ناقص",IF(K171&gt;=17,"عالی",IF(K171&gt;=14,"خوب",IF(K171&gt;=10,"متوسط","ضعیف"))))))</f>
        <v/>
      </c>
      <c r="M171" s="306" t="n">
        <v>11</v>
      </c>
      <c r="N171" s="314">
        <f>IF(C171="","",COUNT(G171:J171)/4)</f>
        <v/>
      </c>
      <c r="O171" s="307" t="n"/>
    </row>
    <row r="172" ht="24" customHeight="1">
      <c r="A172" s="306" t="n">
        <v>168</v>
      </c>
      <c r="B172" s="306" t="inlineStr">
        <is>
          <t>خرداد</t>
        </is>
      </c>
      <c r="C172" s="306">
        <f>IF('دانش‌آموزان'!E18="","",'دانش‌آموزان'!B18)</f>
        <v/>
      </c>
      <c r="D172" s="306">
        <f>IF('دانش‌آموزان'!C18="","",'دانش‌آموزان'!C18)</f>
        <v/>
      </c>
      <c r="E172" s="306">
        <f>IF('دانش‌آموزان'!E18="","",'دانش‌آموزان'!E18&amp;" "&amp;'دانش‌آموزان'!F18)</f>
        <v/>
      </c>
      <c r="F172" s="306">
        <f>IF('دانش‌آموزان'!I18="","",'دانش‌آموزان'!I18)</f>
        <v/>
      </c>
      <c r="G172" s="307" t="n"/>
      <c r="H172" s="307" t="n"/>
      <c r="I172" s="307" t="n"/>
      <c r="J172" s="307" t="n"/>
      <c r="K172" s="313">
        <f>IF(COUNT(G172:J172)=0,"",AVERAGE(G172:J172)*4)</f>
        <v/>
      </c>
      <c r="L172" s="306">
        <f>IF(C172="","",IF(COUNT(G172:J172)=0,"",IF(COUNT(G172:J172)&lt;4,"موقت - اطلاعات ناقص",IF(K172&gt;=17,"عالی",IF(K172&gt;=14,"خوب",IF(K172&gt;=10,"متوسط","ضعیف"))))))</f>
        <v/>
      </c>
      <c r="M172" s="306" t="n">
        <v>12</v>
      </c>
      <c r="N172" s="314">
        <f>IF(C172="","",COUNT(G172:J172)/4)</f>
        <v/>
      </c>
      <c r="O172" s="307" t="n"/>
    </row>
    <row r="173" ht="24" customHeight="1">
      <c r="A173" s="306" t="n">
        <v>169</v>
      </c>
      <c r="B173" s="306" t="inlineStr">
        <is>
          <t>تیر</t>
        </is>
      </c>
      <c r="C173" s="306">
        <f>IF('دانش‌آموزان'!E19="","",'دانش‌آموزان'!B19)</f>
        <v/>
      </c>
      <c r="D173" s="306">
        <f>IF('دانش‌آموزان'!C19="","",'دانش‌آموزان'!C19)</f>
        <v/>
      </c>
      <c r="E173" s="306">
        <f>IF('دانش‌آموزان'!E19="","",'دانش‌آموزان'!E19&amp;" "&amp;'دانش‌آموزان'!F19)</f>
        <v/>
      </c>
      <c r="F173" s="306">
        <f>IF('دانش‌آموزان'!I19="","",'دانش‌آموزان'!I19)</f>
        <v/>
      </c>
      <c r="G173" s="307" t="n"/>
      <c r="H173" s="307" t="n"/>
      <c r="I173" s="307" t="n"/>
      <c r="J173" s="307" t="n"/>
      <c r="K173" s="313">
        <f>IF(COUNT(G173:J173)=0,"",AVERAGE(G173:J173)*4)</f>
        <v/>
      </c>
      <c r="L173" s="306">
        <f>IF(C173="","",IF(COUNT(G173:J173)=0,"",IF(COUNT(G173:J173)&lt;4,"موقت - اطلاعات ناقص",IF(K173&gt;=17,"عالی",IF(K173&gt;=14,"خوب",IF(K173&gt;=10,"متوسط","ضعیف"))))))</f>
        <v/>
      </c>
      <c r="M173" s="306" t="n">
        <v>1</v>
      </c>
      <c r="N173" s="314">
        <f>IF(C173="","",COUNT(G173:J173)/4)</f>
        <v/>
      </c>
      <c r="O173" s="307" t="n"/>
    </row>
    <row r="174" ht="24" customHeight="1">
      <c r="A174" s="306" t="n">
        <v>170</v>
      </c>
      <c r="B174" s="306" t="inlineStr">
        <is>
          <t>مرداد</t>
        </is>
      </c>
      <c r="C174" s="306">
        <f>IF('دانش‌آموزان'!E19="","",'دانش‌آموزان'!B19)</f>
        <v/>
      </c>
      <c r="D174" s="306">
        <f>IF('دانش‌آموزان'!C19="","",'دانش‌آموزان'!C19)</f>
        <v/>
      </c>
      <c r="E174" s="306">
        <f>IF('دانش‌آموزان'!E19="","",'دانش‌آموزان'!E19&amp;" "&amp;'دانش‌آموزان'!F19)</f>
        <v/>
      </c>
      <c r="F174" s="306">
        <f>IF('دانش‌آموزان'!I19="","",'دانش‌آموزان'!I19)</f>
        <v/>
      </c>
      <c r="G174" s="307" t="n"/>
      <c r="H174" s="307" t="n"/>
      <c r="I174" s="307" t="n"/>
      <c r="J174" s="307" t="n"/>
      <c r="K174" s="313">
        <f>IF(COUNT(G174:J174)=0,"",AVERAGE(G174:J174)*4)</f>
        <v/>
      </c>
      <c r="L174" s="306">
        <f>IF(C174="","",IF(COUNT(G174:J174)=0,"",IF(COUNT(G174:J174)&lt;4,"موقت - اطلاعات ناقص",IF(K174&gt;=17,"عالی",IF(K174&gt;=14,"خوب",IF(K174&gt;=10,"متوسط","ضعیف"))))))</f>
        <v/>
      </c>
      <c r="M174" s="306" t="n">
        <v>2</v>
      </c>
      <c r="N174" s="314">
        <f>IF(C174="","",COUNT(G174:J174)/4)</f>
        <v/>
      </c>
      <c r="O174" s="307" t="n"/>
    </row>
    <row r="175" ht="24" customHeight="1">
      <c r="A175" s="306" t="n">
        <v>171</v>
      </c>
      <c r="B175" s="306" t="inlineStr">
        <is>
          <t>شهریور</t>
        </is>
      </c>
      <c r="C175" s="306">
        <f>IF('دانش‌آموزان'!E19="","",'دانش‌آموزان'!B19)</f>
        <v/>
      </c>
      <c r="D175" s="306">
        <f>IF('دانش‌آموزان'!C19="","",'دانش‌آموزان'!C19)</f>
        <v/>
      </c>
      <c r="E175" s="306">
        <f>IF('دانش‌آموزان'!E19="","",'دانش‌آموزان'!E19&amp;" "&amp;'دانش‌آموزان'!F19)</f>
        <v/>
      </c>
      <c r="F175" s="306">
        <f>IF('دانش‌آموزان'!I19="","",'دانش‌آموزان'!I19)</f>
        <v/>
      </c>
      <c r="G175" s="307" t="n"/>
      <c r="H175" s="307" t="n"/>
      <c r="I175" s="307" t="n"/>
      <c r="J175" s="307" t="n"/>
      <c r="K175" s="313">
        <f>IF(COUNT(G175:J175)=0,"",AVERAGE(G175:J175)*4)</f>
        <v/>
      </c>
      <c r="L175" s="306">
        <f>IF(C175="","",IF(COUNT(G175:J175)=0,"",IF(COUNT(G175:J175)&lt;4,"موقت - اطلاعات ناقص",IF(K175&gt;=17,"عالی",IF(K175&gt;=14,"خوب",IF(K175&gt;=10,"متوسط","ضعیف"))))))</f>
        <v/>
      </c>
      <c r="M175" s="306" t="n">
        <v>3</v>
      </c>
      <c r="N175" s="314">
        <f>IF(C175="","",COUNT(G175:J175)/4)</f>
        <v/>
      </c>
      <c r="O175" s="307" t="n"/>
    </row>
    <row r="176" ht="24" customHeight="1">
      <c r="A176" s="306" t="n">
        <v>172</v>
      </c>
      <c r="B176" s="306" t="inlineStr">
        <is>
          <t>مهر</t>
        </is>
      </c>
      <c r="C176" s="306">
        <f>IF('دانش‌آموزان'!E19="","",'دانش‌آموزان'!B19)</f>
        <v/>
      </c>
      <c r="D176" s="306">
        <f>IF('دانش‌آموزان'!C19="","",'دانش‌آموزان'!C19)</f>
        <v/>
      </c>
      <c r="E176" s="306">
        <f>IF('دانش‌آموزان'!E19="","",'دانش‌آموزان'!E19&amp;" "&amp;'دانش‌آموزان'!F19)</f>
        <v/>
      </c>
      <c r="F176" s="306">
        <f>IF('دانش‌آموزان'!I19="","",'دانش‌آموزان'!I19)</f>
        <v/>
      </c>
      <c r="G176" s="307" t="n"/>
      <c r="H176" s="307" t="n"/>
      <c r="I176" s="307" t="n"/>
      <c r="J176" s="307" t="n"/>
      <c r="K176" s="313">
        <f>IF(COUNT(G176:J176)=0,"",AVERAGE(G176:J176)*4)</f>
        <v/>
      </c>
      <c r="L176" s="306">
        <f>IF(C176="","",IF(COUNT(G176:J176)=0,"",IF(COUNT(G176:J176)&lt;4,"موقت - اطلاعات ناقص",IF(K176&gt;=17,"عالی",IF(K176&gt;=14,"خوب",IF(K176&gt;=10,"متوسط","ضعیف"))))))</f>
        <v/>
      </c>
      <c r="M176" s="306" t="n">
        <v>4</v>
      </c>
      <c r="N176" s="314">
        <f>IF(C176="","",COUNT(G176:J176)/4)</f>
        <v/>
      </c>
      <c r="O176" s="307" t="n"/>
    </row>
    <row r="177" ht="24" customHeight="1">
      <c r="A177" s="306" t="n">
        <v>173</v>
      </c>
      <c r="B177" s="306" t="inlineStr">
        <is>
          <t>آبان</t>
        </is>
      </c>
      <c r="C177" s="306">
        <f>IF('دانش‌آموزان'!E19="","",'دانش‌آموزان'!B19)</f>
        <v/>
      </c>
      <c r="D177" s="306">
        <f>IF('دانش‌آموزان'!C19="","",'دانش‌آموزان'!C19)</f>
        <v/>
      </c>
      <c r="E177" s="306">
        <f>IF('دانش‌آموزان'!E19="","",'دانش‌آموزان'!E19&amp;" "&amp;'دانش‌آموزان'!F19)</f>
        <v/>
      </c>
      <c r="F177" s="306">
        <f>IF('دانش‌آموزان'!I19="","",'دانش‌آموزان'!I19)</f>
        <v/>
      </c>
      <c r="G177" s="307" t="n"/>
      <c r="H177" s="307" t="n"/>
      <c r="I177" s="307" t="n"/>
      <c r="J177" s="307" t="n"/>
      <c r="K177" s="313">
        <f>IF(COUNT(G177:J177)=0,"",AVERAGE(G177:J177)*4)</f>
        <v/>
      </c>
      <c r="L177" s="306">
        <f>IF(C177="","",IF(COUNT(G177:J177)=0,"",IF(COUNT(G177:J177)&lt;4,"موقت - اطلاعات ناقص",IF(K177&gt;=17,"عالی",IF(K177&gt;=14,"خوب",IF(K177&gt;=10,"متوسط","ضعیف"))))))</f>
        <v/>
      </c>
      <c r="M177" s="306" t="n">
        <v>5</v>
      </c>
      <c r="N177" s="314">
        <f>IF(C177="","",COUNT(G177:J177)/4)</f>
        <v/>
      </c>
      <c r="O177" s="307" t="n"/>
    </row>
    <row r="178" ht="24" customHeight="1">
      <c r="A178" s="306" t="n">
        <v>174</v>
      </c>
      <c r="B178" s="306" t="inlineStr">
        <is>
          <t>آذر</t>
        </is>
      </c>
      <c r="C178" s="306">
        <f>IF('دانش‌آموزان'!E19="","",'دانش‌آموزان'!B19)</f>
        <v/>
      </c>
      <c r="D178" s="306">
        <f>IF('دانش‌آموزان'!C19="","",'دانش‌آموزان'!C19)</f>
        <v/>
      </c>
      <c r="E178" s="306">
        <f>IF('دانش‌آموزان'!E19="","",'دانش‌آموزان'!E19&amp;" "&amp;'دانش‌آموزان'!F19)</f>
        <v/>
      </c>
      <c r="F178" s="306">
        <f>IF('دانش‌آموزان'!I19="","",'دانش‌آموزان'!I19)</f>
        <v/>
      </c>
      <c r="G178" s="307" t="n"/>
      <c r="H178" s="307" t="n"/>
      <c r="I178" s="307" t="n"/>
      <c r="J178" s="307" t="n"/>
      <c r="K178" s="313">
        <f>IF(COUNT(G178:J178)=0,"",AVERAGE(G178:J178)*4)</f>
        <v/>
      </c>
      <c r="L178" s="306">
        <f>IF(C178="","",IF(COUNT(G178:J178)=0,"",IF(COUNT(G178:J178)&lt;4,"موقت - اطلاعات ناقص",IF(K178&gt;=17,"عالی",IF(K178&gt;=14,"خوب",IF(K178&gt;=10,"متوسط","ضعیف"))))))</f>
        <v/>
      </c>
      <c r="M178" s="306" t="n">
        <v>6</v>
      </c>
      <c r="N178" s="314">
        <f>IF(C178="","",COUNT(G178:J178)/4)</f>
        <v/>
      </c>
      <c r="O178" s="307" t="n"/>
    </row>
    <row r="179" ht="24" customHeight="1">
      <c r="A179" s="306" t="n">
        <v>175</v>
      </c>
      <c r="B179" s="306" t="inlineStr">
        <is>
          <t>دی</t>
        </is>
      </c>
      <c r="C179" s="306">
        <f>IF('دانش‌آموزان'!E19="","",'دانش‌آموزان'!B19)</f>
        <v/>
      </c>
      <c r="D179" s="306">
        <f>IF('دانش‌آموزان'!C19="","",'دانش‌آموزان'!C19)</f>
        <v/>
      </c>
      <c r="E179" s="306">
        <f>IF('دانش‌آموزان'!E19="","",'دانش‌آموزان'!E19&amp;" "&amp;'دانش‌آموزان'!F19)</f>
        <v/>
      </c>
      <c r="F179" s="306">
        <f>IF('دانش‌آموزان'!I19="","",'دانش‌آموزان'!I19)</f>
        <v/>
      </c>
      <c r="G179" s="307" t="n"/>
      <c r="H179" s="307" t="n"/>
      <c r="I179" s="307" t="n"/>
      <c r="J179" s="307" t="n"/>
      <c r="K179" s="313">
        <f>IF(COUNT(G179:J179)=0,"",AVERAGE(G179:J179)*4)</f>
        <v/>
      </c>
      <c r="L179" s="306">
        <f>IF(C179="","",IF(COUNT(G179:J179)=0,"",IF(COUNT(G179:J179)&lt;4,"موقت - اطلاعات ناقص",IF(K179&gt;=17,"عالی",IF(K179&gt;=14,"خوب",IF(K179&gt;=10,"متوسط","ضعیف"))))))</f>
        <v/>
      </c>
      <c r="M179" s="306" t="n">
        <v>7</v>
      </c>
      <c r="N179" s="314">
        <f>IF(C179="","",COUNT(G179:J179)/4)</f>
        <v/>
      </c>
      <c r="O179" s="307" t="n"/>
    </row>
    <row r="180" ht="24" customHeight="1">
      <c r="A180" s="306" t="n">
        <v>176</v>
      </c>
      <c r="B180" s="306" t="inlineStr">
        <is>
          <t>بهمن</t>
        </is>
      </c>
      <c r="C180" s="306">
        <f>IF('دانش‌آموزان'!E19="","",'دانش‌آموزان'!B19)</f>
        <v/>
      </c>
      <c r="D180" s="306">
        <f>IF('دانش‌آموزان'!C19="","",'دانش‌آموزان'!C19)</f>
        <v/>
      </c>
      <c r="E180" s="306">
        <f>IF('دانش‌آموزان'!E19="","",'دانش‌آموزان'!E19&amp;" "&amp;'دانش‌آموزان'!F19)</f>
        <v/>
      </c>
      <c r="F180" s="306">
        <f>IF('دانش‌آموزان'!I19="","",'دانش‌آموزان'!I19)</f>
        <v/>
      </c>
      <c r="G180" s="307" t="n"/>
      <c r="H180" s="307" t="n"/>
      <c r="I180" s="307" t="n"/>
      <c r="J180" s="307" t="n"/>
      <c r="K180" s="313">
        <f>IF(COUNT(G180:J180)=0,"",AVERAGE(G180:J180)*4)</f>
        <v/>
      </c>
      <c r="L180" s="306">
        <f>IF(C180="","",IF(COUNT(G180:J180)=0,"",IF(COUNT(G180:J180)&lt;4,"موقت - اطلاعات ناقص",IF(K180&gt;=17,"عالی",IF(K180&gt;=14,"خوب",IF(K180&gt;=10,"متوسط","ضعیف"))))))</f>
        <v/>
      </c>
      <c r="M180" s="306" t="n">
        <v>8</v>
      </c>
      <c r="N180" s="314">
        <f>IF(C180="","",COUNT(G180:J180)/4)</f>
        <v/>
      </c>
      <c r="O180" s="307" t="n"/>
    </row>
    <row r="181" ht="24" customHeight="1">
      <c r="A181" s="306" t="n">
        <v>177</v>
      </c>
      <c r="B181" s="306" t="inlineStr">
        <is>
          <t>اسفند</t>
        </is>
      </c>
      <c r="C181" s="306">
        <f>IF('دانش‌آموزان'!E19="","",'دانش‌آموزان'!B19)</f>
        <v/>
      </c>
      <c r="D181" s="306">
        <f>IF('دانش‌آموزان'!C19="","",'دانش‌آموزان'!C19)</f>
        <v/>
      </c>
      <c r="E181" s="306">
        <f>IF('دانش‌آموزان'!E19="","",'دانش‌آموزان'!E19&amp;" "&amp;'دانش‌آموزان'!F19)</f>
        <v/>
      </c>
      <c r="F181" s="306">
        <f>IF('دانش‌آموزان'!I19="","",'دانش‌آموزان'!I19)</f>
        <v/>
      </c>
      <c r="G181" s="307" t="n"/>
      <c r="H181" s="307" t="n"/>
      <c r="I181" s="307" t="n"/>
      <c r="J181" s="307" t="n"/>
      <c r="K181" s="313">
        <f>IF(COUNT(G181:J181)=0,"",AVERAGE(G181:J181)*4)</f>
        <v/>
      </c>
      <c r="L181" s="306">
        <f>IF(C181="","",IF(COUNT(G181:J181)=0,"",IF(COUNT(G181:J181)&lt;4,"موقت - اطلاعات ناقص",IF(K181&gt;=17,"عالی",IF(K181&gt;=14,"خوب",IF(K181&gt;=10,"متوسط","ضعیف"))))))</f>
        <v/>
      </c>
      <c r="M181" s="306" t="n">
        <v>9</v>
      </c>
      <c r="N181" s="314">
        <f>IF(C181="","",COUNT(G181:J181)/4)</f>
        <v/>
      </c>
      <c r="O181" s="307" t="n"/>
    </row>
    <row r="182" ht="24" customHeight="1">
      <c r="A182" s="306" t="n">
        <v>178</v>
      </c>
      <c r="B182" s="306" t="inlineStr">
        <is>
          <t>فروردین</t>
        </is>
      </c>
      <c r="C182" s="306">
        <f>IF('دانش‌آموزان'!E19="","",'دانش‌آموزان'!B19)</f>
        <v/>
      </c>
      <c r="D182" s="306">
        <f>IF('دانش‌آموزان'!C19="","",'دانش‌آموزان'!C19)</f>
        <v/>
      </c>
      <c r="E182" s="306">
        <f>IF('دانش‌آموزان'!E19="","",'دانش‌آموزان'!E19&amp;" "&amp;'دانش‌آموزان'!F19)</f>
        <v/>
      </c>
      <c r="F182" s="306">
        <f>IF('دانش‌آموزان'!I19="","",'دانش‌آموزان'!I19)</f>
        <v/>
      </c>
      <c r="G182" s="307" t="n"/>
      <c r="H182" s="307" t="n"/>
      <c r="I182" s="307" t="n"/>
      <c r="J182" s="307" t="n"/>
      <c r="K182" s="313">
        <f>IF(COUNT(G182:J182)=0,"",AVERAGE(G182:J182)*4)</f>
        <v/>
      </c>
      <c r="L182" s="306">
        <f>IF(C182="","",IF(COUNT(G182:J182)=0,"",IF(COUNT(G182:J182)&lt;4,"موقت - اطلاعات ناقص",IF(K182&gt;=17,"عالی",IF(K182&gt;=14,"خوب",IF(K182&gt;=10,"متوسط","ضعیف"))))))</f>
        <v/>
      </c>
      <c r="M182" s="306" t="n">
        <v>10</v>
      </c>
      <c r="N182" s="314">
        <f>IF(C182="","",COUNT(G182:J182)/4)</f>
        <v/>
      </c>
      <c r="O182" s="307" t="n"/>
    </row>
    <row r="183" ht="24" customHeight="1">
      <c r="A183" s="306" t="n">
        <v>179</v>
      </c>
      <c r="B183" s="306" t="inlineStr">
        <is>
          <t>اردیبهشت</t>
        </is>
      </c>
      <c r="C183" s="306">
        <f>IF('دانش‌آموزان'!E19="","",'دانش‌آموزان'!B19)</f>
        <v/>
      </c>
      <c r="D183" s="306">
        <f>IF('دانش‌آموزان'!C19="","",'دانش‌آموزان'!C19)</f>
        <v/>
      </c>
      <c r="E183" s="306">
        <f>IF('دانش‌آموزان'!E19="","",'دانش‌آموزان'!E19&amp;" "&amp;'دانش‌آموزان'!F19)</f>
        <v/>
      </c>
      <c r="F183" s="306">
        <f>IF('دانش‌آموزان'!I19="","",'دانش‌آموزان'!I19)</f>
        <v/>
      </c>
      <c r="G183" s="307" t="n"/>
      <c r="H183" s="307" t="n"/>
      <c r="I183" s="307" t="n"/>
      <c r="J183" s="307" t="n"/>
      <c r="K183" s="313">
        <f>IF(COUNT(G183:J183)=0,"",AVERAGE(G183:J183)*4)</f>
        <v/>
      </c>
      <c r="L183" s="306">
        <f>IF(C183="","",IF(COUNT(G183:J183)=0,"",IF(COUNT(G183:J183)&lt;4,"موقت - اطلاعات ناقص",IF(K183&gt;=17,"عالی",IF(K183&gt;=14,"خوب",IF(K183&gt;=10,"متوسط","ضعیف"))))))</f>
        <v/>
      </c>
      <c r="M183" s="306" t="n">
        <v>11</v>
      </c>
      <c r="N183" s="314">
        <f>IF(C183="","",COUNT(G183:J183)/4)</f>
        <v/>
      </c>
      <c r="O183" s="307" t="n"/>
    </row>
    <row r="184" ht="24" customHeight="1">
      <c r="A184" s="306" t="n">
        <v>180</v>
      </c>
      <c r="B184" s="306" t="inlineStr">
        <is>
          <t>خرداد</t>
        </is>
      </c>
      <c r="C184" s="306">
        <f>IF('دانش‌آموزان'!E19="","",'دانش‌آموزان'!B19)</f>
        <v/>
      </c>
      <c r="D184" s="306">
        <f>IF('دانش‌آموزان'!C19="","",'دانش‌آموزان'!C19)</f>
        <v/>
      </c>
      <c r="E184" s="306">
        <f>IF('دانش‌آموزان'!E19="","",'دانش‌آموزان'!E19&amp;" "&amp;'دانش‌آموزان'!F19)</f>
        <v/>
      </c>
      <c r="F184" s="306">
        <f>IF('دانش‌آموزان'!I19="","",'دانش‌آموزان'!I19)</f>
        <v/>
      </c>
      <c r="G184" s="307" t="n"/>
      <c r="H184" s="307" t="n"/>
      <c r="I184" s="307" t="n"/>
      <c r="J184" s="307" t="n"/>
      <c r="K184" s="313">
        <f>IF(COUNT(G184:J184)=0,"",AVERAGE(G184:J184)*4)</f>
        <v/>
      </c>
      <c r="L184" s="306">
        <f>IF(C184="","",IF(COUNT(G184:J184)=0,"",IF(COUNT(G184:J184)&lt;4,"موقت - اطلاعات ناقص",IF(K184&gt;=17,"عالی",IF(K184&gt;=14,"خوب",IF(K184&gt;=10,"متوسط","ضعیف"))))))</f>
        <v/>
      </c>
      <c r="M184" s="306" t="n">
        <v>12</v>
      </c>
      <c r="N184" s="314">
        <f>IF(C184="","",COUNT(G184:J184)/4)</f>
        <v/>
      </c>
      <c r="O184" s="307" t="n"/>
    </row>
    <row r="185" ht="24" customHeight="1">
      <c r="A185" s="306" t="n">
        <v>181</v>
      </c>
      <c r="B185" s="306" t="inlineStr">
        <is>
          <t>تیر</t>
        </is>
      </c>
      <c r="C185" s="306">
        <f>IF('دانش‌آموزان'!E20="","",'دانش‌آموزان'!B20)</f>
        <v/>
      </c>
      <c r="D185" s="306">
        <f>IF('دانش‌آموزان'!C20="","",'دانش‌آموزان'!C20)</f>
        <v/>
      </c>
      <c r="E185" s="306">
        <f>IF('دانش‌آموزان'!E20="","",'دانش‌آموزان'!E20&amp;" "&amp;'دانش‌آموزان'!F20)</f>
        <v/>
      </c>
      <c r="F185" s="306">
        <f>IF('دانش‌آموزان'!I20="","",'دانش‌آموزان'!I20)</f>
        <v/>
      </c>
      <c r="G185" s="307" t="n"/>
      <c r="H185" s="307" t="n"/>
      <c r="I185" s="307" t="n"/>
      <c r="J185" s="307" t="n"/>
      <c r="K185" s="313">
        <f>IF(COUNT(G185:J185)=0,"",AVERAGE(G185:J185)*4)</f>
        <v/>
      </c>
      <c r="L185" s="306">
        <f>IF(C185="","",IF(COUNT(G185:J185)=0,"",IF(COUNT(G185:J185)&lt;4,"موقت - اطلاعات ناقص",IF(K185&gt;=17,"عالی",IF(K185&gt;=14,"خوب",IF(K185&gt;=10,"متوسط","ضعیف"))))))</f>
        <v/>
      </c>
      <c r="M185" s="306" t="n">
        <v>1</v>
      </c>
      <c r="N185" s="314">
        <f>IF(C185="","",COUNT(G185:J185)/4)</f>
        <v/>
      </c>
      <c r="O185" s="307" t="n"/>
    </row>
    <row r="186" ht="24" customHeight="1">
      <c r="A186" s="306" t="n">
        <v>182</v>
      </c>
      <c r="B186" s="306" t="inlineStr">
        <is>
          <t>مرداد</t>
        </is>
      </c>
      <c r="C186" s="306">
        <f>IF('دانش‌آموزان'!E20="","",'دانش‌آموزان'!B20)</f>
        <v/>
      </c>
      <c r="D186" s="306">
        <f>IF('دانش‌آموزان'!C20="","",'دانش‌آموزان'!C20)</f>
        <v/>
      </c>
      <c r="E186" s="306">
        <f>IF('دانش‌آموزان'!E20="","",'دانش‌آموزان'!E20&amp;" "&amp;'دانش‌آموزان'!F20)</f>
        <v/>
      </c>
      <c r="F186" s="306">
        <f>IF('دانش‌آموزان'!I20="","",'دانش‌آموزان'!I20)</f>
        <v/>
      </c>
      <c r="G186" s="307" t="n"/>
      <c r="H186" s="307" t="n"/>
      <c r="I186" s="307" t="n"/>
      <c r="J186" s="307" t="n"/>
      <c r="K186" s="313">
        <f>IF(COUNT(G186:J186)=0,"",AVERAGE(G186:J186)*4)</f>
        <v/>
      </c>
      <c r="L186" s="306">
        <f>IF(C186="","",IF(COUNT(G186:J186)=0,"",IF(COUNT(G186:J186)&lt;4,"موقت - اطلاعات ناقص",IF(K186&gt;=17,"عالی",IF(K186&gt;=14,"خوب",IF(K186&gt;=10,"متوسط","ضعیف"))))))</f>
        <v/>
      </c>
      <c r="M186" s="306" t="n">
        <v>2</v>
      </c>
      <c r="N186" s="314">
        <f>IF(C186="","",COUNT(G186:J186)/4)</f>
        <v/>
      </c>
      <c r="O186" s="307" t="n"/>
    </row>
    <row r="187" ht="24" customHeight="1">
      <c r="A187" s="306" t="n">
        <v>183</v>
      </c>
      <c r="B187" s="306" t="inlineStr">
        <is>
          <t>شهریور</t>
        </is>
      </c>
      <c r="C187" s="306">
        <f>IF('دانش‌آموزان'!E20="","",'دانش‌آموزان'!B20)</f>
        <v/>
      </c>
      <c r="D187" s="306">
        <f>IF('دانش‌آموزان'!C20="","",'دانش‌آموزان'!C20)</f>
        <v/>
      </c>
      <c r="E187" s="306">
        <f>IF('دانش‌آموزان'!E20="","",'دانش‌آموزان'!E20&amp;" "&amp;'دانش‌آموزان'!F20)</f>
        <v/>
      </c>
      <c r="F187" s="306">
        <f>IF('دانش‌آموزان'!I20="","",'دانش‌آموزان'!I20)</f>
        <v/>
      </c>
      <c r="G187" s="307" t="n"/>
      <c r="H187" s="307" t="n"/>
      <c r="I187" s="307" t="n"/>
      <c r="J187" s="307" t="n"/>
      <c r="K187" s="313">
        <f>IF(COUNT(G187:J187)=0,"",AVERAGE(G187:J187)*4)</f>
        <v/>
      </c>
      <c r="L187" s="306">
        <f>IF(C187="","",IF(COUNT(G187:J187)=0,"",IF(COUNT(G187:J187)&lt;4,"موقت - اطلاعات ناقص",IF(K187&gt;=17,"عالی",IF(K187&gt;=14,"خوب",IF(K187&gt;=10,"متوسط","ضعیف"))))))</f>
        <v/>
      </c>
      <c r="M187" s="306" t="n">
        <v>3</v>
      </c>
      <c r="N187" s="314">
        <f>IF(C187="","",COUNT(G187:J187)/4)</f>
        <v/>
      </c>
      <c r="O187" s="307" t="n"/>
    </row>
    <row r="188" ht="24" customHeight="1">
      <c r="A188" s="306" t="n">
        <v>184</v>
      </c>
      <c r="B188" s="306" t="inlineStr">
        <is>
          <t>مهر</t>
        </is>
      </c>
      <c r="C188" s="306">
        <f>IF('دانش‌آموزان'!E20="","",'دانش‌آموزان'!B20)</f>
        <v/>
      </c>
      <c r="D188" s="306">
        <f>IF('دانش‌آموزان'!C20="","",'دانش‌آموزان'!C20)</f>
        <v/>
      </c>
      <c r="E188" s="306">
        <f>IF('دانش‌آموزان'!E20="","",'دانش‌آموزان'!E20&amp;" "&amp;'دانش‌آموزان'!F20)</f>
        <v/>
      </c>
      <c r="F188" s="306">
        <f>IF('دانش‌آموزان'!I20="","",'دانش‌آموزان'!I20)</f>
        <v/>
      </c>
      <c r="G188" s="307" t="n"/>
      <c r="H188" s="307" t="n"/>
      <c r="I188" s="307" t="n"/>
      <c r="J188" s="307" t="n"/>
      <c r="K188" s="313">
        <f>IF(COUNT(G188:J188)=0,"",AVERAGE(G188:J188)*4)</f>
        <v/>
      </c>
      <c r="L188" s="306">
        <f>IF(C188="","",IF(COUNT(G188:J188)=0,"",IF(COUNT(G188:J188)&lt;4,"موقت - اطلاعات ناقص",IF(K188&gt;=17,"عالی",IF(K188&gt;=14,"خوب",IF(K188&gt;=10,"متوسط","ضعیف"))))))</f>
        <v/>
      </c>
      <c r="M188" s="306" t="n">
        <v>4</v>
      </c>
      <c r="N188" s="314">
        <f>IF(C188="","",COUNT(G188:J188)/4)</f>
        <v/>
      </c>
      <c r="O188" s="307" t="n"/>
    </row>
    <row r="189" ht="24" customHeight="1">
      <c r="A189" s="306" t="n">
        <v>185</v>
      </c>
      <c r="B189" s="306" t="inlineStr">
        <is>
          <t>آبان</t>
        </is>
      </c>
      <c r="C189" s="306">
        <f>IF('دانش‌آموزان'!E20="","",'دانش‌آموزان'!B20)</f>
        <v/>
      </c>
      <c r="D189" s="306">
        <f>IF('دانش‌آموزان'!C20="","",'دانش‌آموزان'!C20)</f>
        <v/>
      </c>
      <c r="E189" s="306">
        <f>IF('دانش‌آموزان'!E20="","",'دانش‌آموزان'!E20&amp;" "&amp;'دانش‌آموزان'!F20)</f>
        <v/>
      </c>
      <c r="F189" s="306">
        <f>IF('دانش‌آموزان'!I20="","",'دانش‌آموزان'!I20)</f>
        <v/>
      </c>
      <c r="G189" s="307" t="n"/>
      <c r="H189" s="307" t="n"/>
      <c r="I189" s="307" t="n"/>
      <c r="J189" s="307" t="n"/>
      <c r="K189" s="313">
        <f>IF(COUNT(G189:J189)=0,"",AVERAGE(G189:J189)*4)</f>
        <v/>
      </c>
      <c r="L189" s="306">
        <f>IF(C189="","",IF(COUNT(G189:J189)=0,"",IF(COUNT(G189:J189)&lt;4,"موقت - اطلاعات ناقص",IF(K189&gt;=17,"عالی",IF(K189&gt;=14,"خوب",IF(K189&gt;=10,"متوسط","ضعیف"))))))</f>
        <v/>
      </c>
      <c r="M189" s="306" t="n">
        <v>5</v>
      </c>
      <c r="N189" s="314">
        <f>IF(C189="","",COUNT(G189:J189)/4)</f>
        <v/>
      </c>
      <c r="O189" s="307" t="n"/>
    </row>
    <row r="190" ht="24" customHeight="1">
      <c r="A190" s="306" t="n">
        <v>186</v>
      </c>
      <c r="B190" s="306" t="inlineStr">
        <is>
          <t>آذر</t>
        </is>
      </c>
      <c r="C190" s="306">
        <f>IF('دانش‌آموزان'!E20="","",'دانش‌آموزان'!B20)</f>
        <v/>
      </c>
      <c r="D190" s="306">
        <f>IF('دانش‌آموزان'!C20="","",'دانش‌آموزان'!C20)</f>
        <v/>
      </c>
      <c r="E190" s="306">
        <f>IF('دانش‌آموزان'!E20="","",'دانش‌آموزان'!E20&amp;" "&amp;'دانش‌آموزان'!F20)</f>
        <v/>
      </c>
      <c r="F190" s="306">
        <f>IF('دانش‌آموزان'!I20="","",'دانش‌آموزان'!I20)</f>
        <v/>
      </c>
      <c r="G190" s="307" t="n"/>
      <c r="H190" s="307" t="n"/>
      <c r="I190" s="307" t="n"/>
      <c r="J190" s="307" t="n"/>
      <c r="K190" s="313">
        <f>IF(COUNT(G190:J190)=0,"",AVERAGE(G190:J190)*4)</f>
        <v/>
      </c>
      <c r="L190" s="306">
        <f>IF(C190="","",IF(COUNT(G190:J190)=0,"",IF(COUNT(G190:J190)&lt;4,"موقت - اطلاعات ناقص",IF(K190&gt;=17,"عالی",IF(K190&gt;=14,"خوب",IF(K190&gt;=10,"متوسط","ضعیف"))))))</f>
        <v/>
      </c>
      <c r="M190" s="306" t="n">
        <v>6</v>
      </c>
      <c r="N190" s="314">
        <f>IF(C190="","",COUNT(G190:J190)/4)</f>
        <v/>
      </c>
      <c r="O190" s="307" t="n"/>
    </row>
    <row r="191" ht="24" customHeight="1">
      <c r="A191" s="306" t="n">
        <v>187</v>
      </c>
      <c r="B191" s="306" t="inlineStr">
        <is>
          <t>دی</t>
        </is>
      </c>
      <c r="C191" s="306">
        <f>IF('دانش‌آموزان'!E20="","",'دانش‌آموزان'!B20)</f>
        <v/>
      </c>
      <c r="D191" s="306">
        <f>IF('دانش‌آموزان'!C20="","",'دانش‌آموزان'!C20)</f>
        <v/>
      </c>
      <c r="E191" s="306">
        <f>IF('دانش‌آموزان'!E20="","",'دانش‌آموزان'!E20&amp;" "&amp;'دانش‌آموزان'!F20)</f>
        <v/>
      </c>
      <c r="F191" s="306">
        <f>IF('دانش‌آموزان'!I20="","",'دانش‌آموزان'!I20)</f>
        <v/>
      </c>
      <c r="G191" s="307" t="n"/>
      <c r="H191" s="307" t="n"/>
      <c r="I191" s="307" t="n"/>
      <c r="J191" s="307" t="n"/>
      <c r="K191" s="313">
        <f>IF(COUNT(G191:J191)=0,"",AVERAGE(G191:J191)*4)</f>
        <v/>
      </c>
      <c r="L191" s="306">
        <f>IF(C191="","",IF(COUNT(G191:J191)=0,"",IF(COUNT(G191:J191)&lt;4,"موقت - اطلاعات ناقص",IF(K191&gt;=17,"عالی",IF(K191&gt;=14,"خوب",IF(K191&gt;=10,"متوسط","ضعیف"))))))</f>
        <v/>
      </c>
      <c r="M191" s="306" t="n">
        <v>7</v>
      </c>
      <c r="N191" s="314">
        <f>IF(C191="","",COUNT(G191:J191)/4)</f>
        <v/>
      </c>
      <c r="O191" s="307" t="n"/>
    </row>
    <row r="192" ht="24" customHeight="1">
      <c r="A192" s="306" t="n">
        <v>188</v>
      </c>
      <c r="B192" s="306" t="inlineStr">
        <is>
          <t>بهمن</t>
        </is>
      </c>
      <c r="C192" s="306">
        <f>IF('دانش‌آموزان'!E20="","",'دانش‌آموزان'!B20)</f>
        <v/>
      </c>
      <c r="D192" s="306">
        <f>IF('دانش‌آموزان'!C20="","",'دانش‌آموزان'!C20)</f>
        <v/>
      </c>
      <c r="E192" s="306">
        <f>IF('دانش‌آموزان'!E20="","",'دانش‌آموزان'!E20&amp;" "&amp;'دانش‌آموزان'!F20)</f>
        <v/>
      </c>
      <c r="F192" s="306">
        <f>IF('دانش‌آموزان'!I20="","",'دانش‌آموزان'!I20)</f>
        <v/>
      </c>
      <c r="G192" s="307" t="n"/>
      <c r="H192" s="307" t="n"/>
      <c r="I192" s="307" t="n"/>
      <c r="J192" s="307" t="n"/>
      <c r="K192" s="313">
        <f>IF(COUNT(G192:J192)=0,"",AVERAGE(G192:J192)*4)</f>
        <v/>
      </c>
      <c r="L192" s="306">
        <f>IF(C192="","",IF(COUNT(G192:J192)=0,"",IF(COUNT(G192:J192)&lt;4,"موقت - اطلاعات ناقص",IF(K192&gt;=17,"عالی",IF(K192&gt;=14,"خوب",IF(K192&gt;=10,"متوسط","ضعیف"))))))</f>
        <v/>
      </c>
      <c r="M192" s="306" t="n">
        <v>8</v>
      </c>
      <c r="N192" s="314">
        <f>IF(C192="","",COUNT(G192:J192)/4)</f>
        <v/>
      </c>
      <c r="O192" s="307" t="n"/>
    </row>
    <row r="193" ht="24" customHeight="1">
      <c r="A193" s="306" t="n">
        <v>189</v>
      </c>
      <c r="B193" s="306" t="inlineStr">
        <is>
          <t>اسفند</t>
        </is>
      </c>
      <c r="C193" s="306">
        <f>IF('دانش‌آموزان'!E20="","",'دانش‌آموزان'!B20)</f>
        <v/>
      </c>
      <c r="D193" s="306">
        <f>IF('دانش‌آموزان'!C20="","",'دانش‌آموزان'!C20)</f>
        <v/>
      </c>
      <c r="E193" s="306">
        <f>IF('دانش‌آموزان'!E20="","",'دانش‌آموزان'!E20&amp;" "&amp;'دانش‌آموزان'!F20)</f>
        <v/>
      </c>
      <c r="F193" s="306">
        <f>IF('دانش‌آموزان'!I20="","",'دانش‌آموزان'!I20)</f>
        <v/>
      </c>
      <c r="G193" s="307" t="n"/>
      <c r="H193" s="307" t="n"/>
      <c r="I193" s="307" t="n"/>
      <c r="J193" s="307" t="n"/>
      <c r="K193" s="313">
        <f>IF(COUNT(G193:J193)=0,"",AVERAGE(G193:J193)*4)</f>
        <v/>
      </c>
      <c r="L193" s="306">
        <f>IF(C193="","",IF(COUNT(G193:J193)=0,"",IF(COUNT(G193:J193)&lt;4,"موقت - اطلاعات ناقص",IF(K193&gt;=17,"عالی",IF(K193&gt;=14,"خوب",IF(K193&gt;=10,"متوسط","ضعیف"))))))</f>
        <v/>
      </c>
      <c r="M193" s="306" t="n">
        <v>9</v>
      </c>
      <c r="N193" s="314">
        <f>IF(C193="","",COUNT(G193:J193)/4)</f>
        <v/>
      </c>
      <c r="O193" s="307" t="n"/>
    </row>
    <row r="194" ht="24" customHeight="1">
      <c r="A194" s="306" t="n">
        <v>190</v>
      </c>
      <c r="B194" s="306" t="inlineStr">
        <is>
          <t>فروردین</t>
        </is>
      </c>
      <c r="C194" s="306">
        <f>IF('دانش‌آموزان'!E20="","",'دانش‌آموزان'!B20)</f>
        <v/>
      </c>
      <c r="D194" s="306">
        <f>IF('دانش‌آموزان'!C20="","",'دانش‌آموزان'!C20)</f>
        <v/>
      </c>
      <c r="E194" s="306">
        <f>IF('دانش‌آموزان'!E20="","",'دانش‌آموزان'!E20&amp;" "&amp;'دانش‌آموزان'!F20)</f>
        <v/>
      </c>
      <c r="F194" s="306">
        <f>IF('دانش‌آموزان'!I20="","",'دانش‌آموزان'!I20)</f>
        <v/>
      </c>
      <c r="G194" s="307" t="n"/>
      <c r="H194" s="307" t="n"/>
      <c r="I194" s="307" t="n"/>
      <c r="J194" s="307" t="n"/>
      <c r="K194" s="313">
        <f>IF(COUNT(G194:J194)=0,"",AVERAGE(G194:J194)*4)</f>
        <v/>
      </c>
      <c r="L194" s="306">
        <f>IF(C194="","",IF(COUNT(G194:J194)=0,"",IF(COUNT(G194:J194)&lt;4,"موقت - اطلاعات ناقص",IF(K194&gt;=17,"عالی",IF(K194&gt;=14,"خوب",IF(K194&gt;=10,"متوسط","ضعیف"))))))</f>
        <v/>
      </c>
      <c r="M194" s="306" t="n">
        <v>10</v>
      </c>
      <c r="N194" s="314">
        <f>IF(C194="","",COUNT(G194:J194)/4)</f>
        <v/>
      </c>
      <c r="O194" s="307" t="n"/>
    </row>
    <row r="195" ht="24" customHeight="1">
      <c r="A195" s="306" t="n">
        <v>191</v>
      </c>
      <c r="B195" s="306" t="inlineStr">
        <is>
          <t>اردیبهشت</t>
        </is>
      </c>
      <c r="C195" s="306">
        <f>IF('دانش‌آموزان'!E20="","",'دانش‌آموزان'!B20)</f>
        <v/>
      </c>
      <c r="D195" s="306">
        <f>IF('دانش‌آموزان'!C20="","",'دانش‌آموزان'!C20)</f>
        <v/>
      </c>
      <c r="E195" s="306">
        <f>IF('دانش‌آموزان'!E20="","",'دانش‌آموزان'!E20&amp;" "&amp;'دانش‌آموزان'!F20)</f>
        <v/>
      </c>
      <c r="F195" s="306">
        <f>IF('دانش‌آموزان'!I20="","",'دانش‌آموزان'!I20)</f>
        <v/>
      </c>
      <c r="G195" s="307" t="n"/>
      <c r="H195" s="307" t="n"/>
      <c r="I195" s="307" t="n"/>
      <c r="J195" s="307" t="n"/>
      <c r="K195" s="313">
        <f>IF(COUNT(G195:J195)=0,"",AVERAGE(G195:J195)*4)</f>
        <v/>
      </c>
      <c r="L195" s="306">
        <f>IF(C195="","",IF(COUNT(G195:J195)=0,"",IF(COUNT(G195:J195)&lt;4,"موقت - اطلاعات ناقص",IF(K195&gt;=17,"عالی",IF(K195&gt;=14,"خوب",IF(K195&gt;=10,"متوسط","ضعیف"))))))</f>
        <v/>
      </c>
      <c r="M195" s="306" t="n">
        <v>11</v>
      </c>
      <c r="N195" s="314">
        <f>IF(C195="","",COUNT(G195:J195)/4)</f>
        <v/>
      </c>
      <c r="O195" s="307" t="n"/>
    </row>
    <row r="196" ht="24" customHeight="1">
      <c r="A196" s="306" t="n">
        <v>192</v>
      </c>
      <c r="B196" s="306" t="inlineStr">
        <is>
          <t>خرداد</t>
        </is>
      </c>
      <c r="C196" s="306">
        <f>IF('دانش‌آموزان'!E20="","",'دانش‌آموزان'!B20)</f>
        <v/>
      </c>
      <c r="D196" s="306">
        <f>IF('دانش‌آموزان'!C20="","",'دانش‌آموزان'!C20)</f>
        <v/>
      </c>
      <c r="E196" s="306">
        <f>IF('دانش‌آموزان'!E20="","",'دانش‌آموزان'!E20&amp;" "&amp;'دانش‌آموزان'!F20)</f>
        <v/>
      </c>
      <c r="F196" s="306">
        <f>IF('دانش‌آموزان'!I20="","",'دانش‌آموزان'!I20)</f>
        <v/>
      </c>
      <c r="G196" s="307" t="n"/>
      <c r="H196" s="307" t="n"/>
      <c r="I196" s="307" t="n"/>
      <c r="J196" s="307" t="n"/>
      <c r="K196" s="313">
        <f>IF(COUNT(G196:J196)=0,"",AVERAGE(G196:J196)*4)</f>
        <v/>
      </c>
      <c r="L196" s="306">
        <f>IF(C196="","",IF(COUNT(G196:J196)=0,"",IF(COUNT(G196:J196)&lt;4,"موقت - اطلاعات ناقص",IF(K196&gt;=17,"عالی",IF(K196&gt;=14,"خوب",IF(K196&gt;=10,"متوسط","ضعیف"))))))</f>
        <v/>
      </c>
      <c r="M196" s="306" t="n">
        <v>12</v>
      </c>
      <c r="N196" s="314">
        <f>IF(C196="","",COUNT(G196:J196)/4)</f>
        <v/>
      </c>
      <c r="O196" s="307" t="n"/>
    </row>
    <row r="197" ht="24" customHeight="1">
      <c r="A197" s="306" t="n">
        <v>193</v>
      </c>
      <c r="B197" s="306" t="inlineStr">
        <is>
          <t>تیر</t>
        </is>
      </c>
      <c r="C197" s="306">
        <f>IF('دانش‌آموزان'!E21="","",'دانش‌آموزان'!B21)</f>
        <v/>
      </c>
      <c r="D197" s="306">
        <f>IF('دانش‌آموزان'!C21="","",'دانش‌آموزان'!C21)</f>
        <v/>
      </c>
      <c r="E197" s="306">
        <f>IF('دانش‌آموزان'!E21="","",'دانش‌آموزان'!E21&amp;" "&amp;'دانش‌آموزان'!F21)</f>
        <v/>
      </c>
      <c r="F197" s="306">
        <f>IF('دانش‌آموزان'!I21="","",'دانش‌آموزان'!I21)</f>
        <v/>
      </c>
      <c r="G197" s="307" t="n"/>
      <c r="H197" s="307" t="n"/>
      <c r="I197" s="307" t="n"/>
      <c r="J197" s="307" t="n"/>
      <c r="K197" s="313">
        <f>IF(COUNT(G197:J197)=0,"",AVERAGE(G197:J197)*4)</f>
        <v/>
      </c>
      <c r="L197" s="306">
        <f>IF(C197="","",IF(COUNT(G197:J197)=0,"",IF(COUNT(G197:J197)&lt;4,"موقت - اطلاعات ناقص",IF(K197&gt;=17,"عالی",IF(K197&gt;=14,"خوب",IF(K197&gt;=10,"متوسط","ضعیف"))))))</f>
        <v/>
      </c>
      <c r="M197" s="306" t="n">
        <v>1</v>
      </c>
      <c r="N197" s="314">
        <f>IF(C197="","",COUNT(G197:J197)/4)</f>
        <v/>
      </c>
      <c r="O197" s="307" t="n"/>
    </row>
    <row r="198" ht="24" customHeight="1">
      <c r="A198" s="306" t="n">
        <v>194</v>
      </c>
      <c r="B198" s="306" t="inlineStr">
        <is>
          <t>مرداد</t>
        </is>
      </c>
      <c r="C198" s="306">
        <f>IF('دانش‌آموزان'!E21="","",'دانش‌آموزان'!B21)</f>
        <v/>
      </c>
      <c r="D198" s="306">
        <f>IF('دانش‌آموزان'!C21="","",'دانش‌آموزان'!C21)</f>
        <v/>
      </c>
      <c r="E198" s="306">
        <f>IF('دانش‌آموزان'!E21="","",'دانش‌آموزان'!E21&amp;" "&amp;'دانش‌آموزان'!F21)</f>
        <v/>
      </c>
      <c r="F198" s="306">
        <f>IF('دانش‌آموزان'!I21="","",'دانش‌آموزان'!I21)</f>
        <v/>
      </c>
      <c r="G198" s="307" t="n"/>
      <c r="H198" s="307" t="n"/>
      <c r="I198" s="307" t="n"/>
      <c r="J198" s="307" t="n"/>
      <c r="K198" s="313">
        <f>IF(COUNT(G198:J198)=0,"",AVERAGE(G198:J198)*4)</f>
        <v/>
      </c>
      <c r="L198" s="306">
        <f>IF(C198="","",IF(COUNT(G198:J198)=0,"",IF(COUNT(G198:J198)&lt;4,"موقت - اطلاعات ناقص",IF(K198&gt;=17,"عالی",IF(K198&gt;=14,"خوب",IF(K198&gt;=10,"متوسط","ضعیف"))))))</f>
        <v/>
      </c>
      <c r="M198" s="306" t="n">
        <v>2</v>
      </c>
      <c r="N198" s="314">
        <f>IF(C198="","",COUNT(G198:J198)/4)</f>
        <v/>
      </c>
      <c r="O198" s="307" t="n"/>
    </row>
    <row r="199" ht="24" customHeight="1">
      <c r="A199" s="306" t="n">
        <v>195</v>
      </c>
      <c r="B199" s="306" t="inlineStr">
        <is>
          <t>شهریور</t>
        </is>
      </c>
      <c r="C199" s="306">
        <f>IF('دانش‌آموزان'!E21="","",'دانش‌آموزان'!B21)</f>
        <v/>
      </c>
      <c r="D199" s="306">
        <f>IF('دانش‌آموزان'!C21="","",'دانش‌آموزان'!C21)</f>
        <v/>
      </c>
      <c r="E199" s="306">
        <f>IF('دانش‌آموزان'!E21="","",'دانش‌آموزان'!E21&amp;" "&amp;'دانش‌آموزان'!F21)</f>
        <v/>
      </c>
      <c r="F199" s="306">
        <f>IF('دانش‌آموزان'!I21="","",'دانش‌آموزان'!I21)</f>
        <v/>
      </c>
      <c r="G199" s="307" t="n"/>
      <c r="H199" s="307" t="n"/>
      <c r="I199" s="307" t="n"/>
      <c r="J199" s="307" t="n"/>
      <c r="K199" s="313">
        <f>IF(COUNT(G199:J199)=0,"",AVERAGE(G199:J199)*4)</f>
        <v/>
      </c>
      <c r="L199" s="306">
        <f>IF(C199="","",IF(COUNT(G199:J199)=0,"",IF(COUNT(G199:J199)&lt;4,"موقت - اطلاعات ناقص",IF(K199&gt;=17,"عالی",IF(K199&gt;=14,"خوب",IF(K199&gt;=10,"متوسط","ضعیف"))))))</f>
        <v/>
      </c>
      <c r="M199" s="306" t="n">
        <v>3</v>
      </c>
      <c r="N199" s="314">
        <f>IF(C199="","",COUNT(G199:J199)/4)</f>
        <v/>
      </c>
      <c r="O199" s="307" t="n"/>
    </row>
    <row r="200" ht="24" customHeight="1">
      <c r="A200" s="306" t="n">
        <v>196</v>
      </c>
      <c r="B200" s="306" t="inlineStr">
        <is>
          <t>مهر</t>
        </is>
      </c>
      <c r="C200" s="306">
        <f>IF('دانش‌آموزان'!E21="","",'دانش‌آموزان'!B21)</f>
        <v/>
      </c>
      <c r="D200" s="306">
        <f>IF('دانش‌آموزان'!C21="","",'دانش‌آموزان'!C21)</f>
        <v/>
      </c>
      <c r="E200" s="306">
        <f>IF('دانش‌آموزان'!E21="","",'دانش‌آموزان'!E21&amp;" "&amp;'دانش‌آموزان'!F21)</f>
        <v/>
      </c>
      <c r="F200" s="306">
        <f>IF('دانش‌آموزان'!I21="","",'دانش‌آموزان'!I21)</f>
        <v/>
      </c>
      <c r="G200" s="307" t="n"/>
      <c r="H200" s="307" t="n"/>
      <c r="I200" s="307" t="n"/>
      <c r="J200" s="307" t="n"/>
      <c r="K200" s="313">
        <f>IF(COUNT(G200:J200)=0,"",AVERAGE(G200:J200)*4)</f>
        <v/>
      </c>
      <c r="L200" s="306">
        <f>IF(C200="","",IF(COUNT(G200:J200)=0,"",IF(COUNT(G200:J200)&lt;4,"موقت - اطلاعات ناقص",IF(K200&gt;=17,"عالی",IF(K200&gt;=14,"خوب",IF(K200&gt;=10,"متوسط","ضعیف"))))))</f>
        <v/>
      </c>
      <c r="M200" s="306" t="n">
        <v>4</v>
      </c>
      <c r="N200" s="314">
        <f>IF(C200="","",COUNT(G200:J200)/4)</f>
        <v/>
      </c>
      <c r="O200" s="307" t="n"/>
    </row>
    <row r="201" ht="24" customHeight="1">
      <c r="A201" s="306" t="n">
        <v>197</v>
      </c>
      <c r="B201" s="306" t="inlineStr">
        <is>
          <t>آبان</t>
        </is>
      </c>
      <c r="C201" s="306">
        <f>IF('دانش‌آموزان'!E21="","",'دانش‌آموزان'!B21)</f>
        <v/>
      </c>
      <c r="D201" s="306">
        <f>IF('دانش‌آموزان'!C21="","",'دانش‌آموزان'!C21)</f>
        <v/>
      </c>
      <c r="E201" s="306">
        <f>IF('دانش‌آموزان'!E21="","",'دانش‌آموزان'!E21&amp;" "&amp;'دانش‌آموزان'!F21)</f>
        <v/>
      </c>
      <c r="F201" s="306">
        <f>IF('دانش‌آموزان'!I21="","",'دانش‌آموزان'!I21)</f>
        <v/>
      </c>
      <c r="G201" s="307" t="n"/>
      <c r="H201" s="307" t="n"/>
      <c r="I201" s="307" t="n"/>
      <c r="J201" s="307" t="n"/>
      <c r="K201" s="313">
        <f>IF(COUNT(G201:J201)=0,"",AVERAGE(G201:J201)*4)</f>
        <v/>
      </c>
      <c r="L201" s="306">
        <f>IF(C201="","",IF(COUNT(G201:J201)=0,"",IF(COUNT(G201:J201)&lt;4,"موقت - اطلاعات ناقص",IF(K201&gt;=17,"عالی",IF(K201&gt;=14,"خوب",IF(K201&gt;=10,"متوسط","ضعیف"))))))</f>
        <v/>
      </c>
      <c r="M201" s="306" t="n">
        <v>5</v>
      </c>
      <c r="N201" s="314">
        <f>IF(C201="","",COUNT(G201:J201)/4)</f>
        <v/>
      </c>
      <c r="O201" s="307" t="n"/>
    </row>
    <row r="202" ht="24" customHeight="1">
      <c r="A202" s="306" t="n">
        <v>198</v>
      </c>
      <c r="B202" s="306" t="inlineStr">
        <is>
          <t>آذر</t>
        </is>
      </c>
      <c r="C202" s="306">
        <f>IF('دانش‌آموزان'!E21="","",'دانش‌آموزان'!B21)</f>
        <v/>
      </c>
      <c r="D202" s="306">
        <f>IF('دانش‌آموزان'!C21="","",'دانش‌آموزان'!C21)</f>
        <v/>
      </c>
      <c r="E202" s="306">
        <f>IF('دانش‌آموزان'!E21="","",'دانش‌آموزان'!E21&amp;" "&amp;'دانش‌آموزان'!F21)</f>
        <v/>
      </c>
      <c r="F202" s="306">
        <f>IF('دانش‌آموزان'!I21="","",'دانش‌آموزان'!I21)</f>
        <v/>
      </c>
      <c r="G202" s="307" t="n"/>
      <c r="H202" s="307" t="n"/>
      <c r="I202" s="307" t="n"/>
      <c r="J202" s="307" t="n"/>
      <c r="K202" s="313">
        <f>IF(COUNT(G202:J202)=0,"",AVERAGE(G202:J202)*4)</f>
        <v/>
      </c>
      <c r="L202" s="306">
        <f>IF(C202="","",IF(COUNT(G202:J202)=0,"",IF(COUNT(G202:J202)&lt;4,"موقت - اطلاعات ناقص",IF(K202&gt;=17,"عالی",IF(K202&gt;=14,"خوب",IF(K202&gt;=10,"متوسط","ضعیف"))))))</f>
        <v/>
      </c>
      <c r="M202" s="306" t="n">
        <v>6</v>
      </c>
      <c r="N202" s="314">
        <f>IF(C202="","",COUNT(G202:J202)/4)</f>
        <v/>
      </c>
      <c r="O202" s="307" t="n"/>
    </row>
    <row r="203" ht="24" customHeight="1">
      <c r="A203" s="306" t="n">
        <v>199</v>
      </c>
      <c r="B203" s="306" t="inlineStr">
        <is>
          <t>دی</t>
        </is>
      </c>
      <c r="C203" s="306">
        <f>IF('دانش‌آموزان'!E21="","",'دانش‌آموزان'!B21)</f>
        <v/>
      </c>
      <c r="D203" s="306">
        <f>IF('دانش‌آموزان'!C21="","",'دانش‌آموزان'!C21)</f>
        <v/>
      </c>
      <c r="E203" s="306">
        <f>IF('دانش‌آموزان'!E21="","",'دانش‌آموزان'!E21&amp;" "&amp;'دانش‌آموزان'!F21)</f>
        <v/>
      </c>
      <c r="F203" s="306">
        <f>IF('دانش‌آموزان'!I21="","",'دانش‌آموزان'!I21)</f>
        <v/>
      </c>
      <c r="G203" s="307" t="n"/>
      <c r="H203" s="307" t="n"/>
      <c r="I203" s="307" t="n"/>
      <c r="J203" s="307" t="n"/>
      <c r="K203" s="313">
        <f>IF(COUNT(G203:J203)=0,"",AVERAGE(G203:J203)*4)</f>
        <v/>
      </c>
      <c r="L203" s="306">
        <f>IF(C203="","",IF(COUNT(G203:J203)=0,"",IF(COUNT(G203:J203)&lt;4,"موقت - اطلاعات ناقص",IF(K203&gt;=17,"عالی",IF(K203&gt;=14,"خوب",IF(K203&gt;=10,"متوسط","ضعیف"))))))</f>
        <v/>
      </c>
      <c r="M203" s="306" t="n">
        <v>7</v>
      </c>
      <c r="N203" s="314">
        <f>IF(C203="","",COUNT(G203:J203)/4)</f>
        <v/>
      </c>
      <c r="O203" s="307" t="n"/>
    </row>
    <row r="204" ht="24" customHeight="1">
      <c r="A204" s="306" t="n">
        <v>200</v>
      </c>
      <c r="B204" s="306" t="inlineStr">
        <is>
          <t>بهمن</t>
        </is>
      </c>
      <c r="C204" s="306">
        <f>IF('دانش‌آموزان'!E21="","",'دانش‌آموزان'!B21)</f>
        <v/>
      </c>
      <c r="D204" s="306">
        <f>IF('دانش‌آموزان'!C21="","",'دانش‌آموزان'!C21)</f>
        <v/>
      </c>
      <c r="E204" s="306">
        <f>IF('دانش‌آموزان'!E21="","",'دانش‌آموزان'!E21&amp;" "&amp;'دانش‌آموزان'!F21)</f>
        <v/>
      </c>
      <c r="F204" s="306">
        <f>IF('دانش‌آموزان'!I21="","",'دانش‌آموزان'!I21)</f>
        <v/>
      </c>
      <c r="G204" s="307" t="n"/>
      <c r="H204" s="307" t="n"/>
      <c r="I204" s="307" t="n"/>
      <c r="J204" s="307" t="n"/>
      <c r="K204" s="313">
        <f>IF(COUNT(G204:J204)=0,"",AVERAGE(G204:J204)*4)</f>
        <v/>
      </c>
      <c r="L204" s="306">
        <f>IF(C204="","",IF(COUNT(G204:J204)=0,"",IF(COUNT(G204:J204)&lt;4,"موقت - اطلاعات ناقص",IF(K204&gt;=17,"عالی",IF(K204&gt;=14,"خوب",IF(K204&gt;=10,"متوسط","ضعیف"))))))</f>
        <v/>
      </c>
      <c r="M204" s="306" t="n">
        <v>8</v>
      </c>
      <c r="N204" s="314">
        <f>IF(C204="","",COUNT(G204:J204)/4)</f>
        <v/>
      </c>
      <c r="O204" s="307" t="n"/>
    </row>
    <row r="205" ht="24" customHeight="1">
      <c r="A205" s="306" t="n">
        <v>201</v>
      </c>
      <c r="B205" s="306" t="inlineStr">
        <is>
          <t>اسفند</t>
        </is>
      </c>
      <c r="C205" s="306">
        <f>IF('دانش‌آموزان'!E21="","",'دانش‌آموزان'!B21)</f>
        <v/>
      </c>
      <c r="D205" s="306">
        <f>IF('دانش‌آموزان'!C21="","",'دانش‌آموزان'!C21)</f>
        <v/>
      </c>
      <c r="E205" s="306">
        <f>IF('دانش‌آموزان'!E21="","",'دانش‌آموزان'!E21&amp;" "&amp;'دانش‌آموزان'!F21)</f>
        <v/>
      </c>
      <c r="F205" s="306">
        <f>IF('دانش‌آموزان'!I21="","",'دانش‌آموزان'!I21)</f>
        <v/>
      </c>
      <c r="G205" s="307" t="n"/>
      <c r="H205" s="307" t="n"/>
      <c r="I205" s="307" t="n"/>
      <c r="J205" s="307" t="n"/>
      <c r="K205" s="313">
        <f>IF(COUNT(G205:J205)=0,"",AVERAGE(G205:J205)*4)</f>
        <v/>
      </c>
      <c r="L205" s="306">
        <f>IF(C205="","",IF(COUNT(G205:J205)=0,"",IF(COUNT(G205:J205)&lt;4,"موقت - اطلاعات ناقص",IF(K205&gt;=17,"عالی",IF(K205&gt;=14,"خوب",IF(K205&gt;=10,"متوسط","ضعیف"))))))</f>
        <v/>
      </c>
      <c r="M205" s="306" t="n">
        <v>9</v>
      </c>
      <c r="N205" s="314">
        <f>IF(C205="","",COUNT(G205:J205)/4)</f>
        <v/>
      </c>
      <c r="O205" s="307" t="n"/>
    </row>
    <row r="206" ht="24" customHeight="1">
      <c r="A206" s="306" t="n">
        <v>202</v>
      </c>
      <c r="B206" s="306" t="inlineStr">
        <is>
          <t>فروردین</t>
        </is>
      </c>
      <c r="C206" s="306">
        <f>IF('دانش‌آموزان'!E21="","",'دانش‌آموزان'!B21)</f>
        <v/>
      </c>
      <c r="D206" s="306">
        <f>IF('دانش‌آموزان'!C21="","",'دانش‌آموزان'!C21)</f>
        <v/>
      </c>
      <c r="E206" s="306">
        <f>IF('دانش‌آموزان'!E21="","",'دانش‌آموزان'!E21&amp;" "&amp;'دانش‌آموزان'!F21)</f>
        <v/>
      </c>
      <c r="F206" s="306">
        <f>IF('دانش‌آموزان'!I21="","",'دانش‌آموزان'!I21)</f>
        <v/>
      </c>
      <c r="G206" s="307" t="n"/>
      <c r="H206" s="307" t="n"/>
      <c r="I206" s="307" t="n"/>
      <c r="J206" s="307" t="n"/>
      <c r="K206" s="313">
        <f>IF(COUNT(G206:J206)=0,"",AVERAGE(G206:J206)*4)</f>
        <v/>
      </c>
      <c r="L206" s="306">
        <f>IF(C206="","",IF(COUNT(G206:J206)=0,"",IF(COUNT(G206:J206)&lt;4,"موقت - اطلاعات ناقص",IF(K206&gt;=17,"عالی",IF(K206&gt;=14,"خوب",IF(K206&gt;=10,"متوسط","ضعیف"))))))</f>
        <v/>
      </c>
      <c r="M206" s="306" t="n">
        <v>10</v>
      </c>
      <c r="N206" s="314">
        <f>IF(C206="","",COUNT(G206:J206)/4)</f>
        <v/>
      </c>
      <c r="O206" s="307" t="n"/>
    </row>
    <row r="207" ht="24" customHeight="1">
      <c r="A207" s="306" t="n">
        <v>203</v>
      </c>
      <c r="B207" s="306" t="inlineStr">
        <is>
          <t>اردیبهشت</t>
        </is>
      </c>
      <c r="C207" s="306">
        <f>IF('دانش‌آموزان'!E21="","",'دانش‌آموزان'!B21)</f>
        <v/>
      </c>
      <c r="D207" s="306">
        <f>IF('دانش‌آموزان'!C21="","",'دانش‌آموزان'!C21)</f>
        <v/>
      </c>
      <c r="E207" s="306">
        <f>IF('دانش‌آموزان'!E21="","",'دانش‌آموزان'!E21&amp;" "&amp;'دانش‌آموزان'!F21)</f>
        <v/>
      </c>
      <c r="F207" s="306">
        <f>IF('دانش‌آموزان'!I21="","",'دانش‌آموزان'!I21)</f>
        <v/>
      </c>
      <c r="G207" s="307" t="n"/>
      <c r="H207" s="307" t="n"/>
      <c r="I207" s="307" t="n"/>
      <c r="J207" s="307" t="n"/>
      <c r="K207" s="313">
        <f>IF(COUNT(G207:J207)=0,"",AVERAGE(G207:J207)*4)</f>
        <v/>
      </c>
      <c r="L207" s="306">
        <f>IF(C207="","",IF(COUNT(G207:J207)=0,"",IF(COUNT(G207:J207)&lt;4,"موقت - اطلاعات ناقص",IF(K207&gt;=17,"عالی",IF(K207&gt;=14,"خوب",IF(K207&gt;=10,"متوسط","ضعیف"))))))</f>
        <v/>
      </c>
      <c r="M207" s="306" t="n">
        <v>11</v>
      </c>
      <c r="N207" s="314">
        <f>IF(C207="","",COUNT(G207:J207)/4)</f>
        <v/>
      </c>
      <c r="O207" s="307" t="n"/>
    </row>
    <row r="208" ht="24" customHeight="1">
      <c r="A208" s="306" t="n">
        <v>204</v>
      </c>
      <c r="B208" s="306" t="inlineStr">
        <is>
          <t>خرداد</t>
        </is>
      </c>
      <c r="C208" s="306">
        <f>IF('دانش‌آموزان'!E21="","",'دانش‌آموزان'!B21)</f>
        <v/>
      </c>
      <c r="D208" s="306">
        <f>IF('دانش‌آموزان'!C21="","",'دانش‌آموزان'!C21)</f>
        <v/>
      </c>
      <c r="E208" s="306">
        <f>IF('دانش‌آموزان'!E21="","",'دانش‌آموزان'!E21&amp;" "&amp;'دانش‌آموزان'!F21)</f>
        <v/>
      </c>
      <c r="F208" s="306">
        <f>IF('دانش‌آموزان'!I21="","",'دانش‌آموزان'!I21)</f>
        <v/>
      </c>
      <c r="G208" s="307" t="n"/>
      <c r="H208" s="307" t="n"/>
      <c r="I208" s="307" t="n"/>
      <c r="J208" s="307" t="n"/>
      <c r="K208" s="313">
        <f>IF(COUNT(G208:J208)=0,"",AVERAGE(G208:J208)*4)</f>
        <v/>
      </c>
      <c r="L208" s="306">
        <f>IF(C208="","",IF(COUNT(G208:J208)=0,"",IF(COUNT(G208:J208)&lt;4,"موقت - اطلاعات ناقص",IF(K208&gt;=17,"عالی",IF(K208&gt;=14,"خوب",IF(K208&gt;=10,"متوسط","ضعیف"))))))</f>
        <v/>
      </c>
      <c r="M208" s="306" t="n">
        <v>12</v>
      </c>
      <c r="N208" s="314">
        <f>IF(C208="","",COUNT(G208:J208)/4)</f>
        <v/>
      </c>
      <c r="O208" s="307" t="n"/>
    </row>
    <row r="209" ht="24" customHeight="1">
      <c r="A209" s="306" t="n">
        <v>205</v>
      </c>
      <c r="B209" s="306" t="inlineStr">
        <is>
          <t>تیر</t>
        </is>
      </c>
      <c r="C209" s="306">
        <f>IF('دانش‌آموزان'!E22="","",'دانش‌آموزان'!B22)</f>
        <v/>
      </c>
      <c r="D209" s="306">
        <f>IF('دانش‌آموزان'!C22="","",'دانش‌آموزان'!C22)</f>
        <v/>
      </c>
      <c r="E209" s="306">
        <f>IF('دانش‌آموزان'!E22="","",'دانش‌آموزان'!E22&amp;" "&amp;'دانش‌آموزان'!F22)</f>
        <v/>
      </c>
      <c r="F209" s="306">
        <f>IF('دانش‌آموزان'!I22="","",'دانش‌آموزان'!I22)</f>
        <v/>
      </c>
      <c r="G209" s="307" t="n"/>
      <c r="H209" s="307" t="n"/>
      <c r="I209" s="307" t="n"/>
      <c r="J209" s="307" t="n"/>
      <c r="K209" s="313">
        <f>IF(COUNT(G209:J209)=0,"",AVERAGE(G209:J209)*4)</f>
        <v/>
      </c>
      <c r="L209" s="306">
        <f>IF(C209="","",IF(COUNT(G209:J209)=0,"",IF(COUNT(G209:J209)&lt;4,"موقت - اطلاعات ناقص",IF(K209&gt;=17,"عالی",IF(K209&gt;=14,"خوب",IF(K209&gt;=10,"متوسط","ضعیف"))))))</f>
        <v/>
      </c>
      <c r="M209" s="306" t="n">
        <v>1</v>
      </c>
      <c r="N209" s="314">
        <f>IF(C209="","",COUNT(G209:J209)/4)</f>
        <v/>
      </c>
      <c r="O209" s="307" t="n"/>
    </row>
    <row r="210" ht="24" customHeight="1">
      <c r="A210" s="306" t="n">
        <v>206</v>
      </c>
      <c r="B210" s="306" t="inlineStr">
        <is>
          <t>مرداد</t>
        </is>
      </c>
      <c r="C210" s="306">
        <f>IF('دانش‌آموزان'!E22="","",'دانش‌آموزان'!B22)</f>
        <v/>
      </c>
      <c r="D210" s="306">
        <f>IF('دانش‌آموزان'!C22="","",'دانش‌آموزان'!C22)</f>
        <v/>
      </c>
      <c r="E210" s="306">
        <f>IF('دانش‌آموزان'!E22="","",'دانش‌آموزان'!E22&amp;" "&amp;'دانش‌آموزان'!F22)</f>
        <v/>
      </c>
      <c r="F210" s="306">
        <f>IF('دانش‌آموزان'!I22="","",'دانش‌آموزان'!I22)</f>
        <v/>
      </c>
      <c r="G210" s="307" t="n"/>
      <c r="H210" s="307" t="n"/>
      <c r="I210" s="307" t="n"/>
      <c r="J210" s="307" t="n"/>
      <c r="K210" s="313">
        <f>IF(COUNT(G210:J210)=0,"",AVERAGE(G210:J210)*4)</f>
        <v/>
      </c>
      <c r="L210" s="306">
        <f>IF(C210="","",IF(COUNT(G210:J210)=0,"",IF(COUNT(G210:J210)&lt;4,"موقت - اطلاعات ناقص",IF(K210&gt;=17,"عالی",IF(K210&gt;=14,"خوب",IF(K210&gt;=10,"متوسط","ضعیف"))))))</f>
        <v/>
      </c>
      <c r="M210" s="306" t="n">
        <v>2</v>
      </c>
      <c r="N210" s="314">
        <f>IF(C210="","",COUNT(G210:J210)/4)</f>
        <v/>
      </c>
      <c r="O210" s="307" t="n"/>
    </row>
    <row r="211" ht="24" customHeight="1">
      <c r="A211" s="306" t="n">
        <v>207</v>
      </c>
      <c r="B211" s="306" t="inlineStr">
        <is>
          <t>شهریور</t>
        </is>
      </c>
      <c r="C211" s="306">
        <f>IF('دانش‌آموزان'!E22="","",'دانش‌آموزان'!B22)</f>
        <v/>
      </c>
      <c r="D211" s="306">
        <f>IF('دانش‌آموزان'!C22="","",'دانش‌آموزان'!C22)</f>
        <v/>
      </c>
      <c r="E211" s="306">
        <f>IF('دانش‌آموزان'!E22="","",'دانش‌آموزان'!E22&amp;" "&amp;'دانش‌آموزان'!F22)</f>
        <v/>
      </c>
      <c r="F211" s="306">
        <f>IF('دانش‌آموزان'!I22="","",'دانش‌آموزان'!I22)</f>
        <v/>
      </c>
      <c r="G211" s="307" t="n"/>
      <c r="H211" s="307" t="n"/>
      <c r="I211" s="307" t="n"/>
      <c r="J211" s="307" t="n"/>
      <c r="K211" s="313">
        <f>IF(COUNT(G211:J211)=0,"",AVERAGE(G211:J211)*4)</f>
        <v/>
      </c>
      <c r="L211" s="306">
        <f>IF(C211="","",IF(COUNT(G211:J211)=0,"",IF(COUNT(G211:J211)&lt;4,"موقت - اطلاعات ناقص",IF(K211&gt;=17,"عالی",IF(K211&gt;=14,"خوب",IF(K211&gt;=10,"متوسط","ضعیف"))))))</f>
        <v/>
      </c>
      <c r="M211" s="306" t="n">
        <v>3</v>
      </c>
      <c r="N211" s="314">
        <f>IF(C211="","",COUNT(G211:J211)/4)</f>
        <v/>
      </c>
      <c r="O211" s="307" t="n"/>
    </row>
    <row r="212" ht="24" customHeight="1">
      <c r="A212" s="306" t="n">
        <v>208</v>
      </c>
      <c r="B212" s="306" t="inlineStr">
        <is>
          <t>مهر</t>
        </is>
      </c>
      <c r="C212" s="306">
        <f>IF('دانش‌آموزان'!E22="","",'دانش‌آموزان'!B22)</f>
        <v/>
      </c>
      <c r="D212" s="306">
        <f>IF('دانش‌آموزان'!C22="","",'دانش‌آموزان'!C22)</f>
        <v/>
      </c>
      <c r="E212" s="306">
        <f>IF('دانش‌آموزان'!E22="","",'دانش‌آموزان'!E22&amp;" "&amp;'دانش‌آموزان'!F22)</f>
        <v/>
      </c>
      <c r="F212" s="306">
        <f>IF('دانش‌آموزان'!I22="","",'دانش‌آموزان'!I22)</f>
        <v/>
      </c>
      <c r="G212" s="307" t="n"/>
      <c r="H212" s="307" t="n"/>
      <c r="I212" s="307" t="n"/>
      <c r="J212" s="307" t="n"/>
      <c r="K212" s="313">
        <f>IF(COUNT(G212:J212)=0,"",AVERAGE(G212:J212)*4)</f>
        <v/>
      </c>
      <c r="L212" s="306">
        <f>IF(C212="","",IF(COUNT(G212:J212)=0,"",IF(COUNT(G212:J212)&lt;4,"موقت - اطلاعات ناقص",IF(K212&gt;=17,"عالی",IF(K212&gt;=14,"خوب",IF(K212&gt;=10,"متوسط","ضعیف"))))))</f>
        <v/>
      </c>
      <c r="M212" s="306" t="n">
        <v>4</v>
      </c>
      <c r="N212" s="314">
        <f>IF(C212="","",COUNT(G212:J212)/4)</f>
        <v/>
      </c>
      <c r="O212" s="307" t="n"/>
    </row>
    <row r="213" ht="24" customHeight="1">
      <c r="A213" s="306" t="n">
        <v>209</v>
      </c>
      <c r="B213" s="306" t="inlineStr">
        <is>
          <t>آبان</t>
        </is>
      </c>
      <c r="C213" s="306">
        <f>IF('دانش‌آموزان'!E22="","",'دانش‌آموزان'!B22)</f>
        <v/>
      </c>
      <c r="D213" s="306">
        <f>IF('دانش‌آموزان'!C22="","",'دانش‌آموزان'!C22)</f>
        <v/>
      </c>
      <c r="E213" s="306">
        <f>IF('دانش‌آموزان'!E22="","",'دانش‌آموزان'!E22&amp;" "&amp;'دانش‌آموزان'!F22)</f>
        <v/>
      </c>
      <c r="F213" s="306">
        <f>IF('دانش‌آموزان'!I22="","",'دانش‌آموزان'!I22)</f>
        <v/>
      </c>
      <c r="G213" s="307" t="n"/>
      <c r="H213" s="307" t="n"/>
      <c r="I213" s="307" t="n"/>
      <c r="J213" s="307" t="n"/>
      <c r="K213" s="313">
        <f>IF(COUNT(G213:J213)=0,"",AVERAGE(G213:J213)*4)</f>
        <v/>
      </c>
      <c r="L213" s="306">
        <f>IF(C213="","",IF(COUNT(G213:J213)=0,"",IF(COUNT(G213:J213)&lt;4,"موقت - اطلاعات ناقص",IF(K213&gt;=17,"عالی",IF(K213&gt;=14,"خوب",IF(K213&gt;=10,"متوسط","ضعیف"))))))</f>
        <v/>
      </c>
      <c r="M213" s="306" t="n">
        <v>5</v>
      </c>
      <c r="N213" s="314">
        <f>IF(C213="","",COUNT(G213:J213)/4)</f>
        <v/>
      </c>
      <c r="O213" s="307" t="n"/>
    </row>
    <row r="214" ht="24" customHeight="1">
      <c r="A214" s="306" t="n">
        <v>210</v>
      </c>
      <c r="B214" s="306" t="inlineStr">
        <is>
          <t>آذر</t>
        </is>
      </c>
      <c r="C214" s="306">
        <f>IF('دانش‌آموزان'!E22="","",'دانش‌آموزان'!B22)</f>
        <v/>
      </c>
      <c r="D214" s="306">
        <f>IF('دانش‌آموزان'!C22="","",'دانش‌آموزان'!C22)</f>
        <v/>
      </c>
      <c r="E214" s="306">
        <f>IF('دانش‌آموزان'!E22="","",'دانش‌آموزان'!E22&amp;" "&amp;'دانش‌آموزان'!F22)</f>
        <v/>
      </c>
      <c r="F214" s="306">
        <f>IF('دانش‌آموزان'!I22="","",'دانش‌آموزان'!I22)</f>
        <v/>
      </c>
      <c r="G214" s="307" t="n"/>
      <c r="H214" s="307" t="n"/>
      <c r="I214" s="307" t="n"/>
      <c r="J214" s="307" t="n"/>
      <c r="K214" s="313">
        <f>IF(COUNT(G214:J214)=0,"",AVERAGE(G214:J214)*4)</f>
        <v/>
      </c>
      <c r="L214" s="306">
        <f>IF(C214="","",IF(COUNT(G214:J214)=0,"",IF(COUNT(G214:J214)&lt;4,"موقت - اطلاعات ناقص",IF(K214&gt;=17,"عالی",IF(K214&gt;=14,"خوب",IF(K214&gt;=10,"متوسط","ضعیف"))))))</f>
        <v/>
      </c>
      <c r="M214" s="306" t="n">
        <v>6</v>
      </c>
      <c r="N214" s="314">
        <f>IF(C214="","",COUNT(G214:J214)/4)</f>
        <v/>
      </c>
      <c r="O214" s="307" t="n"/>
    </row>
    <row r="215" ht="24" customHeight="1">
      <c r="A215" s="306" t="n">
        <v>211</v>
      </c>
      <c r="B215" s="306" t="inlineStr">
        <is>
          <t>دی</t>
        </is>
      </c>
      <c r="C215" s="306">
        <f>IF('دانش‌آموزان'!E22="","",'دانش‌آموزان'!B22)</f>
        <v/>
      </c>
      <c r="D215" s="306">
        <f>IF('دانش‌آموزان'!C22="","",'دانش‌آموزان'!C22)</f>
        <v/>
      </c>
      <c r="E215" s="306">
        <f>IF('دانش‌آموزان'!E22="","",'دانش‌آموزان'!E22&amp;" "&amp;'دانش‌آموزان'!F22)</f>
        <v/>
      </c>
      <c r="F215" s="306">
        <f>IF('دانش‌آموزان'!I22="","",'دانش‌آموزان'!I22)</f>
        <v/>
      </c>
      <c r="G215" s="307" t="n"/>
      <c r="H215" s="307" t="n"/>
      <c r="I215" s="307" t="n"/>
      <c r="J215" s="307" t="n"/>
      <c r="K215" s="313">
        <f>IF(COUNT(G215:J215)=0,"",AVERAGE(G215:J215)*4)</f>
        <v/>
      </c>
      <c r="L215" s="306">
        <f>IF(C215="","",IF(COUNT(G215:J215)=0,"",IF(COUNT(G215:J215)&lt;4,"موقت - اطلاعات ناقص",IF(K215&gt;=17,"عالی",IF(K215&gt;=14,"خوب",IF(K215&gt;=10,"متوسط","ضعیف"))))))</f>
        <v/>
      </c>
      <c r="M215" s="306" t="n">
        <v>7</v>
      </c>
      <c r="N215" s="314">
        <f>IF(C215="","",COUNT(G215:J215)/4)</f>
        <v/>
      </c>
      <c r="O215" s="307" t="n"/>
    </row>
    <row r="216" ht="24" customHeight="1">
      <c r="A216" s="306" t="n">
        <v>212</v>
      </c>
      <c r="B216" s="306" t="inlineStr">
        <is>
          <t>بهمن</t>
        </is>
      </c>
      <c r="C216" s="306">
        <f>IF('دانش‌آموزان'!E22="","",'دانش‌آموزان'!B22)</f>
        <v/>
      </c>
      <c r="D216" s="306">
        <f>IF('دانش‌آموزان'!C22="","",'دانش‌آموزان'!C22)</f>
        <v/>
      </c>
      <c r="E216" s="306">
        <f>IF('دانش‌آموزان'!E22="","",'دانش‌آموزان'!E22&amp;" "&amp;'دانش‌آموزان'!F22)</f>
        <v/>
      </c>
      <c r="F216" s="306">
        <f>IF('دانش‌آموزان'!I22="","",'دانش‌آموزان'!I22)</f>
        <v/>
      </c>
      <c r="G216" s="307" t="n"/>
      <c r="H216" s="307" t="n"/>
      <c r="I216" s="307" t="n"/>
      <c r="J216" s="307" t="n"/>
      <c r="K216" s="313">
        <f>IF(COUNT(G216:J216)=0,"",AVERAGE(G216:J216)*4)</f>
        <v/>
      </c>
      <c r="L216" s="306">
        <f>IF(C216="","",IF(COUNT(G216:J216)=0,"",IF(COUNT(G216:J216)&lt;4,"موقت - اطلاعات ناقص",IF(K216&gt;=17,"عالی",IF(K216&gt;=14,"خوب",IF(K216&gt;=10,"متوسط","ضعیف"))))))</f>
        <v/>
      </c>
      <c r="M216" s="306" t="n">
        <v>8</v>
      </c>
      <c r="N216" s="314">
        <f>IF(C216="","",COUNT(G216:J216)/4)</f>
        <v/>
      </c>
      <c r="O216" s="307" t="n"/>
    </row>
    <row r="217" ht="24" customHeight="1">
      <c r="A217" s="306" t="n">
        <v>213</v>
      </c>
      <c r="B217" s="306" t="inlineStr">
        <is>
          <t>اسفند</t>
        </is>
      </c>
      <c r="C217" s="306">
        <f>IF('دانش‌آموزان'!E22="","",'دانش‌آموزان'!B22)</f>
        <v/>
      </c>
      <c r="D217" s="306">
        <f>IF('دانش‌آموزان'!C22="","",'دانش‌آموزان'!C22)</f>
        <v/>
      </c>
      <c r="E217" s="306">
        <f>IF('دانش‌آموزان'!E22="","",'دانش‌آموزان'!E22&amp;" "&amp;'دانش‌آموزان'!F22)</f>
        <v/>
      </c>
      <c r="F217" s="306">
        <f>IF('دانش‌آموزان'!I22="","",'دانش‌آموزان'!I22)</f>
        <v/>
      </c>
      <c r="G217" s="307" t="n"/>
      <c r="H217" s="307" t="n"/>
      <c r="I217" s="307" t="n"/>
      <c r="J217" s="307" t="n"/>
      <c r="K217" s="313">
        <f>IF(COUNT(G217:J217)=0,"",AVERAGE(G217:J217)*4)</f>
        <v/>
      </c>
      <c r="L217" s="306">
        <f>IF(C217="","",IF(COUNT(G217:J217)=0,"",IF(COUNT(G217:J217)&lt;4,"موقت - اطلاعات ناقص",IF(K217&gt;=17,"عالی",IF(K217&gt;=14,"خوب",IF(K217&gt;=10,"متوسط","ضعیف"))))))</f>
        <v/>
      </c>
      <c r="M217" s="306" t="n">
        <v>9</v>
      </c>
      <c r="N217" s="314">
        <f>IF(C217="","",COUNT(G217:J217)/4)</f>
        <v/>
      </c>
      <c r="O217" s="307" t="n"/>
    </row>
    <row r="218" ht="24" customHeight="1">
      <c r="A218" s="306" t="n">
        <v>214</v>
      </c>
      <c r="B218" s="306" t="inlineStr">
        <is>
          <t>فروردین</t>
        </is>
      </c>
      <c r="C218" s="306">
        <f>IF('دانش‌آموزان'!E22="","",'دانش‌آموزان'!B22)</f>
        <v/>
      </c>
      <c r="D218" s="306">
        <f>IF('دانش‌آموزان'!C22="","",'دانش‌آموزان'!C22)</f>
        <v/>
      </c>
      <c r="E218" s="306">
        <f>IF('دانش‌آموزان'!E22="","",'دانش‌آموزان'!E22&amp;" "&amp;'دانش‌آموزان'!F22)</f>
        <v/>
      </c>
      <c r="F218" s="306">
        <f>IF('دانش‌آموزان'!I22="","",'دانش‌آموزان'!I22)</f>
        <v/>
      </c>
      <c r="G218" s="307" t="n"/>
      <c r="H218" s="307" t="n"/>
      <c r="I218" s="307" t="n"/>
      <c r="J218" s="307" t="n"/>
      <c r="K218" s="313">
        <f>IF(COUNT(G218:J218)=0,"",AVERAGE(G218:J218)*4)</f>
        <v/>
      </c>
      <c r="L218" s="306">
        <f>IF(C218="","",IF(COUNT(G218:J218)=0,"",IF(COUNT(G218:J218)&lt;4,"موقت - اطلاعات ناقص",IF(K218&gt;=17,"عالی",IF(K218&gt;=14,"خوب",IF(K218&gt;=10,"متوسط","ضعیف"))))))</f>
        <v/>
      </c>
      <c r="M218" s="306" t="n">
        <v>10</v>
      </c>
      <c r="N218" s="314">
        <f>IF(C218="","",COUNT(G218:J218)/4)</f>
        <v/>
      </c>
      <c r="O218" s="307" t="n"/>
    </row>
    <row r="219" ht="24" customHeight="1">
      <c r="A219" s="306" t="n">
        <v>215</v>
      </c>
      <c r="B219" s="306" t="inlineStr">
        <is>
          <t>اردیبهشت</t>
        </is>
      </c>
      <c r="C219" s="306">
        <f>IF('دانش‌آموزان'!E22="","",'دانش‌آموزان'!B22)</f>
        <v/>
      </c>
      <c r="D219" s="306">
        <f>IF('دانش‌آموزان'!C22="","",'دانش‌آموزان'!C22)</f>
        <v/>
      </c>
      <c r="E219" s="306">
        <f>IF('دانش‌آموزان'!E22="","",'دانش‌آموزان'!E22&amp;" "&amp;'دانش‌آموزان'!F22)</f>
        <v/>
      </c>
      <c r="F219" s="306">
        <f>IF('دانش‌آموزان'!I22="","",'دانش‌آموزان'!I22)</f>
        <v/>
      </c>
      <c r="G219" s="307" t="n"/>
      <c r="H219" s="307" t="n"/>
      <c r="I219" s="307" t="n"/>
      <c r="J219" s="307" t="n"/>
      <c r="K219" s="313">
        <f>IF(COUNT(G219:J219)=0,"",AVERAGE(G219:J219)*4)</f>
        <v/>
      </c>
      <c r="L219" s="306">
        <f>IF(C219="","",IF(COUNT(G219:J219)=0,"",IF(COUNT(G219:J219)&lt;4,"موقت - اطلاعات ناقص",IF(K219&gt;=17,"عالی",IF(K219&gt;=14,"خوب",IF(K219&gt;=10,"متوسط","ضعیف"))))))</f>
        <v/>
      </c>
      <c r="M219" s="306" t="n">
        <v>11</v>
      </c>
      <c r="N219" s="314">
        <f>IF(C219="","",COUNT(G219:J219)/4)</f>
        <v/>
      </c>
      <c r="O219" s="307" t="n"/>
    </row>
    <row r="220" ht="24" customHeight="1">
      <c r="A220" s="306" t="n">
        <v>216</v>
      </c>
      <c r="B220" s="306" t="inlineStr">
        <is>
          <t>خرداد</t>
        </is>
      </c>
      <c r="C220" s="306">
        <f>IF('دانش‌آموزان'!E22="","",'دانش‌آموزان'!B22)</f>
        <v/>
      </c>
      <c r="D220" s="306">
        <f>IF('دانش‌آموزان'!C22="","",'دانش‌آموزان'!C22)</f>
        <v/>
      </c>
      <c r="E220" s="306">
        <f>IF('دانش‌آموزان'!E22="","",'دانش‌آموزان'!E22&amp;" "&amp;'دانش‌آموزان'!F22)</f>
        <v/>
      </c>
      <c r="F220" s="306">
        <f>IF('دانش‌آموزان'!I22="","",'دانش‌آموزان'!I22)</f>
        <v/>
      </c>
      <c r="G220" s="307" t="n"/>
      <c r="H220" s="307" t="n"/>
      <c r="I220" s="307" t="n"/>
      <c r="J220" s="307" t="n"/>
      <c r="K220" s="313">
        <f>IF(COUNT(G220:J220)=0,"",AVERAGE(G220:J220)*4)</f>
        <v/>
      </c>
      <c r="L220" s="306">
        <f>IF(C220="","",IF(COUNT(G220:J220)=0,"",IF(COUNT(G220:J220)&lt;4,"موقت - اطلاعات ناقص",IF(K220&gt;=17,"عالی",IF(K220&gt;=14,"خوب",IF(K220&gt;=10,"متوسط","ضعیف"))))))</f>
        <v/>
      </c>
      <c r="M220" s="306" t="n">
        <v>12</v>
      </c>
      <c r="N220" s="314">
        <f>IF(C220="","",COUNT(G220:J220)/4)</f>
        <v/>
      </c>
      <c r="O220" s="307" t="n"/>
    </row>
    <row r="221" ht="24" customHeight="1">
      <c r="A221" s="306" t="n">
        <v>217</v>
      </c>
      <c r="B221" s="306" t="inlineStr">
        <is>
          <t>تیر</t>
        </is>
      </c>
      <c r="C221" s="306">
        <f>IF('دانش‌آموزان'!E23="","",'دانش‌آموزان'!B23)</f>
        <v/>
      </c>
      <c r="D221" s="306">
        <f>IF('دانش‌آموزان'!C23="","",'دانش‌آموزان'!C23)</f>
        <v/>
      </c>
      <c r="E221" s="306">
        <f>IF('دانش‌آموزان'!E23="","",'دانش‌آموزان'!E23&amp;" "&amp;'دانش‌آموزان'!F23)</f>
        <v/>
      </c>
      <c r="F221" s="306">
        <f>IF('دانش‌آموزان'!I23="","",'دانش‌آموزان'!I23)</f>
        <v/>
      </c>
      <c r="G221" s="307" t="n"/>
      <c r="H221" s="307" t="n"/>
      <c r="I221" s="307" t="n"/>
      <c r="J221" s="307" t="n"/>
      <c r="K221" s="313">
        <f>IF(COUNT(G221:J221)=0,"",AVERAGE(G221:J221)*4)</f>
        <v/>
      </c>
      <c r="L221" s="306">
        <f>IF(C221="","",IF(COUNT(G221:J221)=0,"",IF(COUNT(G221:J221)&lt;4,"موقت - اطلاعات ناقص",IF(K221&gt;=17,"عالی",IF(K221&gt;=14,"خوب",IF(K221&gt;=10,"متوسط","ضعیف"))))))</f>
        <v/>
      </c>
      <c r="M221" s="306" t="n">
        <v>1</v>
      </c>
      <c r="N221" s="314">
        <f>IF(C221="","",COUNT(G221:J221)/4)</f>
        <v/>
      </c>
      <c r="O221" s="307" t="n"/>
    </row>
    <row r="222" ht="24" customHeight="1">
      <c r="A222" s="306" t="n">
        <v>218</v>
      </c>
      <c r="B222" s="306" t="inlineStr">
        <is>
          <t>مرداد</t>
        </is>
      </c>
      <c r="C222" s="306">
        <f>IF('دانش‌آموزان'!E23="","",'دانش‌آموزان'!B23)</f>
        <v/>
      </c>
      <c r="D222" s="306">
        <f>IF('دانش‌آموزان'!C23="","",'دانش‌آموزان'!C23)</f>
        <v/>
      </c>
      <c r="E222" s="306">
        <f>IF('دانش‌آموزان'!E23="","",'دانش‌آموزان'!E23&amp;" "&amp;'دانش‌آموزان'!F23)</f>
        <v/>
      </c>
      <c r="F222" s="306">
        <f>IF('دانش‌آموزان'!I23="","",'دانش‌آموزان'!I23)</f>
        <v/>
      </c>
      <c r="G222" s="307" t="n"/>
      <c r="H222" s="307" t="n"/>
      <c r="I222" s="307" t="n"/>
      <c r="J222" s="307" t="n"/>
      <c r="K222" s="313">
        <f>IF(COUNT(G222:J222)=0,"",AVERAGE(G222:J222)*4)</f>
        <v/>
      </c>
      <c r="L222" s="306">
        <f>IF(C222="","",IF(COUNT(G222:J222)=0,"",IF(COUNT(G222:J222)&lt;4,"موقت - اطلاعات ناقص",IF(K222&gt;=17,"عالی",IF(K222&gt;=14,"خوب",IF(K222&gt;=10,"متوسط","ضعیف"))))))</f>
        <v/>
      </c>
      <c r="M222" s="306" t="n">
        <v>2</v>
      </c>
      <c r="N222" s="314">
        <f>IF(C222="","",COUNT(G222:J222)/4)</f>
        <v/>
      </c>
      <c r="O222" s="307" t="n"/>
    </row>
    <row r="223" ht="24" customHeight="1">
      <c r="A223" s="306" t="n">
        <v>219</v>
      </c>
      <c r="B223" s="306" t="inlineStr">
        <is>
          <t>شهریور</t>
        </is>
      </c>
      <c r="C223" s="306">
        <f>IF('دانش‌آموزان'!E23="","",'دانش‌آموزان'!B23)</f>
        <v/>
      </c>
      <c r="D223" s="306">
        <f>IF('دانش‌آموزان'!C23="","",'دانش‌آموزان'!C23)</f>
        <v/>
      </c>
      <c r="E223" s="306">
        <f>IF('دانش‌آموزان'!E23="","",'دانش‌آموزان'!E23&amp;" "&amp;'دانش‌آموزان'!F23)</f>
        <v/>
      </c>
      <c r="F223" s="306">
        <f>IF('دانش‌آموزان'!I23="","",'دانش‌آموزان'!I23)</f>
        <v/>
      </c>
      <c r="G223" s="307" t="n"/>
      <c r="H223" s="307" t="n"/>
      <c r="I223" s="307" t="n"/>
      <c r="J223" s="307" t="n"/>
      <c r="K223" s="313">
        <f>IF(COUNT(G223:J223)=0,"",AVERAGE(G223:J223)*4)</f>
        <v/>
      </c>
      <c r="L223" s="306">
        <f>IF(C223="","",IF(COUNT(G223:J223)=0,"",IF(COUNT(G223:J223)&lt;4,"موقت - اطلاعات ناقص",IF(K223&gt;=17,"عالی",IF(K223&gt;=14,"خوب",IF(K223&gt;=10,"متوسط","ضعیف"))))))</f>
        <v/>
      </c>
      <c r="M223" s="306" t="n">
        <v>3</v>
      </c>
      <c r="N223" s="314">
        <f>IF(C223="","",COUNT(G223:J223)/4)</f>
        <v/>
      </c>
      <c r="O223" s="307" t="n"/>
    </row>
    <row r="224" ht="24" customHeight="1">
      <c r="A224" s="306" t="n">
        <v>220</v>
      </c>
      <c r="B224" s="306" t="inlineStr">
        <is>
          <t>مهر</t>
        </is>
      </c>
      <c r="C224" s="306">
        <f>IF('دانش‌آموزان'!E23="","",'دانش‌آموزان'!B23)</f>
        <v/>
      </c>
      <c r="D224" s="306">
        <f>IF('دانش‌آموزان'!C23="","",'دانش‌آموزان'!C23)</f>
        <v/>
      </c>
      <c r="E224" s="306">
        <f>IF('دانش‌آموزان'!E23="","",'دانش‌آموزان'!E23&amp;" "&amp;'دانش‌آموزان'!F23)</f>
        <v/>
      </c>
      <c r="F224" s="306">
        <f>IF('دانش‌آموزان'!I23="","",'دانش‌آموزان'!I23)</f>
        <v/>
      </c>
      <c r="G224" s="307" t="n"/>
      <c r="H224" s="307" t="n"/>
      <c r="I224" s="307" t="n"/>
      <c r="J224" s="307" t="n"/>
      <c r="K224" s="313">
        <f>IF(COUNT(G224:J224)=0,"",AVERAGE(G224:J224)*4)</f>
        <v/>
      </c>
      <c r="L224" s="306">
        <f>IF(C224="","",IF(COUNT(G224:J224)=0,"",IF(COUNT(G224:J224)&lt;4,"موقت - اطلاعات ناقص",IF(K224&gt;=17,"عالی",IF(K224&gt;=14,"خوب",IF(K224&gt;=10,"متوسط","ضعیف"))))))</f>
        <v/>
      </c>
      <c r="M224" s="306" t="n">
        <v>4</v>
      </c>
      <c r="N224" s="314">
        <f>IF(C224="","",COUNT(G224:J224)/4)</f>
        <v/>
      </c>
      <c r="O224" s="307" t="n"/>
    </row>
    <row r="225" ht="24" customHeight="1">
      <c r="A225" s="306" t="n">
        <v>221</v>
      </c>
      <c r="B225" s="306" t="inlineStr">
        <is>
          <t>آبان</t>
        </is>
      </c>
      <c r="C225" s="306">
        <f>IF('دانش‌آموزان'!E23="","",'دانش‌آموزان'!B23)</f>
        <v/>
      </c>
      <c r="D225" s="306">
        <f>IF('دانش‌آموزان'!C23="","",'دانش‌آموزان'!C23)</f>
        <v/>
      </c>
      <c r="E225" s="306">
        <f>IF('دانش‌آموزان'!E23="","",'دانش‌آموزان'!E23&amp;" "&amp;'دانش‌آموزان'!F23)</f>
        <v/>
      </c>
      <c r="F225" s="306">
        <f>IF('دانش‌آموزان'!I23="","",'دانش‌آموزان'!I23)</f>
        <v/>
      </c>
      <c r="G225" s="307" t="n"/>
      <c r="H225" s="307" t="n"/>
      <c r="I225" s="307" t="n"/>
      <c r="J225" s="307" t="n"/>
      <c r="K225" s="313">
        <f>IF(COUNT(G225:J225)=0,"",AVERAGE(G225:J225)*4)</f>
        <v/>
      </c>
      <c r="L225" s="306">
        <f>IF(C225="","",IF(COUNT(G225:J225)=0,"",IF(COUNT(G225:J225)&lt;4,"موقت - اطلاعات ناقص",IF(K225&gt;=17,"عالی",IF(K225&gt;=14,"خوب",IF(K225&gt;=10,"متوسط","ضعیف"))))))</f>
        <v/>
      </c>
      <c r="M225" s="306" t="n">
        <v>5</v>
      </c>
      <c r="N225" s="314">
        <f>IF(C225="","",COUNT(G225:J225)/4)</f>
        <v/>
      </c>
      <c r="O225" s="307" t="n"/>
    </row>
    <row r="226" ht="24" customHeight="1">
      <c r="A226" s="306" t="n">
        <v>222</v>
      </c>
      <c r="B226" s="306" t="inlineStr">
        <is>
          <t>آذر</t>
        </is>
      </c>
      <c r="C226" s="306">
        <f>IF('دانش‌آموزان'!E23="","",'دانش‌آموزان'!B23)</f>
        <v/>
      </c>
      <c r="D226" s="306">
        <f>IF('دانش‌آموزان'!C23="","",'دانش‌آموزان'!C23)</f>
        <v/>
      </c>
      <c r="E226" s="306">
        <f>IF('دانش‌آموزان'!E23="","",'دانش‌آموزان'!E23&amp;" "&amp;'دانش‌آموزان'!F23)</f>
        <v/>
      </c>
      <c r="F226" s="306">
        <f>IF('دانش‌آموزان'!I23="","",'دانش‌آموزان'!I23)</f>
        <v/>
      </c>
      <c r="G226" s="307" t="n"/>
      <c r="H226" s="307" t="n"/>
      <c r="I226" s="307" t="n"/>
      <c r="J226" s="307" t="n"/>
      <c r="K226" s="313">
        <f>IF(COUNT(G226:J226)=0,"",AVERAGE(G226:J226)*4)</f>
        <v/>
      </c>
      <c r="L226" s="306">
        <f>IF(C226="","",IF(COUNT(G226:J226)=0,"",IF(COUNT(G226:J226)&lt;4,"موقت - اطلاعات ناقص",IF(K226&gt;=17,"عالی",IF(K226&gt;=14,"خوب",IF(K226&gt;=10,"متوسط","ضعیف"))))))</f>
        <v/>
      </c>
      <c r="M226" s="306" t="n">
        <v>6</v>
      </c>
      <c r="N226" s="314">
        <f>IF(C226="","",COUNT(G226:J226)/4)</f>
        <v/>
      </c>
      <c r="O226" s="307" t="n"/>
    </row>
    <row r="227" ht="24" customHeight="1">
      <c r="A227" s="306" t="n">
        <v>223</v>
      </c>
      <c r="B227" s="306" t="inlineStr">
        <is>
          <t>دی</t>
        </is>
      </c>
      <c r="C227" s="306">
        <f>IF('دانش‌آموزان'!E23="","",'دانش‌آموزان'!B23)</f>
        <v/>
      </c>
      <c r="D227" s="306">
        <f>IF('دانش‌آموزان'!C23="","",'دانش‌آموزان'!C23)</f>
        <v/>
      </c>
      <c r="E227" s="306">
        <f>IF('دانش‌آموزان'!E23="","",'دانش‌آموزان'!E23&amp;" "&amp;'دانش‌آموزان'!F23)</f>
        <v/>
      </c>
      <c r="F227" s="306">
        <f>IF('دانش‌آموزان'!I23="","",'دانش‌آموزان'!I23)</f>
        <v/>
      </c>
      <c r="G227" s="307" t="n"/>
      <c r="H227" s="307" t="n"/>
      <c r="I227" s="307" t="n"/>
      <c r="J227" s="307" t="n"/>
      <c r="K227" s="313">
        <f>IF(COUNT(G227:J227)=0,"",AVERAGE(G227:J227)*4)</f>
        <v/>
      </c>
      <c r="L227" s="306">
        <f>IF(C227="","",IF(COUNT(G227:J227)=0,"",IF(COUNT(G227:J227)&lt;4,"موقت - اطلاعات ناقص",IF(K227&gt;=17,"عالی",IF(K227&gt;=14,"خوب",IF(K227&gt;=10,"متوسط","ضعیف"))))))</f>
        <v/>
      </c>
      <c r="M227" s="306" t="n">
        <v>7</v>
      </c>
      <c r="N227" s="314">
        <f>IF(C227="","",COUNT(G227:J227)/4)</f>
        <v/>
      </c>
      <c r="O227" s="307" t="n"/>
    </row>
    <row r="228" ht="24" customHeight="1">
      <c r="A228" s="306" t="n">
        <v>224</v>
      </c>
      <c r="B228" s="306" t="inlineStr">
        <is>
          <t>بهمن</t>
        </is>
      </c>
      <c r="C228" s="306">
        <f>IF('دانش‌آموزان'!E23="","",'دانش‌آموزان'!B23)</f>
        <v/>
      </c>
      <c r="D228" s="306">
        <f>IF('دانش‌آموزان'!C23="","",'دانش‌آموزان'!C23)</f>
        <v/>
      </c>
      <c r="E228" s="306">
        <f>IF('دانش‌آموزان'!E23="","",'دانش‌آموزان'!E23&amp;" "&amp;'دانش‌آموزان'!F23)</f>
        <v/>
      </c>
      <c r="F228" s="306">
        <f>IF('دانش‌آموزان'!I23="","",'دانش‌آموزان'!I23)</f>
        <v/>
      </c>
      <c r="G228" s="307" t="n"/>
      <c r="H228" s="307" t="n"/>
      <c r="I228" s="307" t="n"/>
      <c r="J228" s="307" t="n"/>
      <c r="K228" s="313">
        <f>IF(COUNT(G228:J228)=0,"",AVERAGE(G228:J228)*4)</f>
        <v/>
      </c>
      <c r="L228" s="306">
        <f>IF(C228="","",IF(COUNT(G228:J228)=0,"",IF(COUNT(G228:J228)&lt;4,"موقت - اطلاعات ناقص",IF(K228&gt;=17,"عالی",IF(K228&gt;=14,"خوب",IF(K228&gt;=10,"متوسط","ضعیف"))))))</f>
        <v/>
      </c>
      <c r="M228" s="306" t="n">
        <v>8</v>
      </c>
      <c r="N228" s="314">
        <f>IF(C228="","",COUNT(G228:J228)/4)</f>
        <v/>
      </c>
      <c r="O228" s="307" t="n"/>
    </row>
    <row r="229" ht="24" customHeight="1">
      <c r="A229" s="306" t="n">
        <v>225</v>
      </c>
      <c r="B229" s="306" t="inlineStr">
        <is>
          <t>اسفند</t>
        </is>
      </c>
      <c r="C229" s="306">
        <f>IF('دانش‌آموزان'!E23="","",'دانش‌آموزان'!B23)</f>
        <v/>
      </c>
      <c r="D229" s="306">
        <f>IF('دانش‌آموزان'!C23="","",'دانش‌آموزان'!C23)</f>
        <v/>
      </c>
      <c r="E229" s="306">
        <f>IF('دانش‌آموزان'!E23="","",'دانش‌آموزان'!E23&amp;" "&amp;'دانش‌آموزان'!F23)</f>
        <v/>
      </c>
      <c r="F229" s="306">
        <f>IF('دانش‌آموزان'!I23="","",'دانش‌آموزان'!I23)</f>
        <v/>
      </c>
      <c r="G229" s="307" t="n"/>
      <c r="H229" s="307" t="n"/>
      <c r="I229" s="307" t="n"/>
      <c r="J229" s="307" t="n"/>
      <c r="K229" s="313">
        <f>IF(COUNT(G229:J229)=0,"",AVERAGE(G229:J229)*4)</f>
        <v/>
      </c>
      <c r="L229" s="306">
        <f>IF(C229="","",IF(COUNT(G229:J229)=0,"",IF(COUNT(G229:J229)&lt;4,"موقت - اطلاعات ناقص",IF(K229&gt;=17,"عالی",IF(K229&gt;=14,"خوب",IF(K229&gt;=10,"متوسط","ضعیف"))))))</f>
        <v/>
      </c>
      <c r="M229" s="306" t="n">
        <v>9</v>
      </c>
      <c r="N229" s="314">
        <f>IF(C229="","",COUNT(G229:J229)/4)</f>
        <v/>
      </c>
      <c r="O229" s="307" t="n"/>
    </row>
    <row r="230" ht="24" customHeight="1">
      <c r="A230" s="306" t="n">
        <v>226</v>
      </c>
      <c r="B230" s="306" t="inlineStr">
        <is>
          <t>فروردین</t>
        </is>
      </c>
      <c r="C230" s="306">
        <f>IF('دانش‌آموزان'!E23="","",'دانش‌آموزان'!B23)</f>
        <v/>
      </c>
      <c r="D230" s="306">
        <f>IF('دانش‌آموزان'!C23="","",'دانش‌آموزان'!C23)</f>
        <v/>
      </c>
      <c r="E230" s="306">
        <f>IF('دانش‌آموزان'!E23="","",'دانش‌آموزان'!E23&amp;" "&amp;'دانش‌آموزان'!F23)</f>
        <v/>
      </c>
      <c r="F230" s="306">
        <f>IF('دانش‌آموزان'!I23="","",'دانش‌آموزان'!I23)</f>
        <v/>
      </c>
      <c r="G230" s="307" t="n"/>
      <c r="H230" s="307" t="n"/>
      <c r="I230" s="307" t="n"/>
      <c r="J230" s="307" t="n"/>
      <c r="K230" s="313">
        <f>IF(COUNT(G230:J230)=0,"",AVERAGE(G230:J230)*4)</f>
        <v/>
      </c>
      <c r="L230" s="306">
        <f>IF(C230="","",IF(COUNT(G230:J230)=0,"",IF(COUNT(G230:J230)&lt;4,"موقت - اطلاعات ناقص",IF(K230&gt;=17,"عالی",IF(K230&gt;=14,"خوب",IF(K230&gt;=10,"متوسط","ضعیف"))))))</f>
        <v/>
      </c>
      <c r="M230" s="306" t="n">
        <v>10</v>
      </c>
      <c r="N230" s="314">
        <f>IF(C230="","",COUNT(G230:J230)/4)</f>
        <v/>
      </c>
      <c r="O230" s="307" t="n"/>
    </row>
    <row r="231" ht="24" customHeight="1">
      <c r="A231" s="306" t="n">
        <v>227</v>
      </c>
      <c r="B231" s="306" t="inlineStr">
        <is>
          <t>اردیبهشت</t>
        </is>
      </c>
      <c r="C231" s="306">
        <f>IF('دانش‌آموزان'!E23="","",'دانش‌آموزان'!B23)</f>
        <v/>
      </c>
      <c r="D231" s="306">
        <f>IF('دانش‌آموزان'!C23="","",'دانش‌آموزان'!C23)</f>
        <v/>
      </c>
      <c r="E231" s="306">
        <f>IF('دانش‌آموزان'!E23="","",'دانش‌آموزان'!E23&amp;" "&amp;'دانش‌آموزان'!F23)</f>
        <v/>
      </c>
      <c r="F231" s="306">
        <f>IF('دانش‌آموزان'!I23="","",'دانش‌آموزان'!I23)</f>
        <v/>
      </c>
      <c r="G231" s="307" t="n"/>
      <c r="H231" s="307" t="n"/>
      <c r="I231" s="307" t="n"/>
      <c r="J231" s="307" t="n"/>
      <c r="K231" s="313">
        <f>IF(COUNT(G231:J231)=0,"",AVERAGE(G231:J231)*4)</f>
        <v/>
      </c>
      <c r="L231" s="306">
        <f>IF(C231="","",IF(COUNT(G231:J231)=0,"",IF(COUNT(G231:J231)&lt;4,"موقت - اطلاعات ناقص",IF(K231&gt;=17,"عالی",IF(K231&gt;=14,"خوب",IF(K231&gt;=10,"متوسط","ضعیف"))))))</f>
        <v/>
      </c>
      <c r="M231" s="306" t="n">
        <v>11</v>
      </c>
      <c r="N231" s="314">
        <f>IF(C231="","",COUNT(G231:J231)/4)</f>
        <v/>
      </c>
      <c r="O231" s="307" t="n"/>
    </row>
    <row r="232" ht="24" customHeight="1">
      <c r="A232" s="306" t="n">
        <v>228</v>
      </c>
      <c r="B232" s="306" t="inlineStr">
        <is>
          <t>خرداد</t>
        </is>
      </c>
      <c r="C232" s="306">
        <f>IF('دانش‌آموزان'!E23="","",'دانش‌آموزان'!B23)</f>
        <v/>
      </c>
      <c r="D232" s="306">
        <f>IF('دانش‌آموزان'!C23="","",'دانش‌آموزان'!C23)</f>
        <v/>
      </c>
      <c r="E232" s="306">
        <f>IF('دانش‌آموزان'!E23="","",'دانش‌آموزان'!E23&amp;" "&amp;'دانش‌آموزان'!F23)</f>
        <v/>
      </c>
      <c r="F232" s="306">
        <f>IF('دانش‌آموزان'!I23="","",'دانش‌آموزان'!I23)</f>
        <v/>
      </c>
      <c r="G232" s="307" t="n"/>
      <c r="H232" s="307" t="n"/>
      <c r="I232" s="307" t="n"/>
      <c r="J232" s="307" t="n"/>
      <c r="K232" s="313">
        <f>IF(COUNT(G232:J232)=0,"",AVERAGE(G232:J232)*4)</f>
        <v/>
      </c>
      <c r="L232" s="306">
        <f>IF(C232="","",IF(COUNT(G232:J232)=0,"",IF(COUNT(G232:J232)&lt;4,"موقت - اطلاعات ناقص",IF(K232&gt;=17,"عالی",IF(K232&gt;=14,"خوب",IF(K232&gt;=10,"متوسط","ضعیف"))))))</f>
        <v/>
      </c>
      <c r="M232" s="306" t="n">
        <v>12</v>
      </c>
      <c r="N232" s="314">
        <f>IF(C232="","",COUNT(G232:J232)/4)</f>
        <v/>
      </c>
      <c r="O232" s="307" t="n"/>
    </row>
    <row r="233" ht="24" customHeight="1">
      <c r="A233" s="306" t="n">
        <v>229</v>
      </c>
      <c r="B233" s="306" t="inlineStr">
        <is>
          <t>تیر</t>
        </is>
      </c>
      <c r="C233" s="306">
        <f>IF('دانش‌آموزان'!E24="","",'دانش‌آموزان'!B24)</f>
        <v/>
      </c>
      <c r="D233" s="306">
        <f>IF('دانش‌آموزان'!C24="","",'دانش‌آموزان'!C24)</f>
        <v/>
      </c>
      <c r="E233" s="306">
        <f>IF('دانش‌آموزان'!E24="","",'دانش‌آموزان'!E24&amp;" "&amp;'دانش‌آموزان'!F24)</f>
        <v/>
      </c>
      <c r="F233" s="306">
        <f>IF('دانش‌آموزان'!I24="","",'دانش‌آموزان'!I24)</f>
        <v/>
      </c>
      <c r="G233" s="307" t="n"/>
      <c r="H233" s="307" t="n"/>
      <c r="I233" s="307" t="n"/>
      <c r="J233" s="307" t="n"/>
      <c r="K233" s="313">
        <f>IF(COUNT(G233:J233)=0,"",AVERAGE(G233:J233)*4)</f>
        <v/>
      </c>
      <c r="L233" s="306">
        <f>IF(C233="","",IF(COUNT(G233:J233)=0,"",IF(COUNT(G233:J233)&lt;4,"موقت - اطلاعات ناقص",IF(K233&gt;=17,"عالی",IF(K233&gt;=14,"خوب",IF(K233&gt;=10,"متوسط","ضعیف"))))))</f>
        <v/>
      </c>
      <c r="M233" s="306" t="n">
        <v>1</v>
      </c>
      <c r="N233" s="314">
        <f>IF(C233="","",COUNT(G233:J233)/4)</f>
        <v/>
      </c>
      <c r="O233" s="307" t="n"/>
    </row>
    <row r="234" ht="24" customHeight="1">
      <c r="A234" s="306" t="n">
        <v>230</v>
      </c>
      <c r="B234" s="306" t="inlineStr">
        <is>
          <t>مرداد</t>
        </is>
      </c>
      <c r="C234" s="306">
        <f>IF('دانش‌آموزان'!E24="","",'دانش‌آموزان'!B24)</f>
        <v/>
      </c>
      <c r="D234" s="306">
        <f>IF('دانش‌آموزان'!C24="","",'دانش‌آموزان'!C24)</f>
        <v/>
      </c>
      <c r="E234" s="306">
        <f>IF('دانش‌آموزان'!E24="","",'دانش‌آموزان'!E24&amp;" "&amp;'دانش‌آموزان'!F24)</f>
        <v/>
      </c>
      <c r="F234" s="306">
        <f>IF('دانش‌آموزان'!I24="","",'دانش‌آموزان'!I24)</f>
        <v/>
      </c>
      <c r="G234" s="307" t="n"/>
      <c r="H234" s="307" t="n"/>
      <c r="I234" s="307" t="n"/>
      <c r="J234" s="307" t="n"/>
      <c r="K234" s="313">
        <f>IF(COUNT(G234:J234)=0,"",AVERAGE(G234:J234)*4)</f>
        <v/>
      </c>
      <c r="L234" s="306">
        <f>IF(C234="","",IF(COUNT(G234:J234)=0,"",IF(COUNT(G234:J234)&lt;4,"موقت - اطلاعات ناقص",IF(K234&gt;=17,"عالی",IF(K234&gt;=14,"خوب",IF(K234&gt;=10,"متوسط","ضعیف"))))))</f>
        <v/>
      </c>
      <c r="M234" s="306" t="n">
        <v>2</v>
      </c>
      <c r="N234" s="314">
        <f>IF(C234="","",COUNT(G234:J234)/4)</f>
        <v/>
      </c>
      <c r="O234" s="307" t="n"/>
    </row>
    <row r="235" ht="24" customHeight="1">
      <c r="A235" s="306" t="n">
        <v>231</v>
      </c>
      <c r="B235" s="306" t="inlineStr">
        <is>
          <t>شهریور</t>
        </is>
      </c>
      <c r="C235" s="306">
        <f>IF('دانش‌آموزان'!E24="","",'دانش‌آموزان'!B24)</f>
        <v/>
      </c>
      <c r="D235" s="306">
        <f>IF('دانش‌آموزان'!C24="","",'دانش‌آموزان'!C24)</f>
        <v/>
      </c>
      <c r="E235" s="306">
        <f>IF('دانش‌آموزان'!E24="","",'دانش‌آموزان'!E24&amp;" "&amp;'دانش‌آموزان'!F24)</f>
        <v/>
      </c>
      <c r="F235" s="306">
        <f>IF('دانش‌آموزان'!I24="","",'دانش‌آموزان'!I24)</f>
        <v/>
      </c>
      <c r="G235" s="307" t="n"/>
      <c r="H235" s="307" t="n"/>
      <c r="I235" s="307" t="n"/>
      <c r="J235" s="307" t="n"/>
      <c r="K235" s="313">
        <f>IF(COUNT(G235:J235)=0,"",AVERAGE(G235:J235)*4)</f>
        <v/>
      </c>
      <c r="L235" s="306">
        <f>IF(C235="","",IF(COUNT(G235:J235)=0,"",IF(COUNT(G235:J235)&lt;4,"موقت - اطلاعات ناقص",IF(K235&gt;=17,"عالی",IF(K235&gt;=14,"خوب",IF(K235&gt;=10,"متوسط","ضعیف"))))))</f>
        <v/>
      </c>
      <c r="M235" s="306" t="n">
        <v>3</v>
      </c>
      <c r="N235" s="314">
        <f>IF(C235="","",COUNT(G235:J235)/4)</f>
        <v/>
      </c>
      <c r="O235" s="307" t="n"/>
    </row>
    <row r="236" ht="24" customHeight="1">
      <c r="A236" s="306" t="n">
        <v>232</v>
      </c>
      <c r="B236" s="306" t="inlineStr">
        <is>
          <t>مهر</t>
        </is>
      </c>
      <c r="C236" s="306">
        <f>IF('دانش‌آموزان'!E24="","",'دانش‌آموزان'!B24)</f>
        <v/>
      </c>
      <c r="D236" s="306">
        <f>IF('دانش‌آموزان'!C24="","",'دانش‌آموزان'!C24)</f>
        <v/>
      </c>
      <c r="E236" s="306">
        <f>IF('دانش‌آموزان'!E24="","",'دانش‌آموزان'!E24&amp;" "&amp;'دانش‌آموزان'!F24)</f>
        <v/>
      </c>
      <c r="F236" s="306">
        <f>IF('دانش‌آموزان'!I24="","",'دانش‌آموزان'!I24)</f>
        <v/>
      </c>
      <c r="G236" s="307" t="n"/>
      <c r="H236" s="307" t="n"/>
      <c r="I236" s="307" t="n"/>
      <c r="J236" s="307" t="n"/>
      <c r="K236" s="313">
        <f>IF(COUNT(G236:J236)=0,"",AVERAGE(G236:J236)*4)</f>
        <v/>
      </c>
      <c r="L236" s="306">
        <f>IF(C236="","",IF(COUNT(G236:J236)=0,"",IF(COUNT(G236:J236)&lt;4,"موقت - اطلاعات ناقص",IF(K236&gt;=17,"عالی",IF(K236&gt;=14,"خوب",IF(K236&gt;=10,"متوسط","ضعیف"))))))</f>
        <v/>
      </c>
      <c r="M236" s="306" t="n">
        <v>4</v>
      </c>
      <c r="N236" s="314">
        <f>IF(C236="","",COUNT(G236:J236)/4)</f>
        <v/>
      </c>
      <c r="O236" s="307" t="n"/>
    </row>
    <row r="237" ht="24" customHeight="1">
      <c r="A237" s="306" t="n">
        <v>233</v>
      </c>
      <c r="B237" s="306" t="inlineStr">
        <is>
          <t>آبان</t>
        </is>
      </c>
      <c r="C237" s="306">
        <f>IF('دانش‌آموزان'!E24="","",'دانش‌آموزان'!B24)</f>
        <v/>
      </c>
      <c r="D237" s="306">
        <f>IF('دانش‌آموزان'!C24="","",'دانش‌آموزان'!C24)</f>
        <v/>
      </c>
      <c r="E237" s="306">
        <f>IF('دانش‌آموزان'!E24="","",'دانش‌آموزان'!E24&amp;" "&amp;'دانش‌آموزان'!F24)</f>
        <v/>
      </c>
      <c r="F237" s="306">
        <f>IF('دانش‌آموزان'!I24="","",'دانش‌آموزان'!I24)</f>
        <v/>
      </c>
      <c r="G237" s="307" t="n"/>
      <c r="H237" s="307" t="n"/>
      <c r="I237" s="307" t="n"/>
      <c r="J237" s="307" t="n"/>
      <c r="K237" s="313">
        <f>IF(COUNT(G237:J237)=0,"",AVERAGE(G237:J237)*4)</f>
        <v/>
      </c>
      <c r="L237" s="306">
        <f>IF(C237="","",IF(COUNT(G237:J237)=0,"",IF(COUNT(G237:J237)&lt;4,"موقت - اطلاعات ناقص",IF(K237&gt;=17,"عالی",IF(K237&gt;=14,"خوب",IF(K237&gt;=10,"متوسط","ضعیف"))))))</f>
        <v/>
      </c>
      <c r="M237" s="306" t="n">
        <v>5</v>
      </c>
      <c r="N237" s="314">
        <f>IF(C237="","",COUNT(G237:J237)/4)</f>
        <v/>
      </c>
      <c r="O237" s="307" t="n"/>
    </row>
    <row r="238" ht="24" customHeight="1">
      <c r="A238" s="306" t="n">
        <v>234</v>
      </c>
      <c r="B238" s="306" t="inlineStr">
        <is>
          <t>آذر</t>
        </is>
      </c>
      <c r="C238" s="306">
        <f>IF('دانش‌آموزان'!E24="","",'دانش‌آموزان'!B24)</f>
        <v/>
      </c>
      <c r="D238" s="306">
        <f>IF('دانش‌آموزان'!C24="","",'دانش‌آموزان'!C24)</f>
        <v/>
      </c>
      <c r="E238" s="306">
        <f>IF('دانش‌آموزان'!E24="","",'دانش‌آموزان'!E24&amp;" "&amp;'دانش‌آموزان'!F24)</f>
        <v/>
      </c>
      <c r="F238" s="306">
        <f>IF('دانش‌آموزان'!I24="","",'دانش‌آموزان'!I24)</f>
        <v/>
      </c>
      <c r="G238" s="307" t="n"/>
      <c r="H238" s="307" t="n"/>
      <c r="I238" s="307" t="n"/>
      <c r="J238" s="307" t="n"/>
      <c r="K238" s="313">
        <f>IF(COUNT(G238:J238)=0,"",AVERAGE(G238:J238)*4)</f>
        <v/>
      </c>
      <c r="L238" s="306">
        <f>IF(C238="","",IF(COUNT(G238:J238)=0,"",IF(COUNT(G238:J238)&lt;4,"موقت - اطلاعات ناقص",IF(K238&gt;=17,"عالی",IF(K238&gt;=14,"خوب",IF(K238&gt;=10,"متوسط","ضعیف"))))))</f>
        <v/>
      </c>
      <c r="M238" s="306" t="n">
        <v>6</v>
      </c>
      <c r="N238" s="314">
        <f>IF(C238="","",COUNT(G238:J238)/4)</f>
        <v/>
      </c>
      <c r="O238" s="307" t="n"/>
    </row>
    <row r="239" ht="24" customHeight="1">
      <c r="A239" s="306" t="n">
        <v>235</v>
      </c>
      <c r="B239" s="306" t="inlineStr">
        <is>
          <t>دی</t>
        </is>
      </c>
      <c r="C239" s="306">
        <f>IF('دانش‌آموزان'!E24="","",'دانش‌آموزان'!B24)</f>
        <v/>
      </c>
      <c r="D239" s="306">
        <f>IF('دانش‌آموزان'!C24="","",'دانش‌آموزان'!C24)</f>
        <v/>
      </c>
      <c r="E239" s="306">
        <f>IF('دانش‌آموزان'!E24="","",'دانش‌آموزان'!E24&amp;" "&amp;'دانش‌آموزان'!F24)</f>
        <v/>
      </c>
      <c r="F239" s="306">
        <f>IF('دانش‌آموزان'!I24="","",'دانش‌آموزان'!I24)</f>
        <v/>
      </c>
      <c r="G239" s="307" t="n"/>
      <c r="H239" s="307" t="n"/>
      <c r="I239" s="307" t="n"/>
      <c r="J239" s="307" t="n"/>
      <c r="K239" s="313">
        <f>IF(COUNT(G239:J239)=0,"",AVERAGE(G239:J239)*4)</f>
        <v/>
      </c>
      <c r="L239" s="306">
        <f>IF(C239="","",IF(COUNT(G239:J239)=0,"",IF(COUNT(G239:J239)&lt;4,"موقت - اطلاعات ناقص",IF(K239&gt;=17,"عالی",IF(K239&gt;=14,"خوب",IF(K239&gt;=10,"متوسط","ضعیف"))))))</f>
        <v/>
      </c>
      <c r="M239" s="306" t="n">
        <v>7</v>
      </c>
      <c r="N239" s="314">
        <f>IF(C239="","",COUNT(G239:J239)/4)</f>
        <v/>
      </c>
      <c r="O239" s="307" t="n"/>
    </row>
    <row r="240" ht="24" customHeight="1">
      <c r="A240" s="306" t="n">
        <v>236</v>
      </c>
      <c r="B240" s="306" t="inlineStr">
        <is>
          <t>بهمن</t>
        </is>
      </c>
      <c r="C240" s="306">
        <f>IF('دانش‌آموزان'!E24="","",'دانش‌آموزان'!B24)</f>
        <v/>
      </c>
      <c r="D240" s="306">
        <f>IF('دانش‌آموزان'!C24="","",'دانش‌آموزان'!C24)</f>
        <v/>
      </c>
      <c r="E240" s="306">
        <f>IF('دانش‌آموزان'!E24="","",'دانش‌آموزان'!E24&amp;" "&amp;'دانش‌آموزان'!F24)</f>
        <v/>
      </c>
      <c r="F240" s="306">
        <f>IF('دانش‌آموزان'!I24="","",'دانش‌آموزان'!I24)</f>
        <v/>
      </c>
      <c r="G240" s="307" t="n"/>
      <c r="H240" s="307" t="n"/>
      <c r="I240" s="307" t="n"/>
      <c r="J240" s="307" t="n"/>
      <c r="K240" s="313">
        <f>IF(COUNT(G240:J240)=0,"",AVERAGE(G240:J240)*4)</f>
        <v/>
      </c>
      <c r="L240" s="306">
        <f>IF(C240="","",IF(COUNT(G240:J240)=0,"",IF(COUNT(G240:J240)&lt;4,"موقت - اطلاعات ناقص",IF(K240&gt;=17,"عالی",IF(K240&gt;=14,"خوب",IF(K240&gt;=10,"متوسط","ضعیف"))))))</f>
        <v/>
      </c>
      <c r="M240" s="306" t="n">
        <v>8</v>
      </c>
      <c r="N240" s="314">
        <f>IF(C240="","",COUNT(G240:J240)/4)</f>
        <v/>
      </c>
      <c r="O240" s="307" t="n"/>
    </row>
    <row r="241" ht="24" customHeight="1">
      <c r="A241" s="306" t="n">
        <v>237</v>
      </c>
      <c r="B241" s="306" t="inlineStr">
        <is>
          <t>اسفند</t>
        </is>
      </c>
      <c r="C241" s="306">
        <f>IF('دانش‌آموزان'!E24="","",'دانش‌آموزان'!B24)</f>
        <v/>
      </c>
      <c r="D241" s="306">
        <f>IF('دانش‌آموزان'!C24="","",'دانش‌آموزان'!C24)</f>
        <v/>
      </c>
      <c r="E241" s="306">
        <f>IF('دانش‌آموزان'!E24="","",'دانش‌آموزان'!E24&amp;" "&amp;'دانش‌آموزان'!F24)</f>
        <v/>
      </c>
      <c r="F241" s="306">
        <f>IF('دانش‌آموزان'!I24="","",'دانش‌آموزان'!I24)</f>
        <v/>
      </c>
      <c r="G241" s="307" t="n"/>
      <c r="H241" s="307" t="n"/>
      <c r="I241" s="307" t="n"/>
      <c r="J241" s="307" t="n"/>
      <c r="K241" s="313">
        <f>IF(COUNT(G241:J241)=0,"",AVERAGE(G241:J241)*4)</f>
        <v/>
      </c>
      <c r="L241" s="306">
        <f>IF(C241="","",IF(COUNT(G241:J241)=0,"",IF(COUNT(G241:J241)&lt;4,"موقت - اطلاعات ناقص",IF(K241&gt;=17,"عالی",IF(K241&gt;=14,"خوب",IF(K241&gt;=10,"متوسط","ضعیف"))))))</f>
        <v/>
      </c>
      <c r="M241" s="306" t="n">
        <v>9</v>
      </c>
      <c r="N241" s="314">
        <f>IF(C241="","",COUNT(G241:J241)/4)</f>
        <v/>
      </c>
      <c r="O241" s="307" t="n"/>
    </row>
    <row r="242" ht="24" customHeight="1">
      <c r="A242" s="306" t="n">
        <v>238</v>
      </c>
      <c r="B242" s="306" t="inlineStr">
        <is>
          <t>فروردین</t>
        </is>
      </c>
      <c r="C242" s="306">
        <f>IF('دانش‌آموزان'!E24="","",'دانش‌آموزان'!B24)</f>
        <v/>
      </c>
      <c r="D242" s="306">
        <f>IF('دانش‌آموزان'!C24="","",'دانش‌آموزان'!C24)</f>
        <v/>
      </c>
      <c r="E242" s="306">
        <f>IF('دانش‌آموزان'!E24="","",'دانش‌آموزان'!E24&amp;" "&amp;'دانش‌آموزان'!F24)</f>
        <v/>
      </c>
      <c r="F242" s="306">
        <f>IF('دانش‌آموزان'!I24="","",'دانش‌آموزان'!I24)</f>
        <v/>
      </c>
      <c r="G242" s="307" t="n"/>
      <c r="H242" s="307" t="n"/>
      <c r="I242" s="307" t="n"/>
      <c r="J242" s="307" t="n"/>
      <c r="K242" s="313">
        <f>IF(COUNT(G242:J242)=0,"",AVERAGE(G242:J242)*4)</f>
        <v/>
      </c>
      <c r="L242" s="306">
        <f>IF(C242="","",IF(COUNT(G242:J242)=0,"",IF(COUNT(G242:J242)&lt;4,"موقت - اطلاعات ناقص",IF(K242&gt;=17,"عالی",IF(K242&gt;=14,"خوب",IF(K242&gt;=10,"متوسط","ضعیف"))))))</f>
        <v/>
      </c>
      <c r="M242" s="306" t="n">
        <v>10</v>
      </c>
      <c r="N242" s="314">
        <f>IF(C242="","",COUNT(G242:J242)/4)</f>
        <v/>
      </c>
      <c r="O242" s="307" t="n"/>
    </row>
    <row r="243" ht="24" customHeight="1">
      <c r="A243" s="306" t="n">
        <v>239</v>
      </c>
      <c r="B243" s="306" t="inlineStr">
        <is>
          <t>اردیبهشت</t>
        </is>
      </c>
      <c r="C243" s="306">
        <f>IF('دانش‌آموزان'!E24="","",'دانش‌آموزان'!B24)</f>
        <v/>
      </c>
      <c r="D243" s="306">
        <f>IF('دانش‌آموزان'!C24="","",'دانش‌آموزان'!C24)</f>
        <v/>
      </c>
      <c r="E243" s="306">
        <f>IF('دانش‌آموزان'!E24="","",'دانش‌آموزان'!E24&amp;" "&amp;'دانش‌آموزان'!F24)</f>
        <v/>
      </c>
      <c r="F243" s="306">
        <f>IF('دانش‌آموزان'!I24="","",'دانش‌آموزان'!I24)</f>
        <v/>
      </c>
      <c r="G243" s="307" t="n"/>
      <c r="H243" s="307" t="n"/>
      <c r="I243" s="307" t="n"/>
      <c r="J243" s="307" t="n"/>
      <c r="K243" s="313">
        <f>IF(COUNT(G243:J243)=0,"",AVERAGE(G243:J243)*4)</f>
        <v/>
      </c>
      <c r="L243" s="306">
        <f>IF(C243="","",IF(COUNT(G243:J243)=0,"",IF(COUNT(G243:J243)&lt;4,"موقت - اطلاعات ناقص",IF(K243&gt;=17,"عالی",IF(K243&gt;=14,"خوب",IF(K243&gt;=10,"متوسط","ضعیف"))))))</f>
        <v/>
      </c>
      <c r="M243" s="306" t="n">
        <v>11</v>
      </c>
      <c r="N243" s="314">
        <f>IF(C243="","",COUNT(G243:J243)/4)</f>
        <v/>
      </c>
      <c r="O243" s="307" t="n"/>
    </row>
    <row r="244" ht="24" customHeight="1">
      <c r="A244" s="306" t="n">
        <v>240</v>
      </c>
      <c r="B244" s="306" t="inlineStr">
        <is>
          <t>خرداد</t>
        </is>
      </c>
      <c r="C244" s="306">
        <f>IF('دانش‌آموزان'!E24="","",'دانش‌آموزان'!B24)</f>
        <v/>
      </c>
      <c r="D244" s="306">
        <f>IF('دانش‌آموزان'!C24="","",'دانش‌آموزان'!C24)</f>
        <v/>
      </c>
      <c r="E244" s="306">
        <f>IF('دانش‌آموزان'!E24="","",'دانش‌آموزان'!E24&amp;" "&amp;'دانش‌آموزان'!F24)</f>
        <v/>
      </c>
      <c r="F244" s="306">
        <f>IF('دانش‌آموزان'!I24="","",'دانش‌آموزان'!I24)</f>
        <v/>
      </c>
      <c r="G244" s="307" t="n"/>
      <c r="H244" s="307" t="n"/>
      <c r="I244" s="307" t="n"/>
      <c r="J244" s="307" t="n"/>
      <c r="K244" s="313">
        <f>IF(COUNT(G244:J244)=0,"",AVERAGE(G244:J244)*4)</f>
        <v/>
      </c>
      <c r="L244" s="306">
        <f>IF(C244="","",IF(COUNT(G244:J244)=0,"",IF(COUNT(G244:J244)&lt;4,"موقت - اطلاعات ناقص",IF(K244&gt;=17,"عالی",IF(K244&gt;=14,"خوب",IF(K244&gt;=10,"متوسط","ضعیف"))))))</f>
        <v/>
      </c>
      <c r="M244" s="306" t="n">
        <v>12</v>
      </c>
      <c r="N244" s="314">
        <f>IF(C244="","",COUNT(G244:J244)/4)</f>
        <v/>
      </c>
      <c r="O244" s="307" t="n"/>
    </row>
    <row r="245" ht="24" customHeight="1">
      <c r="A245" s="306" t="n">
        <v>241</v>
      </c>
      <c r="B245" s="306" t="inlineStr">
        <is>
          <t>تیر</t>
        </is>
      </c>
      <c r="C245" s="306">
        <f>IF('دانش‌آموزان'!E25="","",'دانش‌آموزان'!B25)</f>
        <v/>
      </c>
      <c r="D245" s="306">
        <f>IF('دانش‌آموزان'!C25="","",'دانش‌آموزان'!C25)</f>
        <v/>
      </c>
      <c r="E245" s="306">
        <f>IF('دانش‌آموزان'!E25="","",'دانش‌آموزان'!E25&amp;" "&amp;'دانش‌آموزان'!F25)</f>
        <v/>
      </c>
      <c r="F245" s="306">
        <f>IF('دانش‌آموزان'!I25="","",'دانش‌آموزان'!I25)</f>
        <v/>
      </c>
      <c r="G245" s="307" t="n"/>
      <c r="H245" s="307" t="n"/>
      <c r="I245" s="307" t="n"/>
      <c r="J245" s="307" t="n"/>
      <c r="K245" s="313">
        <f>IF(COUNT(G245:J245)=0,"",AVERAGE(G245:J245)*4)</f>
        <v/>
      </c>
      <c r="L245" s="306">
        <f>IF(C245="","",IF(COUNT(G245:J245)=0,"",IF(COUNT(G245:J245)&lt;4,"موقت - اطلاعات ناقص",IF(K245&gt;=17,"عالی",IF(K245&gt;=14,"خوب",IF(K245&gt;=10,"متوسط","ضعیف"))))))</f>
        <v/>
      </c>
      <c r="M245" s="306" t="n">
        <v>1</v>
      </c>
      <c r="N245" s="314">
        <f>IF(C245="","",COUNT(G245:J245)/4)</f>
        <v/>
      </c>
      <c r="O245" s="307" t="n"/>
    </row>
    <row r="246" ht="24" customHeight="1">
      <c r="A246" s="306" t="n">
        <v>242</v>
      </c>
      <c r="B246" s="306" t="inlineStr">
        <is>
          <t>مرداد</t>
        </is>
      </c>
      <c r="C246" s="306">
        <f>IF('دانش‌آموزان'!E25="","",'دانش‌آموزان'!B25)</f>
        <v/>
      </c>
      <c r="D246" s="306">
        <f>IF('دانش‌آموزان'!C25="","",'دانش‌آموزان'!C25)</f>
        <v/>
      </c>
      <c r="E246" s="306">
        <f>IF('دانش‌آموزان'!E25="","",'دانش‌آموزان'!E25&amp;" "&amp;'دانش‌آموزان'!F25)</f>
        <v/>
      </c>
      <c r="F246" s="306">
        <f>IF('دانش‌آموزان'!I25="","",'دانش‌آموزان'!I25)</f>
        <v/>
      </c>
      <c r="G246" s="307" t="n"/>
      <c r="H246" s="307" t="n"/>
      <c r="I246" s="307" t="n"/>
      <c r="J246" s="307" t="n"/>
      <c r="K246" s="313">
        <f>IF(COUNT(G246:J246)=0,"",AVERAGE(G246:J246)*4)</f>
        <v/>
      </c>
      <c r="L246" s="306">
        <f>IF(C246="","",IF(COUNT(G246:J246)=0,"",IF(COUNT(G246:J246)&lt;4,"موقت - اطلاعات ناقص",IF(K246&gt;=17,"عالی",IF(K246&gt;=14,"خوب",IF(K246&gt;=10,"متوسط","ضعیف"))))))</f>
        <v/>
      </c>
      <c r="M246" s="306" t="n">
        <v>2</v>
      </c>
      <c r="N246" s="314">
        <f>IF(C246="","",COUNT(G246:J246)/4)</f>
        <v/>
      </c>
      <c r="O246" s="307" t="n"/>
    </row>
    <row r="247" ht="24" customHeight="1">
      <c r="A247" s="306" t="n">
        <v>243</v>
      </c>
      <c r="B247" s="306" t="inlineStr">
        <is>
          <t>شهریور</t>
        </is>
      </c>
      <c r="C247" s="306">
        <f>IF('دانش‌آموزان'!E25="","",'دانش‌آموزان'!B25)</f>
        <v/>
      </c>
      <c r="D247" s="306">
        <f>IF('دانش‌آموزان'!C25="","",'دانش‌آموزان'!C25)</f>
        <v/>
      </c>
      <c r="E247" s="306">
        <f>IF('دانش‌آموزان'!E25="","",'دانش‌آموزان'!E25&amp;" "&amp;'دانش‌آموزان'!F25)</f>
        <v/>
      </c>
      <c r="F247" s="306">
        <f>IF('دانش‌آموزان'!I25="","",'دانش‌آموزان'!I25)</f>
        <v/>
      </c>
      <c r="G247" s="307" t="n"/>
      <c r="H247" s="307" t="n"/>
      <c r="I247" s="307" t="n"/>
      <c r="J247" s="307" t="n"/>
      <c r="K247" s="313">
        <f>IF(COUNT(G247:J247)=0,"",AVERAGE(G247:J247)*4)</f>
        <v/>
      </c>
      <c r="L247" s="306">
        <f>IF(C247="","",IF(COUNT(G247:J247)=0,"",IF(COUNT(G247:J247)&lt;4,"موقت - اطلاعات ناقص",IF(K247&gt;=17,"عالی",IF(K247&gt;=14,"خوب",IF(K247&gt;=10,"متوسط","ضعیف"))))))</f>
        <v/>
      </c>
      <c r="M247" s="306" t="n">
        <v>3</v>
      </c>
      <c r="N247" s="314">
        <f>IF(C247="","",COUNT(G247:J247)/4)</f>
        <v/>
      </c>
      <c r="O247" s="307" t="n"/>
    </row>
    <row r="248" ht="24" customHeight="1">
      <c r="A248" s="306" t="n">
        <v>244</v>
      </c>
      <c r="B248" s="306" t="inlineStr">
        <is>
          <t>مهر</t>
        </is>
      </c>
      <c r="C248" s="306">
        <f>IF('دانش‌آموزان'!E25="","",'دانش‌آموزان'!B25)</f>
        <v/>
      </c>
      <c r="D248" s="306">
        <f>IF('دانش‌آموزان'!C25="","",'دانش‌آموزان'!C25)</f>
        <v/>
      </c>
      <c r="E248" s="306">
        <f>IF('دانش‌آموزان'!E25="","",'دانش‌آموزان'!E25&amp;" "&amp;'دانش‌آموزان'!F25)</f>
        <v/>
      </c>
      <c r="F248" s="306">
        <f>IF('دانش‌آموزان'!I25="","",'دانش‌آموزان'!I25)</f>
        <v/>
      </c>
      <c r="G248" s="307" t="n"/>
      <c r="H248" s="307" t="n"/>
      <c r="I248" s="307" t="n"/>
      <c r="J248" s="307" t="n"/>
      <c r="K248" s="313">
        <f>IF(COUNT(G248:J248)=0,"",AVERAGE(G248:J248)*4)</f>
        <v/>
      </c>
      <c r="L248" s="306">
        <f>IF(C248="","",IF(COUNT(G248:J248)=0,"",IF(COUNT(G248:J248)&lt;4,"موقت - اطلاعات ناقص",IF(K248&gt;=17,"عالی",IF(K248&gt;=14,"خوب",IF(K248&gt;=10,"متوسط","ضعیف"))))))</f>
        <v/>
      </c>
      <c r="M248" s="306" t="n">
        <v>4</v>
      </c>
      <c r="N248" s="314">
        <f>IF(C248="","",COUNT(G248:J248)/4)</f>
        <v/>
      </c>
      <c r="O248" s="307" t="n"/>
    </row>
    <row r="249" ht="24" customHeight="1">
      <c r="A249" s="306" t="n">
        <v>245</v>
      </c>
      <c r="B249" s="306" t="inlineStr">
        <is>
          <t>آبان</t>
        </is>
      </c>
      <c r="C249" s="306">
        <f>IF('دانش‌آموزان'!E25="","",'دانش‌آموزان'!B25)</f>
        <v/>
      </c>
      <c r="D249" s="306">
        <f>IF('دانش‌آموزان'!C25="","",'دانش‌آموزان'!C25)</f>
        <v/>
      </c>
      <c r="E249" s="306">
        <f>IF('دانش‌آموزان'!E25="","",'دانش‌آموزان'!E25&amp;" "&amp;'دانش‌آموزان'!F25)</f>
        <v/>
      </c>
      <c r="F249" s="306">
        <f>IF('دانش‌آموزان'!I25="","",'دانش‌آموزان'!I25)</f>
        <v/>
      </c>
      <c r="G249" s="307" t="n"/>
      <c r="H249" s="307" t="n"/>
      <c r="I249" s="307" t="n"/>
      <c r="J249" s="307" t="n"/>
      <c r="K249" s="313">
        <f>IF(COUNT(G249:J249)=0,"",AVERAGE(G249:J249)*4)</f>
        <v/>
      </c>
      <c r="L249" s="306">
        <f>IF(C249="","",IF(COUNT(G249:J249)=0,"",IF(COUNT(G249:J249)&lt;4,"موقت - اطلاعات ناقص",IF(K249&gt;=17,"عالی",IF(K249&gt;=14,"خوب",IF(K249&gt;=10,"متوسط","ضعیف"))))))</f>
        <v/>
      </c>
      <c r="M249" s="306" t="n">
        <v>5</v>
      </c>
      <c r="N249" s="314">
        <f>IF(C249="","",COUNT(G249:J249)/4)</f>
        <v/>
      </c>
      <c r="O249" s="307" t="n"/>
    </row>
    <row r="250" ht="24" customHeight="1">
      <c r="A250" s="306" t="n">
        <v>246</v>
      </c>
      <c r="B250" s="306" t="inlineStr">
        <is>
          <t>آذر</t>
        </is>
      </c>
      <c r="C250" s="306">
        <f>IF('دانش‌آموزان'!E25="","",'دانش‌آموزان'!B25)</f>
        <v/>
      </c>
      <c r="D250" s="306">
        <f>IF('دانش‌آموزان'!C25="","",'دانش‌آموزان'!C25)</f>
        <v/>
      </c>
      <c r="E250" s="306">
        <f>IF('دانش‌آموزان'!E25="","",'دانش‌آموزان'!E25&amp;" "&amp;'دانش‌آموزان'!F25)</f>
        <v/>
      </c>
      <c r="F250" s="306">
        <f>IF('دانش‌آموزان'!I25="","",'دانش‌آموزان'!I25)</f>
        <v/>
      </c>
      <c r="G250" s="307" t="n"/>
      <c r="H250" s="307" t="n"/>
      <c r="I250" s="307" t="n"/>
      <c r="J250" s="307" t="n"/>
      <c r="K250" s="313">
        <f>IF(COUNT(G250:J250)=0,"",AVERAGE(G250:J250)*4)</f>
        <v/>
      </c>
      <c r="L250" s="306">
        <f>IF(C250="","",IF(COUNT(G250:J250)=0,"",IF(COUNT(G250:J250)&lt;4,"موقت - اطلاعات ناقص",IF(K250&gt;=17,"عالی",IF(K250&gt;=14,"خوب",IF(K250&gt;=10,"متوسط","ضعیف"))))))</f>
        <v/>
      </c>
      <c r="M250" s="306" t="n">
        <v>6</v>
      </c>
      <c r="N250" s="314">
        <f>IF(C250="","",COUNT(G250:J250)/4)</f>
        <v/>
      </c>
      <c r="O250" s="307" t="n"/>
    </row>
    <row r="251" ht="24" customHeight="1">
      <c r="A251" s="306" t="n">
        <v>247</v>
      </c>
      <c r="B251" s="306" t="inlineStr">
        <is>
          <t>دی</t>
        </is>
      </c>
      <c r="C251" s="306">
        <f>IF('دانش‌آموزان'!E25="","",'دانش‌آموزان'!B25)</f>
        <v/>
      </c>
      <c r="D251" s="306">
        <f>IF('دانش‌آموزان'!C25="","",'دانش‌آموزان'!C25)</f>
        <v/>
      </c>
      <c r="E251" s="306">
        <f>IF('دانش‌آموزان'!E25="","",'دانش‌آموزان'!E25&amp;" "&amp;'دانش‌آموزان'!F25)</f>
        <v/>
      </c>
      <c r="F251" s="306">
        <f>IF('دانش‌آموزان'!I25="","",'دانش‌آموزان'!I25)</f>
        <v/>
      </c>
      <c r="G251" s="307" t="n"/>
      <c r="H251" s="307" t="n"/>
      <c r="I251" s="307" t="n"/>
      <c r="J251" s="307" t="n"/>
      <c r="K251" s="313">
        <f>IF(COUNT(G251:J251)=0,"",AVERAGE(G251:J251)*4)</f>
        <v/>
      </c>
      <c r="L251" s="306">
        <f>IF(C251="","",IF(COUNT(G251:J251)=0,"",IF(COUNT(G251:J251)&lt;4,"موقت - اطلاعات ناقص",IF(K251&gt;=17,"عالی",IF(K251&gt;=14,"خوب",IF(K251&gt;=10,"متوسط","ضعیف"))))))</f>
        <v/>
      </c>
      <c r="M251" s="306" t="n">
        <v>7</v>
      </c>
      <c r="N251" s="314">
        <f>IF(C251="","",COUNT(G251:J251)/4)</f>
        <v/>
      </c>
      <c r="O251" s="307" t="n"/>
    </row>
    <row r="252" ht="24" customHeight="1">
      <c r="A252" s="306" t="n">
        <v>248</v>
      </c>
      <c r="B252" s="306" t="inlineStr">
        <is>
          <t>بهمن</t>
        </is>
      </c>
      <c r="C252" s="306">
        <f>IF('دانش‌آموزان'!E25="","",'دانش‌آموزان'!B25)</f>
        <v/>
      </c>
      <c r="D252" s="306">
        <f>IF('دانش‌آموزان'!C25="","",'دانش‌آموزان'!C25)</f>
        <v/>
      </c>
      <c r="E252" s="306">
        <f>IF('دانش‌آموزان'!E25="","",'دانش‌آموزان'!E25&amp;" "&amp;'دانش‌آموزان'!F25)</f>
        <v/>
      </c>
      <c r="F252" s="306">
        <f>IF('دانش‌آموزان'!I25="","",'دانش‌آموزان'!I25)</f>
        <v/>
      </c>
      <c r="G252" s="307" t="n"/>
      <c r="H252" s="307" t="n"/>
      <c r="I252" s="307" t="n"/>
      <c r="J252" s="307" t="n"/>
      <c r="K252" s="313">
        <f>IF(COUNT(G252:J252)=0,"",AVERAGE(G252:J252)*4)</f>
        <v/>
      </c>
      <c r="L252" s="306">
        <f>IF(C252="","",IF(COUNT(G252:J252)=0,"",IF(COUNT(G252:J252)&lt;4,"موقت - اطلاعات ناقص",IF(K252&gt;=17,"عالی",IF(K252&gt;=14,"خوب",IF(K252&gt;=10,"متوسط","ضعیف"))))))</f>
        <v/>
      </c>
      <c r="M252" s="306" t="n">
        <v>8</v>
      </c>
      <c r="N252" s="314">
        <f>IF(C252="","",COUNT(G252:J252)/4)</f>
        <v/>
      </c>
      <c r="O252" s="307" t="n"/>
    </row>
    <row r="253" ht="24" customHeight="1">
      <c r="A253" s="306" t="n">
        <v>249</v>
      </c>
      <c r="B253" s="306" t="inlineStr">
        <is>
          <t>اسفند</t>
        </is>
      </c>
      <c r="C253" s="306">
        <f>IF('دانش‌آموزان'!E25="","",'دانش‌آموزان'!B25)</f>
        <v/>
      </c>
      <c r="D253" s="306">
        <f>IF('دانش‌آموزان'!C25="","",'دانش‌آموزان'!C25)</f>
        <v/>
      </c>
      <c r="E253" s="306">
        <f>IF('دانش‌آموزان'!E25="","",'دانش‌آموزان'!E25&amp;" "&amp;'دانش‌آموزان'!F25)</f>
        <v/>
      </c>
      <c r="F253" s="306">
        <f>IF('دانش‌آموزان'!I25="","",'دانش‌آموزان'!I25)</f>
        <v/>
      </c>
      <c r="G253" s="307" t="n"/>
      <c r="H253" s="307" t="n"/>
      <c r="I253" s="307" t="n"/>
      <c r="J253" s="307" t="n"/>
      <c r="K253" s="313">
        <f>IF(COUNT(G253:J253)=0,"",AVERAGE(G253:J253)*4)</f>
        <v/>
      </c>
      <c r="L253" s="306">
        <f>IF(C253="","",IF(COUNT(G253:J253)=0,"",IF(COUNT(G253:J253)&lt;4,"موقت - اطلاعات ناقص",IF(K253&gt;=17,"عالی",IF(K253&gt;=14,"خوب",IF(K253&gt;=10,"متوسط","ضعیف"))))))</f>
        <v/>
      </c>
      <c r="M253" s="306" t="n">
        <v>9</v>
      </c>
      <c r="N253" s="314">
        <f>IF(C253="","",COUNT(G253:J253)/4)</f>
        <v/>
      </c>
      <c r="O253" s="307" t="n"/>
    </row>
    <row r="254" ht="24" customHeight="1">
      <c r="A254" s="306" t="n">
        <v>250</v>
      </c>
      <c r="B254" s="306" t="inlineStr">
        <is>
          <t>فروردین</t>
        </is>
      </c>
      <c r="C254" s="306">
        <f>IF('دانش‌آموزان'!E25="","",'دانش‌آموزان'!B25)</f>
        <v/>
      </c>
      <c r="D254" s="306">
        <f>IF('دانش‌آموزان'!C25="","",'دانش‌آموزان'!C25)</f>
        <v/>
      </c>
      <c r="E254" s="306">
        <f>IF('دانش‌آموزان'!E25="","",'دانش‌آموزان'!E25&amp;" "&amp;'دانش‌آموزان'!F25)</f>
        <v/>
      </c>
      <c r="F254" s="306">
        <f>IF('دانش‌آموزان'!I25="","",'دانش‌آموزان'!I25)</f>
        <v/>
      </c>
      <c r="G254" s="307" t="n"/>
      <c r="H254" s="307" t="n"/>
      <c r="I254" s="307" t="n"/>
      <c r="J254" s="307" t="n"/>
      <c r="K254" s="313">
        <f>IF(COUNT(G254:J254)=0,"",AVERAGE(G254:J254)*4)</f>
        <v/>
      </c>
      <c r="L254" s="306">
        <f>IF(C254="","",IF(COUNT(G254:J254)=0,"",IF(COUNT(G254:J254)&lt;4,"موقت - اطلاعات ناقص",IF(K254&gt;=17,"عالی",IF(K254&gt;=14,"خوب",IF(K254&gt;=10,"متوسط","ضعیف"))))))</f>
        <v/>
      </c>
      <c r="M254" s="306" t="n">
        <v>10</v>
      </c>
      <c r="N254" s="314">
        <f>IF(C254="","",COUNT(G254:J254)/4)</f>
        <v/>
      </c>
      <c r="O254" s="307" t="n"/>
    </row>
    <row r="255" ht="24" customHeight="1">
      <c r="A255" s="306" t="n">
        <v>251</v>
      </c>
      <c r="B255" s="306" t="inlineStr">
        <is>
          <t>اردیبهشت</t>
        </is>
      </c>
      <c r="C255" s="306">
        <f>IF('دانش‌آموزان'!E25="","",'دانش‌آموزان'!B25)</f>
        <v/>
      </c>
      <c r="D255" s="306">
        <f>IF('دانش‌آموزان'!C25="","",'دانش‌آموزان'!C25)</f>
        <v/>
      </c>
      <c r="E255" s="306">
        <f>IF('دانش‌آموزان'!E25="","",'دانش‌آموزان'!E25&amp;" "&amp;'دانش‌آموزان'!F25)</f>
        <v/>
      </c>
      <c r="F255" s="306">
        <f>IF('دانش‌آموزان'!I25="","",'دانش‌آموزان'!I25)</f>
        <v/>
      </c>
      <c r="G255" s="307" t="n"/>
      <c r="H255" s="307" t="n"/>
      <c r="I255" s="307" t="n"/>
      <c r="J255" s="307" t="n"/>
      <c r="K255" s="313">
        <f>IF(COUNT(G255:J255)=0,"",AVERAGE(G255:J255)*4)</f>
        <v/>
      </c>
      <c r="L255" s="306">
        <f>IF(C255="","",IF(COUNT(G255:J255)=0,"",IF(COUNT(G255:J255)&lt;4,"موقت - اطلاعات ناقص",IF(K255&gt;=17,"عالی",IF(K255&gt;=14,"خوب",IF(K255&gt;=10,"متوسط","ضعیف"))))))</f>
        <v/>
      </c>
      <c r="M255" s="306" t="n">
        <v>11</v>
      </c>
      <c r="N255" s="314">
        <f>IF(C255="","",COUNT(G255:J255)/4)</f>
        <v/>
      </c>
      <c r="O255" s="307" t="n"/>
    </row>
    <row r="256" ht="24" customHeight="1">
      <c r="A256" s="306" t="n">
        <v>252</v>
      </c>
      <c r="B256" s="306" t="inlineStr">
        <is>
          <t>خرداد</t>
        </is>
      </c>
      <c r="C256" s="306">
        <f>IF('دانش‌آموزان'!E25="","",'دانش‌آموزان'!B25)</f>
        <v/>
      </c>
      <c r="D256" s="306">
        <f>IF('دانش‌آموزان'!C25="","",'دانش‌آموزان'!C25)</f>
        <v/>
      </c>
      <c r="E256" s="306">
        <f>IF('دانش‌آموزان'!E25="","",'دانش‌آموزان'!E25&amp;" "&amp;'دانش‌آموزان'!F25)</f>
        <v/>
      </c>
      <c r="F256" s="306">
        <f>IF('دانش‌آموزان'!I25="","",'دانش‌آموزان'!I25)</f>
        <v/>
      </c>
      <c r="G256" s="307" t="n"/>
      <c r="H256" s="307" t="n"/>
      <c r="I256" s="307" t="n"/>
      <c r="J256" s="307" t="n"/>
      <c r="K256" s="313">
        <f>IF(COUNT(G256:J256)=0,"",AVERAGE(G256:J256)*4)</f>
        <v/>
      </c>
      <c r="L256" s="306">
        <f>IF(C256="","",IF(COUNT(G256:J256)=0,"",IF(COUNT(G256:J256)&lt;4,"موقت - اطلاعات ناقص",IF(K256&gt;=17,"عالی",IF(K256&gt;=14,"خوب",IF(K256&gt;=10,"متوسط","ضعیف"))))))</f>
        <v/>
      </c>
      <c r="M256" s="306" t="n">
        <v>12</v>
      </c>
      <c r="N256" s="314">
        <f>IF(C256="","",COUNT(G256:J256)/4)</f>
        <v/>
      </c>
      <c r="O256" s="307" t="n"/>
    </row>
    <row r="257" ht="24" customHeight="1">
      <c r="A257" s="306" t="n">
        <v>253</v>
      </c>
      <c r="B257" s="306" t="inlineStr">
        <is>
          <t>تیر</t>
        </is>
      </c>
      <c r="C257" s="306">
        <f>IF('دانش‌آموزان'!E26="","",'دانش‌آموزان'!B26)</f>
        <v/>
      </c>
      <c r="D257" s="306">
        <f>IF('دانش‌آموزان'!C26="","",'دانش‌آموزان'!C26)</f>
        <v/>
      </c>
      <c r="E257" s="306">
        <f>IF('دانش‌آموزان'!E26="","",'دانش‌آموزان'!E26&amp;" "&amp;'دانش‌آموزان'!F26)</f>
        <v/>
      </c>
      <c r="F257" s="306">
        <f>IF('دانش‌آموزان'!I26="","",'دانش‌آموزان'!I26)</f>
        <v/>
      </c>
      <c r="G257" s="307" t="n"/>
      <c r="H257" s="307" t="n"/>
      <c r="I257" s="307" t="n"/>
      <c r="J257" s="307" t="n"/>
      <c r="K257" s="313">
        <f>IF(COUNT(G257:J257)=0,"",AVERAGE(G257:J257)*4)</f>
        <v/>
      </c>
      <c r="L257" s="306">
        <f>IF(C257="","",IF(COUNT(G257:J257)=0,"",IF(COUNT(G257:J257)&lt;4,"موقت - اطلاعات ناقص",IF(K257&gt;=17,"عالی",IF(K257&gt;=14,"خوب",IF(K257&gt;=10,"متوسط","ضعیف"))))))</f>
        <v/>
      </c>
      <c r="M257" s="306" t="n">
        <v>1</v>
      </c>
      <c r="N257" s="314">
        <f>IF(C257="","",COUNT(G257:J257)/4)</f>
        <v/>
      </c>
      <c r="O257" s="307" t="n"/>
    </row>
    <row r="258" ht="24" customHeight="1">
      <c r="A258" s="306" t="n">
        <v>254</v>
      </c>
      <c r="B258" s="306" t="inlineStr">
        <is>
          <t>مرداد</t>
        </is>
      </c>
      <c r="C258" s="306">
        <f>IF('دانش‌آموزان'!E26="","",'دانش‌آموزان'!B26)</f>
        <v/>
      </c>
      <c r="D258" s="306">
        <f>IF('دانش‌آموزان'!C26="","",'دانش‌آموزان'!C26)</f>
        <v/>
      </c>
      <c r="E258" s="306">
        <f>IF('دانش‌آموزان'!E26="","",'دانش‌آموزان'!E26&amp;" "&amp;'دانش‌آموزان'!F26)</f>
        <v/>
      </c>
      <c r="F258" s="306">
        <f>IF('دانش‌آموزان'!I26="","",'دانش‌آموزان'!I26)</f>
        <v/>
      </c>
      <c r="G258" s="307" t="n"/>
      <c r="H258" s="307" t="n"/>
      <c r="I258" s="307" t="n"/>
      <c r="J258" s="307" t="n"/>
      <c r="K258" s="313">
        <f>IF(COUNT(G258:J258)=0,"",AVERAGE(G258:J258)*4)</f>
        <v/>
      </c>
      <c r="L258" s="306">
        <f>IF(C258="","",IF(COUNT(G258:J258)=0,"",IF(COUNT(G258:J258)&lt;4,"موقت - اطلاعات ناقص",IF(K258&gt;=17,"عالی",IF(K258&gt;=14,"خوب",IF(K258&gt;=10,"متوسط","ضعیف"))))))</f>
        <v/>
      </c>
      <c r="M258" s="306" t="n">
        <v>2</v>
      </c>
      <c r="N258" s="314">
        <f>IF(C258="","",COUNT(G258:J258)/4)</f>
        <v/>
      </c>
      <c r="O258" s="307" t="n"/>
    </row>
    <row r="259" ht="24" customHeight="1">
      <c r="A259" s="306" t="n">
        <v>255</v>
      </c>
      <c r="B259" s="306" t="inlineStr">
        <is>
          <t>شهریور</t>
        </is>
      </c>
      <c r="C259" s="306">
        <f>IF('دانش‌آموزان'!E26="","",'دانش‌آموزان'!B26)</f>
        <v/>
      </c>
      <c r="D259" s="306">
        <f>IF('دانش‌آموزان'!C26="","",'دانش‌آموزان'!C26)</f>
        <v/>
      </c>
      <c r="E259" s="306">
        <f>IF('دانش‌آموزان'!E26="","",'دانش‌آموزان'!E26&amp;" "&amp;'دانش‌آموزان'!F26)</f>
        <v/>
      </c>
      <c r="F259" s="306">
        <f>IF('دانش‌آموزان'!I26="","",'دانش‌آموزان'!I26)</f>
        <v/>
      </c>
      <c r="G259" s="307" t="n"/>
      <c r="H259" s="307" t="n"/>
      <c r="I259" s="307" t="n"/>
      <c r="J259" s="307" t="n"/>
      <c r="K259" s="313">
        <f>IF(COUNT(G259:J259)=0,"",AVERAGE(G259:J259)*4)</f>
        <v/>
      </c>
      <c r="L259" s="306">
        <f>IF(C259="","",IF(COUNT(G259:J259)=0,"",IF(COUNT(G259:J259)&lt;4,"موقت - اطلاعات ناقص",IF(K259&gt;=17,"عالی",IF(K259&gt;=14,"خوب",IF(K259&gt;=10,"متوسط","ضعیف"))))))</f>
        <v/>
      </c>
      <c r="M259" s="306" t="n">
        <v>3</v>
      </c>
      <c r="N259" s="314">
        <f>IF(C259="","",COUNT(G259:J259)/4)</f>
        <v/>
      </c>
      <c r="O259" s="307" t="n"/>
    </row>
    <row r="260" ht="24" customHeight="1">
      <c r="A260" s="306" t="n">
        <v>256</v>
      </c>
      <c r="B260" s="306" t="inlineStr">
        <is>
          <t>مهر</t>
        </is>
      </c>
      <c r="C260" s="306">
        <f>IF('دانش‌آموزان'!E26="","",'دانش‌آموزان'!B26)</f>
        <v/>
      </c>
      <c r="D260" s="306">
        <f>IF('دانش‌آموزان'!C26="","",'دانش‌آموزان'!C26)</f>
        <v/>
      </c>
      <c r="E260" s="306">
        <f>IF('دانش‌آموزان'!E26="","",'دانش‌آموزان'!E26&amp;" "&amp;'دانش‌آموزان'!F26)</f>
        <v/>
      </c>
      <c r="F260" s="306">
        <f>IF('دانش‌آموزان'!I26="","",'دانش‌آموزان'!I26)</f>
        <v/>
      </c>
      <c r="G260" s="307" t="n"/>
      <c r="H260" s="307" t="n"/>
      <c r="I260" s="307" t="n"/>
      <c r="J260" s="307" t="n"/>
      <c r="K260" s="313">
        <f>IF(COUNT(G260:J260)=0,"",AVERAGE(G260:J260)*4)</f>
        <v/>
      </c>
      <c r="L260" s="306">
        <f>IF(C260="","",IF(COUNT(G260:J260)=0,"",IF(COUNT(G260:J260)&lt;4,"موقت - اطلاعات ناقص",IF(K260&gt;=17,"عالی",IF(K260&gt;=14,"خوب",IF(K260&gt;=10,"متوسط","ضعیف"))))))</f>
        <v/>
      </c>
      <c r="M260" s="306" t="n">
        <v>4</v>
      </c>
      <c r="N260" s="314">
        <f>IF(C260="","",COUNT(G260:J260)/4)</f>
        <v/>
      </c>
      <c r="O260" s="307" t="n"/>
    </row>
    <row r="261" ht="24" customHeight="1">
      <c r="A261" s="306" t="n">
        <v>257</v>
      </c>
      <c r="B261" s="306" t="inlineStr">
        <is>
          <t>آبان</t>
        </is>
      </c>
      <c r="C261" s="306">
        <f>IF('دانش‌آموزان'!E26="","",'دانش‌آموزان'!B26)</f>
        <v/>
      </c>
      <c r="D261" s="306">
        <f>IF('دانش‌آموزان'!C26="","",'دانش‌آموزان'!C26)</f>
        <v/>
      </c>
      <c r="E261" s="306">
        <f>IF('دانش‌آموزان'!E26="","",'دانش‌آموزان'!E26&amp;" "&amp;'دانش‌آموزان'!F26)</f>
        <v/>
      </c>
      <c r="F261" s="306">
        <f>IF('دانش‌آموزان'!I26="","",'دانش‌آموزان'!I26)</f>
        <v/>
      </c>
      <c r="G261" s="307" t="n"/>
      <c r="H261" s="307" t="n"/>
      <c r="I261" s="307" t="n"/>
      <c r="J261" s="307" t="n"/>
      <c r="K261" s="313">
        <f>IF(COUNT(G261:J261)=0,"",AVERAGE(G261:J261)*4)</f>
        <v/>
      </c>
      <c r="L261" s="306">
        <f>IF(C261="","",IF(COUNT(G261:J261)=0,"",IF(COUNT(G261:J261)&lt;4,"موقت - اطلاعات ناقص",IF(K261&gt;=17,"عالی",IF(K261&gt;=14,"خوب",IF(K261&gt;=10,"متوسط","ضعیف"))))))</f>
        <v/>
      </c>
      <c r="M261" s="306" t="n">
        <v>5</v>
      </c>
      <c r="N261" s="314">
        <f>IF(C261="","",COUNT(G261:J261)/4)</f>
        <v/>
      </c>
      <c r="O261" s="307" t="n"/>
    </row>
    <row r="262" ht="24" customHeight="1">
      <c r="A262" s="306" t="n">
        <v>258</v>
      </c>
      <c r="B262" s="306" t="inlineStr">
        <is>
          <t>آذر</t>
        </is>
      </c>
      <c r="C262" s="306">
        <f>IF('دانش‌آموزان'!E26="","",'دانش‌آموزان'!B26)</f>
        <v/>
      </c>
      <c r="D262" s="306">
        <f>IF('دانش‌آموزان'!C26="","",'دانش‌آموزان'!C26)</f>
        <v/>
      </c>
      <c r="E262" s="306">
        <f>IF('دانش‌آموزان'!E26="","",'دانش‌آموزان'!E26&amp;" "&amp;'دانش‌آموزان'!F26)</f>
        <v/>
      </c>
      <c r="F262" s="306">
        <f>IF('دانش‌آموزان'!I26="","",'دانش‌آموزان'!I26)</f>
        <v/>
      </c>
      <c r="G262" s="307" t="n"/>
      <c r="H262" s="307" t="n"/>
      <c r="I262" s="307" t="n"/>
      <c r="J262" s="307" t="n"/>
      <c r="K262" s="313">
        <f>IF(COUNT(G262:J262)=0,"",AVERAGE(G262:J262)*4)</f>
        <v/>
      </c>
      <c r="L262" s="306">
        <f>IF(C262="","",IF(COUNT(G262:J262)=0,"",IF(COUNT(G262:J262)&lt;4,"موقت - اطلاعات ناقص",IF(K262&gt;=17,"عالی",IF(K262&gt;=14,"خوب",IF(K262&gt;=10,"متوسط","ضعیف"))))))</f>
        <v/>
      </c>
      <c r="M262" s="306" t="n">
        <v>6</v>
      </c>
      <c r="N262" s="314">
        <f>IF(C262="","",COUNT(G262:J262)/4)</f>
        <v/>
      </c>
      <c r="O262" s="307" t="n"/>
    </row>
    <row r="263" ht="24" customHeight="1">
      <c r="A263" s="306" t="n">
        <v>259</v>
      </c>
      <c r="B263" s="306" t="inlineStr">
        <is>
          <t>دی</t>
        </is>
      </c>
      <c r="C263" s="306">
        <f>IF('دانش‌آموزان'!E26="","",'دانش‌آموزان'!B26)</f>
        <v/>
      </c>
      <c r="D263" s="306">
        <f>IF('دانش‌آموزان'!C26="","",'دانش‌آموزان'!C26)</f>
        <v/>
      </c>
      <c r="E263" s="306">
        <f>IF('دانش‌آموزان'!E26="","",'دانش‌آموزان'!E26&amp;" "&amp;'دانش‌آموزان'!F26)</f>
        <v/>
      </c>
      <c r="F263" s="306">
        <f>IF('دانش‌آموزان'!I26="","",'دانش‌آموزان'!I26)</f>
        <v/>
      </c>
      <c r="G263" s="307" t="n"/>
      <c r="H263" s="307" t="n"/>
      <c r="I263" s="307" t="n"/>
      <c r="J263" s="307" t="n"/>
      <c r="K263" s="313">
        <f>IF(COUNT(G263:J263)=0,"",AVERAGE(G263:J263)*4)</f>
        <v/>
      </c>
      <c r="L263" s="306">
        <f>IF(C263="","",IF(COUNT(G263:J263)=0,"",IF(COUNT(G263:J263)&lt;4,"موقت - اطلاعات ناقص",IF(K263&gt;=17,"عالی",IF(K263&gt;=14,"خوب",IF(K263&gt;=10,"متوسط","ضعیف"))))))</f>
        <v/>
      </c>
      <c r="M263" s="306" t="n">
        <v>7</v>
      </c>
      <c r="N263" s="314">
        <f>IF(C263="","",COUNT(G263:J263)/4)</f>
        <v/>
      </c>
      <c r="O263" s="307" t="n"/>
    </row>
    <row r="264" ht="24" customHeight="1">
      <c r="A264" s="306" t="n">
        <v>260</v>
      </c>
      <c r="B264" s="306" t="inlineStr">
        <is>
          <t>بهمن</t>
        </is>
      </c>
      <c r="C264" s="306">
        <f>IF('دانش‌آموزان'!E26="","",'دانش‌آموزان'!B26)</f>
        <v/>
      </c>
      <c r="D264" s="306">
        <f>IF('دانش‌آموزان'!C26="","",'دانش‌آموزان'!C26)</f>
        <v/>
      </c>
      <c r="E264" s="306">
        <f>IF('دانش‌آموزان'!E26="","",'دانش‌آموزان'!E26&amp;" "&amp;'دانش‌آموزان'!F26)</f>
        <v/>
      </c>
      <c r="F264" s="306">
        <f>IF('دانش‌آموزان'!I26="","",'دانش‌آموزان'!I26)</f>
        <v/>
      </c>
      <c r="G264" s="307" t="n"/>
      <c r="H264" s="307" t="n"/>
      <c r="I264" s="307" t="n"/>
      <c r="J264" s="307" t="n"/>
      <c r="K264" s="313">
        <f>IF(COUNT(G264:J264)=0,"",AVERAGE(G264:J264)*4)</f>
        <v/>
      </c>
      <c r="L264" s="306">
        <f>IF(C264="","",IF(COUNT(G264:J264)=0,"",IF(COUNT(G264:J264)&lt;4,"موقت - اطلاعات ناقص",IF(K264&gt;=17,"عالی",IF(K264&gt;=14,"خوب",IF(K264&gt;=10,"متوسط","ضعیف"))))))</f>
        <v/>
      </c>
      <c r="M264" s="306" t="n">
        <v>8</v>
      </c>
      <c r="N264" s="314">
        <f>IF(C264="","",COUNT(G264:J264)/4)</f>
        <v/>
      </c>
      <c r="O264" s="307" t="n"/>
    </row>
    <row r="265" ht="24" customHeight="1">
      <c r="A265" s="306" t="n">
        <v>261</v>
      </c>
      <c r="B265" s="306" t="inlineStr">
        <is>
          <t>اسفند</t>
        </is>
      </c>
      <c r="C265" s="306">
        <f>IF('دانش‌آموزان'!E26="","",'دانش‌آموزان'!B26)</f>
        <v/>
      </c>
      <c r="D265" s="306">
        <f>IF('دانش‌آموزان'!C26="","",'دانش‌آموزان'!C26)</f>
        <v/>
      </c>
      <c r="E265" s="306">
        <f>IF('دانش‌آموزان'!E26="","",'دانش‌آموزان'!E26&amp;" "&amp;'دانش‌آموزان'!F26)</f>
        <v/>
      </c>
      <c r="F265" s="306">
        <f>IF('دانش‌آموزان'!I26="","",'دانش‌آموزان'!I26)</f>
        <v/>
      </c>
      <c r="G265" s="307" t="n"/>
      <c r="H265" s="307" t="n"/>
      <c r="I265" s="307" t="n"/>
      <c r="J265" s="307" t="n"/>
      <c r="K265" s="313">
        <f>IF(COUNT(G265:J265)=0,"",AVERAGE(G265:J265)*4)</f>
        <v/>
      </c>
      <c r="L265" s="306">
        <f>IF(C265="","",IF(COUNT(G265:J265)=0,"",IF(COUNT(G265:J265)&lt;4,"موقت - اطلاعات ناقص",IF(K265&gt;=17,"عالی",IF(K265&gt;=14,"خوب",IF(K265&gt;=10,"متوسط","ضعیف"))))))</f>
        <v/>
      </c>
      <c r="M265" s="306" t="n">
        <v>9</v>
      </c>
      <c r="N265" s="314">
        <f>IF(C265="","",COUNT(G265:J265)/4)</f>
        <v/>
      </c>
      <c r="O265" s="307" t="n"/>
    </row>
    <row r="266" ht="24" customHeight="1">
      <c r="A266" s="306" t="n">
        <v>262</v>
      </c>
      <c r="B266" s="306" t="inlineStr">
        <is>
          <t>فروردین</t>
        </is>
      </c>
      <c r="C266" s="306">
        <f>IF('دانش‌آموزان'!E26="","",'دانش‌آموزان'!B26)</f>
        <v/>
      </c>
      <c r="D266" s="306">
        <f>IF('دانش‌آموزان'!C26="","",'دانش‌آموزان'!C26)</f>
        <v/>
      </c>
      <c r="E266" s="306">
        <f>IF('دانش‌آموزان'!E26="","",'دانش‌آموزان'!E26&amp;" "&amp;'دانش‌آموزان'!F26)</f>
        <v/>
      </c>
      <c r="F266" s="306">
        <f>IF('دانش‌آموزان'!I26="","",'دانش‌آموزان'!I26)</f>
        <v/>
      </c>
      <c r="G266" s="307" t="n"/>
      <c r="H266" s="307" t="n"/>
      <c r="I266" s="307" t="n"/>
      <c r="J266" s="307" t="n"/>
      <c r="K266" s="313">
        <f>IF(COUNT(G266:J266)=0,"",AVERAGE(G266:J266)*4)</f>
        <v/>
      </c>
      <c r="L266" s="306">
        <f>IF(C266="","",IF(COUNT(G266:J266)=0,"",IF(COUNT(G266:J266)&lt;4,"موقت - اطلاعات ناقص",IF(K266&gt;=17,"عالی",IF(K266&gt;=14,"خوب",IF(K266&gt;=10,"متوسط","ضعیف"))))))</f>
        <v/>
      </c>
      <c r="M266" s="306" t="n">
        <v>10</v>
      </c>
      <c r="N266" s="314">
        <f>IF(C266="","",COUNT(G266:J266)/4)</f>
        <v/>
      </c>
      <c r="O266" s="307" t="n"/>
    </row>
    <row r="267" ht="24" customHeight="1">
      <c r="A267" s="306" t="n">
        <v>263</v>
      </c>
      <c r="B267" s="306" t="inlineStr">
        <is>
          <t>اردیبهشت</t>
        </is>
      </c>
      <c r="C267" s="306">
        <f>IF('دانش‌آموزان'!E26="","",'دانش‌آموزان'!B26)</f>
        <v/>
      </c>
      <c r="D267" s="306">
        <f>IF('دانش‌آموزان'!C26="","",'دانش‌آموزان'!C26)</f>
        <v/>
      </c>
      <c r="E267" s="306">
        <f>IF('دانش‌آموزان'!E26="","",'دانش‌آموزان'!E26&amp;" "&amp;'دانش‌آموزان'!F26)</f>
        <v/>
      </c>
      <c r="F267" s="306">
        <f>IF('دانش‌آموزان'!I26="","",'دانش‌آموزان'!I26)</f>
        <v/>
      </c>
      <c r="G267" s="307" t="n"/>
      <c r="H267" s="307" t="n"/>
      <c r="I267" s="307" t="n"/>
      <c r="J267" s="307" t="n"/>
      <c r="K267" s="313">
        <f>IF(COUNT(G267:J267)=0,"",AVERAGE(G267:J267)*4)</f>
        <v/>
      </c>
      <c r="L267" s="306">
        <f>IF(C267="","",IF(COUNT(G267:J267)=0,"",IF(COUNT(G267:J267)&lt;4,"موقت - اطلاعات ناقص",IF(K267&gt;=17,"عالی",IF(K267&gt;=14,"خوب",IF(K267&gt;=10,"متوسط","ضعیف"))))))</f>
        <v/>
      </c>
      <c r="M267" s="306" t="n">
        <v>11</v>
      </c>
      <c r="N267" s="314">
        <f>IF(C267="","",COUNT(G267:J267)/4)</f>
        <v/>
      </c>
      <c r="O267" s="307" t="n"/>
    </row>
    <row r="268" ht="24" customHeight="1">
      <c r="A268" s="306" t="n">
        <v>264</v>
      </c>
      <c r="B268" s="306" t="inlineStr">
        <is>
          <t>خرداد</t>
        </is>
      </c>
      <c r="C268" s="306">
        <f>IF('دانش‌آموزان'!E26="","",'دانش‌آموزان'!B26)</f>
        <v/>
      </c>
      <c r="D268" s="306">
        <f>IF('دانش‌آموزان'!C26="","",'دانش‌آموزان'!C26)</f>
        <v/>
      </c>
      <c r="E268" s="306">
        <f>IF('دانش‌آموزان'!E26="","",'دانش‌آموزان'!E26&amp;" "&amp;'دانش‌آموزان'!F26)</f>
        <v/>
      </c>
      <c r="F268" s="306">
        <f>IF('دانش‌آموزان'!I26="","",'دانش‌آموزان'!I26)</f>
        <v/>
      </c>
      <c r="G268" s="307" t="n"/>
      <c r="H268" s="307" t="n"/>
      <c r="I268" s="307" t="n"/>
      <c r="J268" s="307" t="n"/>
      <c r="K268" s="313">
        <f>IF(COUNT(G268:J268)=0,"",AVERAGE(G268:J268)*4)</f>
        <v/>
      </c>
      <c r="L268" s="306">
        <f>IF(C268="","",IF(COUNT(G268:J268)=0,"",IF(COUNT(G268:J268)&lt;4,"موقت - اطلاعات ناقص",IF(K268&gt;=17,"عالی",IF(K268&gt;=14,"خوب",IF(K268&gt;=10,"متوسط","ضعیف"))))))</f>
        <v/>
      </c>
      <c r="M268" s="306" t="n">
        <v>12</v>
      </c>
      <c r="N268" s="314">
        <f>IF(C268="","",COUNT(G268:J268)/4)</f>
        <v/>
      </c>
      <c r="O268" s="307" t="n"/>
    </row>
    <row r="269" ht="24" customHeight="1">
      <c r="A269" s="306" t="n">
        <v>265</v>
      </c>
      <c r="B269" s="306" t="inlineStr">
        <is>
          <t>تیر</t>
        </is>
      </c>
      <c r="C269" s="306">
        <f>IF('دانش‌آموزان'!E27="","",'دانش‌آموزان'!B27)</f>
        <v/>
      </c>
      <c r="D269" s="306">
        <f>IF('دانش‌آموزان'!C27="","",'دانش‌آموزان'!C27)</f>
        <v/>
      </c>
      <c r="E269" s="306">
        <f>IF('دانش‌آموزان'!E27="","",'دانش‌آموزان'!E27&amp;" "&amp;'دانش‌آموزان'!F27)</f>
        <v/>
      </c>
      <c r="F269" s="306">
        <f>IF('دانش‌آموزان'!I27="","",'دانش‌آموزان'!I27)</f>
        <v/>
      </c>
      <c r="G269" s="307" t="n"/>
      <c r="H269" s="307" t="n"/>
      <c r="I269" s="307" t="n"/>
      <c r="J269" s="307" t="n"/>
      <c r="K269" s="313">
        <f>IF(COUNT(G269:J269)=0,"",AVERAGE(G269:J269)*4)</f>
        <v/>
      </c>
      <c r="L269" s="306">
        <f>IF(C269="","",IF(COUNT(G269:J269)=0,"",IF(COUNT(G269:J269)&lt;4,"موقت - اطلاعات ناقص",IF(K269&gt;=17,"عالی",IF(K269&gt;=14,"خوب",IF(K269&gt;=10,"متوسط","ضعیف"))))))</f>
        <v/>
      </c>
      <c r="M269" s="306" t="n">
        <v>1</v>
      </c>
      <c r="N269" s="314">
        <f>IF(C269="","",COUNT(G269:J269)/4)</f>
        <v/>
      </c>
      <c r="O269" s="307" t="n"/>
    </row>
    <row r="270" ht="24" customHeight="1">
      <c r="A270" s="306" t="n">
        <v>266</v>
      </c>
      <c r="B270" s="306" t="inlineStr">
        <is>
          <t>مرداد</t>
        </is>
      </c>
      <c r="C270" s="306">
        <f>IF('دانش‌آموزان'!E27="","",'دانش‌آموزان'!B27)</f>
        <v/>
      </c>
      <c r="D270" s="306">
        <f>IF('دانش‌آموزان'!C27="","",'دانش‌آموزان'!C27)</f>
        <v/>
      </c>
      <c r="E270" s="306">
        <f>IF('دانش‌آموزان'!E27="","",'دانش‌آموزان'!E27&amp;" "&amp;'دانش‌آموزان'!F27)</f>
        <v/>
      </c>
      <c r="F270" s="306">
        <f>IF('دانش‌آموزان'!I27="","",'دانش‌آموزان'!I27)</f>
        <v/>
      </c>
      <c r="G270" s="307" t="n"/>
      <c r="H270" s="307" t="n"/>
      <c r="I270" s="307" t="n"/>
      <c r="J270" s="307" t="n"/>
      <c r="K270" s="313">
        <f>IF(COUNT(G270:J270)=0,"",AVERAGE(G270:J270)*4)</f>
        <v/>
      </c>
      <c r="L270" s="306">
        <f>IF(C270="","",IF(COUNT(G270:J270)=0,"",IF(COUNT(G270:J270)&lt;4,"موقت - اطلاعات ناقص",IF(K270&gt;=17,"عالی",IF(K270&gt;=14,"خوب",IF(K270&gt;=10,"متوسط","ضعیف"))))))</f>
        <v/>
      </c>
      <c r="M270" s="306" t="n">
        <v>2</v>
      </c>
      <c r="N270" s="314">
        <f>IF(C270="","",COUNT(G270:J270)/4)</f>
        <v/>
      </c>
      <c r="O270" s="307" t="n"/>
    </row>
    <row r="271" ht="24" customHeight="1">
      <c r="A271" s="306" t="n">
        <v>267</v>
      </c>
      <c r="B271" s="306" t="inlineStr">
        <is>
          <t>شهریور</t>
        </is>
      </c>
      <c r="C271" s="306">
        <f>IF('دانش‌آموزان'!E27="","",'دانش‌آموزان'!B27)</f>
        <v/>
      </c>
      <c r="D271" s="306">
        <f>IF('دانش‌آموزان'!C27="","",'دانش‌آموزان'!C27)</f>
        <v/>
      </c>
      <c r="E271" s="306">
        <f>IF('دانش‌آموزان'!E27="","",'دانش‌آموزان'!E27&amp;" "&amp;'دانش‌آموزان'!F27)</f>
        <v/>
      </c>
      <c r="F271" s="306">
        <f>IF('دانش‌آموزان'!I27="","",'دانش‌آموزان'!I27)</f>
        <v/>
      </c>
      <c r="G271" s="307" t="n"/>
      <c r="H271" s="307" t="n"/>
      <c r="I271" s="307" t="n"/>
      <c r="J271" s="307" t="n"/>
      <c r="K271" s="313">
        <f>IF(COUNT(G271:J271)=0,"",AVERAGE(G271:J271)*4)</f>
        <v/>
      </c>
      <c r="L271" s="306">
        <f>IF(C271="","",IF(COUNT(G271:J271)=0,"",IF(COUNT(G271:J271)&lt;4,"موقت - اطلاعات ناقص",IF(K271&gt;=17,"عالی",IF(K271&gt;=14,"خوب",IF(K271&gt;=10,"متوسط","ضعیف"))))))</f>
        <v/>
      </c>
      <c r="M271" s="306" t="n">
        <v>3</v>
      </c>
      <c r="N271" s="314">
        <f>IF(C271="","",COUNT(G271:J271)/4)</f>
        <v/>
      </c>
      <c r="O271" s="307" t="n"/>
    </row>
    <row r="272" ht="24" customHeight="1">
      <c r="A272" s="306" t="n">
        <v>268</v>
      </c>
      <c r="B272" s="306" t="inlineStr">
        <is>
          <t>مهر</t>
        </is>
      </c>
      <c r="C272" s="306">
        <f>IF('دانش‌آموزان'!E27="","",'دانش‌آموزان'!B27)</f>
        <v/>
      </c>
      <c r="D272" s="306">
        <f>IF('دانش‌آموزان'!C27="","",'دانش‌آموزان'!C27)</f>
        <v/>
      </c>
      <c r="E272" s="306">
        <f>IF('دانش‌آموزان'!E27="","",'دانش‌آموزان'!E27&amp;" "&amp;'دانش‌آموزان'!F27)</f>
        <v/>
      </c>
      <c r="F272" s="306">
        <f>IF('دانش‌آموزان'!I27="","",'دانش‌آموزان'!I27)</f>
        <v/>
      </c>
      <c r="G272" s="307" t="n"/>
      <c r="H272" s="307" t="n"/>
      <c r="I272" s="307" t="n"/>
      <c r="J272" s="307" t="n"/>
      <c r="K272" s="313">
        <f>IF(COUNT(G272:J272)=0,"",AVERAGE(G272:J272)*4)</f>
        <v/>
      </c>
      <c r="L272" s="306">
        <f>IF(C272="","",IF(COUNT(G272:J272)=0,"",IF(COUNT(G272:J272)&lt;4,"موقت - اطلاعات ناقص",IF(K272&gt;=17,"عالی",IF(K272&gt;=14,"خوب",IF(K272&gt;=10,"متوسط","ضعیف"))))))</f>
        <v/>
      </c>
      <c r="M272" s="306" t="n">
        <v>4</v>
      </c>
      <c r="N272" s="314">
        <f>IF(C272="","",COUNT(G272:J272)/4)</f>
        <v/>
      </c>
      <c r="O272" s="307" t="n"/>
    </row>
    <row r="273" ht="24" customHeight="1">
      <c r="A273" s="306" t="n">
        <v>269</v>
      </c>
      <c r="B273" s="306" t="inlineStr">
        <is>
          <t>آبان</t>
        </is>
      </c>
      <c r="C273" s="306">
        <f>IF('دانش‌آموزان'!E27="","",'دانش‌آموزان'!B27)</f>
        <v/>
      </c>
      <c r="D273" s="306">
        <f>IF('دانش‌آموزان'!C27="","",'دانش‌آموزان'!C27)</f>
        <v/>
      </c>
      <c r="E273" s="306">
        <f>IF('دانش‌آموزان'!E27="","",'دانش‌آموزان'!E27&amp;" "&amp;'دانش‌آموزان'!F27)</f>
        <v/>
      </c>
      <c r="F273" s="306">
        <f>IF('دانش‌آموزان'!I27="","",'دانش‌آموزان'!I27)</f>
        <v/>
      </c>
      <c r="G273" s="307" t="n"/>
      <c r="H273" s="307" t="n"/>
      <c r="I273" s="307" t="n"/>
      <c r="J273" s="307" t="n"/>
      <c r="K273" s="313">
        <f>IF(COUNT(G273:J273)=0,"",AVERAGE(G273:J273)*4)</f>
        <v/>
      </c>
      <c r="L273" s="306">
        <f>IF(C273="","",IF(COUNT(G273:J273)=0,"",IF(COUNT(G273:J273)&lt;4,"موقت - اطلاعات ناقص",IF(K273&gt;=17,"عالی",IF(K273&gt;=14,"خوب",IF(K273&gt;=10,"متوسط","ضعیف"))))))</f>
        <v/>
      </c>
      <c r="M273" s="306" t="n">
        <v>5</v>
      </c>
      <c r="N273" s="314">
        <f>IF(C273="","",COUNT(G273:J273)/4)</f>
        <v/>
      </c>
      <c r="O273" s="307" t="n"/>
    </row>
    <row r="274" ht="24" customHeight="1">
      <c r="A274" s="306" t="n">
        <v>270</v>
      </c>
      <c r="B274" s="306" t="inlineStr">
        <is>
          <t>آذر</t>
        </is>
      </c>
      <c r="C274" s="306">
        <f>IF('دانش‌آموزان'!E27="","",'دانش‌آموزان'!B27)</f>
        <v/>
      </c>
      <c r="D274" s="306">
        <f>IF('دانش‌آموزان'!C27="","",'دانش‌آموزان'!C27)</f>
        <v/>
      </c>
      <c r="E274" s="306">
        <f>IF('دانش‌آموزان'!E27="","",'دانش‌آموزان'!E27&amp;" "&amp;'دانش‌آموزان'!F27)</f>
        <v/>
      </c>
      <c r="F274" s="306">
        <f>IF('دانش‌آموزان'!I27="","",'دانش‌آموزان'!I27)</f>
        <v/>
      </c>
      <c r="G274" s="307" t="n"/>
      <c r="H274" s="307" t="n"/>
      <c r="I274" s="307" t="n"/>
      <c r="J274" s="307" t="n"/>
      <c r="K274" s="313">
        <f>IF(COUNT(G274:J274)=0,"",AVERAGE(G274:J274)*4)</f>
        <v/>
      </c>
      <c r="L274" s="306">
        <f>IF(C274="","",IF(COUNT(G274:J274)=0,"",IF(COUNT(G274:J274)&lt;4,"موقت - اطلاعات ناقص",IF(K274&gt;=17,"عالی",IF(K274&gt;=14,"خوب",IF(K274&gt;=10,"متوسط","ضعیف"))))))</f>
        <v/>
      </c>
      <c r="M274" s="306" t="n">
        <v>6</v>
      </c>
      <c r="N274" s="314">
        <f>IF(C274="","",COUNT(G274:J274)/4)</f>
        <v/>
      </c>
      <c r="O274" s="307" t="n"/>
    </row>
    <row r="275" ht="24" customHeight="1">
      <c r="A275" s="306" t="n">
        <v>271</v>
      </c>
      <c r="B275" s="306" t="inlineStr">
        <is>
          <t>دی</t>
        </is>
      </c>
      <c r="C275" s="306">
        <f>IF('دانش‌آموزان'!E27="","",'دانش‌آموزان'!B27)</f>
        <v/>
      </c>
      <c r="D275" s="306">
        <f>IF('دانش‌آموزان'!C27="","",'دانش‌آموزان'!C27)</f>
        <v/>
      </c>
      <c r="E275" s="306">
        <f>IF('دانش‌آموزان'!E27="","",'دانش‌آموزان'!E27&amp;" "&amp;'دانش‌آموزان'!F27)</f>
        <v/>
      </c>
      <c r="F275" s="306">
        <f>IF('دانش‌آموزان'!I27="","",'دانش‌آموزان'!I27)</f>
        <v/>
      </c>
      <c r="G275" s="307" t="n"/>
      <c r="H275" s="307" t="n"/>
      <c r="I275" s="307" t="n"/>
      <c r="J275" s="307" t="n"/>
      <c r="K275" s="313">
        <f>IF(COUNT(G275:J275)=0,"",AVERAGE(G275:J275)*4)</f>
        <v/>
      </c>
      <c r="L275" s="306">
        <f>IF(C275="","",IF(COUNT(G275:J275)=0,"",IF(COUNT(G275:J275)&lt;4,"موقت - اطلاعات ناقص",IF(K275&gt;=17,"عالی",IF(K275&gt;=14,"خوب",IF(K275&gt;=10,"متوسط","ضعیف"))))))</f>
        <v/>
      </c>
      <c r="M275" s="306" t="n">
        <v>7</v>
      </c>
      <c r="N275" s="314">
        <f>IF(C275="","",COUNT(G275:J275)/4)</f>
        <v/>
      </c>
      <c r="O275" s="307" t="n"/>
    </row>
    <row r="276" ht="24" customHeight="1">
      <c r="A276" s="306" t="n">
        <v>272</v>
      </c>
      <c r="B276" s="306" t="inlineStr">
        <is>
          <t>بهمن</t>
        </is>
      </c>
      <c r="C276" s="306">
        <f>IF('دانش‌آموزان'!E27="","",'دانش‌آموزان'!B27)</f>
        <v/>
      </c>
      <c r="D276" s="306">
        <f>IF('دانش‌آموزان'!C27="","",'دانش‌آموزان'!C27)</f>
        <v/>
      </c>
      <c r="E276" s="306">
        <f>IF('دانش‌آموزان'!E27="","",'دانش‌آموزان'!E27&amp;" "&amp;'دانش‌آموزان'!F27)</f>
        <v/>
      </c>
      <c r="F276" s="306">
        <f>IF('دانش‌آموزان'!I27="","",'دانش‌آموزان'!I27)</f>
        <v/>
      </c>
      <c r="G276" s="307" t="n"/>
      <c r="H276" s="307" t="n"/>
      <c r="I276" s="307" t="n"/>
      <c r="J276" s="307" t="n"/>
      <c r="K276" s="313">
        <f>IF(COUNT(G276:J276)=0,"",AVERAGE(G276:J276)*4)</f>
        <v/>
      </c>
      <c r="L276" s="306">
        <f>IF(C276="","",IF(COUNT(G276:J276)=0,"",IF(COUNT(G276:J276)&lt;4,"موقت - اطلاعات ناقص",IF(K276&gt;=17,"عالی",IF(K276&gt;=14,"خوب",IF(K276&gt;=10,"متوسط","ضعیف"))))))</f>
        <v/>
      </c>
      <c r="M276" s="306" t="n">
        <v>8</v>
      </c>
      <c r="N276" s="314">
        <f>IF(C276="","",COUNT(G276:J276)/4)</f>
        <v/>
      </c>
      <c r="O276" s="307" t="n"/>
    </row>
    <row r="277" ht="24" customHeight="1">
      <c r="A277" s="306" t="n">
        <v>273</v>
      </c>
      <c r="B277" s="306" t="inlineStr">
        <is>
          <t>اسفند</t>
        </is>
      </c>
      <c r="C277" s="306">
        <f>IF('دانش‌آموزان'!E27="","",'دانش‌آموزان'!B27)</f>
        <v/>
      </c>
      <c r="D277" s="306">
        <f>IF('دانش‌آموزان'!C27="","",'دانش‌آموزان'!C27)</f>
        <v/>
      </c>
      <c r="E277" s="306">
        <f>IF('دانش‌آموزان'!E27="","",'دانش‌آموزان'!E27&amp;" "&amp;'دانش‌آموزان'!F27)</f>
        <v/>
      </c>
      <c r="F277" s="306">
        <f>IF('دانش‌آموزان'!I27="","",'دانش‌آموزان'!I27)</f>
        <v/>
      </c>
      <c r="G277" s="307" t="n"/>
      <c r="H277" s="307" t="n"/>
      <c r="I277" s="307" t="n"/>
      <c r="J277" s="307" t="n"/>
      <c r="K277" s="313">
        <f>IF(COUNT(G277:J277)=0,"",AVERAGE(G277:J277)*4)</f>
        <v/>
      </c>
      <c r="L277" s="306">
        <f>IF(C277="","",IF(COUNT(G277:J277)=0,"",IF(COUNT(G277:J277)&lt;4,"موقت - اطلاعات ناقص",IF(K277&gt;=17,"عالی",IF(K277&gt;=14,"خوب",IF(K277&gt;=10,"متوسط","ضعیف"))))))</f>
        <v/>
      </c>
      <c r="M277" s="306" t="n">
        <v>9</v>
      </c>
      <c r="N277" s="314">
        <f>IF(C277="","",COUNT(G277:J277)/4)</f>
        <v/>
      </c>
      <c r="O277" s="307" t="n"/>
    </row>
    <row r="278" ht="24" customHeight="1">
      <c r="A278" s="306" t="n">
        <v>274</v>
      </c>
      <c r="B278" s="306" t="inlineStr">
        <is>
          <t>فروردین</t>
        </is>
      </c>
      <c r="C278" s="306">
        <f>IF('دانش‌آموزان'!E27="","",'دانش‌آموزان'!B27)</f>
        <v/>
      </c>
      <c r="D278" s="306">
        <f>IF('دانش‌آموزان'!C27="","",'دانش‌آموزان'!C27)</f>
        <v/>
      </c>
      <c r="E278" s="306">
        <f>IF('دانش‌آموزان'!E27="","",'دانش‌آموزان'!E27&amp;" "&amp;'دانش‌آموزان'!F27)</f>
        <v/>
      </c>
      <c r="F278" s="306">
        <f>IF('دانش‌آموزان'!I27="","",'دانش‌آموزان'!I27)</f>
        <v/>
      </c>
      <c r="G278" s="307" t="n"/>
      <c r="H278" s="307" t="n"/>
      <c r="I278" s="307" t="n"/>
      <c r="J278" s="307" t="n"/>
      <c r="K278" s="313">
        <f>IF(COUNT(G278:J278)=0,"",AVERAGE(G278:J278)*4)</f>
        <v/>
      </c>
      <c r="L278" s="306">
        <f>IF(C278="","",IF(COUNT(G278:J278)=0,"",IF(COUNT(G278:J278)&lt;4,"موقت - اطلاعات ناقص",IF(K278&gt;=17,"عالی",IF(K278&gt;=14,"خوب",IF(K278&gt;=10,"متوسط","ضعیف"))))))</f>
        <v/>
      </c>
      <c r="M278" s="306" t="n">
        <v>10</v>
      </c>
      <c r="N278" s="314">
        <f>IF(C278="","",COUNT(G278:J278)/4)</f>
        <v/>
      </c>
      <c r="O278" s="307" t="n"/>
    </row>
    <row r="279" ht="24" customHeight="1">
      <c r="A279" s="306" t="n">
        <v>275</v>
      </c>
      <c r="B279" s="306" t="inlineStr">
        <is>
          <t>اردیبهشت</t>
        </is>
      </c>
      <c r="C279" s="306">
        <f>IF('دانش‌آموزان'!E27="","",'دانش‌آموزان'!B27)</f>
        <v/>
      </c>
      <c r="D279" s="306">
        <f>IF('دانش‌آموزان'!C27="","",'دانش‌آموزان'!C27)</f>
        <v/>
      </c>
      <c r="E279" s="306">
        <f>IF('دانش‌آموزان'!E27="","",'دانش‌آموزان'!E27&amp;" "&amp;'دانش‌آموزان'!F27)</f>
        <v/>
      </c>
      <c r="F279" s="306">
        <f>IF('دانش‌آموزان'!I27="","",'دانش‌آموزان'!I27)</f>
        <v/>
      </c>
      <c r="G279" s="307" t="n"/>
      <c r="H279" s="307" t="n"/>
      <c r="I279" s="307" t="n"/>
      <c r="J279" s="307" t="n"/>
      <c r="K279" s="313">
        <f>IF(COUNT(G279:J279)=0,"",AVERAGE(G279:J279)*4)</f>
        <v/>
      </c>
      <c r="L279" s="306">
        <f>IF(C279="","",IF(COUNT(G279:J279)=0,"",IF(COUNT(G279:J279)&lt;4,"موقت - اطلاعات ناقص",IF(K279&gt;=17,"عالی",IF(K279&gt;=14,"خوب",IF(K279&gt;=10,"متوسط","ضعیف"))))))</f>
        <v/>
      </c>
      <c r="M279" s="306" t="n">
        <v>11</v>
      </c>
      <c r="N279" s="314">
        <f>IF(C279="","",COUNT(G279:J279)/4)</f>
        <v/>
      </c>
      <c r="O279" s="307" t="n"/>
    </row>
    <row r="280" ht="24" customHeight="1">
      <c r="A280" s="306" t="n">
        <v>276</v>
      </c>
      <c r="B280" s="306" t="inlineStr">
        <is>
          <t>خرداد</t>
        </is>
      </c>
      <c r="C280" s="306">
        <f>IF('دانش‌آموزان'!E27="","",'دانش‌آموزان'!B27)</f>
        <v/>
      </c>
      <c r="D280" s="306">
        <f>IF('دانش‌آموزان'!C27="","",'دانش‌آموزان'!C27)</f>
        <v/>
      </c>
      <c r="E280" s="306">
        <f>IF('دانش‌آموزان'!E27="","",'دانش‌آموزان'!E27&amp;" "&amp;'دانش‌آموزان'!F27)</f>
        <v/>
      </c>
      <c r="F280" s="306">
        <f>IF('دانش‌آموزان'!I27="","",'دانش‌آموزان'!I27)</f>
        <v/>
      </c>
      <c r="G280" s="307" t="n"/>
      <c r="H280" s="307" t="n"/>
      <c r="I280" s="307" t="n"/>
      <c r="J280" s="307" t="n"/>
      <c r="K280" s="313">
        <f>IF(COUNT(G280:J280)=0,"",AVERAGE(G280:J280)*4)</f>
        <v/>
      </c>
      <c r="L280" s="306">
        <f>IF(C280="","",IF(COUNT(G280:J280)=0,"",IF(COUNT(G280:J280)&lt;4,"موقت - اطلاعات ناقص",IF(K280&gt;=17,"عالی",IF(K280&gt;=14,"خوب",IF(K280&gt;=10,"متوسط","ضعیف"))))))</f>
        <v/>
      </c>
      <c r="M280" s="306" t="n">
        <v>12</v>
      </c>
      <c r="N280" s="314">
        <f>IF(C280="","",COUNT(G280:J280)/4)</f>
        <v/>
      </c>
      <c r="O280" s="307" t="n"/>
    </row>
    <row r="281" ht="24" customHeight="1">
      <c r="A281" s="306" t="n">
        <v>277</v>
      </c>
      <c r="B281" s="306" t="inlineStr">
        <is>
          <t>تیر</t>
        </is>
      </c>
      <c r="C281" s="306">
        <f>IF('دانش‌آموزان'!E28="","",'دانش‌آموزان'!B28)</f>
        <v/>
      </c>
      <c r="D281" s="306">
        <f>IF('دانش‌آموزان'!C28="","",'دانش‌آموزان'!C28)</f>
        <v/>
      </c>
      <c r="E281" s="306">
        <f>IF('دانش‌آموزان'!E28="","",'دانش‌آموزان'!E28&amp;" "&amp;'دانش‌آموزان'!F28)</f>
        <v/>
      </c>
      <c r="F281" s="306">
        <f>IF('دانش‌آموزان'!I28="","",'دانش‌آموزان'!I28)</f>
        <v/>
      </c>
      <c r="G281" s="307" t="n"/>
      <c r="H281" s="307" t="n"/>
      <c r="I281" s="307" t="n"/>
      <c r="J281" s="307" t="n"/>
      <c r="K281" s="313">
        <f>IF(COUNT(G281:J281)=0,"",AVERAGE(G281:J281)*4)</f>
        <v/>
      </c>
      <c r="L281" s="306">
        <f>IF(C281="","",IF(COUNT(G281:J281)=0,"",IF(COUNT(G281:J281)&lt;4,"موقت - اطلاعات ناقص",IF(K281&gt;=17,"عالی",IF(K281&gt;=14,"خوب",IF(K281&gt;=10,"متوسط","ضعیف"))))))</f>
        <v/>
      </c>
      <c r="M281" s="306" t="n">
        <v>1</v>
      </c>
      <c r="N281" s="314">
        <f>IF(C281="","",COUNT(G281:J281)/4)</f>
        <v/>
      </c>
      <c r="O281" s="307" t="n"/>
    </row>
    <row r="282" ht="24" customHeight="1">
      <c r="A282" s="306" t="n">
        <v>278</v>
      </c>
      <c r="B282" s="306" t="inlineStr">
        <is>
          <t>مرداد</t>
        </is>
      </c>
      <c r="C282" s="306">
        <f>IF('دانش‌آموزان'!E28="","",'دانش‌آموزان'!B28)</f>
        <v/>
      </c>
      <c r="D282" s="306">
        <f>IF('دانش‌آموزان'!C28="","",'دانش‌آموزان'!C28)</f>
        <v/>
      </c>
      <c r="E282" s="306">
        <f>IF('دانش‌آموزان'!E28="","",'دانش‌آموزان'!E28&amp;" "&amp;'دانش‌آموزان'!F28)</f>
        <v/>
      </c>
      <c r="F282" s="306">
        <f>IF('دانش‌آموزان'!I28="","",'دانش‌آموزان'!I28)</f>
        <v/>
      </c>
      <c r="G282" s="307" t="n"/>
      <c r="H282" s="307" t="n"/>
      <c r="I282" s="307" t="n"/>
      <c r="J282" s="307" t="n"/>
      <c r="K282" s="313">
        <f>IF(COUNT(G282:J282)=0,"",AVERAGE(G282:J282)*4)</f>
        <v/>
      </c>
      <c r="L282" s="306">
        <f>IF(C282="","",IF(COUNT(G282:J282)=0,"",IF(COUNT(G282:J282)&lt;4,"موقت - اطلاعات ناقص",IF(K282&gt;=17,"عالی",IF(K282&gt;=14,"خوب",IF(K282&gt;=10,"متوسط","ضعیف"))))))</f>
        <v/>
      </c>
      <c r="M282" s="306" t="n">
        <v>2</v>
      </c>
      <c r="N282" s="314">
        <f>IF(C282="","",COUNT(G282:J282)/4)</f>
        <v/>
      </c>
      <c r="O282" s="307" t="n"/>
    </row>
    <row r="283" ht="24" customHeight="1">
      <c r="A283" s="306" t="n">
        <v>279</v>
      </c>
      <c r="B283" s="306" t="inlineStr">
        <is>
          <t>شهریور</t>
        </is>
      </c>
      <c r="C283" s="306">
        <f>IF('دانش‌آموزان'!E28="","",'دانش‌آموزان'!B28)</f>
        <v/>
      </c>
      <c r="D283" s="306">
        <f>IF('دانش‌آموزان'!C28="","",'دانش‌آموزان'!C28)</f>
        <v/>
      </c>
      <c r="E283" s="306">
        <f>IF('دانش‌آموزان'!E28="","",'دانش‌آموزان'!E28&amp;" "&amp;'دانش‌آموزان'!F28)</f>
        <v/>
      </c>
      <c r="F283" s="306">
        <f>IF('دانش‌آموزان'!I28="","",'دانش‌آموزان'!I28)</f>
        <v/>
      </c>
      <c r="G283" s="307" t="n"/>
      <c r="H283" s="307" t="n"/>
      <c r="I283" s="307" t="n"/>
      <c r="J283" s="307" t="n"/>
      <c r="K283" s="313">
        <f>IF(COUNT(G283:J283)=0,"",AVERAGE(G283:J283)*4)</f>
        <v/>
      </c>
      <c r="L283" s="306">
        <f>IF(C283="","",IF(COUNT(G283:J283)=0,"",IF(COUNT(G283:J283)&lt;4,"موقت - اطلاعات ناقص",IF(K283&gt;=17,"عالی",IF(K283&gt;=14,"خوب",IF(K283&gt;=10,"متوسط","ضعیف"))))))</f>
        <v/>
      </c>
      <c r="M283" s="306" t="n">
        <v>3</v>
      </c>
      <c r="N283" s="314">
        <f>IF(C283="","",COUNT(G283:J283)/4)</f>
        <v/>
      </c>
      <c r="O283" s="307" t="n"/>
    </row>
    <row r="284" ht="24" customHeight="1">
      <c r="A284" s="306" t="n">
        <v>280</v>
      </c>
      <c r="B284" s="306" t="inlineStr">
        <is>
          <t>مهر</t>
        </is>
      </c>
      <c r="C284" s="306">
        <f>IF('دانش‌آموزان'!E28="","",'دانش‌آموزان'!B28)</f>
        <v/>
      </c>
      <c r="D284" s="306">
        <f>IF('دانش‌آموزان'!C28="","",'دانش‌آموزان'!C28)</f>
        <v/>
      </c>
      <c r="E284" s="306">
        <f>IF('دانش‌آموزان'!E28="","",'دانش‌آموزان'!E28&amp;" "&amp;'دانش‌آموزان'!F28)</f>
        <v/>
      </c>
      <c r="F284" s="306">
        <f>IF('دانش‌آموزان'!I28="","",'دانش‌آموزان'!I28)</f>
        <v/>
      </c>
      <c r="G284" s="307" t="n"/>
      <c r="H284" s="307" t="n"/>
      <c r="I284" s="307" t="n"/>
      <c r="J284" s="307" t="n"/>
      <c r="K284" s="313">
        <f>IF(COUNT(G284:J284)=0,"",AVERAGE(G284:J284)*4)</f>
        <v/>
      </c>
      <c r="L284" s="306">
        <f>IF(C284="","",IF(COUNT(G284:J284)=0,"",IF(COUNT(G284:J284)&lt;4,"موقت - اطلاعات ناقص",IF(K284&gt;=17,"عالی",IF(K284&gt;=14,"خوب",IF(K284&gt;=10,"متوسط","ضعیف"))))))</f>
        <v/>
      </c>
      <c r="M284" s="306" t="n">
        <v>4</v>
      </c>
      <c r="N284" s="314">
        <f>IF(C284="","",COUNT(G284:J284)/4)</f>
        <v/>
      </c>
      <c r="O284" s="307" t="n"/>
    </row>
    <row r="285" ht="24" customHeight="1">
      <c r="A285" s="306" t="n">
        <v>281</v>
      </c>
      <c r="B285" s="306" t="inlineStr">
        <is>
          <t>آبان</t>
        </is>
      </c>
      <c r="C285" s="306">
        <f>IF('دانش‌آموزان'!E28="","",'دانش‌آموزان'!B28)</f>
        <v/>
      </c>
      <c r="D285" s="306">
        <f>IF('دانش‌آموزان'!C28="","",'دانش‌آموزان'!C28)</f>
        <v/>
      </c>
      <c r="E285" s="306">
        <f>IF('دانش‌آموزان'!E28="","",'دانش‌آموزان'!E28&amp;" "&amp;'دانش‌آموزان'!F28)</f>
        <v/>
      </c>
      <c r="F285" s="306">
        <f>IF('دانش‌آموزان'!I28="","",'دانش‌آموزان'!I28)</f>
        <v/>
      </c>
      <c r="G285" s="307" t="n"/>
      <c r="H285" s="307" t="n"/>
      <c r="I285" s="307" t="n"/>
      <c r="J285" s="307" t="n"/>
      <c r="K285" s="313">
        <f>IF(COUNT(G285:J285)=0,"",AVERAGE(G285:J285)*4)</f>
        <v/>
      </c>
      <c r="L285" s="306">
        <f>IF(C285="","",IF(COUNT(G285:J285)=0,"",IF(COUNT(G285:J285)&lt;4,"موقت - اطلاعات ناقص",IF(K285&gt;=17,"عالی",IF(K285&gt;=14,"خوب",IF(K285&gt;=10,"متوسط","ضعیف"))))))</f>
        <v/>
      </c>
      <c r="M285" s="306" t="n">
        <v>5</v>
      </c>
      <c r="N285" s="314">
        <f>IF(C285="","",COUNT(G285:J285)/4)</f>
        <v/>
      </c>
      <c r="O285" s="307" t="n"/>
    </row>
    <row r="286" ht="24" customHeight="1">
      <c r="A286" s="306" t="n">
        <v>282</v>
      </c>
      <c r="B286" s="306" t="inlineStr">
        <is>
          <t>آذر</t>
        </is>
      </c>
      <c r="C286" s="306">
        <f>IF('دانش‌آموزان'!E28="","",'دانش‌آموزان'!B28)</f>
        <v/>
      </c>
      <c r="D286" s="306">
        <f>IF('دانش‌آموزان'!C28="","",'دانش‌آموزان'!C28)</f>
        <v/>
      </c>
      <c r="E286" s="306">
        <f>IF('دانش‌آموزان'!E28="","",'دانش‌آموزان'!E28&amp;" "&amp;'دانش‌آموزان'!F28)</f>
        <v/>
      </c>
      <c r="F286" s="306">
        <f>IF('دانش‌آموزان'!I28="","",'دانش‌آموزان'!I28)</f>
        <v/>
      </c>
      <c r="G286" s="307" t="n"/>
      <c r="H286" s="307" t="n"/>
      <c r="I286" s="307" t="n"/>
      <c r="J286" s="307" t="n"/>
      <c r="K286" s="313">
        <f>IF(COUNT(G286:J286)=0,"",AVERAGE(G286:J286)*4)</f>
        <v/>
      </c>
      <c r="L286" s="306">
        <f>IF(C286="","",IF(COUNT(G286:J286)=0,"",IF(COUNT(G286:J286)&lt;4,"موقت - اطلاعات ناقص",IF(K286&gt;=17,"عالی",IF(K286&gt;=14,"خوب",IF(K286&gt;=10,"متوسط","ضعیف"))))))</f>
        <v/>
      </c>
      <c r="M286" s="306" t="n">
        <v>6</v>
      </c>
      <c r="N286" s="314">
        <f>IF(C286="","",COUNT(G286:J286)/4)</f>
        <v/>
      </c>
      <c r="O286" s="307" t="n"/>
    </row>
    <row r="287" ht="24" customHeight="1">
      <c r="A287" s="306" t="n">
        <v>283</v>
      </c>
      <c r="B287" s="306" t="inlineStr">
        <is>
          <t>دی</t>
        </is>
      </c>
      <c r="C287" s="306">
        <f>IF('دانش‌آموزان'!E28="","",'دانش‌آموزان'!B28)</f>
        <v/>
      </c>
      <c r="D287" s="306">
        <f>IF('دانش‌آموزان'!C28="","",'دانش‌آموزان'!C28)</f>
        <v/>
      </c>
      <c r="E287" s="306">
        <f>IF('دانش‌آموزان'!E28="","",'دانش‌آموزان'!E28&amp;" "&amp;'دانش‌آموزان'!F28)</f>
        <v/>
      </c>
      <c r="F287" s="306">
        <f>IF('دانش‌آموزان'!I28="","",'دانش‌آموزان'!I28)</f>
        <v/>
      </c>
      <c r="G287" s="307" t="n"/>
      <c r="H287" s="307" t="n"/>
      <c r="I287" s="307" t="n"/>
      <c r="J287" s="307" t="n"/>
      <c r="K287" s="313">
        <f>IF(COUNT(G287:J287)=0,"",AVERAGE(G287:J287)*4)</f>
        <v/>
      </c>
      <c r="L287" s="306">
        <f>IF(C287="","",IF(COUNT(G287:J287)=0,"",IF(COUNT(G287:J287)&lt;4,"موقت - اطلاعات ناقص",IF(K287&gt;=17,"عالی",IF(K287&gt;=14,"خوب",IF(K287&gt;=10,"متوسط","ضعیف"))))))</f>
        <v/>
      </c>
      <c r="M287" s="306" t="n">
        <v>7</v>
      </c>
      <c r="N287" s="314">
        <f>IF(C287="","",COUNT(G287:J287)/4)</f>
        <v/>
      </c>
      <c r="O287" s="307" t="n"/>
    </row>
    <row r="288" ht="24" customHeight="1">
      <c r="A288" s="306" t="n">
        <v>284</v>
      </c>
      <c r="B288" s="306" t="inlineStr">
        <is>
          <t>بهمن</t>
        </is>
      </c>
      <c r="C288" s="306">
        <f>IF('دانش‌آموزان'!E28="","",'دانش‌آموزان'!B28)</f>
        <v/>
      </c>
      <c r="D288" s="306">
        <f>IF('دانش‌آموزان'!C28="","",'دانش‌آموزان'!C28)</f>
        <v/>
      </c>
      <c r="E288" s="306">
        <f>IF('دانش‌آموزان'!E28="","",'دانش‌آموزان'!E28&amp;" "&amp;'دانش‌آموزان'!F28)</f>
        <v/>
      </c>
      <c r="F288" s="306">
        <f>IF('دانش‌آموزان'!I28="","",'دانش‌آموزان'!I28)</f>
        <v/>
      </c>
      <c r="G288" s="307" t="n"/>
      <c r="H288" s="307" t="n"/>
      <c r="I288" s="307" t="n"/>
      <c r="J288" s="307" t="n"/>
      <c r="K288" s="313">
        <f>IF(COUNT(G288:J288)=0,"",AVERAGE(G288:J288)*4)</f>
        <v/>
      </c>
      <c r="L288" s="306">
        <f>IF(C288="","",IF(COUNT(G288:J288)=0,"",IF(COUNT(G288:J288)&lt;4,"موقت - اطلاعات ناقص",IF(K288&gt;=17,"عالی",IF(K288&gt;=14,"خوب",IF(K288&gt;=10,"متوسط","ضعیف"))))))</f>
        <v/>
      </c>
      <c r="M288" s="306" t="n">
        <v>8</v>
      </c>
      <c r="N288" s="314">
        <f>IF(C288="","",COUNT(G288:J288)/4)</f>
        <v/>
      </c>
      <c r="O288" s="307" t="n"/>
    </row>
    <row r="289" ht="24" customHeight="1">
      <c r="A289" s="306" t="n">
        <v>285</v>
      </c>
      <c r="B289" s="306" t="inlineStr">
        <is>
          <t>اسفند</t>
        </is>
      </c>
      <c r="C289" s="306">
        <f>IF('دانش‌آموزان'!E28="","",'دانش‌آموزان'!B28)</f>
        <v/>
      </c>
      <c r="D289" s="306">
        <f>IF('دانش‌آموزان'!C28="","",'دانش‌آموزان'!C28)</f>
        <v/>
      </c>
      <c r="E289" s="306">
        <f>IF('دانش‌آموزان'!E28="","",'دانش‌آموزان'!E28&amp;" "&amp;'دانش‌آموزان'!F28)</f>
        <v/>
      </c>
      <c r="F289" s="306">
        <f>IF('دانش‌آموزان'!I28="","",'دانش‌آموزان'!I28)</f>
        <v/>
      </c>
      <c r="G289" s="307" t="n"/>
      <c r="H289" s="307" t="n"/>
      <c r="I289" s="307" t="n"/>
      <c r="J289" s="307" t="n"/>
      <c r="K289" s="313">
        <f>IF(COUNT(G289:J289)=0,"",AVERAGE(G289:J289)*4)</f>
        <v/>
      </c>
      <c r="L289" s="306">
        <f>IF(C289="","",IF(COUNT(G289:J289)=0,"",IF(COUNT(G289:J289)&lt;4,"موقت - اطلاعات ناقص",IF(K289&gt;=17,"عالی",IF(K289&gt;=14,"خوب",IF(K289&gt;=10,"متوسط","ضعیف"))))))</f>
        <v/>
      </c>
      <c r="M289" s="306" t="n">
        <v>9</v>
      </c>
      <c r="N289" s="314">
        <f>IF(C289="","",COUNT(G289:J289)/4)</f>
        <v/>
      </c>
      <c r="O289" s="307" t="n"/>
    </row>
    <row r="290" ht="24" customHeight="1">
      <c r="A290" s="306" t="n">
        <v>286</v>
      </c>
      <c r="B290" s="306" t="inlineStr">
        <is>
          <t>فروردین</t>
        </is>
      </c>
      <c r="C290" s="306">
        <f>IF('دانش‌آموزان'!E28="","",'دانش‌آموزان'!B28)</f>
        <v/>
      </c>
      <c r="D290" s="306">
        <f>IF('دانش‌آموزان'!C28="","",'دانش‌آموزان'!C28)</f>
        <v/>
      </c>
      <c r="E290" s="306">
        <f>IF('دانش‌آموزان'!E28="","",'دانش‌آموزان'!E28&amp;" "&amp;'دانش‌آموزان'!F28)</f>
        <v/>
      </c>
      <c r="F290" s="306">
        <f>IF('دانش‌آموزان'!I28="","",'دانش‌آموزان'!I28)</f>
        <v/>
      </c>
      <c r="G290" s="307" t="n"/>
      <c r="H290" s="307" t="n"/>
      <c r="I290" s="307" t="n"/>
      <c r="J290" s="307" t="n"/>
      <c r="K290" s="313">
        <f>IF(COUNT(G290:J290)=0,"",AVERAGE(G290:J290)*4)</f>
        <v/>
      </c>
      <c r="L290" s="306">
        <f>IF(C290="","",IF(COUNT(G290:J290)=0,"",IF(COUNT(G290:J290)&lt;4,"موقت - اطلاعات ناقص",IF(K290&gt;=17,"عالی",IF(K290&gt;=14,"خوب",IF(K290&gt;=10,"متوسط","ضعیف"))))))</f>
        <v/>
      </c>
      <c r="M290" s="306" t="n">
        <v>10</v>
      </c>
      <c r="N290" s="314">
        <f>IF(C290="","",COUNT(G290:J290)/4)</f>
        <v/>
      </c>
      <c r="O290" s="307" t="n"/>
    </row>
    <row r="291" ht="24" customHeight="1">
      <c r="A291" s="306" t="n">
        <v>287</v>
      </c>
      <c r="B291" s="306" t="inlineStr">
        <is>
          <t>اردیبهشت</t>
        </is>
      </c>
      <c r="C291" s="306">
        <f>IF('دانش‌آموزان'!E28="","",'دانش‌آموزان'!B28)</f>
        <v/>
      </c>
      <c r="D291" s="306">
        <f>IF('دانش‌آموزان'!C28="","",'دانش‌آموزان'!C28)</f>
        <v/>
      </c>
      <c r="E291" s="306">
        <f>IF('دانش‌آموزان'!E28="","",'دانش‌آموزان'!E28&amp;" "&amp;'دانش‌آموزان'!F28)</f>
        <v/>
      </c>
      <c r="F291" s="306">
        <f>IF('دانش‌آموزان'!I28="","",'دانش‌آموزان'!I28)</f>
        <v/>
      </c>
      <c r="G291" s="307" t="n"/>
      <c r="H291" s="307" t="n"/>
      <c r="I291" s="307" t="n"/>
      <c r="J291" s="307" t="n"/>
      <c r="K291" s="313">
        <f>IF(COUNT(G291:J291)=0,"",AVERAGE(G291:J291)*4)</f>
        <v/>
      </c>
      <c r="L291" s="306">
        <f>IF(C291="","",IF(COUNT(G291:J291)=0,"",IF(COUNT(G291:J291)&lt;4,"موقت - اطلاعات ناقص",IF(K291&gt;=17,"عالی",IF(K291&gt;=14,"خوب",IF(K291&gt;=10,"متوسط","ضعیف"))))))</f>
        <v/>
      </c>
      <c r="M291" s="306" t="n">
        <v>11</v>
      </c>
      <c r="N291" s="314">
        <f>IF(C291="","",COUNT(G291:J291)/4)</f>
        <v/>
      </c>
      <c r="O291" s="307" t="n"/>
    </row>
    <row r="292" ht="24" customHeight="1">
      <c r="A292" s="306" t="n">
        <v>288</v>
      </c>
      <c r="B292" s="306" t="inlineStr">
        <is>
          <t>خرداد</t>
        </is>
      </c>
      <c r="C292" s="306">
        <f>IF('دانش‌آموزان'!E28="","",'دانش‌آموزان'!B28)</f>
        <v/>
      </c>
      <c r="D292" s="306">
        <f>IF('دانش‌آموزان'!C28="","",'دانش‌آموزان'!C28)</f>
        <v/>
      </c>
      <c r="E292" s="306">
        <f>IF('دانش‌آموزان'!E28="","",'دانش‌آموزان'!E28&amp;" "&amp;'دانش‌آموزان'!F28)</f>
        <v/>
      </c>
      <c r="F292" s="306">
        <f>IF('دانش‌آموزان'!I28="","",'دانش‌آموزان'!I28)</f>
        <v/>
      </c>
      <c r="G292" s="307" t="n"/>
      <c r="H292" s="307" t="n"/>
      <c r="I292" s="307" t="n"/>
      <c r="J292" s="307" t="n"/>
      <c r="K292" s="313">
        <f>IF(COUNT(G292:J292)=0,"",AVERAGE(G292:J292)*4)</f>
        <v/>
      </c>
      <c r="L292" s="306">
        <f>IF(C292="","",IF(COUNT(G292:J292)=0,"",IF(COUNT(G292:J292)&lt;4,"موقت - اطلاعات ناقص",IF(K292&gt;=17,"عالی",IF(K292&gt;=14,"خوب",IF(K292&gt;=10,"متوسط","ضعیف"))))))</f>
        <v/>
      </c>
      <c r="M292" s="306" t="n">
        <v>12</v>
      </c>
      <c r="N292" s="314">
        <f>IF(C292="","",COUNT(G292:J292)/4)</f>
        <v/>
      </c>
      <c r="O292" s="307" t="n"/>
    </row>
    <row r="293" ht="24" customHeight="1">
      <c r="A293" s="306" t="n">
        <v>289</v>
      </c>
      <c r="B293" s="306" t="inlineStr">
        <is>
          <t>تیر</t>
        </is>
      </c>
      <c r="C293" s="306">
        <f>IF('دانش‌آموزان'!E29="","",'دانش‌آموزان'!B29)</f>
        <v/>
      </c>
      <c r="D293" s="306">
        <f>IF('دانش‌آموزان'!C29="","",'دانش‌آموزان'!C29)</f>
        <v/>
      </c>
      <c r="E293" s="306">
        <f>IF('دانش‌آموزان'!E29="","",'دانش‌آموزان'!E29&amp;" "&amp;'دانش‌آموزان'!F29)</f>
        <v/>
      </c>
      <c r="F293" s="306">
        <f>IF('دانش‌آموزان'!I29="","",'دانش‌آموزان'!I29)</f>
        <v/>
      </c>
      <c r="G293" s="307" t="n"/>
      <c r="H293" s="307" t="n"/>
      <c r="I293" s="307" t="n"/>
      <c r="J293" s="307" t="n"/>
      <c r="K293" s="313">
        <f>IF(COUNT(G293:J293)=0,"",AVERAGE(G293:J293)*4)</f>
        <v/>
      </c>
      <c r="L293" s="306">
        <f>IF(C293="","",IF(COUNT(G293:J293)=0,"",IF(COUNT(G293:J293)&lt;4,"موقت - اطلاعات ناقص",IF(K293&gt;=17,"عالی",IF(K293&gt;=14,"خوب",IF(K293&gt;=10,"متوسط","ضعیف"))))))</f>
        <v/>
      </c>
      <c r="M293" s="306" t="n">
        <v>1</v>
      </c>
      <c r="N293" s="314">
        <f>IF(C293="","",COUNT(G293:J293)/4)</f>
        <v/>
      </c>
      <c r="O293" s="307" t="n"/>
    </row>
    <row r="294" ht="24" customHeight="1">
      <c r="A294" s="306" t="n">
        <v>290</v>
      </c>
      <c r="B294" s="306" t="inlineStr">
        <is>
          <t>مرداد</t>
        </is>
      </c>
      <c r="C294" s="306">
        <f>IF('دانش‌آموزان'!E29="","",'دانش‌آموزان'!B29)</f>
        <v/>
      </c>
      <c r="D294" s="306">
        <f>IF('دانش‌آموزان'!C29="","",'دانش‌آموزان'!C29)</f>
        <v/>
      </c>
      <c r="E294" s="306">
        <f>IF('دانش‌آموزان'!E29="","",'دانش‌آموزان'!E29&amp;" "&amp;'دانش‌آموزان'!F29)</f>
        <v/>
      </c>
      <c r="F294" s="306">
        <f>IF('دانش‌آموزان'!I29="","",'دانش‌آموزان'!I29)</f>
        <v/>
      </c>
      <c r="G294" s="307" t="n"/>
      <c r="H294" s="307" t="n"/>
      <c r="I294" s="307" t="n"/>
      <c r="J294" s="307" t="n"/>
      <c r="K294" s="313">
        <f>IF(COUNT(G294:J294)=0,"",AVERAGE(G294:J294)*4)</f>
        <v/>
      </c>
      <c r="L294" s="306">
        <f>IF(C294="","",IF(COUNT(G294:J294)=0,"",IF(COUNT(G294:J294)&lt;4,"موقت - اطلاعات ناقص",IF(K294&gt;=17,"عالی",IF(K294&gt;=14,"خوب",IF(K294&gt;=10,"متوسط","ضعیف"))))))</f>
        <v/>
      </c>
      <c r="M294" s="306" t="n">
        <v>2</v>
      </c>
      <c r="N294" s="314">
        <f>IF(C294="","",COUNT(G294:J294)/4)</f>
        <v/>
      </c>
      <c r="O294" s="307" t="n"/>
    </row>
    <row r="295" ht="24" customHeight="1">
      <c r="A295" s="306" t="n">
        <v>291</v>
      </c>
      <c r="B295" s="306" t="inlineStr">
        <is>
          <t>شهریور</t>
        </is>
      </c>
      <c r="C295" s="306">
        <f>IF('دانش‌آموزان'!E29="","",'دانش‌آموزان'!B29)</f>
        <v/>
      </c>
      <c r="D295" s="306">
        <f>IF('دانش‌آموزان'!C29="","",'دانش‌آموزان'!C29)</f>
        <v/>
      </c>
      <c r="E295" s="306">
        <f>IF('دانش‌آموزان'!E29="","",'دانش‌آموزان'!E29&amp;" "&amp;'دانش‌آموزان'!F29)</f>
        <v/>
      </c>
      <c r="F295" s="306">
        <f>IF('دانش‌آموزان'!I29="","",'دانش‌آموزان'!I29)</f>
        <v/>
      </c>
      <c r="G295" s="307" t="n"/>
      <c r="H295" s="307" t="n"/>
      <c r="I295" s="307" t="n"/>
      <c r="J295" s="307" t="n"/>
      <c r="K295" s="313">
        <f>IF(COUNT(G295:J295)=0,"",AVERAGE(G295:J295)*4)</f>
        <v/>
      </c>
      <c r="L295" s="306">
        <f>IF(C295="","",IF(COUNT(G295:J295)=0,"",IF(COUNT(G295:J295)&lt;4,"موقت - اطلاعات ناقص",IF(K295&gt;=17,"عالی",IF(K295&gt;=14,"خوب",IF(K295&gt;=10,"متوسط","ضعیف"))))))</f>
        <v/>
      </c>
      <c r="M295" s="306" t="n">
        <v>3</v>
      </c>
      <c r="N295" s="314">
        <f>IF(C295="","",COUNT(G295:J295)/4)</f>
        <v/>
      </c>
      <c r="O295" s="307" t="n"/>
    </row>
    <row r="296" ht="24" customHeight="1">
      <c r="A296" s="306" t="n">
        <v>292</v>
      </c>
      <c r="B296" s="306" t="inlineStr">
        <is>
          <t>مهر</t>
        </is>
      </c>
      <c r="C296" s="306">
        <f>IF('دانش‌آموزان'!E29="","",'دانش‌آموزان'!B29)</f>
        <v/>
      </c>
      <c r="D296" s="306">
        <f>IF('دانش‌آموزان'!C29="","",'دانش‌آموزان'!C29)</f>
        <v/>
      </c>
      <c r="E296" s="306">
        <f>IF('دانش‌آموزان'!E29="","",'دانش‌آموزان'!E29&amp;" "&amp;'دانش‌آموزان'!F29)</f>
        <v/>
      </c>
      <c r="F296" s="306">
        <f>IF('دانش‌آموزان'!I29="","",'دانش‌آموزان'!I29)</f>
        <v/>
      </c>
      <c r="G296" s="307" t="n"/>
      <c r="H296" s="307" t="n"/>
      <c r="I296" s="307" t="n"/>
      <c r="J296" s="307" t="n"/>
      <c r="K296" s="313">
        <f>IF(COUNT(G296:J296)=0,"",AVERAGE(G296:J296)*4)</f>
        <v/>
      </c>
      <c r="L296" s="306">
        <f>IF(C296="","",IF(COUNT(G296:J296)=0,"",IF(COUNT(G296:J296)&lt;4,"موقت - اطلاعات ناقص",IF(K296&gt;=17,"عالی",IF(K296&gt;=14,"خوب",IF(K296&gt;=10,"متوسط","ضعیف"))))))</f>
        <v/>
      </c>
      <c r="M296" s="306" t="n">
        <v>4</v>
      </c>
      <c r="N296" s="314">
        <f>IF(C296="","",COUNT(G296:J296)/4)</f>
        <v/>
      </c>
      <c r="O296" s="307" t="n"/>
    </row>
    <row r="297" ht="24" customHeight="1">
      <c r="A297" s="306" t="n">
        <v>293</v>
      </c>
      <c r="B297" s="306" t="inlineStr">
        <is>
          <t>آبان</t>
        </is>
      </c>
      <c r="C297" s="306">
        <f>IF('دانش‌آموزان'!E29="","",'دانش‌آموزان'!B29)</f>
        <v/>
      </c>
      <c r="D297" s="306">
        <f>IF('دانش‌آموزان'!C29="","",'دانش‌آموزان'!C29)</f>
        <v/>
      </c>
      <c r="E297" s="306">
        <f>IF('دانش‌آموزان'!E29="","",'دانش‌آموزان'!E29&amp;" "&amp;'دانش‌آموزان'!F29)</f>
        <v/>
      </c>
      <c r="F297" s="306">
        <f>IF('دانش‌آموزان'!I29="","",'دانش‌آموزان'!I29)</f>
        <v/>
      </c>
      <c r="G297" s="307" t="n"/>
      <c r="H297" s="307" t="n"/>
      <c r="I297" s="307" t="n"/>
      <c r="J297" s="307" t="n"/>
      <c r="K297" s="313">
        <f>IF(COUNT(G297:J297)=0,"",AVERAGE(G297:J297)*4)</f>
        <v/>
      </c>
      <c r="L297" s="306">
        <f>IF(C297="","",IF(COUNT(G297:J297)=0,"",IF(COUNT(G297:J297)&lt;4,"موقت - اطلاعات ناقص",IF(K297&gt;=17,"عالی",IF(K297&gt;=14,"خوب",IF(K297&gt;=10,"متوسط","ضعیف"))))))</f>
        <v/>
      </c>
      <c r="M297" s="306" t="n">
        <v>5</v>
      </c>
      <c r="N297" s="314">
        <f>IF(C297="","",COUNT(G297:J297)/4)</f>
        <v/>
      </c>
      <c r="O297" s="307" t="n"/>
    </row>
    <row r="298" ht="24" customHeight="1">
      <c r="A298" s="306" t="n">
        <v>294</v>
      </c>
      <c r="B298" s="306" t="inlineStr">
        <is>
          <t>آذر</t>
        </is>
      </c>
      <c r="C298" s="306">
        <f>IF('دانش‌آموزان'!E29="","",'دانش‌آموزان'!B29)</f>
        <v/>
      </c>
      <c r="D298" s="306">
        <f>IF('دانش‌آموزان'!C29="","",'دانش‌آموزان'!C29)</f>
        <v/>
      </c>
      <c r="E298" s="306">
        <f>IF('دانش‌آموزان'!E29="","",'دانش‌آموزان'!E29&amp;" "&amp;'دانش‌آموزان'!F29)</f>
        <v/>
      </c>
      <c r="F298" s="306">
        <f>IF('دانش‌آموزان'!I29="","",'دانش‌آموزان'!I29)</f>
        <v/>
      </c>
      <c r="G298" s="307" t="n"/>
      <c r="H298" s="307" t="n"/>
      <c r="I298" s="307" t="n"/>
      <c r="J298" s="307" t="n"/>
      <c r="K298" s="313">
        <f>IF(COUNT(G298:J298)=0,"",AVERAGE(G298:J298)*4)</f>
        <v/>
      </c>
      <c r="L298" s="306">
        <f>IF(C298="","",IF(COUNT(G298:J298)=0,"",IF(COUNT(G298:J298)&lt;4,"موقت - اطلاعات ناقص",IF(K298&gt;=17,"عالی",IF(K298&gt;=14,"خوب",IF(K298&gt;=10,"متوسط","ضعیف"))))))</f>
        <v/>
      </c>
      <c r="M298" s="306" t="n">
        <v>6</v>
      </c>
      <c r="N298" s="314">
        <f>IF(C298="","",COUNT(G298:J298)/4)</f>
        <v/>
      </c>
      <c r="O298" s="307" t="n"/>
    </row>
    <row r="299" ht="24" customHeight="1">
      <c r="A299" s="306" t="n">
        <v>295</v>
      </c>
      <c r="B299" s="306" t="inlineStr">
        <is>
          <t>دی</t>
        </is>
      </c>
      <c r="C299" s="306">
        <f>IF('دانش‌آموزان'!E29="","",'دانش‌آموزان'!B29)</f>
        <v/>
      </c>
      <c r="D299" s="306">
        <f>IF('دانش‌آموزان'!C29="","",'دانش‌آموزان'!C29)</f>
        <v/>
      </c>
      <c r="E299" s="306">
        <f>IF('دانش‌آموزان'!E29="","",'دانش‌آموزان'!E29&amp;" "&amp;'دانش‌آموزان'!F29)</f>
        <v/>
      </c>
      <c r="F299" s="306">
        <f>IF('دانش‌آموزان'!I29="","",'دانش‌آموزان'!I29)</f>
        <v/>
      </c>
      <c r="G299" s="307" t="n"/>
      <c r="H299" s="307" t="n"/>
      <c r="I299" s="307" t="n"/>
      <c r="J299" s="307" t="n"/>
      <c r="K299" s="313">
        <f>IF(COUNT(G299:J299)=0,"",AVERAGE(G299:J299)*4)</f>
        <v/>
      </c>
      <c r="L299" s="306">
        <f>IF(C299="","",IF(COUNT(G299:J299)=0,"",IF(COUNT(G299:J299)&lt;4,"موقت - اطلاعات ناقص",IF(K299&gt;=17,"عالی",IF(K299&gt;=14,"خوب",IF(K299&gt;=10,"متوسط","ضعیف"))))))</f>
        <v/>
      </c>
      <c r="M299" s="306" t="n">
        <v>7</v>
      </c>
      <c r="N299" s="314">
        <f>IF(C299="","",COUNT(G299:J299)/4)</f>
        <v/>
      </c>
      <c r="O299" s="307" t="n"/>
    </row>
    <row r="300" ht="24" customHeight="1">
      <c r="A300" s="306" t="n">
        <v>296</v>
      </c>
      <c r="B300" s="306" t="inlineStr">
        <is>
          <t>بهمن</t>
        </is>
      </c>
      <c r="C300" s="306">
        <f>IF('دانش‌آموزان'!E29="","",'دانش‌آموزان'!B29)</f>
        <v/>
      </c>
      <c r="D300" s="306">
        <f>IF('دانش‌آموزان'!C29="","",'دانش‌آموزان'!C29)</f>
        <v/>
      </c>
      <c r="E300" s="306">
        <f>IF('دانش‌آموزان'!E29="","",'دانش‌آموزان'!E29&amp;" "&amp;'دانش‌آموزان'!F29)</f>
        <v/>
      </c>
      <c r="F300" s="306">
        <f>IF('دانش‌آموزان'!I29="","",'دانش‌آموزان'!I29)</f>
        <v/>
      </c>
      <c r="G300" s="307" t="n"/>
      <c r="H300" s="307" t="n"/>
      <c r="I300" s="307" t="n"/>
      <c r="J300" s="307" t="n"/>
      <c r="K300" s="313">
        <f>IF(COUNT(G300:J300)=0,"",AVERAGE(G300:J300)*4)</f>
        <v/>
      </c>
      <c r="L300" s="306">
        <f>IF(C300="","",IF(COUNT(G300:J300)=0,"",IF(COUNT(G300:J300)&lt;4,"موقت - اطلاعات ناقص",IF(K300&gt;=17,"عالی",IF(K300&gt;=14,"خوب",IF(K300&gt;=10,"متوسط","ضعیف"))))))</f>
        <v/>
      </c>
      <c r="M300" s="306" t="n">
        <v>8</v>
      </c>
      <c r="N300" s="314">
        <f>IF(C300="","",COUNT(G300:J300)/4)</f>
        <v/>
      </c>
      <c r="O300" s="307" t="n"/>
    </row>
    <row r="301" ht="24" customHeight="1">
      <c r="A301" s="306" t="n">
        <v>297</v>
      </c>
      <c r="B301" s="306" t="inlineStr">
        <is>
          <t>اسفند</t>
        </is>
      </c>
      <c r="C301" s="306">
        <f>IF('دانش‌آموزان'!E29="","",'دانش‌آموزان'!B29)</f>
        <v/>
      </c>
      <c r="D301" s="306">
        <f>IF('دانش‌آموزان'!C29="","",'دانش‌آموزان'!C29)</f>
        <v/>
      </c>
      <c r="E301" s="306">
        <f>IF('دانش‌آموزان'!E29="","",'دانش‌آموزان'!E29&amp;" "&amp;'دانش‌آموزان'!F29)</f>
        <v/>
      </c>
      <c r="F301" s="306">
        <f>IF('دانش‌آموزان'!I29="","",'دانش‌آموزان'!I29)</f>
        <v/>
      </c>
      <c r="G301" s="307" t="n"/>
      <c r="H301" s="307" t="n"/>
      <c r="I301" s="307" t="n"/>
      <c r="J301" s="307" t="n"/>
      <c r="K301" s="313">
        <f>IF(COUNT(G301:J301)=0,"",AVERAGE(G301:J301)*4)</f>
        <v/>
      </c>
      <c r="L301" s="306">
        <f>IF(C301="","",IF(COUNT(G301:J301)=0,"",IF(COUNT(G301:J301)&lt;4,"موقت - اطلاعات ناقص",IF(K301&gt;=17,"عالی",IF(K301&gt;=14,"خوب",IF(K301&gt;=10,"متوسط","ضعیف"))))))</f>
        <v/>
      </c>
      <c r="M301" s="306" t="n">
        <v>9</v>
      </c>
      <c r="N301" s="314">
        <f>IF(C301="","",COUNT(G301:J301)/4)</f>
        <v/>
      </c>
      <c r="O301" s="307" t="n"/>
    </row>
    <row r="302" ht="24" customHeight="1">
      <c r="A302" s="306" t="n">
        <v>298</v>
      </c>
      <c r="B302" s="306" t="inlineStr">
        <is>
          <t>فروردین</t>
        </is>
      </c>
      <c r="C302" s="306">
        <f>IF('دانش‌آموزان'!E29="","",'دانش‌آموزان'!B29)</f>
        <v/>
      </c>
      <c r="D302" s="306">
        <f>IF('دانش‌آموزان'!C29="","",'دانش‌آموزان'!C29)</f>
        <v/>
      </c>
      <c r="E302" s="306">
        <f>IF('دانش‌آموزان'!E29="","",'دانش‌آموزان'!E29&amp;" "&amp;'دانش‌آموزان'!F29)</f>
        <v/>
      </c>
      <c r="F302" s="306">
        <f>IF('دانش‌آموزان'!I29="","",'دانش‌آموزان'!I29)</f>
        <v/>
      </c>
      <c r="G302" s="307" t="n"/>
      <c r="H302" s="307" t="n"/>
      <c r="I302" s="307" t="n"/>
      <c r="J302" s="307" t="n"/>
      <c r="K302" s="313">
        <f>IF(COUNT(G302:J302)=0,"",AVERAGE(G302:J302)*4)</f>
        <v/>
      </c>
      <c r="L302" s="306">
        <f>IF(C302="","",IF(COUNT(G302:J302)=0,"",IF(COUNT(G302:J302)&lt;4,"موقت - اطلاعات ناقص",IF(K302&gt;=17,"عالی",IF(K302&gt;=14,"خوب",IF(K302&gt;=10,"متوسط","ضعیف"))))))</f>
        <v/>
      </c>
      <c r="M302" s="306" t="n">
        <v>10</v>
      </c>
      <c r="N302" s="314">
        <f>IF(C302="","",COUNT(G302:J302)/4)</f>
        <v/>
      </c>
      <c r="O302" s="307" t="n"/>
    </row>
    <row r="303" ht="24" customHeight="1">
      <c r="A303" s="306" t="n">
        <v>299</v>
      </c>
      <c r="B303" s="306" t="inlineStr">
        <is>
          <t>اردیبهشت</t>
        </is>
      </c>
      <c r="C303" s="306">
        <f>IF('دانش‌آموزان'!E29="","",'دانش‌آموزان'!B29)</f>
        <v/>
      </c>
      <c r="D303" s="306">
        <f>IF('دانش‌آموزان'!C29="","",'دانش‌آموزان'!C29)</f>
        <v/>
      </c>
      <c r="E303" s="306">
        <f>IF('دانش‌آموزان'!E29="","",'دانش‌آموزان'!E29&amp;" "&amp;'دانش‌آموزان'!F29)</f>
        <v/>
      </c>
      <c r="F303" s="306">
        <f>IF('دانش‌آموزان'!I29="","",'دانش‌آموزان'!I29)</f>
        <v/>
      </c>
      <c r="G303" s="307" t="n"/>
      <c r="H303" s="307" t="n"/>
      <c r="I303" s="307" t="n"/>
      <c r="J303" s="307" t="n"/>
      <c r="K303" s="313">
        <f>IF(COUNT(G303:J303)=0,"",AVERAGE(G303:J303)*4)</f>
        <v/>
      </c>
      <c r="L303" s="306">
        <f>IF(C303="","",IF(COUNT(G303:J303)=0,"",IF(COUNT(G303:J303)&lt;4,"موقت - اطلاعات ناقص",IF(K303&gt;=17,"عالی",IF(K303&gt;=14,"خوب",IF(K303&gt;=10,"متوسط","ضعیف"))))))</f>
        <v/>
      </c>
      <c r="M303" s="306" t="n">
        <v>11</v>
      </c>
      <c r="N303" s="314">
        <f>IF(C303="","",COUNT(G303:J303)/4)</f>
        <v/>
      </c>
      <c r="O303" s="307" t="n"/>
    </row>
    <row r="304" ht="24" customHeight="1">
      <c r="A304" s="306" t="n">
        <v>300</v>
      </c>
      <c r="B304" s="306" t="inlineStr">
        <is>
          <t>خرداد</t>
        </is>
      </c>
      <c r="C304" s="306">
        <f>IF('دانش‌آموزان'!E29="","",'دانش‌آموزان'!B29)</f>
        <v/>
      </c>
      <c r="D304" s="306">
        <f>IF('دانش‌آموزان'!C29="","",'دانش‌آموزان'!C29)</f>
        <v/>
      </c>
      <c r="E304" s="306">
        <f>IF('دانش‌آموزان'!E29="","",'دانش‌آموزان'!E29&amp;" "&amp;'دانش‌آموزان'!F29)</f>
        <v/>
      </c>
      <c r="F304" s="306">
        <f>IF('دانش‌آموزان'!I29="","",'دانش‌آموزان'!I29)</f>
        <v/>
      </c>
      <c r="G304" s="307" t="n"/>
      <c r="H304" s="307" t="n"/>
      <c r="I304" s="307" t="n"/>
      <c r="J304" s="307" t="n"/>
      <c r="K304" s="313">
        <f>IF(COUNT(G304:J304)=0,"",AVERAGE(G304:J304)*4)</f>
        <v/>
      </c>
      <c r="L304" s="306">
        <f>IF(C304="","",IF(COUNT(G304:J304)=0,"",IF(COUNT(G304:J304)&lt;4,"موقت - اطلاعات ناقص",IF(K304&gt;=17,"عالی",IF(K304&gt;=14,"خوب",IF(K304&gt;=10,"متوسط","ضعیف"))))))</f>
        <v/>
      </c>
      <c r="M304" s="306" t="n">
        <v>12</v>
      </c>
      <c r="N304" s="314">
        <f>IF(C304="","",COUNT(G304:J304)/4)</f>
        <v/>
      </c>
      <c r="O304" s="307" t="n"/>
    </row>
    <row r="305" ht="24" customHeight="1">
      <c r="A305" s="306" t="n">
        <v>301</v>
      </c>
      <c r="B305" s="306" t="inlineStr">
        <is>
          <t>تیر</t>
        </is>
      </c>
      <c r="C305" s="306">
        <f>IF('دانش‌آموزان'!E30="","",'دانش‌آموزان'!B30)</f>
        <v/>
      </c>
      <c r="D305" s="306">
        <f>IF('دانش‌آموزان'!C30="","",'دانش‌آموزان'!C30)</f>
        <v/>
      </c>
      <c r="E305" s="306">
        <f>IF('دانش‌آموزان'!E30="","",'دانش‌آموزان'!E30&amp;" "&amp;'دانش‌آموزان'!F30)</f>
        <v/>
      </c>
      <c r="F305" s="306">
        <f>IF('دانش‌آموزان'!I30="","",'دانش‌آموزان'!I30)</f>
        <v/>
      </c>
      <c r="G305" s="307" t="n"/>
      <c r="H305" s="307" t="n"/>
      <c r="I305" s="307" t="n"/>
      <c r="J305" s="307" t="n"/>
      <c r="K305" s="313">
        <f>IF(COUNT(G305:J305)=0,"",AVERAGE(G305:J305)*4)</f>
        <v/>
      </c>
      <c r="L305" s="306">
        <f>IF(C305="","",IF(COUNT(G305:J305)=0,"",IF(COUNT(G305:J305)&lt;4,"موقت - اطلاعات ناقص",IF(K305&gt;=17,"عالی",IF(K305&gt;=14,"خوب",IF(K305&gt;=10,"متوسط","ضعیف"))))))</f>
        <v/>
      </c>
      <c r="M305" s="306" t="n">
        <v>1</v>
      </c>
      <c r="N305" s="314">
        <f>IF(C305="","",COUNT(G305:J305)/4)</f>
        <v/>
      </c>
      <c r="O305" s="307" t="n"/>
    </row>
    <row r="306" ht="24" customHeight="1">
      <c r="A306" s="306" t="n">
        <v>302</v>
      </c>
      <c r="B306" s="306" t="inlineStr">
        <is>
          <t>مرداد</t>
        </is>
      </c>
      <c r="C306" s="306">
        <f>IF('دانش‌آموزان'!E30="","",'دانش‌آموزان'!B30)</f>
        <v/>
      </c>
      <c r="D306" s="306">
        <f>IF('دانش‌آموزان'!C30="","",'دانش‌آموزان'!C30)</f>
        <v/>
      </c>
      <c r="E306" s="306">
        <f>IF('دانش‌آموزان'!E30="","",'دانش‌آموزان'!E30&amp;" "&amp;'دانش‌آموزان'!F30)</f>
        <v/>
      </c>
      <c r="F306" s="306">
        <f>IF('دانش‌آموزان'!I30="","",'دانش‌آموزان'!I30)</f>
        <v/>
      </c>
      <c r="G306" s="307" t="n"/>
      <c r="H306" s="307" t="n"/>
      <c r="I306" s="307" t="n"/>
      <c r="J306" s="307" t="n"/>
      <c r="K306" s="313">
        <f>IF(COUNT(G306:J306)=0,"",AVERAGE(G306:J306)*4)</f>
        <v/>
      </c>
      <c r="L306" s="306">
        <f>IF(C306="","",IF(COUNT(G306:J306)=0,"",IF(COUNT(G306:J306)&lt;4,"موقت - اطلاعات ناقص",IF(K306&gt;=17,"عالی",IF(K306&gt;=14,"خوب",IF(K306&gt;=10,"متوسط","ضعیف"))))))</f>
        <v/>
      </c>
      <c r="M306" s="306" t="n">
        <v>2</v>
      </c>
      <c r="N306" s="314">
        <f>IF(C306="","",COUNT(G306:J306)/4)</f>
        <v/>
      </c>
      <c r="O306" s="307" t="n"/>
    </row>
    <row r="307" ht="24" customHeight="1">
      <c r="A307" s="306" t="n">
        <v>303</v>
      </c>
      <c r="B307" s="306" t="inlineStr">
        <is>
          <t>شهریور</t>
        </is>
      </c>
      <c r="C307" s="306">
        <f>IF('دانش‌آموزان'!E30="","",'دانش‌آموزان'!B30)</f>
        <v/>
      </c>
      <c r="D307" s="306">
        <f>IF('دانش‌آموزان'!C30="","",'دانش‌آموزان'!C30)</f>
        <v/>
      </c>
      <c r="E307" s="306">
        <f>IF('دانش‌آموزان'!E30="","",'دانش‌آموزان'!E30&amp;" "&amp;'دانش‌آموزان'!F30)</f>
        <v/>
      </c>
      <c r="F307" s="306">
        <f>IF('دانش‌آموزان'!I30="","",'دانش‌آموزان'!I30)</f>
        <v/>
      </c>
      <c r="G307" s="307" t="n"/>
      <c r="H307" s="307" t="n"/>
      <c r="I307" s="307" t="n"/>
      <c r="J307" s="307" t="n"/>
      <c r="K307" s="313">
        <f>IF(COUNT(G307:J307)=0,"",AVERAGE(G307:J307)*4)</f>
        <v/>
      </c>
      <c r="L307" s="306">
        <f>IF(C307="","",IF(COUNT(G307:J307)=0,"",IF(COUNT(G307:J307)&lt;4,"موقت - اطلاعات ناقص",IF(K307&gt;=17,"عالی",IF(K307&gt;=14,"خوب",IF(K307&gt;=10,"متوسط","ضعیف"))))))</f>
        <v/>
      </c>
      <c r="M307" s="306" t="n">
        <v>3</v>
      </c>
      <c r="N307" s="314">
        <f>IF(C307="","",COUNT(G307:J307)/4)</f>
        <v/>
      </c>
      <c r="O307" s="307" t="n"/>
    </row>
    <row r="308" ht="24" customHeight="1">
      <c r="A308" s="306" t="n">
        <v>304</v>
      </c>
      <c r="B308" s="306" t="inlineStr">
        <is>
          <t>مهر</t>
        </is>
      </c>
      <c r="C308" s="306">
        <f>IF('دانش‌آموزان'!E30="","",'دانش‌آموزان'!B30)</f>
        <v/>
      </c>
      <c r="D308" s="306">
        <f>IF('دانش‌آموزان'!C30="","",'دانش‌آموزان'!C30)</f>
        <v/>
      </c>
      <c r="E308" s="306">
        <f>IF('دانش‌آموزان'!E30="","",'دانش‌آموزان'!E30&amp;" "&amp;'دانش‌آموزان'!F30)</f>
        <v/>
      </c>
      <c r="F308" s="306">
        <f>IF('دانش‌آموزان'!I30="","",'دانش‌آموزان'!I30)</f>
        <v/>
      </c>
      <c r="G308" s="307" t="n"/>
      <c r="H308" s="307" t="n"/>
      <c r="I308" s="307" t="n"/>
      <c r="J308" s="307" t="n"/>
      <c r="K308" s="313">
        <f>IF(COUNT(G308:J308)=0,"",AVERAGE(G308:J308)*4)</f>
        <v/>
      </c>
      <c r="L308" s="306">
        <f>IF(C308="","",IF(COUNT(G308:J308)=0,"",IF(COUNT(G308:J308)&lt;4,"موقت - اطلاعات ناقص",IF(K308&gt;=17,"عالی",IF(K308&gt;=14,"خوب",IF(K308&gt;=10,"متوسط","ضعیف"))))))</f>
        <v/>
      </c>
      <c r="M308" s="306" t="n">
        <v>4</v>
      </c>
      <c r="N308" s="314">
        <f>IF(C308="","",COUNT(G308:J308)/4)</f>
        <v/>
      </c>
      <c r="O308" s="307" t="n"/>
    </row>
    <row r="309" ht="24" customHeight="1">
      <c r="A309" s="306" t="n">
        <v>305</v>
      </c>
      <c r="B309" s="306" t="inlineStr">
        <is>
          <t>آبان</t>
        </is>
      </c>
      <c r="C309" s="306">
        <f>IF('دانش‌آموزان'!E30="","",'دانش‌آموزان'!B30)</f>
        <v/>
      </c>
      <c r="D309" s="306">
        <f>IF('دانش‌آموزان'!C30="","",'دانش‌آموزان'!C30)</f>
        <v/>
      </c>
      <c r="E309" s="306">
        <f>IF('دانش‌آموزان'!E30="","",'دانش‌آموزان'!E30&amp;" "&amp;'دانش‌آموزان'!F30)</f>
        <v/>
      </c>
      <c r="F309" s="306">
        <f>IF('دانش‌آموزان'!I30="","",'دانش‌آموزان'!I30)</f>
        <v/>
      </c>
      <c r="G309" s="307" t="n"/>
      <c r="H309" s="307" t="n"/>
      <c r="I309" s="307" t="n"/>
      <c r="J309" s="307" t="n"/>
      <c r="K309" s="313">
        <f>IF(COUNT(G309:J309)=0,"",AVERAGE(G309:J309)*4)</f>
        <v/>
      </c>
      <c r="L309" s="306">
        <f>IF(C309="","",IF(COUNT(G309:J309)=0,"",IF(COUNT(G309:J309)&lt;4,"موقت - اطلاعات ناقص",IF(K309&gt;=17,"عالی",IF(K309&gt;=14,"خوب",IF(K309&gt;=10,"متوسط","ضعیف"))))))</f>
        <v/>
      </c>
      <c r="M309" s="306" t="n">
        <v>5</v>
      </c>
      <c r="N309" s="314">
        <f>IF(C309="","",COUNT(G309:J309)/4)</f>
        <v/>
      </c>
      <c r="O309" s="307" t="n"/>
    </row>
    <row r="310" ht="24" customHeight="1">
      <c r="A310" s="306" t="n">
        <v>306</v>
      </c>
      <c r="B310" s="306" t="inlineStr">
        <is>
          <t>آذر</t>
        </is>
      </c>
      <c r="C310" s="306">
        <f>IF('دانش‌آموزان'!E30="","",'دانش‌آموزان'!B30)</f>
        <v/>
      </c>
      <c r="D310" s="306">
        <f>IF('دانش‌آموزان'!C30="","",'دانش‌آموزان'!C30)</f>
        <v/>
      </c>
      <c r="E310" s="306">
        <f>IF('دانش‌آموزان'!E30="","",'دانش‌آموزان'!E30&amp;" "&amp;'دانش‌آموزان'!F30)</f>
        <v/>
      </c>
      <c r="F310" s="306">
        <f>IF('دانش‌آموزان'!I30="","",'دانش‌آموزان'!I30)</f>
        <v/>
      </c>
      <c r="G310" s="307" t="n"/>
      <c r="H310" s="307" t="n"/>
      <c r="I310" s="307" t="n"/>
      <c r="J310" s="307" t="n"/>
      <c r="K310" s="313">
        <f>IF(COUNT(G310:J310)=0,"",AVERAGE(G310:J310)*4)</f>
        <v/>
      </c>
      <c r="L310" s="306">
        <f>IF(C310="","",IF(COUNT(G310:J310)=0,"",IF(COUNT(G310:J310)&lt;4,"موقت - اطلاعات ناقص",IF(K310&gt;=17,"عالی",IF(K310&gt;=14,"خوب",IF(K310&gt;=10,"متوسط","ضعیف"))))))</f>
        <v/>
      </c>
      <c r="M310" s="306" t="n">
        <v>6</v>
      </c>
      <c r="N310" s="314">
        <f>IF(C310="","",COUNT(G310:J310)/4)</f>
        <v/>
      </c>
      <c r="O310" s="307" t="n"/>
    </row>
    <row r="311" ht="24" customHeight="1">
      <c r="A311" s="306" t="n">
        <v>307</v>
      </c>
      <c r="B311" s="306" t="inlineStr">
        <is>
          <t>دی</t>
        </is>
      </c>
      <c r="C311" s="306">
        <f>IF('دانش‌آموزان'!E30="","",'دانش‌آموزان'!B30)</f>
        <v/>
      </c>
      <c r="D311" s="306">
        <f>IF('دانش‌آموزان'!C30="","",'دانش‌آموزان'!C30)</f>
        <v/>
      </c>
      <c r="E311" s="306">
        <f>IF('دانش‌آموزان'!E30="","",'دانش‌آموزان'!E30&amp;" "&amp;'دانش‌آموزان'!F30)</f>
        <v/>
      </c>
      <c r="F311" s="306">
        <f>IF('دانش‌آموزان'!I30="","",'دانش‌آموزان'!I30)</f>
        <v/>
      </c>
      <c r="G311" s="307" t="n"/>
      <c r="H311" s="307" t="n"/>
      <c r="I311" s="307" t="n"/>
      <c r="J311" s="307" t="n"/>
      <c r="K311" s="313">
        <f>IF(COUNT(G311:J311)=0,"",AVERAGE(G311:J311)*4)</f>
        <v/>
      </c>
      <c r="L311" s="306">
        <f>IF(C311="","",IF(COUNT(G311:J311)=0,"",IF(COUNT(G311:J311)&lt;4,"موقت - اطلاعات ناقص",IF(K311&gt;=17,"عالی",IF(K311&gt;=14,"خوب",IF(K311&gt;=10,"متوسط","ضعیف"))))))</f>
        <v/>
      </c>
      <c r="M311" s="306" t="n">
        <v>7</v>
      </c>
      <c r="N311" s="314">
        <f>IF(C311="","",COUNT(G311:J311)/4)</f>
        <v/>
      </c>
      <c r="O311" s="307" t="n"/>
    </row>
    <row r="312" ht="24" customHeight="1">
      <c r="A312" s="306" t="n">
        <v>308</v>
      </c>
      <c r="B312" s="306" t="inlineStr">
        <is>
          <t>بهمن</t>
        </is>
      </c>
      <c r="C312" s="306">
        <f>IF('دانش‌آموزان'!E30="","",'دانش‌آموزان'!B30)</f>
        <v/>
      </c>
      <c r="D312" s="306">
        <f>IF('دانش‌آموزان'!C30="","",'دانش‌آموزان'!C30)</f>
        <v/>
      </c>
      <c r="E312" s="306">
        <f>IF('دانش‌آموزان'!E30="","",'دانش‌آموزان'!E30&amp;" "&amp;'دانش‌آموزان'!F30)</f>
        <v/>
      </c>
      <c r="F312" s="306">
        <f>IF('دانش‌آموزان'!I30="","",'دانش‌آموزان'!I30)</f>
        <v/>
      </c>
      <c r="G312" s="307" t="n"/>
      <c r="H312" s="307" t="n"/>
      <c r="I312" s="307" t="n"/>
      <c r="J312" s="307" t="n"/>
      <c r="K312" s="313">
        <f>IF(COUNT(G312:J312)=0,"",AVERAGE(G312:J312)*4)</f>
        <v/>
      </c>
      <c r="L312" s="306">
        <f>IF(C312="","",IF(COUNT(G312:J312)=0,"",IF(COUNT(G312:J312)&lt;4,"موقت - اطلاعات ناقص",IF(K312&gt;=17,"عالی",IF(K312&gt;=14,"خوب",IF(K312&gt;=10,"متوسط","ضعیف"))))))</f>
        <v/>
      </c>
      <c r="M312" s="306" t="n">
        <v>8</v>
      </c>
      <c r="N312" s="314">
        <f>IF(C312="","",COUNT(G312:J312)/4)</f>
        <v/>
      </c>
      <c r="O312" s="307" t="n"/>
    </row>
    <row r="313" ht="24" customHeight="1">
      <c r="A313" s="306" t="n">
        <v>309</v>
      </c>
      <c r="B313" s="306" t="inlineStr">
        <is>
          <t>اسفند</t>
        </is>
      </c>
      <c r="C313" s="306">
        <f>IF('دانش‌آموزان'!E30="","",'دانش‌آموزان'!B30)</f>
        <v/>
      </c>
      <c r="D313" s="306">
        <f>IF('دانش‌آموزان'!C30="","",'دانش‌آموزان'!C30)</f>
        <v/>
      </c>
      <c r="E313" s="306">
        <f>IF('دانش‌آموزان'!E30="","",'دانش‌آموزان'!E30&amp;" "&amp;'دانش‌آموزان'!F30)</f>
        <v/>
      </c>
      <c r="F313" s="306">
        <f>IF('دانش‌آموزان'!I30="","",'دانش‌آموزان'!I30)</f>
        <v/>
      </c>
      <c r="G313" s="307" t="n"/>
      <c r="H313" s="307" t="n"/>
      <c r="I313" s="307" t="n"/>
      <c r="J313" s="307" t="n"/>
      <c r="K313" s="313">
        <f>IF(COUNT(G313:J313)=0,"",AVERAGE(G313:J313)*4)</f>
        <v/>
      </c>
      <c r="L313" s="306">
        <f>IF(C313="","",IF(COUNT(G313:J313)=0,"",IF(COUNT(G313:J313)&lt;4,"موقت - اطلاعات ناقص",IF(K313&gt;=17,"عالی",IF(K313&gt;=14,"خوب",IF(K313&gt;=10,"متوسط","ضعیف"))))))</f>
        <v/>
      </c>
      <c r="M313" s="306" t="n">
        <v>9</v>
      </c>
      <c r="N313" s="314">
        <f>IF(C313="","",COUNT(G313:J313)/4)</f>
        <v/>
      </c>
      <c r="O313" s="307" t="n"/>
    </row>
    <row r="314" ht="24" customHeight="1">
      <c r="A314" s="306" t="n">
        <v>310</v>
      </c>
      <c r="B314" s="306" t="inlineStr">
        <is>
          <t>فروردین</t>
        </is>
      </c>
      <c r="C314" s="306">
        <f>IF('دانش‌آموزان'!E30="","",'دانش‌آموزان'!B30)</f>
        <v/>
      </c>
      <c r="D314" s="306">
        <f>IF('دانش‌آموزان'!C30="","",'دانش‌آموزان'!C30)</f>
        <v/>
      </c>
      <c r="E314" s="306">
        <f>IF('دانش‌آموزان'!E30="","",'دانش‌آموزان'!E30&amp;" "&amp;'دانش‌آموزان'!F30)</f>
        <v/>
      </c>
      <c r="F314" s="306">
        <f>IF('دانش‌آموزان'!I30="","",'دانش‌آموزان'!I30)</f>
        <v/>
      </c>
      <c r="G314" s="307" t="n"/>
      <c r="H314" s="307" t="n"/>
      <c r="I314" s="307" t="n"/>
      <c r="J314" s="307" t="n"/>
      <c r="K314" s="313">
        <f>IF(COUNT(G314:J314)=0,"",AVERAGE(G314:J314)*4)</f>
        <v/>
      </c>
      <c r="L314" s="306">
        <f>IF(C314="","",IF(COUNT(G314:J314)=0,"",IF(COUNT(G314:J314)&lt;4,"موقت - اطلاعات ناقص",IF(K314&gt;=17,"عالی",IF(K314&gt;=14,"خوب",IF(K314&gt;=10,"متوسط","ضعیف"))))))</f>
        <v/>
      </c>
      <c r="M314" s="306" t="n">
        <v>10</v>
      </c>
      <c r="N314" s="314">
        <f>IF(C314="","",COUNT(G314:J314)/4)</f>
        <v/>
      </c>
      <c r="O314" s="307" t="n"/>
    </row>
    <row r="315" ht="24" customHeight="1">
      <c r="A315" s="306" t="n">
        <v>311</v>
      </c>
      <c r="B315" s="306" t="inlineStr">
        <is>
          <t>اردیبهشت</t>
        </is>
      </c>
      <c r="C315" s="306">
        <f>IF('دانش‌آموزان'!E30="","",'دانش‌آموزان'!B30)</f>
        <v/>
      </c>
      <c r="D315" s="306">
        <f>IF('دانش‌آموزان'!C30="","",'دانش‌آموزان'!C30)</f>
        <v/>
      </c>
      <c r="E315" s="306">
        <f>IF('دانش‌آموزان'!E30="","",'دانش‌آموزان'!E30&amp;" "&amp;'دانش‌آموزان'!F30)</f>
        <v/>
      </c>
      <c r="F315" s="306">
        <f>IF('دانش‌آموزان'!I30="","",'دانش‌آموزان'!I30)</f>
        <v/>
      </c>
      <c r="G315" s="307" t="n"/>
      <c r="H315" s="307" t="n"/>
      <c r="I315" s="307" t="n"/>
      <c r="J315" s="307" t="n"/>
      <c r="K315" s="313">
        <f>IF(COUNT(G315:J315)=0,"",AVERAGE(G315:J315)*4)</f>
        <v/>
      </c>
      <c r="L315" s="306">
        <f>IF(C315="","",IF(COUNT(G315:J315)=0,"",IF(COUNT(G315:J315)&lt;4,"موقت - اطلاعات ناقص",IF(K315&gt;=17,"عالی",IF(K315&gt;=14,"خوب",IF(K315&gt;=10,"متوسط","ضعیف"))))))</f>
        <v/>
      </c>
      <c r="M315" s="306" t="n">
        <v>11</v>
      </c>
      <c r="N315" s="314">
        <f>IF(C315="","",COUNT(G315:J315)/4)</f>
        <v/>
      </c>
      <c r="O315" s="307" t="n"/>
    </row>
    <row r="316" ht="24" customHeight="1">
      <c r="A316" s="306" t="n">
        <v>312</v>
      </c>
      <c r="B316" s="306" t="inlineStr">
        <is>
          <t>خرداد</t>
        </is>
      </c>
      <c r="C316" s="306">
        <f>IF('دانش‌آموزان'!E30="","",'دانش‌آموزان'!B30)</f>
        <v/>
      </c>
      <c r="D316" s="306">
        <f>IF('دانش‌آموزان'!C30="","",'دانش‌آموزان'!C30)</f>
        <v/>
      </c>
      <c r="E316" s="306">
        <f>IF('دانش‌آموزان'!E30="","",'دانش‌آموزان'!E30&amp;" "&amp;'دانش‌آموزان'!F30)</f>
        <v/>
      </c>
      <c r="F316" s="306">
        <f>IF('دانش‌آموزان'!I30="","",'دانش‌آموزان'!I30)</f>
        <v/>
      </c>
      <c r="G316" s="307" t="n"/>
      <c r="H316" s="307" t="n"/>
      <c r="I316" s="307" t="n"/>
      <c r="J316" s="307" t="n"/>
      <c r="K316" s="313">
        <f>IF(COUNT(G316:J316)=0,"",AVERAGE(G316:J316)*4)</f>
        <v/>
      </c>
      <c r="L316" s="306">
        <f>IF(C316="","",IF(COUNT(G316:J316)=0,"",IF(COUNT(G316:J316)&lt;4,"موقت - اطلاعات ناقص",IF(K316&gt;=17,"عالی",IF(K316&gt;=14,"خوب",IF(K316&gt;=10,"متوسط","ضعیف"))))))</f>
        <v/>
      </c>
      <c r="M316" s="306" t="n">
        <v>12</v>
      </c>
      <c r="N316" s="314">
        <f>IF(C316="","",COUNT(G316:J316)/4)</f>
        <v/>
      </c>
      <c r="O316" s="307" t="n"/>
    </row>
    <row r="317" ht="24" customHeight="1">
      <c r="A317" s="306" t="n">
        <v>313</v>
      </c>
      <c r="B317" s="306" t="inlineStr">
        <is>
          <t>تیر</t>
        </is>
      </c>
      <c r="C317" s="306">
        <f>IF('دانش‌آموزان'!E31="","",'دانش‌آموزان'!B31)</f>
        <v/>
      </c>
      <c r="D317" s="306">
        <f>IF('دانش‌آموزان'!C31="","",'دانش‌آموزان'!C31)</f>
        <v/>
      </c>
      <c r="E317" s="306">
        <f>IF('دانش‌آموزان'!E31="","",'دانش‌آموزان'!E31&amp;" "&amp;'دانش‌آموزان'!F31)</f>
        <v/>
      </c>
      <c r="F317" s="306">
        <f>IF('دانش‌آموزان'!I31="","",'دانش‌آموزان'!I31)</f>
        <v/>
      </c>
      <c r="G317" s="307" t="n"/>
      <c r="H317" s="307" t="n"/>
      <c r="I317" s="307" t="n"/>
      <c r="J317" s="307" t="n"/>
      <c r="K317" s="313">
        <f>IF(COUNT(G317:J317)=0,"",AVERAGE(G317:J317)*4)</f>
        <v/>
      </c>
      <c r="L317" s="306">
        <f>IF(C317="","",IF(COUNT(G317:J317)=0,"",IF(COUNT(G317:J317)&lt;4,"موقت - اطلاعات ناقص",IF(K317&gt;=17,"عالی",IF(K317&gt;=14,"خوب",IF(K317&gt;=10,"متوسط","ضعیف"))))))</f>
        <v/>
      </c>
      <c r="M317" s="306" t="n">
        <v>1</v>
      </c>
      <c r="N317" s="314">
        <f>IF(C317="","",COUNT(G317:J317)/4)</f>
        <v/>
      </c>
      <c r="O317" s="307" t="n"/>
    </row>
    <row r="318" ht="24" customHeight="1">
      <c r="A318" s="306" t="n">
        <v>314</v>
      </c>
      <c r="B318" s="306" t="inlineStr">
        <is>
          <t>مرداد</t>
        </is>
      </c>
      <c r="C318" s="306">
        <f>IF('دانش‌آموزان'!E31="","",'دانش‌آموزان'!B31)</f>
        <v/>
      </c>
      <c r="D318" s="306">
        <f>IF('دانش‌آموزان'!C31="","",'دانش‌آموزان'!C31)</f>
        <v/>
      </c>
      <c r="E318" s="306">
        <f>IF('دانش‌آموزان'!E31="","",'دانش‌آموزان'!E31&amp;" "&amp;'دانش‌آموزان'!F31)</f>
        <v/>
      </c>
      <c r="F318" s="306">
        <f>IF('دانش‌آموزان'!I31="","",'دانش‌آموزان'!I31)</f>
        <v/>
      </c>
      <c r="G318" s="307" t="n"/>
      <c r="H318" s="307" t="n"/>
      <c r="I318" s="307" t="n"/>
      <c r="J318" s="307" t="n"/>
      <c r="K318" s="313">
        <f>IF(COUNT(G318:J318)=0,"",AVERAGE(G318:J318)*4)</f>
        <v/>
      </c>
      <c r="L318" s="306">
        <f>IF(C318="","",IF(COUNT(G318:J318)=0,"",IF(COUNT(G318:J318)&lt;4,"موقت - اطلاعات ناقص",IF(K318&gt;=17,"عالی",IF(K318&gt;=14,"خوب",IF(K318&gt;=10,"متوسط","ضعیف"))))))</f>
        <v/>
      </c>
      <c r="M318" s="306" t="n">
        <v>2</v>
      </c>
      <c r="N318" s="314">
        <f>IF(C318="","",COUNT(G318:J318)/4)</f>
        <v/>
      </c>
      <c r="O318" s="307" t="n"/>
    </row>
    <row r="319" ht="24" customHeight="1">
      <c r="A319" s="306" t="n">
        <v>315</v>
      </c>
      <c r="B319" s="306" t="inlineStr">
        <is>
          <t>شهریور</t>
        </is>
      </c>
      <c r="C319" s="306">
        <f>IF('دانش‌آموزان'!E31="","",'دانش‌آموزان'!B31)</f>
        <v/>
      </c>
      <c r="D319" s="306">
        <f>IF('دانش‌آموزان'!C31="","",'دانش‌آموزان'!C31)</f>
        <v/>
      </c>
      <c r="E319" s="306">
        <f>IF('دانش‌آموزان'!E31="","",'دانش‌آموزان'!E31&amp;" "&amp;'دانش‌آموزان'!F31)</f>
        <v/>
      </c>
      <c r="F319" s="306">
        <f>IF('دانش‌آموزان'!I31="","",'دانش‌آموزان'!I31)</f>
        <v/>
      </c>
      <c r="G319" s="307" t="n"/>
      <c r="H319" s="307" t="n"/>
      <c r="I319" s="307" t="n"/>
      <c r="J319" s="307" t="n"/>
      <c r="K319" s="313">
        <f>IF(COUNT(G319:J319)=0,"",AVERAGE(G319:J319)*4)</f>
        <v/>
      </c>
      <c r="L319" s="306">
        <f>IF(C319="","",IF(COUNT(G319:J319)=0,"",IF(COUNT(G319:J319)&lt;4,"موقت - اطلاعات ناقص",IF(K319&gt;=17,"عالی",IF(K319&gt;=14,"خوب",IF(K319&gt;=10,"متوسط","ضعیف"))))))</f>
        <v/>
      </c>
      <c r="M319" s="306" t="n">
        <v>3</v>
      </c>
      <c r="N319" s="314">
        <f>IF(C319="","",COUNT(G319:J319)/4)</f>
        <v/>
      </c>
      <c r="O319" s="307" t="n"/>
    </row>
    <row r="320" ht="24" customHeight="1">
      <c r="A320" s="306" t="n">
        <v>316</v>
      </c>
      <c r="B320" s="306" t="inlineStr">
        <is>
          <t>مهر</t>
        </is>
      </c>
      <c r="C320" s="306">
        <f>IF('دانش‌آموزان'!E31="","",'دانش‌آموزان'!B31)</f>
        <v/>
      </c>
      <c r="D320" s="306">
        <f>IF('دانش‌آموزان'!C31="","",'دانش‌آموزان'!C31)</f>
        <v/>
      </c>
      <c r="E320" s="306">
        <f>IF('دانش‌آموزان'!E31="","",'دانش‌آموزان'!E31&amp;" "&amp;'دانش‌آموزان'!F31)</f>
        <v/>
      </c>
      <c r="F320" s="306">
        <f>IF('دانش‌آموزان'!I31="","",'دانش‌آموزان'!I31)</f>
        <v/>
      </c>
      <c r="G320" s="307" t="n"/>
      <c r="H320" s="307" t="n"/>
      <c r="I320" s="307" t="n"/>
      <c r="J320" s="307" t="n"/>
      <c r="K320" s="313">
        <f>IF(COUNT(G320:J320)=0,"",AVERAGE(G320:J320)*4)</f>
        <v/>
      </c>
      <c r="L320" s="306">
        <f>IF(C320="","",IF(COUNT(G320:J320)=0,"",IF(COUNT(G320:J320)&lt;4,"موقت - اطلاعات ناقص",IF(K320&gt;=17,"عالی",IF(K320&gt;=14,"خوب",IF(K320&gt;=10,"متوسط","ضعیف"))))))</f>
        <v/>
      </c>
      <c r="M320" s="306" t="n">
        <v>4</v>
      </c>
      <c r="N320" s="314">
        <f>IF(C320="","",COUNT(G320:J320)/4)</f>
        <v/>
      </c>
      <c r="O320" s="307" t="n"/>
    </row>
    <row r="321" ht="24" customHeight="1">
      <c r="A321" s="306" t="n">
        <v>317</v>
      </c>
      <c r="B321" s="306" t="inlineStr">
        <is>
          <t>آبان</t>
        </is>
      </c>
      <c r="C321" s="306">
        <f>IF('دانش‌آموزان'!E31="","",'دانش‌آموزان'!B31)</f>
        <v/>
      </c>
      <c r="D321" s="306">
        <f>IF('دانش‌آموزان'!C31="","",'دانش‌آموزان'!C31)</f>
        <v/>
      </c>
      <c r="E321" s="306">
        <f>IF('دانش‌آموزان'!E31="","",'دانش‌آموزان'!E31&amp;" "&amp;'دانش‌آموزان'!F31)</f>
        <v/>
      </c>
      <c r="F321" s="306">
        <f>IF('دانش‌آموزان'!I31="","",'دانش‌آموزان'!I31)</f>
        <v/>
      </c>
      <c r="G321" s="307" t="n"/>
      <c r="H321" s="307" t="n"/>
      <c r="I321" s="307" t="n"/>
      <c r="J321" s="307" t="n"/>
      <c r="K321" s="313">
        <f>IF(COUNT(G321:J321)=0,"",AVERAGE(G321:J321)*4)</f>
        <v/>
      </c>
      <c r="L321" s="306">
        <f>IF(C321="","",IF(COUNT(G321:J321)=0,"",IF(COUNT(G321:J321)&lt;4,"موقت - اطلاعات ناقص",IF(K321&gt;=17,"عالی",IF(K321&gt;=14,"خوب",IF(K321&gt;=10,"متوسط","ضعیف"))))))</f>
        <v/>
      </c>
      <c r="M321" s="306" t="n">
        <v>5</v>
      </c>
      <c r="N321" s="314">
        <f>IF(C321="","",COUNT(G321:J321)/4)</f>
        <v/>
      </c>
      <c r="O321" s="307" t="n"/>
    </row>
    <row r="322" ht="24" customHeight="1">
      <c r="A322" s="306" t="n">
        <v>318</v>
      </c>
      <c r="B322" s="306" t="inlineStr">
        <is>
          <t>آذر</t>
        </is>
      </c>
      <c r="C322" s="306">
        <f>IF('دانش‌آموزان'!E31="","",'دانش‌آموزان'!B31)</f>
        <v/>
      </c>
      <c r="D322" s="306">
        <f>IF('دانش‌آموزان'!C31="","",'دانش‌آموزان'!C31)</f>
        <v/>
      </c>
      <c r="E322" s="306">
        <f>IF('دانش‌آموزان'!E31="","",'دانش‌آموزان'!E31&amp;" "&amp;'دانش‌آموزان'!F31)</f>
        <v/>
      </c>
      <c r="F322" s="306">
        <f>IF('دانش‌آموزان'!I31="","",'دانش‌آموزان'!I31)</f>
        <v/>
      </c>
      <c r="G322" s="307" t="n"/>
      <c r="H322" s="307" t="n"/>
      <c r="I322" s="307" t="n"/>
      <c r="J322" s="307" t="n"/>
      <c r="K322" s="313">
        <f>IF(COUNT(G322:J322)=0,"",AVERAGE(G322:J322)*4)</f>
        <v/>
      </c>
      <c r="L322" s="306">
        <f>IF(C322="","",IF(COUNT(G322:J322)=0,"",IF(COUNT(G322:J322)&lt;4,"موقت - اطلاعات ناقص",IF(K322&gt;=17,"عالی",IF(K322&gt;=14,"خوب",IF(K322&gt;=10,"متوسط","ضعیف"))))))</f>
        <v/>
      </c>
      <c r="M322" s="306" t="n">
        <v>6</v>
      </c>
      <c r="N322" s="314">
        <f>IF(C322="","",COUNT(G322:J322)/4)</f>
        <v/>
      </c>
      <c r="O322" s="307" t="n"/>
    </row>
    <row r="323" ht="24" customHeight="1">
      <c r="A323" s="306" t="n">
        <v>319</v>
      </c>
      <c r="B323" s="306" t="inlineStr">
        <is>
          <t>دی</t>
        </is>
      </c>
      <c r="C323" s="306">
        <f>IF('دانش‌آموزان'!E31="","",'دانش‌آموزان'!B31)</f>
        <v/>
      </c>
      <c r="D323" s="306">
        <f>IF('دانش‌آموزان'!C31="","",'دانش‌آموزان'!C31)</f>
        <v/>
      </c>
      <c r="E323" s="306">
        <f>IF('دانش‌آموزان'!E31="","",'دانش‌آموزان'!E31&amp;" "&amp;'دانش‌آموزان'!F31)</f>
        <v/>
      </c>
      <c r="F323" s="306">
        <f>IF('دانش‌آموزان'!I31="","",'دانش‌آموزان'!I31)</f>
        <v/>
      </c>
      <c r="G323" s="307" t="n"/>
      <c r="H323" s="307" t="n"/>
      <c r="I323" s="307" t="n"/>
      <c r="J323" s="307" t="n"/>
      <c r="K323" s="313">
        <f>IF(COUNT(G323:J323)=0,"",AVERAGE(G323:J323)*4)</f>
        <v/>
      </c>
      <c r="L323" s="306">
        <f>IF(C323="","",IF(COUNT(G323:J323)=0,"",IF(COUNT(G323:J323)&lt;4,"موقت - اطلاعات ناقص",IF(K323&gt;=17,"عالی",IF(K323&gt;=14,"خوب",IF(K323&gt;=10,"متوسط","ضعیف"))))))</f>
        <v/>
      </c>
      <c r="M323" s="306" t="n">
        <v>7</v>
      </c>
      <c r="N323" s="314">
        <f>IF(C323="","",COUNT(G323:J323)/4)</f>
        <v/>
      </c>
      <c r="O323" s="307" t="n"/>
    </row>
    <row r="324" ht="24" customHeight="1">
      <c r="A324" s="306" t="n">
        <v>320</v>
      </c>
      <c r="B324" s="306" t="inlineStr">
        <is>
          <t>بهمن</t>
        </is>
      </c>
      <c r="C324" s="306">
        <f>IF('دانش‌آموزان'!E31="","",'دانش‌آموزان'!B31)</f>
        <v/>
      </c>
      <c r="D324" s="306">
        <f>IF('دانش‌آموزان'!C31="","",'دانش‌آموزان'!C31)</f>
        <v/>
      </c>
      <c r="E324" s="306">
        <f>IF('دانش‌آموزان'!E31="","",'دانش‌آموزان'!E31&amp;" "&amp;'دانش‌آموزان'!F31)</f>
        <v/>
      </c>
      <c r="F324" s="306">
        <f>IF('دانش‌آموزان'!I31="","",'دانش‌آموزان'!I31)</f>
        <v/>
      </c>
      <c r="G324" s="307" t="n"/>
      <c r="H324" s="307" t="n"/>
      <c r="I324" s="307" t="n"/>
      <c r="J324" s="307" t="n"/>
      <c r="K324" s="313">
        <f>IF(COUNT(G324:J324)=0,"",AVERAGE(G324:J324)*4)</f>
        <v/>
      </c>
      <c r="L324" s="306">
        <f>IF(C324="","",IF(COUNT(G324:J324)=0,"",IF(COUNT(G324:J324)&lt;4,"موقت - اطلاعات ناقص",IF(K324&gt;=17,"عالی",IF(K324&gt;=14,"خوب",IF(K324&gt;=10,"متوسط","ضعیف"))))))</f>
        <v/>
      </c>
      <c r="M324" s="306" t="n">
        <v>8</v>
      </c>
      <c r="N324" s="314">
        <f>IF(C324="","",COUNT(G324:J324)/4)</f>
        <v/>
      </c>
      <c r="O324" s="307" t="n"/>
    </row>
    <row r="325" ht="24" customHeight="1">
      <c r="A325" s="306" t="n">
        <v>321</v>
      </c>
      <c r="B325" s="306" t="inlineStr">
        <is>
          <t>اسفند</t>
        </is>
      </c>
      <c r="C325" s="306">
        <f>IF('دانش‌آموزان'!E31="","",'دانش‌آموزان'!B31)</f>
        <v/>
      </c>
      <c r="D325" s="306">
        <f>IF('دانش‌آموزان'!C31="","",'دانش‌آموزان'!C31)</f>
        <v/>
      </c>
      <c r="E325" s="306">
        <f>IF('دانش‌آموزان'!E31="","",'دانش‌آموزان'!E31&amp;" "&amp;'دانش‌آموزان'!F31)</f>
        <v/>
      </c>
      <c r="F325" s="306">
        <f>IF('دانش‌آموزان'!I31="","",'دانش‌آموزان'!I31)</f>
        <v/>
      </c>
      <c r="G325" s="307" t="n"/>
      <c r="H325" s="307" t="n"/>
      <c r="I325" s="307" t="n"/>
      <c r="J325" s="307" t="n"/>
      <c r="K325" s="313">
        <f>IF(COUNT(G325:J325)=0,"",AVERAGE(G325:J325)*4)</f>
        <v/>
      </c>
      <c r="L325" s="306">
        <f>IF(C325="","",IF(COUNT(G325:J325)=0,"",IF(COUNT(G325:J325)&lt;4,"موقت - اطلاعات ناقص",IF(K325&gt;=17,"عالی",IF(K325&gt;=14,"خوب",IF(K325&gt;=10,"متوسط","ضعیف"))))))</f>
        <v/>
      </c>
      <c r="M325" s="306" t="n">
        <v>9</v>
      </c>
      <c r="N325" s="314">
        <f>IF(C325="","",COUNT(G325:J325)/4)</f>
        <v/>
      </c>
      <c r="O325" s="307" t="n"/>
    </row>
    <row r="326" ht="24" customHeight="1">
      <c r="A326" s="306" t="n">
        <v>322</v>
      </c>
      <c r="B326" s="306" t="inlineStr">
        <is>
          <t>فروردین</t>
        </is>
      </c>
      <c r="C326" s="306">
        <f>IF('دانش‌آموزان'!E31="","",'دانش‌آموزان'!B31)</f>
        <v/>
      </c>
      <c r="D326" s="306">
        <f>IF('دانش‌آموزان'!C31="","",'دانش‌آموزان'!C31)</f>
        <v/>
      </c>
      <c r="E326" s="306">
        <f>IF('دانش‌آموزان'!E31="","",'دانش‌آموزان'!E31&amp;" "&amp;'دانش‌آموزان'!F31)</f>
        <v/>
      </c>
      <c r="F326" s="306">
        <f>IF('دانش‌آموزان'!I31="","",'دانش‌آموزان'!I31)</f>
        <v/>
      </c>
      <c r="G326" s="307" t="n"/>
      <c r="H326" s="307" t="n"/>
      <c r="I326" s="307" t="n"/>
      <c r="J326" s="307" t="n"/>
      <c r="K326" s="313">
        <f>IF(COUNT(G326:J326)=0,"",AVERAGE(G326:J326)*4)</f>
        <v/>
      </c>
      <c r="L326" s="306">
        <f>IF(C326="","",IF(COUNT(G326:J326)=0,"",IF(COUNT(G326:J326)&lt;4,"موقت - اطلاعات ناقص",IF(K326&gt;=17,"عالی",IF(K326&gt;=14,"خوب",IF(K326&gt;=10,"متوسط","ضعیف"))))))</f>
        <v/>
      </c>
      <c r="M326" s="306" t="n">
        <v>10</v>
      </c>
      <c r="N326" s="314">
        <f>IF(C326="","",COUNT(G326:J326)/4)</f>
        <v/>
      </c>
      <c r="O326" s="307" t="n"/>
    </row>
    <row r="327" ht="24" customHeight="1">
      <c r="A327" s="306" t="n">
        <v>323</v>
      </c>
      <c r="B327" s="306" t="inlineStr">
        <is>
          <t>اردیبهشت</t>
        </is>
      </c>
      <c r="C327" s="306">
        <f>IF('دانش‌آموزان'!E31="","",'دانش‌آموزان'!B31)</f>
        <v/>
      </c>
      <c r="D327" s="306">
        <f>IF('دانش‌آموزان'!C31="","",'دانش‌آموزان'!C31)</f>
        <v/>
      </c>
      <c r="E327" s="306">
        <f>IF('دانش‌آموزان'!E31="","",'دانش‌آموزان'!E31&amp;" "&amp;'دانش‌آموزان'!F31)</f>
        <v/>
      </c>
      <c r="F327" s="306">
        <f>IF('دانش‌آموزان'!I31="","",'دانش‌آموزان'!I31)</f>
        <v/>
      </c>
      <c r="G327" s="307" t="n"/>
      <c r="H327" s="307" t="n"/>
      <c r="I327" s="307" t="n"/>
      <c r="J327" s="307" t="n"/>
      <c r="K327" s="313">
        <f>IF(COUNT(G327:J327)=0,"",AVERAGE(G327:J327)*4)</f>
        <v/>
      </c>
      <c r="L327" s="306">
        <f>IF(C327="","",IF(COUNT(G327:J327)=0,"",IF(COUNT(G327:J327)&lt;4,"موقت - اطلاعات ناقص",IF(K327&gt;=17,"عالی",IF(K327&gt;=14,"خوب",IF(K327&gt;=10,"متوسط","ضعیف"))))))</f>
        <v/>
      </c>
      <c r="M327" s="306" t="n">
        <v>11</v>
      </c>
      <c r="N327" s="314">
        <f>IF(C327="","",COUNT(G327:J327)/4)</f>
        <v/>
      </c>
      <c r="O327" s="307" t="n"/>
    </row>
    <row r="328" ht="24" customHeight="1">
      <c r="A328" s="306" t="n">
        <v>324</v>
      </c>
      <c r="B328" s="306" t="inlineStr">
        <is>
          <t>خرداد</t>
        </is>
      </c>
      <c r="C328" s="306">
        <f>IF('دانش‌آموزان'!E31="","",'دانش‌آموزان'!B31)</f>
        <v/>
      </c>
      <c r="D328" s="306">
        <f>IF('دانش‌آموزان'!C31="","",'دانش‌آموزان'!C31)</f>
        <v/>
      </c>
      <c r="E328" s="306">
        <f>IF('دانش‌آموزان'!E31="","",'دانش‌آموزان'!E31&amp;" "&amp;'دانش‌آموزان'!F31)</f>
        <v/>
      </c>
      <c r="F328" s="306">
        <f>IF('دانش‌آموزان'!I31="","",'دانش‌آموزان'!I31)</f>
        <v/>
      </c>
      <c r="G328" s="307" t="n"/>
      <c r="H328" s="307" t="n"/>
      <c r="I328" s="307" t="n"/>
      <c r="J328" s="307" t="n"/>
      <c r="K328" s="313">
        <f>IF(COUNT(G328:J328)=0,"",AVERAGE(G328:J328)*4)</f>
        <v/>
      </c>
      <c r="L328" s="306">
        <f>IF(C328="","",IF(COUNT(G328:J328)=0,"",IF(COUNT(G328:J328)&lt;4,"موقت - اطلاعات ناقص",IF(K328&gt;=17,"عالی",IF(K328&gt;=14,"خوب",IF(K328&gt;=10,"متوسط","ضعیف"))))))</f>
        <v/>
      </c>
      <c r="M328" s="306" t="n">
        <v>12</v>
      </c>
      <c r="N328" s="314">
        <f>IF(C328="","",COUNT(G328:J328)/4)</f>
        <v/>
      </c>
      <c r="O328" s="307" t="n"/>
    </row>
    <row r="329" ht="24" customHeight="1">
      <c r="A329" s="306" t="n">
        <v>325</v>
      </c>
      <c r="B329" s="306" t="inlineStr">
        <is>
          <t>تیر</t>
        </is>
      </c>
      <c r="C329" s="306">
        <f>IF('دانش‌آموزان'!E32="","",'دانش‌آموزان'!B32)</f>
        <v/>
      </c>
      <c r="D329" s="306">
        <f>IF('دانش‌آموزان'!C32="","",'دانش‌آموزان'!C32)</f>
        <v/>
      </c>
      <c r="E329" s="306">
        <f>IF('دانش‌آموزان'!E32="","",'دانش‌آموزان'!E32&amp;" "&amp;'دانش‌آموزان'!F32)</f>
        <v/>
      </c>
      <c r="F329" s="306">
        <f>IF('دانش‌آموزان'!I32="","",'دانش‌آموزان'!I32)</f>
        <v/>
      </c>
      <c r="G329" s="307" t="n"/>
      <c r="H329" s="307" t="n"/>
      <c r="I329" s="307" t="n"/>
      <c r="J329" s="307" t="n"/>
      <c r="K329" s="313">
        <f>IF(COUNT(G329:J329)=0,"",AVERAGE(G329:J329)*4)</f>
        <v/>
      </c>
      <c r="L329" s="306">
        <f>IF(C329="","",IF(COUNT(G329:J329)=0,"",IF(COUNT(G329:J329)&lt;4,"موقت - اطلاعات ناقص",IF(K329&gt;=17,"عالی",IF(K329&gt;=14,"خوب",IF(K329&gt;=10,"متوسط","ضعیف"))))))</f>
        <v/>
      </c>
      <c r="M329" s="306" t="n">
        <v>1</v>
      </c>
      <c r="N329" s="314">
        <f>IF(C329="","",COUNT(G329:J329)/4)</f>
        <v/>
      </c>
      <c r="O329" s="307" t="n"/>
    </row>
    <row r="330" ht="24" customHeight="1">
      <c r="A330" s="306" t="n">
        <v>326</v>
      </c>
      <c r="B330" s="306" t="inlineStr">
        <is>
          <t>مرداد</t>
        </is>
      </c>
      <c r="C330" s="306">
        <f>IF('دانش‌آموزان'!E32="","",'دانش‌آموزان'!B32)</f>
        <v/>
      </c>
      <c r="D330" s="306">
        <f>IF('دانش‌آموزان'!C32="","",'دانش‌آموزان'!C32)</f>
        <v/>
      </c>
      <c r="E330" s="306">
        <f>IF('دانش‌آموزان'!E32="","",'دانش‌آموزان'!E32&amp;" "&amp;'دانش‌آموزان'!F32)</f>
        <v/>
      </c>
      <c r="F330" s="306">
        <f>IF('دانش‌آموزان'!I32="","",'دانش‌آموزان'!I32)</f>
        <v/>
      </c>
      <c r="G330" s="307" t="n"/>
      <c r="H330" s="307" t="n"/>
      <c r="I330" s="307" t="n"/>
      <c r="J330" s="307" t="n"/>
      <c r="K330" s="313">
        <f>IF(COUNT(G330:J330)=0,"",AVERAGE(G330:J330)*4)</f>
        <v/>
      </c>
      <c r="L330" s="306">
        <f>IF(C330="","",IF(COUNT(G330:J330)=0,"",IF(COUNT(G330:J330)&lt;4,"موقت - اطلاعات ناقص",IF(K330&gt;=17,"عالی",IF(K330&gt;=14,"خوب",IF(K330&gt;=10,"متوسط","ضعیف"))))))</f>
        <v/>
      </c>
      <c r="M330" s="306" t="n">
        <v>2</v>
      </c>
      <c r="N330" s="314">
        <f>IF(C330="","",COUNT(G330:J330)/4)</f>
        <v/>
      </c>
      <c r="O330" s="307" t="n"/>
    </row>
    <row r="331" ht="24" customHeight="1">
      <c r="A331" s="306" t="n">
        <v>327</v>
      </c>
      <c r="B331" s="306" t="inlineStr">
        <is>
          <t>شهریور</t>
        </is>
      </c>
      <c r="C331" s="306">
        <f>IF('دانش‌آموزان'!E32="","",'دانش‌آموزان'!B32)</f>
        <v/>
      </c>
      <c r="D331" s="306">
        <f>IF('دانش‌آموزان'!C32="","",'دانش‌آموزان'!C32)</f>
        <v/>
      </c>
      <c r="E331" s="306">
        <f>IF('دانش‌آموزان'!E32="","",'دانش‌آموزان'!E32&amp;" "&amp;'دانش‌آموزان'!F32)</f>
        <v/>
      </c>
      <c r="F331" s="306">
        <f>IF('دانش‌آموزان'!I32="","",'دانش‌آموزان'!I32)</f>
        <v/>
      </c>
      <c r="G331" s="307" t="n"/>
      <c r="H331" s="307" t="n"/>
      <c r="I331" s="307" t="n"/>
      <c r="J331" s="307" t="n"/>
      <c r="K331" s="313">
        <f>IF(COUNT(G331:J331)=0,"",AVERAGE(G331:J331)*4)</f>
        <v/>
      </c>
      <c r="L331" s="306">
        <f>IF(C331="","",IF(COUNT(G331:J331)=0,"",IF(COUNT(G331:J331)&lt;4,"موقت - اطلاعات ناقص",IF(K331&gt;=17,"عالی",IF(K331&gt;=14,"خوب",IF(K331&gt;=10,"متوسط","ضعیف"))))))</f>
        <v/>
      </c>
      <c r="M331" s="306" t="n">
        <v>3</v>
      </c>
      <c r="N331" s="314">
        <f>IF(C331="","",COUNT(G331:J331)/4)</f>
        <v/>
      </c>
      <c r="O331" s="307" t="n"/>
    </row>
    <row r="332" ht="24" customHeight="1">
      <c r="A332" s="306" t="n">
        <v>328</v>
      </c>
      <c r="B332" s="306" t="inlineStr">
        <is>
          <t>مهر</t>
        </is>
      </c>
      <c r="C332" s="306">
        <f>IF('دانش‌آموزان'!E32="","",'دانش‌آموزان'!B32)</f>
        <v/>
      </c>
      <c r="D332" s="306">
        <f>IF('دانش‌آموزان'!C32="","",'دانش‌آموزان'!C32)</f>
        <v/>
      </c>
      <c r="E332" s="306">
        <f>IF('دانش‌آموزان'!E32="","",'دانش‌آموزان'!E32&amp;" "&amp;'دانش‌آموزان'!F32)</f>
        <v/>
      </c>
      <c r="F332" s="306">
        <f>IF('دانش‌آموزان'!I32="","",'دانش‌آموزان'!I32)</f>
        <v/>
      </c>
      <c r="G332" s="307" t="n"/>
      <c r="H332" s="307" t="n"/>
      <c r="I332" s="307" t="n"/>
      <c r="J332" s="307" t="n"/>
      <c r="K332" s="313">
        <f>IF(COUNT(G332:J332)=0,"",AVERAGE(G332:J332)*4)</f>
        <v/>
      </c>
      <c r="L332" s="306">
        <f>IF(C332="","",IF(COUNT(G332:J332)=0,"",IF(COUNT(G332:J332)&lt;4,"موقت - اطلاعات ناقص",IF(K332&gt;=17,"عالی",IF(K332&gt;=14,"خوب",IF(K332&gt;=10,"متوسط","ضعیف"))))))</f>
        <v/>
      </c>
      <c r="M332" s="306" t="n">
        <v>4</v>
      </c>
      <c r="N332" s="314">
        <f>IF(C332="","",COUNT(G332:J332)/4)</f>
        <v/>
      </c>
      <c r="O332" s="307" t="n"/>
    </row>
    <row r="333" ht="24" customHeight="1">
      <c r="A333" s="306" t="n">
        <v>329</v>
      </c>
      <c r="B333" s="306" t="inlineStr">
        <is>
          <t>آبان</t>
        </is>
      </c>
      <c r="C333" s="306">
        <f>IF('دانش‌آموزان'!E32="","",'دانش‌آموزان'!B32)</f>
        <v/>
      </c>
      <c r="D333" s="306">
        <f>IF('دانش‌آموزان'!C32="","",'دانش‌آموزان'!C32)</f>
        <v/>
      </c>
      <c r="E333" s="306">
        <f>IF('دانش‌آموزان'!E32="","",'دانش‌آموزان'!E32&amp;" "&amp;'دانش‌آموزان'!F32)</f>
        <v/>
      </c>
      <c r="F333" s="306">
        <f>IF('دانش‌آموزان'!I32="","",'دانش‌آموزان'!I32)</f>
        <v/>
      </c>
      <c r="G333" s="307" t="n"/>
      <c r="H333" s="307" t="n"/>
      <c r="I333" s="307" t="n"/>
      <c r="J333" s="307" t="n"/>
      <c r="K333" s="313">
        <f>IF(COUNT(G333:J333)=0,"",AVERAGE(G333:J333)*4)</f>
        <v/>
      </c>
      <c r="L333" s="306">
        <f>IF(C333="","",IF(COUNT(G333:J333)=0,"",IF(COUNT(G333:J333)&lt;4,"موقت - اطلاعات ناقص",IF(K333&gt;=17,"عالی",IF(K333&gt;=14,"خوب",IF(K333&gt;=10,"متوسط","ضعیف"))))))</f>
        <v/>
      </c>
      <c r="M333" s="306" t="n">
        <v>5</v>
      </c>
      <c r="N333" s="314">
        <f>IF(C333="","",COUNT(G333:J333)/4)</f>
        <v/>
      </c>
      <c r="O333" s="307" t="n"/>
    </row>
    <row r="334" ht="24" customHeight="1">
      <c r="A334" s="306" t="n">
        <v>330</v>
      </c>
      <c r="B334" s="306" t="inlineStr">
        <is>
          <t>آذر</t>
        </is>
      </c>
      <c r="C334" s="306">
        <f>IF('دانش‌آموزان'!E32="","",'دانش‌آموزان'!B32)</f>
        <v/>
      </c>
      <c r="D334" s="306">
        <f>IF('دانش‌آموزان'!C32="","",'دانش‌آموزان'!C32)</f>
        <v/>
      </c>
      <c r="E334" s="306">
        <f>IF('دانش‌آموزان'!E32="","",'دانش‌آموزان'!E32&amp;" "&amp;'دانش‌آموزان'!F32)</f>
        <v/>
      </c>
      <c r="F334" s="306">
        <f>IF('دانش‌آموزان'!I32="","",'دانش‌آموزان'!I32)</f>
        <v/>
      </c>
      <c r="G334" s="307" t="n"/>
      <c r="H334" s="307" t="n"/>
      <c r="I334" s="307" t="n"/>
      <c r="J334" s="307" t="n"/>
      <c r="K334" s="313">
        <f>IF(COUNT(G334:J334)=0,"",AVERAGE(G334:J334)*4)</f>
        <v/>
      </c>
      <c r="L334" s="306">
        <f>IF(C334="","",IF(COUNT(G334:J334)=0,"",IF(COUNT(G334:J334)&lt;4,"موقت - اطلاعات ناقص",IF(K334&gt;=17,"عالی",IF(K334&gt;=14,"خوب",IF(K334&gt;=10,"متوسط","ضعیف"))))))</f>
        <v/>
      </c>
      <c r="M334" s="306" t="n">
        <v>6</v>
      </c>
      <c r="N334" s="314">
        <f>IF(C334="","",COUNT(G334:J334)/4)</f>
        <v/>
      </c>
      <c r="O334" s="307" t="n"/>
    </row>
    <row r="335" ht="24" customHeight="1">
      <c r="A335" s="306" t="n">
        <v>331</v>
      </c>
      <c r="B335" s="306" t="inlineStr">
        <is>
          <t>دی</t>
        </is>
      </c>
      <c r="C335" s="306">
        <f>IF('دانش‌آموزان'!E32="","",'دانش‌آموزان'!B32)</f>
        <v/>
      </c>
      <c r="D335" s="306">
        <f>IF('دانش‌آموزان'!C32="","",'دانش‌آموزان'!C32)</f>
        <v/>
      </c>
      <c r="E335" s="306">
        <f>IF('دانش‌آموزان'!E32="","",'دانش‌آموزان'!E32&amp;" "&amp;'دانش‌آموزان'!F32)</f>
        <v/>
      </c>
      <c r="F335" s="306">
        <f>IF('دانش‌آموزان'!I32="","",'دانش‌آموزان'!I32)</f>
        <v/>
      </c>
      <c r="G335" s="307" t="n"/>
      <c r="H335" s="307" t="n"/>
      <c r="I335" s="307" t="n"/>
      <c r="J335" s="307" t="n"/>
      <c r="K335" s="313">
        <f>IF(COUNT(G335:J335)=0,"",AVERAGE(G335:J335)*4)</f>
        <v/>
      </c>
      <c r="L335" s="306">
        <f>IF(C335="","",IF(COUNT(G335:J335)=0,"",IF(COUNT(G335:J335)&lt;4,"موقت - اطلاعات ناقص",IF(K335&gt;=17,"عالی",IF(K335&gt;=14,"خوب",IF(K335&gt;=10,"متوسط","ضعیف"))))))</f>
        <v/>
      </c>
      <c r="M335" s="306" t="n">
        <v>7</v>
      </c>
      <c r="N335" s="314">
        <f>IF(C335="","",COUNT(G335:J335)/4)</f>
        <v/>
      </c>
      <c r="O335" s="307" t="n"/>
    </row>
    <row r="336" ht="24" customHeight="1">
      <c r="A336" s="306" t="n">
        <v>332</v>
      </c>
      <c r="B336" s="306" t="inlineStr">
        <is>
          <t>بهمن</t>
        </is>
      </c>
      <c r="C336" s="306">
        <f>IF('دانش‌آموزان'!E32="","",'دانش‌آموزان'!B32)</f>
        <v/>
      </c>
      <c r="D336" s="306">
        <f>IF('دانش‌آموزان'!C32="","",'دانش‌آموزان'!C32)</f>
        <v/>
      </c>
      <c r="E336" s="306">
        <f>IF('دانش‌آموزان'!E32="","",'دانش‌آموزان'!E32&amp;" "&amp;'دانش‌آموزان'!F32)</f>
        <v/>
      </c>
      <c r="F336" s="306">
        <f>IF('دانش‌آموزان'!I32="","",'دانش‌آموزان'!I32)</f>
        <v/>
      </c>
      <c r="G336" s="307" t="n"/>
      <c r="H336" s="307" t="n"/>
      <c r="I336" s="307" t="n"/>
      <c r="J336" s="307" t="n"/>
      <c r="K336" s="313">
        <f>IF(COUNT(G336:J336)=0,"",AVERAGE(G336:J336)*4)</f>
        <v/>
      </c>
      <c r="L336" s="306">
        <f>IF(C336="","",IF(COUNT(G336:J336)=0,"",IF(COUNT(G336:J336)&lt;4,"موقت - اطلاعات ناقص",IF(K336&gt;=17,"عالی",IF(K336&gt;=14,"خوب",IF(K336&gt;=10,"متوسط","ضعیف"))))))</f>
        <v/>
      </c>
      <c r="M336" s="306" t="n">
        <v>8</v>
      </c>
      <c r="N336" s="314">
        <f>IF(C336="","",COUNT(G336:J336)/4)</f>
        <v/>
      </c>
      <c r="O336" s="307" t="n"/>
    </row>
    <row r="337" ht="24" customHeight="1">
      <c r="A337" s="306" t="n">
        <v>333</v>
      </c>
      <c r="B337" s="306" t="inlineStr">
        <is>
          <t>اسفند</t>
        </is>
      </c>
      <c r="C337" s="306">
        <f>IF('دانش‌آموزان'!E32="","",'دانش‌آموزان'!B32)</f>
        <v/>
      </c>
      <c r="D337" s="306">
        <f>IF('دانش‌آموزان'!C32="","",'دانش‌آموزان'!C32)</f>
        <v/>
      </c>
      <c r="E337" s="306">
        <f>IF('دانش‌آموزان'!E32="","",'دانش‌آموزان'!E32&amp;" "&amp;'دانش‌آموزان'!F32)</f>
        <v/>
      </c>
      <c r="F337" s="306">
        <f>IF('دانش‌آموزان'!I32="","",'دانش‌آموزان'!I32)</f>
        <v/>
      </c>
      <c r="G337" s="307" t="n"/>
      <c r="H337" s="307" t="n"/>
      <c r="I337" s="307" t="n"/>
      <c r="J337" s="307" t="n"/>
      <c r="K337" s="313">
        <f>IF(COUNT(G337:J337)=0,"",AVERAGE(G337:J337)*4)</f>
        <v/>
      </c>
      <c r="L337" s="306">
        <f>IF(C337="","",IF(COUNT(G337:J337)=0,"",IF(COUNT(G337:J337)&lt;4,"موقت - اطلاعات ناقص",IF(K337&gt;=17,"عالی",IF(K337&gt;=14,"خوب",IF(K337&gt;=10,"متوسط","ضعیف"))))))</f>
        <v/>
      </c>
      <c r="M337" s="306" t="n">
        <v>9</v>
      </c>
      <c r="N337" s="314">
        <f>IF(C337="","",COUNT(G337:J337)/4)</f>
        <v/>
      </c>
      <c r="O337" s="307" t="n"/>
    </row>
    <row r="338" ht="24" customHeight="1">
      <c r="A338" s="306" t="n">
        <v>334</v>
      </c>
      <c r="B338" s="306" t="inlineStr">
        <is>
          <t>فروردین</t>
        </is>
      </c>
      <c r="C338" s="306">
        <f>IF('دانش‌آموزان'!E32="","",'دانش‌آموزان'!B32)</f>
        <v/>
      </c>
      <c r="D338" s="306">
        <f>IF('دانش‌آموزان'!C32="","",'دانش‌آموزان'!C32)</f>
        <v/>
      </c>
      <c r="E338" s="306">
        <f>IF('دانش‌آموزان'!E32="","",'دانش‌آموزان'!E32&amp;" "&amp;'دانش‌آموزان'!F32)</f>
        <v/>
      </c>
      <c r="F338" s="306">
        <f>IF('دانش‌آموزان'!I32="","",'دانش‌آموزان'!I32)</f>
        <v/>
      </c>
      <c r="G338" s="307" t="n"/>
      <c r="H338" s="307" t="n"/>
      <c r="I338" s="307" t="n"/>
      <c r="J338" s="307" t="n"/>
      <c r="K338" s="313">
        <f>IF(COUNT(G338:J338)=0,"",AVERAGE(G338:J338)*4)</f>
        <v/>
      </c>
      <c r="L338" s="306">
        <f>IF(C338="","",IF(COUNT(G338:J338)=0,"",IF(COUNT(G338:J338)&lt;4,"موقت - اطلاعات ناقص",IF(K338&gt;=17,"عالی",IF(K338&gt;=14,"خوب",IF(K338&gt;=10,"متوسط","ضعیف"))))))</f>
        <v/>
      </c>
      <c r="M338" s="306" t="n">
        <v>10</v>
      </c>
      <c r="N338" s="314">
        <f>IF(C338="","",COUNT(G338:J338)/4)</f>
        <v/>
      </c>
      <c r="O338" s="307" t="n"/>
    </row>
    <row r="339" ht="24" customHeight="1">
      <c r="A339" s="306" t="n">
        <v>335</v>
      </c>
      <c r="B339" s="306" t="inlineStr">
        <is>
          <t>اردیبهشت</t>
        </is>
      </c>
      <c r="C339" s="306">
        <f>IF('دانش‌آموزان'!E32="","",'دانش‌آموزان'!B32)</f>
        <v/>
      </c>
      <c r="D339" s="306">
        <f>IF('دانش‌آموزان'!C32="","",'دانش‌آموزان'!C32)</f>
        <v/>
      </c>
      <c r="E339" s="306">
        <f>IF('دانش‌آموزان'!E32="","",'دانش‌آموزان'!E32&amp;" "&amp;'دانش‌آموزان'!F32)</f>
        <v/>
      </c>
      <c r="F339" s="306">
        <f>IF('دانش‌آموزان'!I32="","",'دانش‌آموزان'!I32)</f>
        <v/>
      </c>
      <c r="G339" s="307" t="n"/>
      <c r="H339" s="307" t="n"/>
      <c r="I339" s="307" t="n"/>
      <c r="J339" s="307" t="n"/>
      <c r="K339" s="313">
        <f>IF(COUNT(G339:J339)=0,"",AVERAGE(G339:J339)*4)</f>
        <v/>
      </c>
      <c r="L339" s="306">
        <f>IF(C339="","",IF(COUNT(G339:J339)=0,"",IF(COUNT(G339:J339)&lt;4,"موقت - اطلاعات ناقص",IF(K339&gt;=17,"عالی",IF(K339&gt;=14,"خوب",IF(K339&gt;=10,"متوسط","ضعیف"))))))</f>
        <v/>
      </c>
      <c r="M339" s="306" t="n">
        <v>11</v>
      </c>
      <c r="N339" s="314">
        <f>IF(C339="","",COUNT(G339:J339)/4)</f>
        <v/>
      </c>
      <c r="O339" s="307" t="n"/>
    </row>
    <row r="340" ht="24" customHeight="1">
      <c r="A340" s="306" t="n">
        <v>336</v>
      </c>
      <c r="B340" s="306" t="inlineStr">
        <is>
          <t>خرداد</t>
        </is>
      </c>
      <c r="C340" s="306">
        <f>IF('دانش‌آموزان'!E32="","",'دانش‌آموزان'!B32)</f>
        <v/>
      </c>
      <c r="D340" s="306">
        <f>IF('دانش‌آموزان'!C32="","",'دانش‌آموزان'!C32)</f>
        <v/>
      </c>
      <c r="E340" s="306">
        <f>IF('دانش‌آموزان'!E32="","",'دانش‌آموزان'!E32&amp;" "&amp;'دانش‌آموزان'!F32)</f>
        <v/>
      </c>
      <c r="F340" s="306">
        <f>IF('دانش‌آموزان'!I32="","",'دانش‌آموزان'!I32)</f>
        <v/>
      </c>
      <c r="G340" s="307" t="n"/>
      <c r="H340" s="307" t="n"/>
      <c r="I340" s="307" t="n"/>
      <c r="J340" s="307" t="n"/>
      <c r="K340" s="313">
        <f>IF(COUNT(G340:J340)=0,"",AVERAGE(G340:J340)*4)</f>
        <v/>
      </c>
      <c r="L340" s="306">
        <f>IF(C340="","",IF(COUNT(G340:J340)=0,"",IF(COUNT(G340:J340)&lt;4,"موقت - اطلاعات ناقص",IF(K340&gt;=17,"عالی",IF(K340&gt;=14,"خوب",IF(K340&gt;=10,"متوسط","ضعیف"))))))</f>
        <v/>
      </c>
      <c r="M340" s="306" t="n">
        <v>12</v>
      </c>
      <c r="N340" s="314">
        <f>IF(C340="","",COUNT(G340:J340)/4)</f>
        <v/>
      </c>
      <c r="O340" s="307" t="n"/>
    </row>
    <row r="341" ht="24" customHeight="1">
      <c r="A341" s="306" t="n">
        <v>337</v>
      </c>
      <c r="B341" s="306" t="inlineStr">
        <is>
          <t>تیر</t>
        </is>
      </c>
      <c r="C341" s="306">
        <f>IF('دانش‌آموزان'!E33="","",'دانش‌آموزان'!B33)</f>
        <v/>
      </c>
      <c r="D341" s="306">
        <f>IF('دانش‌آموزان'!C33="","",'دانش‌آموزان'!C33)</f>
        <v/>
      </c>
      <c r="E341" s="306">
        <f>IF('دانش‌آموزان'!E33="","",'دانش‌آموزان'!E33&amp;" "&amp;'دانش‌آموزان'!F33)</f>
        <v/>
      </c>
      <c r="F341" s="306">
        <f>IF('دانش‌آموزان'!I33="","",'دانش‌آموزان'!I33)</f>
        <v/>
      </c>
      <c r="G341" s="307" t="n"/>
      <c r="H341" s="307" t="n"/>
      <c r="I341" s="307" t="n"/>
      <c r="J341" s="307" t="n"/>
      <c r="K341" s="313">
        <f>IF(COUNT(G341:J341)=0,"",AVERAGE(G341:J341)*4)</f>
        <v/>
      </c>
      <c r="L341" s="306">
        <f>IF(C341="","",IF(COUNT(G341:J341)=0,"",IF(COUNT(G341:J341)&lt;4,"موقت - اطلاعات ناقص",IF(K341&gt;=17,"عالی",IF(K341&gt;=14,"خوب",IF(K341&gt;=10,"متوسط","ضعیف"))))))</f>
        <v/>
      </c>
      <c r="M341" s="306" t="n">
        <v>1</v>
      </c>
      <c r="N341" s="314">
        <f>IF(C341="","",COUNT(G341:J341)/4)</f>
        <v/>
      </c>
      <c r="O341" s="307" t="n"/>
    </row>
    <row r="342" ht="24" customHeight="1">
      <c r="A342" s="306" t="n">
        <v>338</v>
      </c>
      <c r="B342" s="306" t="inlineStr">
        <is>
          <t>مرداد</t>
        </is>
      </c>
      <c r="C342" s="306">
        <f>IF('دانش‌آموزان'!E33="","",'دانش‌آموزان'!B33)</f>
        <v/>
      </c>
      <c r="D342" s="306">
        <f>IF('دانش‌آموزان'!C33="","",'دانش‌آموزان'!C33)</f>
        <v/>
      </c>
      <c r="E342" s="306">
        <f>IF('دانش‌آموزان'!E33="","",'دانش‌آموزان'!E33&amp;" "&amp;'دانش‌آموزان'!F33)</f>
        <v/>
      </c>
      <c r="F342" s="306">
        <f>IF('دانش‌آموزان'!I33="","",'دانش‌آموزان'!I33)</f>
        <v/>
      </c>
      <c r="G342" s="307" t="n"/>
      <c r="H342" s="307" t="n"/>
      <c r="I342" s="307" t="n"/>
      <c r="J342" s="307" t="n"/>
      <c r="K342" s="313">
        <f>IF(COUNT(G342:J342)=0,"",AVERAGE(G342:J342)*4)</f>
        <v/>
      </c>
      <c r="L342" s="306">
        <f>IF(C342="","",IF(COUNT(G342:J342)=0,"",IF(COUNT(G342:J342)&lt;4,"موقت - اطلاعات ناقص",IF(K342&gt;=17,"عالی",IF(K342&gt;=14,"خوب",IF(K342&gt;=10,"متوسط","ضعیف"))))))</f>
        <v/>
      </c>
      <c r="M342" s="306" t="n">
        <v>2</v>
      </c>
      <c r="N342" s="314">
        <f>IF(C342="","",COUNT(G342:J342)/4)</f>
        <v/>
      </c>
      <c r="O342" s="307" t="n"/>
    </row>
    <row r="343" ht="24" customHeight="1">
      <c r="A343" s="306" t="n">
        <v>339</v>
      </c>
      <c r="B343" s="306" t="inlineStr">
        <is>
          <t>شهریور</t>
        </is>
      </c>
      <c r="C343" s="306">
        <f>IF('دانش‌آموزان'!E33="","",'دانش‌آموزان'!B33)</f>
        <v/>
      </c>
      <c r="D343" s="306">
        <f>IF('دانش‌آموزان'!C33="","",'دانش‌آموزان'!C33)</f>
        <v/>
      </c>
      <c r="E343" s="306">
        <f>IF('دانش‌آموزان'!E33="","",'دانش‌آموزان'!E33&amp;" "&amp;'دانش‌آموزان'!F33)</f>
        <v/>
      </c>
      <c r="F343" s="306">
        <f>IF('دانش‌آموزان'!I33="","",'دانش‌آموزان'!I33)</f>
        <v/>
      </c>
      <c r="G343" s="307" t="n"/>
      <c r="H343" s="307" t="n"/>
      <c r="I343" s="307" t="n"/>
      <c r="J343" s="307" t="n"/>
      <c r="K343" s="313">
        <f>IF(COUNT(G343:J343)=0,"",AVERAGE(G343:J343)*4)</f>
        <v/>
      </c>
      <c r="L343" s="306">
        <f>IF(C343="","",IF(COUNT(G343:J343)=0,"",IF(COUNT(G343:J343)&lt;4,"موقت - اطلاعات ناقص",IF(K343&gt;=17,"عالی",IF(K343&gt;=14,"خوب",IF(K343&gt;=10,"متوسط","ضعیف"))))))</f>
        <v/>
      </c>
      <c r="M343" s="306" t="n">
        <v>3</v>
      </c>
      <c r="N343" s="314">
        <f>IF(C343="","",COUNT(G343:J343)/4)</f>
        <v/>
      </c>
      <c r="O343" s="307" t="n"/>
    </row>
    <row r="344" ht="24" customHeight="1">
      <c r="A344" s="306" t="n">
        <v>340</v>
      </c>
      <c r="B344" s="306" t="inlineStr">
        <is>
          <t>مهر</t>
        </is>
      </c>
      <c r="C344" s="306">
        <f>IF('دانش‌آموزان'!E33="","",'دانش‌آموزان'!B33)</f>
        <v/>
      </c>
      <c r="D344" s="306">
        <f>IF('دانش‌آموزان'!C33="","",'دانش‌آموزان'!C33)</f>
        <v/>
      </c>
      <c r="E344" s="306">
        <f>IF('دانش‌آموزان'!E33="","",'دانش‌آموزان'!E33&amp;" "&amp;'دانش‌آموزان'!F33)</f>
        <v/>
      </c>
      <c r="F344" s="306">
        <f>IF('دانش‌آموزان'!I33="","",'دانش‌آموزان'!I33)</f>
        <v/>
      </c>
      <c r="G344" s="307" t="n"/>
      <c r="H344" s="307" t="n"/>
      <c r="I344" s="307" t="n"/>
      <c r="J344" s="307" t="n"/>
      <c r="K344" s="313">
        <f>IF(COUNT(G344:J344)=0,"",AVERAGE(G344:J344)*4)</f>
        <v/>
      </c>
      <c r="L344" s="306">
        <f>IF(C344="","",IF(COUNT(G344:J344)=0,"",IF(COUNT(G344:J344)&lt;4,"موقت - اطلاعات ناقص",IF(K344&gt;=17,"عالی",IF(K344&gt;=14,"خوب",IF(K344&gt;=10,"متوسط","ضعیف"))))))</f>
        <v/>
      </c>
      <c r="M344" s="306" t="n">
        <v>4</v>
      </c>
      <c r="N344" s="314">
        <f>IF(C344="","",COUNT(G344:J344)/4)</f>
        <v/>
      </c>
      <c r="O344" s="307" t="n"/>
    </row>
    <row r="345" ht="24" customHeight="1">
      <c r="A345" s="306" t="n">
        <v>341</v>
      </c>
      <c r="B345" s="306" t="inlineStr">
        <is>
          <t>آبان</t>
        </is>
      </c>
      <c r="C345" s="306">
        <f>IF('دانش‌آموزان'!E33="","",'دانش‌آموزان'!B33)</f>
        <v/>
      </c>
      <c r="D345" s="306">
        <f>IF('دانش‌آموزان'!C33="","",'دانش‌آموزان'!C33)</f>
        <v/>
      </c>
      <c r="E345" s="306">
        <f>IF('دانش‌آموزان'!E33="","",'دانش‌آموزان'!E33&amp;" "&amp;'دانش‌آموزان'!F33)</f>
        <v/>
      </c>
      <c r="F345" s="306">
        <f>IF('دانش‌آموزان'!I33="","",'دانش‌آموزان'!I33)</f>
        <v/>
      </c>
      <c r="G345" s="307" t="n"/>
      <c r="H345" s="307" t="n"/>
      <c r="I345" s="307" t="n"/>
      <c r="J345" s="307" t="n"/>
      <c r="K345" s="313">
        <f>IF(COUNT(G345:J345)=0,"",AVERAGE(G345:J345)*4)</f>
        <v/>
      </c>
      <c r="L345" s="306">
        <f>IF(C345="","",IF(COUNT(G345:J345)=0,"",IF(COUNT(G345:J345)&lt;4,"موقت - اطلاعات ناقص",IF(K345&gt;=17,"عالی",IF(K345&gt;=14,"خوب",IF(K345&gt;=10,"متوسط","ضعیف"))))))</f>
        <v/>
      </c>
      <c r="M345" s="306" t="n">
        <v>5</v>
      </c>
      <c r="N345" s="314">
        <f>IF(C345="","",COUNT(G345:J345)/4)</f>
        <v/>
      </c>
      <c r="O345" s="307" t="n"/>
    </row>
    <row r="346" ht="24" customHeight="1">
      <c r="A346" s="306" t="n">
        <v>342</v>
      </c>
      <c r="B346" s="306" t="inlineStr">
        <is>
          <t>آذر</t>
        </is>
      </c>
      <c r="C346" s="306">
        <f>IF('دانش‌آموزان'!E33="","",'دانش‌آموزان'!B33)</f>
        <v/>
      </c>
      <c r="D346" s="306">
        <f>IF('دانش‌آموزان'!C33="","",'دانش‌آموزان'!C33)</f>
        <v/>
      </c>
      <c r="E346" s="306">
        <f>IF('دانش‌آموزان'!E33="","",'دانش‌آموزان'!E33&amp;" "&amp;'دانش‌آموزان'!F33)</f>
        <v/>
      </c>
      <c r="F346" s="306">
        <f>IF('دانش‌آموزان'!I33="","",'دانش‌آموزان'!I33)</f>
        <v/>
      </c>
      <c r="G346" s="307" t="n"/>
      <c r="H346" s="307" t="n"/>
      <c r="I346" s="307" t="n"/>
      <c r="J346" s="307" t="n"/>
      <c r="K346" s="313">
        <f>IF(COUNT(G346:J346)=0,"",AVERAGE(G346:J346)*4)</f>
        <v/>
      </c>
      <c r="L346" s="306">
        <f>IF(C346="","",IF(COUNT(G346:J346)=0,"",IF(COUNT(G346:J346)&lt;4,"موقت - اطلاعات ناقص",IF(K346&gt;=17,"عالی",IF(K346&gt;=14,"خوب",IF(K346&gt;=10,"متوسط","ضعیف"))))))</f>
        <v/>
      </c>
      <c r="M346" s="306" t="n">
        <v>6</v>
      </c>
      <c r="N346" s="314">
        <f>IF(C346="","",COUNT(G346:J346)/4)</f>
        <v/>
      </c>
      <c r="O346" s="307" t="n"/>
    </row>
    <row r="347" ht="24" customHeight="1">
      <c r="A347" s="306" t="n">
        <v>343</v>
      </c>
      <c r="B347" s="306" t="inlineStr">
        <is>
          <t>دی</t>
        </is>
      </c>
      <c r="C347" s="306">
        <f>IF('دانش‌آموزان'!E33="","",'دانش‌آموزان'!B33)</f>
        <v/>
      </c>
      <c r="D347" s="306">
        <f>IF('دانش‌آموزان'!C33="","",'دانش‌آموزان'!C33)</f>
        <v/>
      </c>
      <c r="E347" s="306">
        <f>IF('دانش‌آموزان'!E33="","",'دانش‌آموزان'!E33&amp;" "&amp;'دانش‌آموزان'!F33)</f>
        <v/>
      </c>
      <c r="F347" s="306">
        <f>IF('دانش‌آموزان'!I33="","",'دانش‌آموزان'!I33)</f>
        <v/>
      </c>
      <c r="G347" s="307" t="n"/>
      <c r="H347" s="307" t="n"/>
      <c r="I347" s="307" t="n"/>
      <c r="J347" s="307" t="n"/>
      <c r="K347" s="313">
        <f>IF(COUNT(G347:J347)=0,"",AVERAGE(G347:J347)*4)</f>
        <v/>
      </c>
      <c r="L347" s="306">
        <f>IF(C347="","",IF(COUNT(G347:J347)=0,"",IF(COUNT(G347:J347)&lt;4,"موقت - اطلاعات ناقص",IF(K347&gt;=17,"عالی",IF(K347&gt;=14,"خوب",IF(K347&gt;=10,"متوسط","ضعیف"))))))</f>
        <v/>
      </c>
      <c r="M347" s="306" t="n">
        <v>7</v>
      </c>
      <c r="N347" s="314">
        <f>IF(C347="","",COUNT(G347:J347)/4)</f>
        <v/>
      </c>
      <c r="O347" s="307" t="n"/>
    </row>
    <row r="348" ht="24" customHeight="1">
      <c r="A348" s="306" t="n">
        <v>344</v>
      </c>
      <c r="B348" s="306" t="inlineStr">
        <is>
          <t>بهمن</t>
        </is>
      </c>
      <c r="C348" s="306">
        <f>IF('دانش‌آموزان'!E33="","",'دانش‌آموزان'!B33)</f>
        <v/>
      </c>
      <c r="D348" s="306">
        <f>IF('دانش‌آموزان'!C33="","",'دانش‌آموزان'!C33)</f>
        <v/>
      </c>
      <c r="E348" s="306">
        <f>IF('دانش‌آموزان'!E33="","",'دانش‌آموزان'!E33&amp;" "&amp;'دانش‌آموزان'!F33)</f>
        <v/>
      </c>
      <c r="F348" s="306">
        <f>IF('دانش‌آموزان'!I33="","",'دانش‌آموزان'!I33)</f>
        <v/>
      </c>
      <c r="G348" s="307" t="n"/>
      <c r="H348" s="307" t="n"/>
      <c r="I348" s="307" t="n"/>
      <c r="J348" s="307" t="n"/>
      <c r="K348" s="313">
        <f>IF(COUNT(G348:J348)=0,"",AVERAGE(G348:J348)*4)</f>
        <v/>
      </c>
      <c r="L348" s="306">
        <f>IF(C348="","",IF(COUNT(G348:J348)=0,"",IF(COUNT(G348:J348)&lt;4,"موقت - اطلاعات ناقص",IF(K348&gt;=17,"عالی",IF(K348&gt;=14,"خوب",IF(K348&gt;=10,"متوسط","ضعیف"))))))</f>
        <v/>
      </c>
      <c r="M348" s="306" t="n">
        <v>8</v>
      </c>
      <c r="N348" s="314">
        <f>IF(C348="","",COUNT(G348:J348)/4)</f>
        <v/>
      </c>
      <c r="O348" s="307" t="n"/>
    </row>
    <row r="349" ht="24" customHeight="1">
      <c r="A349" s="306" t="n">
        <v>345</v>
      </c>
      <c r="B349" s="306" t="inlineStr">
        <is>
          <t>اسفند</t>
        </is>
      </c>
      <c r="C349" s="306">
        <f>IF('دانش‌آموزان'!E33="","",'دانش‌آموزان'!B33)</f>
        <v/>
      </c>
      <c r="D349" s="306">
        <f>IF('دانش‌آموزان'!C33="","",'دانش‌آموزان'!C33)</f>
        <v/>
      </c>
      <c r="E349" s="306">
        <f>IF('دانش‌آموزان'!E33="","",'دانش‌آموزان'!E33&amp;" "&amp;'دانش‌آموزان'!F33)</f>
        <v/>
      </c>
      <c r="F349" s="306">
        <f>IF('دانش‌آموزان'!I33="","",'دانش‌آموزان'!I33)</f>
        <v/>
      </c>
      <c r="G349" s="307" t="n"/>
      <c r="H349" s="307" t="n"/>
      <c r="I349" s="307" t="n"/>
      <c r="J349" s="307" t="n"/>
      <c r="K349" s="313">
        <f>IF(COUNT(G349:J349)=0,"",AVERAGE(G349:J349)*4)</f>
        <v/>
      </c>
      <c r="L349" s="306">
        <f>IF(C349="","",IF(COUNT(G349:J349)=0,"",IF(COUNT(G349:J349)&lt;4,"موقت - اطلاعات ناقص",IF(K349&gt;=17,"عالی",IF(K349&gt;=14,"خوب",IF(K349&gt;=10,"متوسط","ضعیف"))))))</f>
        <v/>
      </c>
      <c r="M349" s="306" t="n">
        <v>9</v>
      </c>
      <c r="N349" s="314">
        <f>IF(C349="","",COUNT(G349:J349)/4)</f>
        <v/>
      </c>
      <c r="O349" s="307" t="n"/>
    </row>
    <row r="350" ht="24" customHeight="1">
      <c r="A350" s="306" t="n">
        <v>346</v>
      </c>
      <c r="B350" s="306" t="inlineStr">
        <is>
          <t>فروردین</t>
        </is>
      </c>
      <c r="C350" s="306">
        <f>IF('دانش‌آموزان'!E33="","",'دانش‌آموزان'!B33)</f>
        <v/>
      </c>
      <c r="D350" s="306">
        <f>IF('دانش‌آموزان'!C33="","",'دانش‌آموزان'!C33)</f>
        <v/>
      </c>
      <c r="E350" s="306">
        <f>IF('دانش‌آموزان'!E33="","",'دانش‌آموزان'!E33&amp;" "&amp;'دانش‌آموزان'!F33)</f>
        <v/>
      </c>
      <c r="F350" s="306">
        <f>IF('دانش‌آموزان'!I33="","",'دانش‌آموزان'!I33)</f>
        <v/>
      </c>
      <c r="G350" s="307" t="n"/>
      <c r="H350" s="307" t="n"/>
      <c r="I350" s="307" t="n"/>
      <c r="J350" s="307" t="n"/>
      <c r="K350" s="313">
        <f>IF(COUNT(G350:J350)=0,"",AVERAGE(G350:J350)*4)</f>
        <v/>
      </c>
      <c r="L350" s="306">
        <f>IF(C350="","",IF(COUNT(G350:J350)=0,"",IF(COUNT(G350:J350)&lt;4,"موقت - اطلاعات ناقص",IF(K350&gt;=17,"عالی",IF(K350&gt;=14,"خوب",IF(K350&gt;=10,"متوسط","ضعیف"))))))</f>
        <v/>
      </c>
      <c r="M350" s="306" t="n">
        <v>10</v>
      </c>
      <c r="N350" s="314">
        <f>IF(C350="","",COUNT(G350:J350)/4)</f>
        <v/>
      </c>
      <c r="O350" s="307" t="n"/>
    </row>
    <row r="351" ht="24" customHeight="1">
      <c r="A351" s="306" t="n">
        <v>347</v>
      </c>
      <c r="B351" s="306" t="inlineStr">
        <is>
          <t>اردیبهشت</t>
        </is>
      </c>
      <c r="C351" s="306">
        <f>IF('دانش‌آموزان'!E33="","",'دانش‌آموزان'!B33)</f>
        <v/>
      </c>
      <c r="D351" s="306">
        <f>IF('دانش‌آموزان'!C33="","",'دانش‌آموزان'!C33)</f>
        <v/>
      </c>
      <c r="E351" s="306">
        <f>IF('دانش‌آموزان'!E33="","",'دانش‌آموزان'!E33&amp;" "&amp;'دانش‌آموزان'!F33)</f>
        <v/>
      </c>
      <c r="F351" s="306">
        <f>IF('دانش‌آموزان'!I33="","",'دانش‌آموزان'!I33)</f>
        <v/>
      </c>
      <c r="G351" s="307" t="n"/>
      <c r="H351" s="307" t="n"/>
      <c r="I351" s="307" t="n"/>
      <c r="J351" s="307" t="n"/>
      <c r="K351" s="313">
        <f>IF(COUNT(G351:J351)=0,"",AVERAGE(G351:J351)*4)</f>
        <v/>
      </c>
      <c r="L351" s="306">
        <f>IF(C351="","",IF(COUNT(G351:J351)=0,"",IF(COUNT(G351:J351)&lt;4,"موقت - اطلاعات ناقص",IF(K351&gt;=17,"عالی",IF(K351&gt;=14,"خوب",IF(K351&gt;=10,"متوسط","ضعیف"))))))</f>
        <v/>
      </c>
      <c r="M351" s="306" t="n">
        <v>11</v>
      </c>
      <c r="N351" s="314">
        <f>IF(C351="","",COUNT(G351:J351)/4)</f>
        <v/>
      </c>
      <c r="O351" s="307" t="n"/>
    </row>
    <row r="352" ht="24" customHeight="1">
      <c r="A352" s="306" t="n">
        <v>348</v>
      </c>
      <c r="B352" s="306" t="inlineStr">
        <is>
          <t>خرداد</t>
        </is>
      </c>
      <c r="C352" s="306">
        <f>IF('دانش‌آموزان'!E33="","",'دانش‌آموزان'!B33)</f>
        <v/>
      </c>
      <c r="D352" s="306">
        <f>IF('دانش‌آموزان'!C33="","",'دانش‌آموزان'!C33)</f>
        <v/>
      </c>
      <c r="E352" s="306">
        <f>IF('دانش‌آموزان'!E33="","",'دانش‌آموزان'!E33&amp;" "&amp;'دانش‌آموزان'!F33)</f>
        <v/>
      </c>
      <c r="F352" s="306">
        <f>IF('دانش‌آموزان'!I33="","",'دانش‌آموزان'!I33)</f>
        <v/>
      </c>
      <c r="G352" s="307" t="n"/>
      <c r="H352" s="307" t="n"/>
      <c r="I352" s="307" t="n"/>
      <c r="J352" s="307" t="n"/>
      <c r="K352" s="313">
        <f>IF(COUNT(G352:J352)=0,"",AVERAGE(G352:J352)*4)</f>
        <v/>
      </c>
      <c r="L352" s="306">
        <f>IF(C352="","",IF(COUNT(G352:J352)=0,"",IF(COUNT(G352:J352)&lt;4,"موقت - اطلاعات ناقص",IF(K352&gt;=17,"عالی",IF(K352&gt;=14,"خوب",IF(K352&gt;=10,"متوسط","ضعیف"))))))</f>
        <v/>
      </c>
      <c r="M352" s="306" t="n">
        <v>12</v>
      </c>
      <c r="N352" s="314">
        <f>IF(C352="","",COUNT(G352:J352)/4)</f>
        <v/>
      </c>
      <c r="O352" s="307" t="n"/>
    </row>
    <row r="353" ht="24" customHeight="1">
      <c r="A353" s="306" t="n">
        <v>349</v>
      </c>
      <c r="B353" s="306" t="inlineStr">
        <is>
          <t>تیر</t>
        </is>
      </c>
      <c r="C353" s="306">
        <f>IF('دانش‌آموزان'!E34="","",'دانش‌آموزان'!B34)</f>
        <v/>
      </c>
      <c r="D353" s="306">
        <f>IF('دانش‌آموزان'!C34="","",'دانش‌آموزان'!C34)</f>
        <v/>
      </c>
      <c r="E353" s="306">
        <f>IF('دانش‌آموزان'!E34="","",'دانش‌آموزان'!E34&amp;" "&amp;'دانش‌آموزان'!F34)</f>
        <v/>
      </c>
      <c r="F353" s="306">
        <f>IF('دانش‌آموزان'!I34="","",'دانش‌آموزان'!I34)</f>
        <v/>
      </c>
      <c r="G353" s="307" t="n"/>
      <c r="H353" s="307" t="n"/>
      <c r="I353" s="307" t="n"/>
      <c r="J353" s="307" t="n"/>
      <c r="K353" s="313">
        <f>IF(COUNT(G353:J353)=0,"",AVERAGE(G353:J353)*4)</f>
        <v/>
      </c>
      <c r="L353" s="306">
        <f>IF(C353="","",IF(COUNT(G353:J353)=0,"",IF(COUNT(G353:J353)&lt;4,"موقت - اطلاعات ناقص",IF(K353&gt;=17,"عالی",IF(K353&gt;=14,"خوب",IF(K353&gt;=10,"متوسط","ضعیف"))))))</f>
        <v/>
      </c>
      <c r="M353" s="306" t="n">
        <v>1</v>
      </c>
      <c r="N353" s="314">
        <f>IF(C353="","",COUNT(G353:J353)/4)</f>
        <v/>
      </c>
      <c r="O353" s="307" t="n"/>
    </row>
    <row r="354" ht="24" customHeight="1">
      <c r="A354" s="306" t="n">
        <v>350</v>
      </c>
      <c r="B354" s="306" t="inlineStr">
        <is>
          <t>مرداد</t>
        </is>
      </c>
      <c r="C354" s="306">
        <f>IF('دانش‌آموزان'!E34="","",'دانش‌آموزان'!B34)</f>
        <v/>
      </c>
      <c r="D354" s="306">
        <f>IF('دانش‌آموزان'!C34="","",'دانش‌آموزان'!C34)</f>
        <v/>
      </c>
      <c r="E354" s="306">
        <f>IF('دانش‌آموزان'!E34="","",'دانش‌آموزان'!E34&amp;" "&amp;'دانش‌آموزان'!F34)</f>
        <v/>
      </c>
      <c r="F354" s="306">
        <f>IF('دانش‌آموزان'!I34="","",'دانش‌آموزان'!I34)</f>
        <v/>
      </c>
      <c r="G354" s="307" t="n"/>
      <c r="H354" s="307" t="n"/>
      <c r="I354" s="307" t="n"/>
      <c r="J354" s="307" t="n"/>
      <c r="K354" s="313">
        <f>IF(COUNT(G354:J354)=0,"",AVERAGE(G354:J354)*4)</f>
        <v/>
      </c>
      <c r="L354" s="306">
        <f>IF(C354="","",IF(COUNT(G354:J354)=0,"",IF(COUNT(G354:J354)&lt;4,"موقت - اطلاعات ناقص",IF(K354&gt;=17,"عالی",IF(K354&gt;=14,"خوب",IF(K354&gt;=10,"متوسط","ضعیف"))))))</f>
        <v/>
      </c>
      <c r="M354" s="306" t="n">
        <v>2</v>
      </c>
      <c r="N354" s="314">
        <f>IF(C354="","",COUNT(G354:J354)/4)</f>
        <v/>
      </c>
      <c r="O354" s="307" t="n"/>
    </row>
    <row r="355" ht="24" customHeight="1">
      <c r="A355" s="306" t="n">
        <v>351</v>
      </c>
      <c r="B355" s="306" t="inlineStr">
        <is>
          <t>شهریور</t>
        </is>
      </c>
      <c r="C355" s="306">
        <f>IF('دانش‌آموزان'!E34="","",'دانش‌آموزان'!B34)</f>
        <v/>
      </c>
      <c r="D355" s="306">
        <f>IF('دانش‌آموزان'!C34="","",'دانش‌آموزان'!C34)</f>
        <v/>
      </c>
      <c r="E355" s="306">
        <f>IF('دانش‌آموزان'!E34="","",'دانش‌آموزان'!E34&amp;" "&amp;'دانش‌آموزان'!F34)</f>
        <v/>
      </c>
      <c r="F355" s="306">
        <f>IF('دانش‌آموزان'!I34="","",'دانش‌آموزان'!I34)</f>
        <v/>
      </c>
      <c r="G355" s="307" t="n"/>
      <c r="H355" s="307" t="n"/>
      <c r="I355" s="307" t="n"/>
      <c r="J355" s="307" t="n"/>
      <c r="K355" s="313">
        <f>IF(COUNT(G355:J355)=0,"",AVERAGE(G355:J355)*4)</f>
        <v/>
      </c>
      <c r="L355" s="306">
        <f>IF(C355="","",IF(COUNT(G355:J355)=0,"",IF(COUNT(G355:J355)&lt;4,"موقت - اطلاعات ناقص",IF(K355&gt;=17,"عالی",IF(K355&gt;=14,"خوب",IF(K355&gt;=10,"متوسط","ضعیف"))))))</f>
        <v/>
      </c>
      <c r="M355" s="306" t="n">
        <v>3</v>
      </c>
      <c r="N355" s="314">
        <f>IF(C355="","",COUNT(G355:J355)/4)</f>
        <v/>
      </c>
      <c r="O355" s="307" t="n"/>
    </row>
    <row r="356" ht="24" customHeight="1">
      <c r="A356" s="306" t="n">
        <v>352</v>
      </c>
      <c r="B356" s="306" t="inlineStr">
        <is>
          <t>مهر</t>
        </is>
      </c>
      <c r="C356" s="306">
        <f>IF('دانش‌آموزان'!E34="","",'دانش‌آموزان'!B34)</f>
        <v/>
      </c>
      <c r="D356" s="306">
        <f>IF('دانش‌آموزان'!C34="","",'دانش‌آموزان'!C34)</f>
        <v/>
      </c>
      <c r="E356" s="306">
        <f>IF('دانش‌آموزان'!E34="","",'دانش‌آموزان'!E34&amp;" "&amp;'دانش‌آموزان'!F34)</f>
        <v/>
      </c>
      <c r="F356" s="306">
        <f>IF('دانش‌آموزان'!I34="","",'دانش‌آموزان'!I34)</f>
        <v/>
      </c>
      <c r="G356" s="307" t="n"/>
      <c r="H356" s="307" t="n"/>
      <c r="I356" s="307" t="n"/>
      <c r="J356" s="307" t="n"/>
      <c r="K356" s="313">
        <f>IF(COUNT(G356:J356)=0,"",AVERAGE(G356:J356)*4)</f>
        <v/>
      </c>
      <c r="L356" s="306">
        <f>IF(C356="","",IF(COUNT(G356:J356)=0,"",IF(COUNT(G356:J356)&lt;4,"موقت - اطلاعات ناقص",IF(K356&gt;=17,"عالی",IF(K356&gt;=14,"خوب",IF(K356&gt;=10,"متوسط","ضعیف"))))))</f>
        <v/>
      </c>
      <c r="M356" s="306" t="n">
        <v>4</v>
      </c>
      <c r="N356" s="314">
        <f>IF(C356="","",COUNT(G356:J356)/4)</f>
        <v/>
      </c>
      <c r="O356" s="307" t="n"/>
    </row>
    <row r="357" ht="24" customHeight="1">
      <c r="A357" s="306" t="n">
        <v>353</v>
      </c>
      <c r="B357" s="306" t="inlineStr">
        <is>
          <t>آبان</t>
        </is>
      </c>
      <c r="C357" s="306">
        <f>IF('دانش‌آموزان'!E34="","",'دانش‌آموزان'!B34)</f>
        <v/>
      </c>
      <c r="D357" s="306">
        <f>IF('دانش‌آموزان'!C34="","",'دانش‌آموزان'!C34)</f>
        <v/>
      </c>
      <c r="E357" s="306">
        <f>IF('دانش‌آموزان'!E34="","",'دانش‌آموزان'!E34&amp;" "&amp;'دانش‌آموزان'!F34)</f>
        <v/>
      </c>
      <c r="F357" s="306">
        <f>IF('دانش‌آموزان'!I34="","",'دانش‌آموزان'!I34)</f>
        <v/>
      </c>
      <c r="G357" s="307" t="n"/>
      <c r="H357" s="307" t="n"/>
      <c r="I357" s="307" t="n"/>
      <c r="J357" s="307" t="n"/>
      <c r="K357" s="313">
        <f>IF(COUNT(G357:J357)=0,"",AVERAGE(G357:J357)*4)</f>
        <v/>
      </c>
      <c r="L357" s="306">
        <f>IF(C357="","",IF(COUNT(G357:J357)=0,"",IF(COUNT(G357:J357)&lt;4,"موقت - اطلاعات ناقص",IF(K357&gt;=17,"عالی",IF(K357&gt;=14,"خوب",IF(K357&gt;=10,"متوسط","ضعیف"))))))</f>
        <v/>
      </c>
      <c r="M357" s="306" t="n">
        <v>5</v>
      </c>
      <c r="N357" s="314">
        <f>IF(C357="","",COUNT(G357:J357)/4)</f>
        <v/>
      </c>
      <c r="O357" s="307" t="n"/>
    </row>
    <row r="358" ht="24" customHeight="1">
      <c r="A358" s="306" t="n">
        <v>354</v>
      </c>
      <c r="B358" s="306" t="inlineStr">
        <is>
          <t>آذر</t>
        </is>
      </c>
      <c r="C358" s="306">
        <f>IF('دانش‌آموزان'!E34="","",'دانش‌آموزان'!B34)</f>
        <v/>
      </c>
      <c r="D358" s="306">
        <f>IF('دانش‌آموزان'!C34="","",'دانش‌آموزان'!C34)</f>
        <v/>
      </c>
      <c r="E358" s="306">
        <f>IF('دانش‌آموزان'!E34="","",'دانش‌آموزان'!E34&amp;" "&amp;'دانش‌آموزان'!F34)</f>
        <v/>
      </c>
      <c r="F358" s="306">
        <f>IF('دانش‌آموزان'!I34="","",'دانش‌آموزان'!I34)</f>
        <v/>
      </c>
      <c r="G358" s="307" t="n"/>
      <c r="H358" s="307" t="n"/>
      <c r="I358" s="307" t="n"/>
      <c r="J358" s="307" t="n"/>
      <c r="K358" s="313">
        <f>IF(COUNT(G358:J358)=0,"",AVERAGE(G358:J358)*4)</f>
        <v/>
      </c>
      <c r="L358" s="306">
        <f>IF(C358="","",IF(COUNT(G358:J358)=0,"",IF(COUNT(G358:J358)&lt;4,"موقت - اطلاعات ناقص",IF(K358&gt;=17,"عالی",IF(K358&gt;=14,"خوب",IF(K358&gt;=10,"متوسط","ضعیف"))))))</f>
        <v/>
      </c>
      <c r="M358" s="306" t="n">
        <v>6</v>
      </c>
      <c r="N358" s="314">
        <f>IF(C358="","",COUNT(G358:J358)/4)</f>
        <v/>
      </c>
      <c r="O358" s="307" t="n"/>
    </row>
    <row r="359" ht="24" customHeight="1">
      <c r="A359" s="306" t="n">
        <v>355</v>
      </c>
      <c r="B359" s="306" t="inlineStr">
        <is>
          <t>دی</t>
        </is>
      </c>
      <c r="C359" s="306">
        <f>IF('دانش‌آموزان'!E34="","",'دانش‌آموزان'!B34)</f>
        <v/>
      </c>
      <c r="D359" s="306">
        <f>IF('دانش‌آموزان'!C34="","",'دانش‌آموزان'!C34)</f>
        <v/>
      </c>
      <c r="E359" s="306">
        <f>IF('دانش‌آموزان'!E34="","",'دانش‌آموزان'!E34&amp;" "&amp;'دانش‌آموزان'!F34)</f>
        <v/>
      </c>
      <c r="F359" s="306">
        <f>IF('دانش‌آموزان'!I34="","",'دانش‌آموزان'!I34)</f>
        <v/>
      </c>
      <c r="G359" s="307" t="n"/>
      <c r="H359" s="307" t="n"/>
      <c r="I359" s="307" t="n"/>
      <c r="J359" s="307" t="n"/>
      <c r="K359" s="313">
        <f>IF(COUNT(G359:J359)=0,"",AVERAGE(G359:J359)*4)</f>
        <v/>
      </c>
      <c r="L359" s="306">
        <f>IF(C359="","",IF(COUNT(G359:J359)=0,"",IF(COUNT(G359:J359)&lt;4,"موقت - اطلاعات ناقص",IF(K359&gt;=17,"عالی",IF(K359&gt;=14,"خوب",IF(K359&gt;=10,"متوسط","ضعیف"))))))</f>
        <v/>
      </c>
      <c r="M359" s="306" t="n">
        <v>7</v>
      </c>
      <c r="N359" s="314">
        <f>IF(C359="","",COUNT(G359:J359)/4)</f>
        <v/>
      </c>
      <c r="O359" s="307" t="n"/>
    </row>
    <row r="360" ht="24" customHeight="1">
      <c r="A360" s="306" t="n">
        <v>356</v>
      </c>
      <c r="B360" s="306" t="inlineStr">
        <is>
          <t>بهمن</t>
        </is>
      </c>
      <c r="C360" s="306">
        <f>IF('دانش‌آموزان'!E34="","",'دانش‌آموزان'!B34)</f>
        <v/>
      </c>
      <c r="D360" s="306">
        <f>IF('دانش‌آموزان'!C34="","",'دانش‌آموزان'!C34)</f>
        <v/>
      </c>
      <c r="E360" s="306">
        <f>IF('دانش‌آموزان'!E34="","",'دانش‌آموزان'!E34&amp;" "&amp;'دانش‌آموزان'!F34)</f>
        <v/>
      </c>
      <c r="F360" s="306">
        <f>IF('دانش‌آموزان'!I34="","",'دانش‌آموزان'!I34)</f>
        <v/>
      </c>
      <c r="G360" s="307" t="n"/>
      <c r="H360" s="307" t="n"/>
      <c r="I360" s="307" t="n"/>
      <c r="J360" s="307" t="n"/>
      <c r="K360" s="313">
        <f>IF(COUNT(G360:J360)=0,"",AVERAGE(G360:J360)*4)</f>
        <v/>
      </c>
      <c r="L360" s="306">
        <f>IF(C360="","",IF(COUNT(G360:J360)=0,"",IF(COUNT(G360:J360)&lt;4,"موقت - اطلاعات ناقص",IF(K360&gt;=17,"عالی",IF(K360&gt;=14,"خوب",IF(K360&gt;=10,"متوسط","ضعیف"))))))</f>
        <v/>
      </c>
      <c r="M360" s="306" t="n">
        <v>8</v>
      </c>
      <c r="N360" s="314">
        <f>IF(C360="","",COUNT(G360:J360)/4)</f>
        <v/>
      </c>
      <c r="O360" s="307" t="n"/>
    </row>
    <row r="361" ht="24" customHeight="1">
      <c r="A361" s="306" t="n">
        <v>357</v>
      </c>
      <c r="B361" s="306" t="inlineStr">
        <is>
          <t>اسفند</t>
        </is>
      </c>
      <c r="C361" s="306">
        <f>IF('دانش‌آموزان'!E34="","",'دانش‌آموزان'!B34)</f>
        <v/>
      </c>
      <c r="D361" s="306">
        <f>IF('دانش‌آموزان'!C34="","",'دانش‌آموزان'!C34)</f>
        <v/>
      </c>
      <c r="E361" s="306">
        <f>IF('دانش‌آموزان'!E34="","",'دانش‌آموزان'!E34&amp;" "&amp;'دانش‌آموزان'!F34)</f>
        <v/>
      </c>
      <c r="F361" s="306">
        <f>IF('دانش‌آموزان'!I34="","",'دانش‌آموزان'!I34)</f>
        <v/>
      </c>
      <c r="G361" s="307" t="n"/>
      <c r="H361" s="307" t="n"/>
      <c r="I361" s="307" t="n"/>
      <c r="J361" s="307" t="n"/>
      <c r="K361" s="313">
        <f>IF(COUNT(G361:J361)=0,"",AVERAGE(G361:J361)*4)</f>
        <v/>
      </c>
      <c r="L361" s="306">
        <f>IF(C361="","",IF(COUNT(G361:J361)=0,"",IF(COUNT(G361:J361)&lt;4,"موقت - اطلاعات ناقص",IF(K361&gt;=17,"عالی",IF(K361&gt;=14,"خوب",IF(K361&gt;=10,"متوسط","ضعیف"))))))</f>
        <v/>
      </c>
      <c r="M361" s="306" t="n">
        <v>9</v>
      </c>
      <c r="N361" s="314">
        <f>IF(C361="","",COUNT(G361:J361)/4)</f>
        <v/>
      </c>
      <c r="O361" s="307" t="n"/>
    </row>
    <row r="362" ht="24" customHeight="1">
      <c r="A362" s="306" t="n">
        <v>358</v>
      </c>
      <c r="B362" s="306" t="inlineStr">
        <is>
          <t>فروردین</t>
        </is>
      </c>
      <c r="C362" s="306">
        <f>IF('دانش‌آموزان'!E34="","",'دانش‌آموزان'!B34)</f>
        <v/>
      </c>
      <c r="D362" s="306">
        <f>IF('دانش‌آموزان'!C34="","",'دانش‌آموزان'!C34)</f>
        <v/>
      </c>
      <c r="E362" s="306">
        <f>IF('دانش‌آموزان'!E34="","",'دانش‌آموزان'!E34&amp;" "&amp;'دانش‌آموزان'!F34)</f>
        <v/>
      </c>
      <c r="F362" s="306">
        <f>IF('دانش‌آموزان'!I34="","",'دانش‌آموزان'!I34)</f>
        <v/>
      </c>
      <c r="G362" s="307" t="n"/>
      <c r="H362" s="307" t="n"/>
      <c r="I362" s="307" t="n"/>
      <c r="J362" s="307" t="n"/>
      <c r="K362" s="313">
        <f>IF(COUNT(G362:J362)=0,"",AVERAGE(G362:J362)*4)</f>
        <v/>
      </c>
      <c r="L362" s="306">
        <f>IF(C362="","",IF(COUNT(G362:J362)=0,"",IF(COUNT(G362:J362)&lt;4,"موقت - اطلاعات ناقص",IF(K362&gt;=17,"عالی",IF(K362&gt;=14,"خوب",IF(K362&gt;=10,"متوسط","ضعیف"))))))</f>
        <v/>
      </c>
      <c r="M362" s="306" t="n">
        <v>10</v>
      </c>
      <c r="N362" s="314">
        <f>IF(C362="","",COUNT(G362:J362)/4)</f>
        <v/>
      </c>
      <c r="O362" s="307" t="n"/>
    </row>
    <row r="363" ht="24" customHeight="1">
      <c r="A363" s="306" t="n">
        <v>359</v>
      </c>
      <c r="B363" s="306" t="inlineStr">
        <is>
          <t>اردیبهشت</t>
        </is>
      </c>
      <c r="C363" s="306">
        <f>IF('دانش‌آموزان'!E34="","",'دانش‌آموزان'!B34)</f>
        <v/>
      </c>
      <c r="D363" s="306">
        <f>IF('دانش‌آموزان'!C34="","",'دانش‌آموزان'!C34)</f>
        <v/>
      </c>
      <c r="E363" s="306">
        <f>IF('دانش‌آموزان'!E34="","",'دانش‌آموزان'!E34&amp;" "&amp;'دانش‌آموزان'!F34)</f>
        <v/>
      </c>
      <c r="F363" s="306">
        <f>IF('دانش‌آموزان'!I34="","",'دانش‌آموزان'!I34)</f>
        <v/>
      </c>
      <c r="G363" s="307" t="n"/>
      <c r="H363" s="307" t="n"/>
      <c r="I363" s="307" t="n"/>
      <c r="J363" s="307" t="n"/>
      <c r="K363" s="313">
        <f>IF(COUNT(G363:J363)=0,"",AVERAGE(G363:J363)*4)</f>
        <v/>
      </c>
      <c r="L363" s="306">
        <f>IF(C363="","",IF(COUNT(G363:J363)=0,"",IF(COUNT(G363:J363)&lt;4,"موقت - اطلاعات ناقص",IF(K363&gt;=17,"عالی",IF(K363&gt;=14,"خوب",IF(K363&gt;=10,"متوسط","ضعیف"))))))</f>
        <v/>
      </c>
      <c r="M363" s="306" t="n">
        <v>11</v>
      </c>
      <c r="N363" s="314">
        <f>IF(C363="","",COUNT(G363:J363)/4)</f>
        <v/>
      </c>
      <c r="O363" s="307" t="n"/>
    </row>
    <row r="364" ht="24" customHeight="1">
      <c r="A364" s="306" t="n">
        <v>360</v>
      </c>
      <c r="B364" s="306" t="inlineStr">
        <is>
          <t>خرداد</t>
        </is>
      </c>
      <c r="C364" s="306">
        <f>IF('دانش‌آموزان'!E34="","",'دانش‌آموزان'!B34)</f>
        <v/>
      </c>
      <c r="D364" s="306">
        <f>IF('دانش‌آموزان'!C34="","",'دانش‌آموزان'!C34)</f>
        <v/>
      </c>
      <c r="E364" s="306">
        <f>IF('دانش‌آموزان'!E34="","",'دانش‌آموزان'!E34&amp;" "&amp;'دانش‌آموزان'!F34)</f>
        <v/>
      </c>
      <c r="F364" s="306">
        <f>IF('دانش‌آموزان'!I34="","",'دانش‌آموزان'!I34)</f>
        <v/>
      </c>
      <c r="G364" s="307" t="n"/>
      <c r="H364" s="307" t="n"/>
      <c r="I364" s="307" t="n"/>
      <c r="J364" s="307" t="n"/>
      <c r="K364" s="313">
        <f>IF(COUNT(G364:J364)=0,"",AVERAGE(G364:J364)*4)</f>
        <v/>
      </c>
      <c r="L364" s="306">
        <f>IF(C364="","",IF(COUNT(G364:J364)=0,"",IF(COUNT(G364:J364)&lt;4,"موقت - اطلاعات ناقص",IF(K364&gt;=17,"عالی",IF(K364&gt;=14,"خوب",IF(K364&gt;=10,"متوسط","ضعیف"))))))</f>
        <v/>
      </c>
      <c r="M364" s="306" t="n">
        <v>12</v>
      </c>
      <c r="N364" s="314">
        <f>IF(C364="","",COUNT(G364:J364)/4)</f>
        <v/>
      </c>
      <c r="O364" s="307" t="n"/>
    </row>
    <row r="365" ht="24" customHeight="1">
      <c r="A365" s="306" t="n">
        <v>361</v>
      </c>
      <c r="B365" s="306" t="inlineStr">
        <is>
          <t>تیر</t>
        </is>
      </c>
      <c r="C365" s="306">
        <f>IF('دانش‌آموزان'!E35="","",'دانش‌آموزان'!B35)</f>
        <v/>
      </c>
      <c r="D365" s="306">
        <f>IF('دانش‌آموزان'!C35="","",'دانش‌آموزان'!C35)</f>
        <v/>
      </c>
      <c r="E365" s="306">
        <f>IF('دانش‌آموزان'!E35="","",'دانش‌آموزان'!E35&amp;" "&amp;'دانش‌آموزان'!F35)</f>
        <v/>
      </c>
      <c r="F365" s="306">
        <f>IF('دانش‌آموزان'!I35="","",'دانش‌آموزان'!I35)</f>
        <v/>
      </c>
      <c r="G365" s="307" t="n"/>
      <c r="H365" s="307" t="n"/>
      <c r="I365" s="307" t="n"/>
      <c r="J365" s="307" t="n"/>
      <c r="K365" s="313">
        <f>IF(COUNT(G365:J365)=0,"",AVERAGE(G365:J365)*4)</f>
        <v/>
      </c>
      <c r="L365" s="306">
        <f>IF(C365="","",IF(COUNT(G365:J365)=0,"",IF(COUNT(G365:J365)&lt;4,"موقت - اطلاعات ناقص",IF(K365&gt;=17,"عالی",IF(K365&gt;=14,"خوب",IF(K365&gt;=10,"متوسط","ضعیف"))))))</f>
        <v/>
      </c>
      <c r="M365" s="306" t="n">
        <v>1</v>
      </c>
      <c r="N365" s="314">
        <f>IF(C365="","",COUNT(G365:J365)/4)</f>
        <v/>
      </c>
      <c r="O365" s="307" t="n"/>
    </row>
    <row r="366" ht="24" customHeight="1">
      <c r="A366" s="306" t="n">
        <v>362</v>
      </c>
      <c r="B366" s="306" t="inlineStr">
        <is>
          <t>مرداد</t>
        </is>
      </c>
      <c r="C366" s="306">
        <f>IF('دانش‌آموزان'!E35="","",'دانش‌آموزان'!B35)</f>
        <v/>
      </c>
      <c r="D366" s="306">
        <f>IF('دانش‌آموزان'!C35="","",'دانش‌آموزان'!C35)</f>
        <v/>
      </c>
      <c r="E366" s="306">
        <f>IF('دانش‌آموزان'!E35="","",'دانش‌آموزان'!E35&amp;" "&amp;'دانش‌آموزان'!F35)</f>
        <v/>
      </c>
      <c r="F366" s="306">
        <f>IF('دانش‌آموزان'!I35="","",'دانش‌آموزان'!I35)</f>
        <v/>
      </c>
      <c r="G366" s="307" t="n"/>
      <c r="H366" s="307" t="n"/>
      <c r="I366" s="307" t="n"/>
      <c r="J366" s="307" t="n"/>
      <c r="K366" s="313">
        <f>IF(COUNT(G366:J366)=0,"",AVERAGE(G366:J366)*4)</f>
        <v/>
      </c>
      <c r="L366" s="306">
        <f>IF(C366="","",IF(COUNT(G366:J366)=0,"",IF(COUNT(G366:J366)&lt;4,"موقت - اطلاعات ناقص",IF(K366&gt;=17,"عالی",IF(K366&gt;=14,"خوب",IF(K366&gt;=10,"متوسط","ضعیف"))))))</f>
        <v/>
      </c>
      <c r="M366" s="306" t="n">
        <v>2</v>
      </c>
      <c r="N366" s="314">
        <f>IF(C366="","",COUNT(G366:J366)/4)</f>
        <v/>
      </c>
      <c r="O366" s="307" t="n"/>
    </row>
    <row r="367" ht="24" customHeight="1">
      <c r="A367" s="306" t="n">
        <v>363</v>
      </c>
      <c r="B367" s="306" t="inlineStr">
        <is>
          <t>شهریور</t>
        </is>
      </c>
      <c r="C367" s="306">
        <f>IF('دانش‌آموزان'!E35="","",'دانش‌آموزان'!B35)</f>
        <v/>
      </c>
      <c r="D367" s="306">
        <f>IF('دانش‌آموزان'!C35="","",'دانش‌آموزان'!C35)</f>
        <v/>
      </c>
      <c r="E367" s="306">
        <f>IF('دانش‌آموزان'!E35="","",'دانش‌آموزان'!E35&amp;" "&amp;'دانش‌آموزان'!F35)</f>
        <v/>
      </c>
      <c r="F367" s="306">
        <f>IF('دانش‌آموزان'!I35="","",'دانش‌آموزان'!I35)</f>
        <v/>
      </c>
      <c r="G367" s="307" t="n"/>
      <c r="H367" s="307" t="n"/>
      <c r="I367" s="307" t="n"/>
      <c r="J367" s="307" t="n"/>
      <c r="K367" s="313">
        <f>IF(COUNT(G367:J367)=0,"",AVERAGE(G367:J367)*4)</f>
        <v/>
      </c>
      <c r="L367" s="306">
        <f>IF(C367="","",IF(COUNT(G367:J367)=0,"",IF(COUNT(G367:J367)&lt;4,"موقت - اطلاعات ناقص",IF(K367&gt;=17,"عالی",IF(K367&gt;=14,"خوب",IF(K367&gt;=10,"متوسط","ضعیف"))))))</f>
        <v/>
      </c>
      <c r="M367" s="306" t="n">
        <v>3</v>
      </c>
      <c r="N367" s="314">
        <f>IF(C367="","",COUNT(G367:J367)/4)</f>
        <v/>
      </c>
      <c r="O367" s="307" t="n"/>
    </row>
    <row r="368" ht="24" customHeight="1">
      <c r="A368" s="306" t="n">
        <v>364</v>
      </c>
      <c r="B368" s="306" t="inlineStr">
        <is>
          <t>مهر</t>
        </is>
      </c>
      <c r="C368" s="306">
        <f>IF('دانش‌آموزان'!E35="","",'دانش‌آموزان'!B35)</f>
        <v/>
      </c>
      <c r="D368" s="306">
        <f>IF('دانش‌آموزان'!C35="","",'دانش‌آموزان'!C35)</f>
        <v/>
      </c>
      <c r="E368" s="306">
        <f>IF('دانش‌آموزان'!E35="","",'دانش‌آموزان'!E35&amp;" "&amp;'دانش‌آموزان'!F35)</f>
        <v/>
      </c>
      <c r="F368" s="306">
        <f>IF('دانش‌آموزان'!I35="","",'دانش‌آموزان'!I35)</f>
        <v/>
      </c>
      <c r="G368" s="307" t="n"/>
      <c r="H368" s="307" t="n"/>
      <c r="I368" s="307" t="n"/>
      <c r="J368" s="307" t="n"/>
      <c r="K368" s="313">
        <f>IF(COUNT(G368:J368)=0,"",AVERAGE(G368:J368)*4)</f>
        <v/>
      </c>
      <c r="L368" s="306">
        <f>IF(C368="","",IF(COUNT(G368:J368)=0,"",IF(COUNT(G368:J368)&lt;4,"موقت - اطلاعات ناقص",IF(K368&gt;=17,"عالی",IF(K368&gt;=14,"خوب",IF(K368&gt;=10,"متوسط","ضعیف"))))))</f>
        <v/>
      </c>
      <c r="M368" s="306" t="n">
        <v>4</v>
      </c>
      <c r="N368" s="314">
        <f>IF(C368="","",COUNT(G368:J368)/4)</f>
        <v/>
      </c>
      <c r="O368" s="307" t="n"/>
    </row>
    <row r="369" ht="24" customHeight="1">
      <c r="A369" s="306" t="n">
        <v>365</v>
      </c>
      <c r="B369" s="306" t="inlineStr">
        <is>
          <t>آبان</t>
        </is>
      </c>
      <c r="C369" s="306">
        <f>IF('دانش‌آموزان'!E35="","",'دانش‌آموزان'!B35)</f>
        <v/>
      </c>
      <c r="D369" s="306">
        <f>IF('دانش‌آموزان'!C35="","",'دانش‌آموزان'!C35)</f>
        <v/>
      </c>
      <c r="E369" s="306">
        <f>IF('دانش‌آموزان'!E35="","",'دانش‌آموزان'!E35&amp;" "&amp;'دانش‌آموزان'!F35)</f>
        <v/>
      </c>
      <c r="F369" s="306">
        <f>IF('دانش‌آموزان'!I35="","",'دانش‌آموزان'!I35)</f>
        <v/>
      </c>
      <c r="G369" s="307" t="n"/>
      <c r="H369" s="307" t="n"/>
      <c r="I369" s="307" t="n"/>
      <c r="J369" s="307" t="n"/>
      <c r="K369" s="313">
        <f>IF(COUNT(G369:J369)=0,"",AVERAGE(G369:J369)*4)</f>
        <v/>
      </c>
      <c r="L369" s="306">
        <f>IF(C369="","",IF(COUNT(G369:J369)=0,"",IF(COUNT(G369:J369)&lt;4,"موقت - اطلاعات ناقص",IF(K369&gt;=17,"عالی",IF(K369&gt;=14,"خوب",IF(K369&gt;=10,"متوسط","ضعیف"))))))</f>
        <v/>
      </c>
      <c r="M369" s="306" t="n">
        <v>5</v>
      </c>
      <c r="N369" s="314">
        <f>IF(C369="","",COUNT(G369:J369)/4)</f>
        <v/>
      </c>
      <c r="O369" s="307" t="n"/>
    </row>
    <row r="370" ht="24" customHeight="1">
      <c r="A370" s="306" t="n">
        <v>366</v>
      </c>
      <c r="B370" s="306" t="inlineStr">
        <is>
          <t>آذر</t>
        </is>
      </c>
      <c r="C370" s="306">
        <f>IF('دانش‌آموزان'!E35="","",'دانش‌آموزان'!B35)</f>
        <v/>
      </c>
      <c r="D370" s="306">
        <f>IF('دانش‌آموزان'!C35="","",'دانش‌آموزان'!C35)</f>
        <v/>
      </c>
      <c r="E370" s="306">
        <f>IF('دانش‌آموزان'!E35="","",'دانش‌آموزان'!E35&amp;" "&amp;'دانش‌آموزان'!F35)</f>
        <v/>
      </c>
      <c r="F370" s="306">
        <f>IF('دانش‌آموزان'!I35="","",'دانش‌آموزان'!I35)</f>
        <v/>
      </c>
      <c r="G370" s="307" t="n"/>
      <c r="H370" s="307" t="n"/>
      <c r="I370" s="307" t="n"/>
      <c r="J370" s="307" t="n"/>
      <c r="K370" s="313">
        <f>IF(COUNT(G370:J370)=0,"",AVERAGE(G370:J370)*4)</f>
        <v/>
      </c>
      <c r="L370" s="306">
        <f>IF(C370="","",IF(COUNT(G370:J370)=0,"",IF(COUNT(G370:J370)&lt;4,"موقت - اطلاعات ناقص",IF(K370&gt;=17,"عالی",IF(K370&gt;=14,"خوب",IF(K370&gt;=10,"متوسط","ضعیف"))))))</f>
        <v/>
      </c>
      <c r="M370" s="306" t="n">
        <v>6</v>
      </c>
      <c r="N370" s="314">
        <f>IF(C370="","",COUNT(G370:J370)/4)</f>
        <v/>
      </c>
      <c r="O370" s="307" t="n"/>
    </row>
    <row r="371" ht="24" customHeight="1">
      <c r="A371" s="306" t="n">
        <v>367</v>
      </c>
      <c r="B371" s="306" t="inlineStr">
        <is>
          <t>دی</t>
        </is>
      </c>
      <c r="C371" s="306">
        <f>IF('دانش‌آموزان'!E35="","",'دانش‌آموزان'!B35)</f>
        <v/>
      </c>
      <c r="D371" s="306">
        <f>IF('دانش‌آموزان'!C35="","",'دانش‌آموزان'!C35)</f>
        <v/>
      </c>
      <c r="E371" s="306">
        <f>IF('دانش‌آموزان'!E35="","",'دانش‌آموزان'!E35&amp;" "&amp;'دانش‌آموزان'!F35)</f>
        <v/>
      </c>
      <c r="F371" s="306">
        <f>IF('دانش‌آموزان'!I35="","",'دانش‌آموزان'!I35)</f>
        <v/>
      </c>
      <c r="G371" s="307" t="n"/>
      <c r="H371" s="307" t="n"/>
      <c r="I371" s="307" t="n"/>
      <c r="J371" s="307" t="n"/>
      <c r="K371" s="313">
        <f>IF(COUNT(G371:J371)=0,"",AVERAGE(G371:J371)*4)</f>
        <v/>
      </c>
      <c r="L371" s="306">
        <f>IF(C371="","",IF(COUNT(G371:J371)=0,"",IF(COUNT(G371:J371)&lt;4,"موقت - اطلاعات ناقص",IF(K371&gt;=17,"عالی",IF(K371&gt;=14,"خوب",IF(K371&gt;=10,"متوسط","ضعیف"))))))</f>
        <v/>
      </c>
      <c r="M371" s="306" t="n">
        <v>7</v>
      </c>
      <c r="N371" s="314">
        <f>IF(C371="","",COUNT(G371:J371)/4)</f>
        <v/>
      </c>
      <c r="O371" s="307" t="n"/>
    </row>
    <row r="372" ht="24" customHeight="1">
      <c r="A372" s="306" t="n">
        <v>368</v>
      </c>
      <c r="B372" s="306" t="inlineStr">
        <is>
          <t>بهمن</t>
        </is>
      </c>
      <c r="C372" s="306">
        <f>IF('دانش‌آموزان'!E35="","",'دانش‌آموزان'!B35)</f>
        <v/>
      </c>
      <c r="D372" s="306">
        <f>IF('دانش‌آموزان'!C35="","",'دانش‌آموزان'!C35)</f>
        <v/>
      </c>
      <c r="E372" s="306">
        <f>IF('دانش‌آموزان'!E35="","",'دانش‌آموزان'!E35&amp;" "&amp;'دانش‌آموزان'!F35)</f>
        <v/>
      </c>
      <c r="F372" s="306">
        <f>IF('دانش‌آموزان'!I35="","",'دانش‌آموزان'!I35)</f>
        <v/>
      </c>
      <c r="G372" s="307" t="n"/>
      <c r="H372" s="307" t="n"/>
      <c r="I372" s="307" t="n"/>
      <c r="J372" s="307" t="n"/>
      <c r="K372" s="313">
        <f>IF(COUNT(G372:J372)=0,"",AVERAGE(G372:J372)*4)</f>
        <v/>
      </c>
      <c r="L372" s="306">
        <f>IF(C372="","",IF(COUNT(G372:J372)=0,"",IF(COUNT(G372:J372)&lt;4,"موقت - اطلاعات ناقص",IF(K372&gt;=17,"عالی",IF(K372&gt;=14,"خوب",IF(K372&gt;=10,"متوسط","ضعیف"))))))</f>
        <v/>
      </c>
      <c r="M372" s="306" t="n">
        <v>8</v>
      </c>
      <c r="N372" s="314">
        <f>IF(C372="","",COUNT(G372:J372)/4)</f>
        <v/>
      </c>
      <c r="O372" s="307" t="n"/>
    </row>
    <row r="373" ht="24" customHeight="1">
      <c r="A373" s="306" t="n">
        <v>369</v>
      </c>
      <c r="B373" s="306" t="inlineStr">
        <is>
          <t>اسفند</t>
        </is>
      </c>
      <c r="C373" s="306">
        <f>IF('دانش‌آموزان'!E35="","",'دانش‌آموزان'!B35)</f>
        <v/>
      </c>
      <c r="D373" s="306">
        <f>IF('دانش‌آموزان'!C35="","",'دانش‌آموزان'!C35)</f>
        <v/>
      </c>
      <c r="E373" s="306">
        <f>IF('دانش‌آموزان'!E35="","",'دانش‌آموزان'!E35&amp;" "&amp;'دانش‌آموزان'!F35)</f>
        <v/>
      </c>
      <c r="F373" s="306">
        <f>IF('دانش‌آموزان'!I35="","",'دانش‌آموزان'!I35)</f>
        <v/>
      </c>
      <c r="G373" s="307" t="n"/>
      <c r="H373" s="307" t="n"/>
      <c r="I373" s="307" t="n"/>
      <c r="J373" s="307" t="n"/>
      <c r="K373" s="313">
        <f>IF(COUNT(G373:J373)=0,"",AVERAGE(G373:J373)*4)</f>
        <v/>
      </c>
      <c r="L373" s="306">
        <f>IF(C373="","",IF(COUNT(G373:J373)=0,"",IF(COUNT(G373:J373)&lt;4,"موقت - اطلاعات ناقص",IF(K373&gt;=17,"عالی",IF(K373&gt;=14,"خوب",IF(K373&gt;=10,"متوسط","ضعیف"))))))</f>
        <v/>
      </c>
      <c r="M373" s="306" t="n">
        <v>9</v>
      </c>
      <c r="N373" s="314">
        <f>IF(C373="","",COUNT(G373:J373)/4)</f>
        <v/>
      </c>
      <c r="O373" s="307" t="n"/>
    </row>
    <row r="374" ht="24" customHeight="1">
      <c r="A374" s="306" t="n">
        <v>370</v>
      </c>
      <c r="B374" s="306" t="inlineStr">
        <is>
          <t>فروردین</t>
        </is>
      </c>
      <c r="C374" s="306">
        <f>IF('دانش‌آموزان'!E35="","",'دانش‌آموزان'!B35)</f>
        <v/>
      </c>
      <c r="D374" s="306">
        <f>IF('دانش‌آموزان'!C35="","",'دانش‌آموزان'!C35)</f>
        <v/>
      </c>
      <c r="E374" s="306">
        <f>IF('دانش‌آموزان'!E35="","",'دانش‌آموزان'!E35&amp;" "&amp;'دانش‌آموزان'!F35)</f>
        <v/>
      </c>
      <c r="F374" s="306">
        <f>IF('دانش‌آموزان'!I35="","",'دانش‌آموزان'!I35)</f>
        <v/>
      </c>
      <c r="G374" s="307" t="n"/>
      <c r="H374" s="307" t="n"/>
      <c r="I374" s="307" t="n"/>
      <c r="J374" s="307" t="n"/>
      <c r="K374" s="313">
        <f>IF(COUNT(G374:J374)=0,"",AVERAGE(G374:J374)*4)</f>
        <v/>
      </c>
      <c r="L374" s="306">
        <f>IF(C374="","",IF(COUNT(G374:J374)=0,"",IF(COUNT(G374:J374)&lt;4,"موقت - اطلاعات ناقص",IF(K374&gt;=17,"عالی",IF(K374&gt;=14,"خوب",IF(K374&gt;=10,"متوسط","ضعیف"))))))</f>
        <v/>
      </c>
      <c r="M374" s="306" t="n">
        <v>10</v>
      </c>
      <c r="N374" s="314">
        <f>IF(C374="","",COUNT(G374:J374)/4)</f>
        <v/>
      </c>
      <c r="O374" s="307" t="n"/>
    </row>
    <row r="375" ht="24" customHeight="1">
      <c r="A375" s="306" t="n">
        <v>371</v>
      </c>
      <c r="B375" s="306" t="inlineStr">
        <is>
          <t>اردیبهشت</t>
        </is>
      </c>
      <c r="C375" s="306">
        <f>IF('دانش‌آموزان'!E35="","",'دانش‌آموزان'!B35)</f>
        <v/>
      </c>
      <c r="D375" s="306">
        <f>IF('دانش‌آموزان'!C35="","",'دانش‌آموزان'!C35)</f>
        <v/>
      </c>
      <c r="E375" s="306">
        <f>IF('دانش‌آموزان'!E35="","",'دانش‌آموزان'!E35&amp;" "&amp;'دانش‌آموزان'!F35)</f>
        <v/>
      </c>
      <c r="F375" s="306">
        <f>IF('دانش‌آموزان'!I35="","",'دانش‌آموزان'!I35)</f>
        <v/>
      </c>
      <c r="G375" s="307" t="n"/>
      <c r="H375" s="307" t="n"/>
      <c r="I375" s="307" t="n"/>
      <c r="J375" s="307" t="n"/>
      <c r="K375" s="313">
        <f>IF(COUNT(G375:J375)=0,"",AVERAGE(G375:J375)*4)</f>
        <v/>
      </c>
      <c r="L375" s="306">
        <f>IF(C375="","",IF(COUNT(G375:J375)=0,"",IF(COUNT(G375:J375)&lt;4,"موقت - اطلاعات ناقص",IF(K375&gt;=17,"عالی",IF(K375&gt;=14,"خوب",IF(K375&gt;=10,"متوسط","ضعیف"))))))</f>
        <v/>
      </c>
      <c r="M375" s="306" t="n">
        <v>11</v>
      </c>
      <c r="N375" s="314">
        <f>IF(C375="","",COUNT(G375:J375)/4)</f>
        <v/>
      </c>
      <c r="O375" s="307" t="n"/>
    </row>
    <row r="376" ht="24" customHeight="1">
      <c r="A376" s="306" t="n">
        <v>372</v>
      </c>
      <c r="B376" s="306" t="inlineStr">
        <is>
          <t>خرداد</t>
        </is>
      </c>
      <c r="C376" s="306">
        <f>IF('دانش‌آموزان'!E35="","",'دانش‌آموزان'!B35)</f>
        <v/>
      </c>
      <c r="D376" s="306">
        <f>IF('دانش‌آموزان'!C35="","",'دانش‌آموزان'!C35)</f>
        <v/>
      </c>
      <c r="E376" s="306">
        <f>IF('دانش‌آموزان'!E35="","",'دانش‌آموزان'!E35&amp;" "&amp;'دانش‌آموزان'!F35)</f>
        <v/>
      </c>
      <c r="F376" s="306">
        <f>IF('دانش‌آموزان'!I35="","",'دانش‌آموزان'!I35)</f>
        <v/>
      </c>
      <c r="G376" s="307" t="n"/>
      <c r="H376" s="307" t="n"/>
      <c r="I376" s="307" t="n"/>
      <c r="J376" s="307" t="n"/>
      <c r="K376" s="313">
        <f>IF(COUNT(G376:J376)=0,"",AVERAGE(G376:J376)*4)</f>
        <v/>
      </c>
      <c r="L376" s="306">
        <f>IF(C376="","",IF(COUNT(G376:J376)=0,"",IF(COUNT(G376:J376)&lt;4,"موقت - اطلاعات ناقص",IF(K376&gt;=17,"عالی",IF(K376&gt;=14,"خوب",IF(K376&gt;=10,"متوسط","ضعیف"))))))</f>
        <v/>
      </c>
      <c r="M376" s="306" t="n">
        <v>12</v>
      </c>
      <c r="N376" s="314">
        <f>IF(C376="","",COUNT(G376:J376)/4)</f>
        <v/>
      </c>
      <c r="O376" s="307" t="n"/>
    </row>
    <row r="377" ht="24" customHeight="1">
      <c r="A377" s="306" t="n">
        <v>373</v>
      </c>
      <c r="B377" s="306" t="inlineStr">
        <is>
          <t>تیر</t>
        </is>
      </c>
      <c r="C377" s="306">
        <f>IF('دانش‌آموزان'!E36="","",'دانش‌آموزان'!B36)</f>
        <v/>
      </c>
      <c r="D377" s="306">
        <f>IF('دانش‌آموزان'!C36="","",'دانش‌آموزان'!C36)</f>
        <v/>
      </c>
      <c r="E377" s="306">
        <f>IF('دانش‌آموزان'!E36="","",'دانش‌آموزان'!E36&amp;" "&amp;'دانش‌آموزان'!F36)</f>
        <v/>
      </c>
      <c r="F377" s="306">
        <f>IF('دانش‌آموزان'!I36="","",'دانش‌آموزان'!I36)</f>
        <v/>
      </c>
      <c r="G377" s="307" t="n"/>
      <c r="H377" s="307" t="n"/>
      <c r="I377" s="307" t="n"/>
      <c r="J377" s="307" t="n"/>
      <c r="K377" s="313">
        <f>IF(COUNT(G377:J377)=0,"",AVERAGE(G377:J377)*4)</f>
        <v/>
      </c>
      <c r="L377" s="306">
        <f>IF(C377="","",IF(COUNT(G377:J377)=0,"",IF(COUNT(G377:J377)&lt;4,"موقت - اطلاعات ناقص",IF(K377&gt;=17,"عالی",IF(K377&gt;=14,"خوب",IF(K377&gt;=10,"متوسط","ضعیف"))))))</f>
        <v/>
      </c>
      <c r="M377" s="306" t="n">
        <v>1</v>
      </c>
      <c r="N377" s="314">
        <f>IF(C377="","",COUNT(G377:J377)/4)</f>
        <v/>
      </c>
      <c r="O377" s="307" t="n"/>
    </row>
    <row r="378" ht="24" customHeight="1">
      <c r="A378" s="306" t="n">
        <v>374</v>
      </c>
      <c r="B378" s="306" t="inlineStr">
        <is>
          <t>مرداد</t>
        </is>
      </c>
      <c r="C378" s="306">
        <f>IF('دانش‌آموزان'!E36="","",'دانش‌آموزان'!B36)</f>
        <v/>
      </c>
      <c r="D378" s="306">
        <f>IF('دانش‌آموزان'!C36="","",'دانش‌آموزان'!C36)</f>
        <v/>
      </c>
      <c r="E378" s="306">
        <f>IF('دانش‌آموزان'!E36="","",'دانش‌آموزان'!E36&amp;" "&amp;'دانش‌آموزان'!F36)</f>
        <v/>
      </c>
      <c r="F378" s="306">
        <f>IF('دانش‌آموزان'!I36="","",'دانش‌آموزان'!I36)</f>
        <v/>
      </c>
      <c r="G378" s="307" t="n"/>
      <c r="H378" s="307" t="n"/>
      <c r="I378" s="307" t="n"/>
      <c r="J378" s="307" t="n"/>
      <c r="K378" s="313">
        <f>IF(COUNT(G378:J378)=0,"",AVERAGE(G378:J378)*4)</f>
        <v/>
      </c>
      <c r="L378" s="306">
        <f>IF(C378="","",IF(COUNT(G378:J378)=0,"",IF(COUNT(G378:J378)&lt;4,"موقت - اطلاعات ناقص",IF(K378&gt;=17,"عالی",IF(K378&gt;=14,"خوب",IF(K378&gt;=10,"متوسط","ضعیف"))))))</f>
        <v/>
      </c>
      <c r="M378" s="306" t="n">
        <v>2</v>
      </c>
      <c r="N378" s="314">
        <f>IF(C378="","",COUNT(G378:J378)/4)</f>
        <v/>
      </c>
      <c r="O378" s="307" t="n"/>
    </row>
    <row r="379" ht="24" customHeight="1">
      <c r="A379" s="306" t="n">
        <v>375</v>
      </c>
      <c r="B379" s="306" t="inlineStr">
        <is>
          <t>شهریور</t>
        </is>
      </c>
      <c r="C379" s="306">
        <f>IF('دانش‌آموزان'!E36="","",'دانش‌آموزان'!B36)</f>
        <v/>
      </c>
      <c r="D379" s="306">
        <f>IF('دانش‌آموزان'!C36="","",'دانش‌آموزان'!C36)</f>
        <v/>
      </c>
      <c r="E379" s="306">
        <f>IF('دانش‌آموزان'!E36="","",'دانش‌آموزان'!E36&amp;" "&amp;'دانش‌آموزان'!F36)</f>
        <v/>
      </c>
      <c r="F379" s="306">
        <f>IF('دانش‌آموزان'!I36="","",'دانش‌آموزان'!I36)</f>
        <v/>
      </c>
      <c r="G379" s="307" t="n"/>
      <c r="H379" s="307" t="n"/>
      <c r="I379" s="307" t="n"/>
      <c r="J379" s="307" t="n"/>
      <c r="K379" s="313">
        <f>IF(COUNT(G379:J379)=0,"",AVERAGE(G379:J379)*4)</f>
        <v/>
      </c>
      <c r="L379" s="306">
        <f>IF(C379="","",IF(COUNT(G379:J379)=0,"",IF(COUNT(G379:J379)&lt;4,"موقت - اطلاعات ناقص",IF(K379&gt;=17,"عالی",IF(K379&gt;=14,"خوب",IF(K379&gt;=10,"متوسط","ضعیف"))))))</f>
        <v/>
      </c>
      <c r="M379" s="306" t="n">
        <v>3</v>
      </c>
      <c r="N379" s="314">
        <f>IF(C379="","",COUNT(G379:J379)/4)</f>
        <v/>
      </c>
      <c r="O379" s="307" t="n"/>
    </row>
    <row r="380" ht="24" customHeight="1">
      <c r="A380" s="306" t="n">
        <v>376</v>
      </c>
      <c r="B380" s="306" t="inlineStr">
        <is>
          <t>مهر</t>
        </is>
      </c>
      <c r="C380" s="306">
        <f>IF('دانش‌آموزان'!E36="","",'دانش‌آموزان'!B36)</f>
        <v/>
      </c>
      <c r="D380" s="306">
        <f>IF('دانش‌آموزان'!C36="","",'دانش‌آموزان'!C36)</f>
        <v/>
      </c>
      <c r="E380" s="306">
        <f>IF('دانش‌آموزان'!E36="","",'دانش‌آموزان'!E36&amp;" "&amp;'دانش‌آموزان'!F36)</f>
        <v/>
      </c>
      <c r="F380" s="306">
        <f>IF('دانش‌آموزان'!I36="","",'دانش‌آموزان'!I36)</f>
        <v/>
      </c>
      <c r="G380" s="307" t="n"/>
      <c r="H380" s="307" t="n"/>
      <c r="I380" s="307" t="n"/>
      <c r="J380" s="307" t="n"/>
      <c r="K380" s="313">
        <f>IF(COUNT(G380:J380)=0,"",AVERAGE(G380:J380)*4)</f>
        <v/>
      </c>
      <c r="L380" s="306">
        <f>IF(C380="","",IF(COUNT(G380:J380)=0,"",IF(COUNT(G380:J380)&lt;4,"موقت - اطلاعات ناقص",IF(K380&gt;=17,"عالی",IF(K380&gt;=14,"خوب",IF(K380&gt;=10,"متوسط","ضعیف"))))))</f>
        <v/>
      </c>
      <c r="M380" s="306" t="n">
        <v>4</v>
      </c>
      <c r="N380" s="314">
        <f>IF(C380="","",COUNT(G380:J380)/4)</f>
        <v/>
      </c>
      <c r="O380" s="307" t="n"/>
    </row>
    <row r="381" ht="24" customHeight="1">
      <c r="A381" s="306" t="n">
        <v>377</v>
      </c>
      <c r="B381" s="306" t="inlineStr">
        <is>
          <t>آبان</t>
        </is>
      </c>
      <c r="C381" s="306">
        <f>IF('دانش‌آموزان'!E36="","",'دانش‌آموزان'!B36)</f>
        <v/>
      </c>
      <c r="D381" s="306">
        <f>IF('دانش‌آموزان'!C36="","",'دانش‌آموزان'!C36)</f>
        <v/>
      </c>
      <c r="E381" s="306">
        <f>IF('دانش‌آموزان'!E36="","",'دانش‌آموزان'!E36&amp;" "&amp;'دانش‌آموزان'!F36)</f>
        <v/>
      </c>
      <c r="F381" s="306">
        <f>IF('دانش‌آموزان'!I36="","",'دانش‌آموزان'!I36)</f>
        <v/>
      </c>
      <c r="G381" s="307" t="n"/>
      <c r="H381" s="307" t="n"/>
      <c r="I381" s="307" t="n"/>
      <c r="J381" s="307" t="n"/>
      <c r="K381" s="313">
        <f>IF(COUNT(G381:J381)=0,"",AVERAGE(G381:J381)*4)</f>
        <v/>
      </c>
      <c r="L381" s="306">
        <f>IF(C381="","",IF(COUNT(G381:J381)=0,"",IF(COUNT(G381:J381)&lt;4,"موقت - اطلاعات ناقص",IF(K381&gt;=17,"عالی",IF(K381&gt;=14,"خوب",IF(K381&gt;=10,"متوسط","ضعیف"))))))</f>
        <v/>
      </c>
      <c r="M381" s="306" t="n">
        <v>5</v>
      </c>
      <c r="N381" s="314">
        <f>IF(C381="","",COUNT(G381:J381)/4)</f>
        <v/>
      </c>
      <c r="O381" s="307" t="n"/>
    </row>
    <row r="382" ht="24" customHeight="1">
      <c r="A382" s="306" t="n">
        <v>378</v>
      </c>
      <c r="B382" s="306" t="inlineStr">
        <is>
          <t>آذر</t>
        </is>
      </c>
      <c r="C382" s="306">
        <f>IF('دانش‌آموزان'!E36="","",'دانش‌آموزان'!B36)</f>
        <v/>
      </c>
      <c r="D382" s="306">
        <f>IF('دانش‌آموزان'!C36="","",'دانش‌آموزان'!C36)</f>
        <v/>
      </c>
      <c r="E382" s="306">
        <f>IF('دانش‌آموزان'!E36="","",'دانش‌آموزان'!E36&amp;" "&amp;'دانش‌آموزان'!F36)</f>
        <v/>
      </c>
      <c r="F382" s="306">
        <f>IF('دانش‌آموزان'!I36="","",'دانش‌آموزان'!I36)</f>
        <v/>
      </c>
      <c r="G382" s="307" t="n"/>
      <c r="H382" s="307" t="n"/>
      <c r="I382" s="307" t="n"/>
      <c r="J382" s="307" t="n"/>
      <c r="K382" s="313">
        <f>IF(COUNT(G382:J382)=0,"",AVERAGE(G382:J382)*4)</f>
        <v/>
      </c>
      <c r="L382" s="306">
        <f>IF(C382="","",IF(COUNT(G382:J382)=0,"",IF(COUNT(G382:J382)&lt;4,"موقت - اطلاعات ناقص",IF(K382&gt;=17,"عالی",IF(K382&gt;=14,"خوب",IF(K382&gt;=10,"متوسط","ضعیف"))))))</f>
        <v/>
      </c>
      <c r="M382" s="306" t="n">
        <v>6</v>
      </c>
      <c r="N382" s="314">
        <f>IF(C382="","",COUNT(G382:J382)/4)</f>
        <v/>
      </c>
      <c r="O382" s="307" t="n"/>
    </row>
    <row r="383" ht="24" customHeight="1">
      <c r="A383" s="306" t="n">
        <v>379</v>
      </c>
      <c r="B383" s="306" t="inlineStr">
        <is>
          <t>دی</t>
        </is>
      </c>
      <c r="C383" s="306">
        <f>IF('دانش‌آموزان'!E36="","",'دانش‌آموزان'!B36)</f>
        <v/>
      </c>
      <c r="D383" s="306">
        <f>IF('دانش‌آموزان'!C36="","",'دانش‌آموزان'!C36)</f>
        <v/>
      </c>
      <c r="E383" s="306">
        <f>IF('دانش‌آموزان'!E36="","",'دانش‌آموزان'!E36&amp;" "&amp;'دانش‌آموزان'!F36)</f>
        <v/>
      </c>
      <c r="F383" s="306">
        <f>IF('دانش‌آموزان'!I36="","",'دانش‌آموزان'!I36)</f>
        <v/>
      </c>
      <c r="G383" s="307" t="n"/>
      <c r="H383" s="307" t="n"/>
      <c r="I383" s="307" t="n"/>
      <c r="J383" s="307" t="n"/>
      <c r="K383" s="313">
        <f>IF(COUNT(G383:J383)=0,"",AVERAGE(G383:J383)*4)</f>
        <v/>
      </c>
      <c r="L383" s="306">
        <f>IF(C383="","",IF(COUNT(G383:J383)=0,"",IF(COUNT(G383:J383)&lt;4,"موقت - اطلاعات ناقص",IF(K383&gt;=17,"عالی",IF(K383&gt;=14,"خوب",IF(K383&gt;=10,"متوسط","ضعیف"))))))</f>
        <v/>
      </c>
      <c r="M383" s="306" t="n">
        <v>7</v>
      </c>
      <c r="N383" s="314">
        <f>IF(C383="","",COUNT(G383:J383)/4)</f>
        <v/>
      </c>
      <c r="O383" s="307" t="n"/>
    </row>
    <row r="384" ht="24" customHeight="1">
      <c r="A384" s="306" t="n">
        <v>380</v>
      </c>
      <c r="B384" s="306" t="inlineStr">
        <is>
          <t>بهمن</t>
        </is>
      </c>
      <c r="C384" s="306">
        <f>IF('دانش‌آموزان'!E36="","",'دانش‌آموزان'!B36)</f>
        <v/>
      </c>
      <c r="D384" s="306">
        <f>IF('دانش‌آموزان'!C36="","",'دانش‌آموزان'!C36)</f>
        <v/>
      </c>
      <c r="E384" s="306">
        <f>IF('دانش‌آموزان'!E36="","",'دانش‌آموزان'!E36&amp;" "&amp;'دانش‌آموزان'!F36)</f>
        <v/>
      </c>
      <c r="F384" s="306">
        <f>IF('دانش‌آموزان'!I36="","",'دانش‌آموزان'!I36)</f>
        <v/>
      </c>
      <c r="G384" s="307" t="n"/>
      <c r="H384" s="307" t="n"/>
      <c r="I384" s="307" t="n"/>
      <c r="J384" s="307" t="n"/>
      <c r="K384" s="313">
        <f>IF(COUNT(G384:J384)=0,"",AVERAGE(G384:J384)*4)</f>
        <v/>
      </c>
      <c r="L384" s="306">
        <f>IF(C384="","",IF(COUNT(G384:J384)=0,"",IF(COUNT(G384:J384)&lt;4,"موقت - اطلاعات ناقص",IF(K384&gt;=17,"عالی",IF(K384&gt;=14,"خوب",IF(K384&gt;=10,"متوسط","ضعیف"))))))</f>
        <v/>
      </c>
      <c r="M384" s="306" t="n">
        <v>8</v>
      </c>
      <c r="N384" s="314">
        <f>IF(C384="","",COUNT(G384:J384)/4)</f>
        <v/>
      </c>
      <c r="O384" s="307" t="n"/>
    </row>
    <row r="385" ht="24" customHeight="1">
      <c r="A385" s="306" t="n">
        <v>381</v>
      </c>
      <c r="B385" s="306" t="inlineStr">
        <is>
          <t>اسفند</t>
        </is>
      </c>
      <c r="C385" s="306">
        <f>IF('دانش‌آموزان'!E36="","",'دانش‌آموزان'!B36)</f>
        <v/>
      </c>
      <c r="D385" s="306">
        <f>IF('دانش‌آموزان'!C36="","",'دانش‌آموزان'!C36)</f>
        <v/>
      </c>
      <c r="E385" s="306">
        <f>IF('دانش‌آموزان'!E36="","",'دانش‌آموزان'!E36&amp;" "&amp;'دانش‌آموزان'!F36)</f>
        <v/>
      </c>
      <c r="F385" s="306">
        <f>IF('دانش‌آموزان'!I36="","",'دانش‌آموزان'!I36)</f>
        <v/>
      </c>
      <c r="G385" s="307" t="n"/>
      <c r="H385" s="307" t="n"/>
      <c r="I385" s="307" t="n"/>
      <c r="J385" s="307" t="n"/>
      <c r="K385" s="313">
        <f>IF(COUNT(G385:J385)=0,"",AVERAGE(G385:J385)*4)</f>
        <v/>
      </c>
      <c r="L385" s="306">
        <f>IF(C385="","",IF(COUNT(G385:J385)=0,"",IF(COUNT(G385:J385)&lt;4,"موقت - اطلاعات ناقص",IF(K385&gt;=17,"عالی",IF(K385&gt;=14,"خوب",IF(K385&gt;=10,"متوسط","ضعیف"))))))</f>
        <v/>
      </c>
      <c r="M385" s="306" t="n">
        <v>9</v>
      </c>
      <c r="N385" s="314">
        <f>IF(C385="","",COUNT(G385:J385)/4)</f>
        <v/>
      </c>
      <c r="O385" s="307" t="n"/>
    </row>
    <row r="386" ht="24" customHeight="1">
      <c r="A386" s="306" t="n">
        <v>382</v>
      </c>
      <c r="B386" s="306" t="inlineStr">
        <is>
          <t>فروردین</t>
        </is>
      </c>
      <c r="C386" s="306">
        <f>IF('دانش‌آموزان'!E36="","",'دانش‌آموزان'!B36)</f>
        <v/>
      </c>
      <c r="D386" s="306">
        <f>IF('دانش‌آموزان'!C36="","",'دانش‌آموزان'!C36)</f>
        <v/>
      </c>
      <c r="E386" s="306">
        <f>IF('دانش‌آموزان'!E36="","",'دانش‌آموزان'!E36&amp;" "&amp;'دانش‌آموزان'!F36)</f>
        <v/>
      </c>
      <c r="F386" s="306">
        <f>IF('دانش‌آموزان'!I36="","",'دانش‌آموزان'!I36)</f>
        <v/>
      </c>
      <c r="G386" s="307" t="n"/>
      <c r="H386" s="307" t="n"/>
      <c r="I386" s="307" t="n"/>
      <c r="J386" s="307" t="n"/>
      <c r="K386" s="313">
        <f>IF(COUNT(G386:J386)=0,"",AVERAGE(G386:J386)*4)</f>
        <v/>
      </c>
      <c r="L386" s="306">
        <f>IF(C386="","",IF(COUNT(G386:J386)=0,"",IF(COUNT(G386:J386)&lt;4,"موقت - اطلاعات ناقص",IF(K386&gt;=17,"عالی",IF(K386&gt;=14,"خوب",IF(K386&gt;=10,"متوسط","ضعیف"))))))</f>
        <v/>
      </c>
      <c r="M386" s="306" t="n">
        <v>10</v>
      </c>
      <c r="N386" s="314">
        <f>IF(C386="","",COUNT(G386:J386)/4)</f>
        <v/>
      </c>
      <c r="O386" s="307" t="n"/>
    </row>
    <row r="387" ht="24" customHeight="1">
      <c r="A387" s="306" t="n">
        <v>383</v>
      </c>
      <c r="B387" s="306" t="inlineStr">
        <is>
          <t>اردیبهشت</t>
        </is>
      </c>
      <c r="C387" s="306">
        <f>IF('دانش‌آموزان'!E36="","",'دانش‌آموزان'!B36)</f>
        <v/>
      </c>
      <c r="D387" s="306">
        <f>IF('دانش‌آموزان'!C36="","",'دانش‌آموزان'!C36)</f>
        <v/>
      </c>
      <c r="E387" s="306">
        <f>IF('دانش‌آموزان'!E36="","",'دانش‌آموزان'!E36&amp;" "&amp;'دانش‌آموزان'!F36)</f>
        <v/>
      </c>
      <c r="F387" s="306">
        <f>IF('دانش‌آموزان'!I36="","",'دانش‌آموزان'!I36)</f>
        <v/>
      </c>
      <c r="G387" s="307" t="n"/>
      <c r="H387" s="307" t="n"/>
      <c r="I387" s="307" t="n"/>
      <c r="J387" s="307" t="n"/>
      <c r="K387" s="313">
        <f>IF(COUNT(G387:J387)=0,"",AVERAGE(G387:J387)*4)</f>
        <v/>
      </c>
      <c r="L387" s="306">
        <f>IF(C387="","",IF(COUNT(G387:J387)=0,"",IF(COUNT(G387:J387)&lt;4,"موقت - اطلاعات ناقص",IF(K387&gt;=17,"عالی",IF(K387&gt;=14,"خوب",IF(K387&gt;=10,"متوسط","ضعیف"))))))</f>
        <v/>
      </c>
      <c r="M387" s="306" t="n">
        <v>11</v>
      </c>
      <c r="N387" s="314">
        <f>IF(C387="","",COUNT(G387:J387)/4)</f>
        <v/>
      </c>
      <c r="O387" s="307" t="n"/>
    </row>
    <row r="388" ht="24" customHeight="1">
      <c r="A388" s="306" t="n">
        <v>384</v>
      </c>
      <c r="B388" s="306" t="inlineStr">
        <is>
          <t>خرداد</t>
        </is>
      </c>
      <c r="C388" s="306">
        <f>IF('دانش‌آموزان'!E36="","",'دانش‌آموزان'!B36)</f>
        <v/>
      </c>
      <c r="D388" s="306">
        <f>IF('دانش‌آموزان'!C36="","",'دانش‌آموزان'!C36)</f>
        <v/>
      </c>
      <c r="E388" s="306">
        <f>IF('دانش‌آموزان'!E36="","",'دانش‌آموزان'!E36&amp;" "&amp;'دانش‌آموزان'!F36)</f>
        <v/>
      </c>
      <c r="F388" s="306">
        <f>IF('دانش‌آموزان'!I36="","",'دانش‌آموزان'!I36)</f>
        <v/>
      </c>
      <c r="G388" s="307" t="n"/>
      <c r="H388" s="307" t="n"/>
      <c r="I388" s="307" t="n"/>
      <c r="J388" s="307" t="n"/>
      <c r="K388" s="313">
        <f>IF(COUNT(G388:J388)=0,"",AVERAGE(G388:J388)*4)</f>
        <v/>
      </c>
      <c r="L388" s="306">
        <f>IF(C388="","",IF(COUNT(G388:J388)=0,"",IF(COUNT(G388:J388)&lt;4,"موقت - اطلاعات ناقص",IF(K388&gt;=17,"عالی",IF(K388&gt;=14,"خوب",IF(K388&gt;=10,"متوسط","ضعیف"))))))</f>
        <v/>
      </c>
      <c r="M388" s="306" t="n">
        <v>12</v>
      </c>
      <c r="N388" s="314">
        <f>IF(C388="","",COUNT(G388:J388)/4)</f>
        <v/>
      </c>
      <c r="O388" s="307" t="n"/>
    </row>
    <row r="389" ht="24" customHeight="1">
      <c r="A389" s="306" t="n">
        <v>385</v>
      </c>
      <c r="B389" s="306" t="inlineStr">
        <is>
          <t>تیر</t>
        </is>
      </c>
      <c r="C389" s="306">
        <f>IF('دانش‌آموزان'!E37="","",'دانش‌آموزان'!B37)</f>
        <v/>
      </c>
      <c r="D389" s="306">
        <f>IF('دانش‌آموزان'!C37="","",'دانش‌آموزان'!C37)</f>
        <v/>
      </c>
      <c r="E389" s="306">
        <f>IF('دانش‌آموزان'!E37="","",'دانش‌آموزان'!E37&amp;" "&amp;'دانش‌آموزان'!F37)</f>
        <v/>
      </c>
      <c r="F389" s="306">
        <f>IF('دانش‌آموزان'!I37="","",'دانش‌آموزان'!I37)</f>
        <v/>
      </c>
      <c r="G389" s="307" t="n"/>
      <c r="H389" s="307" t="n"/>
      <c r="I389" s="307" t="n"/>
      <c r="J389" s="307" t="n"/>
      <c r="K389" s="313">
        <f>IF(COUNT(G389:J389)=0,"",AVERAGE(G389:J389)*4)</f>
        <v/>
      </c>
      <c r="L389" s="306">
        <f>IF(C389="","",IF(COUNT(G389:J389)=0,"",IF(COUNT(G389:J389)&lt;4,"موقت - اطلاعات ناقص",IF(K389&gt;=17,"عالی",IF(K389&gt;=14,"خوب",IF(K389&gt;=10,"متوسط","ضعیف"))))))</f>
        <v/>
      </c>
      <c r="M389" s="306" t="n">
        <v>1</v>
      </c>
      <c r="N389" s="314">
        <f>IF(C389="","",COUNT(G389:J389)/4)</f>
        <v/>
      </c>
      <c r="O389" s="307" t="n"/>
    </row>
    <row r="390" ht="24" customHeight="1">
      <c r="A390" s="306" t="n">
        <v>386</v>
      </c>
      <c r="B390" s="306" t="inlineStr">
        <is>
          <t>مرداد</t>
        </is>
      </c>
      <c r="C390" s="306">
        <f>IF('دانش‌آموزان'!E37="","",'دانش‌آموزان'!B37)</f>
        <v/>
      </c>
      <c r="D390" s="306">
        <f>IF('دانش‌آموزان'!C37="","",'دانش‌آموزان'!C37)</f>
        <v/>
      </c>
      <c r="E390" s="306">
        <f>IF('دانش‌آموزان'!E37="","",'دانش‌آموزان'!E37&amp;" "&amp;'دانش‌آموزان'!F37)</f>
        <v/>
      </c>
      <c r="F390" s="306">
        <f>IF('دانش‌آموزان'!I37="","",'دانش‌آموزان'!I37)</f>
        <v/>
      </c>
      <c r="G390" s="307" t="n"/>
      <c r="H390" s="307" t="n"/>
      <c r="I390" s="307" t="n"/>
      <c r="J390" s="307" t="n"/>
      <c r="K390" s="313">
        <f>IF(COUNT(G390:J390)=0,"",AVERAGE(G390:J390)*4)</f>
        <v/>
      </c>
      <c r="L390" s="306">
        <f>IF(C390="","",IF(COUNT(G390:J390)=0,"",IF(COUNT(G390:J390)&lt;4,"موقت - اطلاعات ناقص",IF(K390&gt;=17,"عالی",IF(K390&gt;=14,"خوب",IF(K390&gt;=10,"متوسط","ضعیف"))))))</f>
        <v/>
      </c>
      <c r="M390" s="306" t="n">
        <v>2</v>
      </c>
      <c r="N390" s="314">
        <f>IF(C390="","",COUNT(G390:J390)/4)</f>
        <v/>
      </c>
      <c r="O390" s="307" t="n"/>
    </row>
    <row r="391" ht="24" customHeight="1">
      <c r="A391" s="306" t="n">
        <v>387</v>
      </c>
      <c r="B391" s="306" t="inlineStr">
        <is>
          <t>شهریور</t>
        </is>
      </c>
      <c r="C391" s="306">
        <f>IF('دانش‌آموزان'!E37="","",'دانش‌آموزان'!B37)</f>
        <v/>
      </c>
      <c r="D391" s="306">
        <f>IF('دانش‌آموزان'!C37="","",'دانش‌آموزان'!C37)</f>
        <v/>
      </c>
      <c r="E391" s="306">
        <f>IF('دانش‌آموزان'!E37="","",'دانش‌آموزان'!E37&amp;" "&amp;'دانش‌آموزان'!F37)</f>
        <v/>
      </c>
      <c r="F391" s="306">
        <f>IF('دانش‌آموزان'!I37="","",'دانش‌آموزان'!I37)</f>
        <v/>
      </c>
      <c r="G391" s="307" t="n"/>
      <c r="H391" s="307" t="n"/>
      <c r="I391" s="307" t="n"/>
      <c r="J391" s="307" t="n"/>
      <c r="K391" s="313">
        <f>IF(COUNT(G391:J391)=0,"",AVERAGE(G391:J391)*4)</f>
        <v/>
      </c>
      <c r="L391" s="306">
        <f>IF(C391="","",IF(COUNT(G391:J391)=0,"",IF(COUNT(G391:J391)&lt;4,"موقت - اطلاعات ناقص",IF(K391&gt;=17,"عالی",IF(K391&gt;=14,"خوب",IF(K391&gt;=10,"متوسط","ضعیف"))))))</f>
        <v/>
      </c>
      <c r="M391" s="306" t="n">
        <v>3</v>
      </c>
      <c r="N391" s="314">
        <f>IF(C391="","",COUNT(G391:J391)/4)</f>
        <v/>
      </c>
      <c r="O391" s="307" t="n"/>
    </row>
    <row r="392" ht="24" customHeight="1">
      <c r="A392" s="306" t="n">
        <v>388</v>
      </c>
      <c r="B392" s="306" t="inlineStr">
        <is>
          <t>مهر</t>
        </is>
      </c>
      <c r="C392" s="306">
        <f>IF('دانش‌آموزان'!E37="","",'دانش‌آموزان'!B37)</f>
        <v/>
      </c>
      <c r="D392" s="306">
        <f>IF('دانش‌آموزان'!C37="","",'دانش‌آموزان'!C37)</f>
        <v/>
      </c>
      <c r="E392" s="306">
        <f>IF('دانش‌آموزان'!E37="","",'دانش‌آموزان'!E37&amp;" "&amp;'دانش‌آموزان'!F37)</f>
        <v/>
      </c>
      <c r="F392" s="306">
        <f>IF('دانش‌آموزان'!I37="","",'دانش‌آموزان'!I37)</f>
        <v/>
      </c>
      <c r="G392" s="307" t="n"/>
      <c r="H392" s="307" t="n"/>
      <c r="I392" s="307" t="n"/>
      <c r="J392" s="307" t="n"/>
      <c r="K392" s="313">
        <f>IF(COUNT(G392:J392)=0,"",AVERAGE(G392:J392)*4)</f>
        <v/>
      </c>
      <c r="L392" s="306">
        <f>IF(C392="","",IF(COUNT(G392:J392)=0,"",IF(COUNT(G392:J392)&lt;4,"موقت - اطلاعات ناقص",IF(K392&gt;=17,"عالی",IF(K392&gt;=14,"خوب",IF(K392&gt;=10,"متوسط","ضعیف"))))))</f>
        <v/>
      </c>
      <c r="M392" s="306" t="n">
        <v>4</v>
      </c>
      <c r="N392" s="314">
        <f>IF(C392="","",COUNT(G392:J392)/4)</f>
        <v/>
      </c>
      <c r="O392" s="307" t="n"/>
    </row>
    <row r="393" ht="24" customHeight="1">
      <c r="A393" s="306" t="n">
        <v>389</v>
      </c>
      <c r="B393" s="306" t="inlineStr">
        <is>
          <t>آبان</t>
        </is>
      </c>
      <c r="C393" s="306">
        <f>IF('دانش‌آموزان'!E37="","",'دانش‌آموزان'!B37)</f>
        <v/>
      </c>
      <c r="D393" s="306">
        <f>IF('دانش‌آموزان'!C37="","",'دانش‌آموزان'!C37)</f>
        <v/>
      </c>
      <c r="E393" s="306">
        <f>IF('دانش‌آموزان'!E37="","",'دانش‌آموزان'!E37&amp;" "&amp;'دانش‌آموزان'!F37)</f>
        <v/>
      </c>
      <c r="F393" s="306">
        <f>IF('دانش‌آموزان'!I37="","",'دانش‌آموزان'!I37)</f>
        <v/>
      </c>
      <c r="G393" s="307" t="n"/>
      <c r="H393" s="307" t="n"/>
      <c r="I393" s="307" t="n"/>
      <c r="J393" s="307" t="n"/>
      <c r="K393" s="313">
        <f>IF(COUNT(G393:J393)=0,"",AVERAGE(G393:J393)*4)</f>
        <v/>
      </c>
      <c r="L393" s="306">
        <f>IF(C393="","",IF(COUNT(G393:J393)=0,"",IF(COUNT(G393:J393)&lt;4,"موقت - اطلاعات ناقص",IF(K393&gt;=17,"عالی",IF(K393&gt;=14,"خوب",IF(K393&gt;=10,"متوسط","ضعیف"))))))</f>
        <v/>
      </c>
      <c r="M393" s="306" t="n">
        <v>5</v>
      </c>
      <c r="N393" s="314">
        <f>IF(C393="","",COUNT(G393:J393)/4)</f>
        <v/>
      </c>
      <c r="O393" s="307" t="n"/>
    </row>
    <row r="394" ht="24" customHeight="1">
      <c r="A394" s="306" t="n">
        <v>390</v>
      </c>
      <c r="B394" s="306" t="inlineStr">
        <is>
          <t>آذر</t>
        </is>
      </c>
      <c r="C394" s="306">
        <f>IF('دانش‌آموزان'!E37="","",'دانش‌آموزان'!B37)</f>
        <v/>
      </c>
      <c r="D394" s="306">
        <f>IF('دانش‌آموزان'!C37="","",'دانش‌آموزان'!C37)</f>
        <v/>
      </c>
      <c r="E394" s="306">
        <f>IF('دانش‌آموزان'!E37="","",'دانش‌آموزان'!E37&amp;" "&amp;'دانش‌آموزان'!F37)</f>
        <v/>
      </c>
      <c r="F394" s="306">
        <f>IF('دانش‌آموزان'!I37="","",'دانش‌آموزان'!I37)</f>
        <v/>
      </c>
      <c r="G394" s="307" t="n"/>
      <c r="H394" s="307" t="n"/>
      <c r="I394" s="307" t="n"/>
      <c r="J394" s="307" t="n"/>
      <c r="K394" s="313">
        <f>IF(COUNT(G394:J394)=0,"",AVERAGE(G394:J394)*4)</f>
        <v/>
      </c>
      <c r="L394" s="306">
        <f>IF(C394="","",IF(COUNT(G394:J394)=0,"",IF(COUNT(G394:J394)&lt;4,"موقت - اطلاعات ناقص",IF(K394&gt;=17,"عالی",IF(K394&gt;=14,"خوب",IF(K394&gt;=10,"متوسط","ضعیف"))))))</f>
        <v/>
      </c>
      <c r="M394" s="306" t="n">
        <v>6</v>
      </c>
      <c r="N394" s="314">
        <f>IF(C394="","",COUNT(G394:J394)/4)</f>
        <v/>
      </c>
      <c r="O394" s="307" t="n"/>
    </row>
    <row r="395" ht="24" customHeight="1">
      <c r="A395" s="306" t="n">
        <v>391</v>
      </c>
      <c r="B395" s="306" t="inlineStr">
        <is>
          <t>دی</t>
        </is>
      </c>
      <c r="C395" s="306">
        <f>IF('دانش‌آموزان'!E37="","",'دانش‌آموزان'!B37)</f>
        <v/>
      </c>
      <c r="D395" s="306">
        <f>IF('دانش‌آموزان'!C37="","",'دانش‌آموزان'!C37)</f>
        <v/>
      </c>
      <c r="E395" s="306">
        <f>IF('دانش‌آموزان'!E37="","",'دانش‌آموزان'!E37&amp;" "&amp;'دانش‌آموزان'!F37)</f>
        <v/>
      </c>
      <c r="F395" s="306">
        <f>IF('دانش‌آموزان'!I37="","",'دانش‌آموزان'!I37)</f>
        <v/>
      </c>
      <c r="G395" s="307" t="n"/>
      <c r="H395" s="307" t="n"/>
      <c r="I395" s="307" t="n"/>
      <c r="J395" s="307" t="n"/>
      <c r="K395" s="313">
        <f>IF(COUNT(G395:J395)=0,"",AVERAGE(G395:J395)*4)</f>
        <v/>
      </c>
      <c r="L395" s="306">
        <f>IF(C395="","",IF(COUNT(G395:J395)=0,"",IF(COUNT(G395:J395)&lt;4,"موقت - اطلاعات ناقص",IF(K395&gt;=17,"عالی",IF(K395&gt;=14,"خوب",IF(K395&gt;=10,"متوسط","ضعیف"))))))</f>
        <v/>
      </c>
      <c r="M395" s="306" t="n">
        <v>7</v>
      </c>
      <c r="N395" s="314">
        <f>IF(C395="","",COUNT(G395:J395)/4)</f>
        <v/>
      </c>
      <c r="O395" s="307" t="n"/>
    </row>
    <row r="396" ht="24" customHeight="1">
      <c r="A396" s="306" t="n">
        <v>392</v>
      </c>
      <c r="B396" s="306" t="inlineStr">
        <is>
          <t>بهمن</t>
        </is>
      </c>
      <c r="C396" s="306">
        <f>IF('دانش‌آموزان'!E37="","",'دانش‌آموزان'!B37)</f>
        <v/>
      </c>
      <c r="D396" s="306">
        <f>IF('دانش‌آموزان'!C37="","",'دانش‌آموزان'!C37)</f>
        <v/>
      </c>
      <c r="E396" s="306">
        <f>IF('دانش‌آموزان'!E37="","",'دانش‌آموزان'!E37&amp;" "&amp;'دانش‌آموزان'!F37)</f>
        <v/>
      </c>
      <c r="F396" s="306">
        <f>IF('دانش‌آموزان'!I37="","",'دانش‌آموزان'!I37)</f>
        <v/>
      </c>
      <c r="G396" s="307" t="n"/>
      <c r="H396" s="307" t="n"/>
      <c r="I396" s="307" t="n"/>
      <c r="J396" s="307" t="n"/>
      <c r="K396" s="313">
        <f>IF(COUNT(G396:J396)=0,"",AVERAGE(G396:J396)*4)</f>
        <v/>
      </c>
      <c r="L396" s="306">
        <f>IF(C396="","",IF(COUNT(G396:J396)=0,"",IF(COUNT(G396:J396)&lt;4,"موقت - اطلاعات ناقص",IF(K396&gt;=17,"عالی",IF(K396&gt;=14,"خوب",IF(K396&gt;=10,"متوسط","ضعیف"))))))</f>
        <v/>
      </c>
      <c r="M396" s="306" t="n">
        <v>8</v>
      </c>
      <c r="N396" s="314">
        <f>IF(C396="","",COUNT(G396:J396)/4)</f>
        <v/>
      </c>
      <c r="O396" s="307" t="n"/>
    </row>
    <row r="397" ht="24" customHeight="1">
      <c r="A397" s="306" t="n">
        <v>393</v>
      </c>
      <c r="B397" s="306" t="inlineStr">
        <is>
          <t>اسفند</t>
        </is>
      </c>
      <c r="C397" s="306">
        <f>IF('دانش‌آموزان'!E37="","",'دانش‌آموزان'!B37)</f>
        <v/>
      </c>
      <c r="D397" s="306">
        <f>IF('دانش‌آموزان'!C37="","",'دانش‌آموزان'!C37)</f>
        <v/>
      </c>
      <c r="E397" s="306">
        <f>IF('دانش‌آموزان'!E37="","",'دانش‌آموزان'!E37&amp;" "&amp;'دانش‌آموزان'!F37)</f>
        <v/>
      </c>
      <c r="F397" s="306">
        <f>IF('دانش‌آموزان'!I37="","",'دانش‌آموزان'!I37)</f>
        <v/>
      </c>
      <c r="G397" s="307" t="n"/>
      <c r="H397" s="307" t="n"/>
      <c r="I397" s="307" t="n"/>
      <c r="J397" s="307" t="n"/>
      <c r="K397" s="313">
        <f>IF(COUNT(G397:J397)=0,"",AVERAGE(G397:J397)*4)</f>
        <v/>
      </c>
      <c r="L397" s="306">
        <f>IF(C397="","",IF(COUNT(G397:J397)=0,"",IF(COUNT(G397:J397)&lt;4,"موقت - اطلاعات ناقص",IF(K397&gt;=17,"عالی",IF(K397&gt;=14,"خوب",IF(K397&gt;=10,"متوسط","ضعیف"))))))</f>
        <v/>
      </c>
      <c r="M397" s="306" t="n">
        <v>9</v>
      </c>
      <c r="N397" s="314">
        <f>IF(C397="","",COUNT(G397:J397)/4)</f>
        <v/>
      </c>
      <c r="O397" s="307" t="n"/>
    </row>
    <row r="398" ht="24" customHeight="1">
      <c r="A398" s="306" t="n">
        <v>394</v>
      </c>
      <c r="B398" s="306" t="inlineStr">
        <is>
          <t>فروردین</t>
        </is>
      </c>
      <c r="C398" s="306">
        <f>IF('دانش‌آموزان'!E37="","",'دانش‌آموزان'!B37)</f>
        <v/>
      </c>
      <c r="D398" s="306">
        <f>IF('دانش‌آموزان'!C37="","",'دانش‌آموزان'!C37)</f>
        <v/>
      </c>
      <c r="E398" s="306">
        <f>IF('دانش‌آموزان'!E37="","",'دانش‌آموزان'!E37&amp;" "&amp;'دانش‌آموزان'!F37)</f>
        <v/>
      </c>
      <c r="F398" s="306">
        <f>IF('دانش‌آموزان'!I37="","",'دانش‌آموزان'!I37)</f>
        <v/>
      </c>
      <c r="G398" s="307" t="n"/>
      <c r="H398" s="307" t="n"/>
      <c r="I398" s="307" t="n"/>
      <c r="J398" s="307" t="n"/>
      <c r="K398" s="313">
        <f>IF(COUNT(G398:J398)=0,"",AVERAGE(G398:J398)*4)</f>
        <v/>
      </c>
      <c r="L398" s="306">
        <f>IF(C398="","",IF(COUNT(G398:J398)=0,"",IF(COUNT(G398:J398)&lt;4,"موقت - اطلاعات ناقص",IF(K398&gt;=17,"عالی",IF(K398&gt;=14,"خوب",IF(K398&gt;=10,"متوسط","ضعیف"))))))</f>
        <v/>
      </c>
      <c r="M398" s="306" t="n">
        <v>10</v>
      </c>
      <c r="N398" s="314">
        <f>IF(C398="","",COUNT(G398:J398)/4)</f>
        <v/>
      </c>
      <c r="O398" s="307" t="n"/>
    </row>
    <row r="399" ht="24" customHeight="1">
      <c r="A399" s="306" t="n">
        <v>395</v>
      </c>
      <c r="B399" s="306" t="inlineStr">
        <is>
          <t>اردیبهشت</t>
        </is>
      </c>
      <c r="C399" s="306">
        <f>IF('دانش‌آموزان'!E37="","",'دانش‌آموزان'!B37)</f>
        <v/>
      </c>
      <c r="D399" s="306">
        <f>IF('دانش‌آموزان'!C37="","",'دانش‌آموزان'!C37)</f>
        <v/>
      </c>
      <c r="E399" s="306">
        <f>IF('دانش‌آموزان'!E37="","",'دانش‌آموزان'!E37&amp;" "&amp;'دانش‌آموزان'!F37)</f>
        <v/>
      </c>
      <c r="F399" s="306">
        <f>IF('دانش‌آموزان'!I37="","",'دانش‌آموزان'!I37)</f>
        <v/>
      </c>
      <c r="G399" s="307" t="n"/>
      <c r="H399" s="307" t="n"/>
      <c r="I399" s="307" t="n"/>
      <c r="J399" s="307" t="n"/>
      <c r="K399" s="313">
        <f>IF(COUNT(G399:J399)=0,"",AVERAGE(G399:J399)*4)</f>
        <v/>
      </c>
      <c r="L399" s="306">
        <f>IF(C399="","",IF(COUNT(G399:J399)=0,"",IF(COUNT(G399:J399)&lt;4,"موقت - اطلاعات ناقص",IF(K399&gt;=17,"عالی",IF(K399&gt;=14,"خوب",IF(K399&gt;=10,"متوسط","ضعیف"))))))</f>
        <v/>
      </c>
      <c r="M399" s="306" t="n">
        <v>11</v>
      </c>
      <c r="N399" s="314">
        <f>IF(C399="","",COUNT(G399:J399)/4)</f>
        <v/>
      </c>
      <c r="O399" s="307" t="n"/>
    </row>
    <row r="400" ht="24" customHeight="1">
      <c r="A400" s="306" t="n">
        <v>396</v>
      </c>
      <c r="B400" s="306" t="inlineStr">
        <is>
          <t>خرداد</t>
        </is>
      </c>
      <c r="C400" s="306">
        <f>IF('دانش‌آموزان'!E37="","",'دانش‌آموزان'!B37)</f>
        <v/>
      </c>
      <c r="D400" s="306">
        <f>IF('دانش‌آموزان'!C37="","",'دانش‌آموزان'!C37)</f>
        <v/>
      </c>
      <c r="E400" s="306">
        <f>IF('دانش‌آموزان'!E37="","",'دانش‌آموزان'!E37&amp;" "&amp;'دانش‌آموزان'!F37)</f>
        <v/>
      </c>
      <c r="F400" s="306">
        <f>IF('دانش‌آموزان'!I37="","",'دانش‌آموزان'!I37)</f>
        <v/>
      </c>
      <c r="G400" s="307" t="n"/>
      <c r="H400" s="307" t="n"/>
      <c r="I400" s="307" t="n"/>
      <c r="J400" s="307" t="n"/>
      <c r="K400" s="313">
        <f>IF(COUNT(G400:J400)=0,"",AVERAGE(G400:J400)*4)</f>
        <v/>
      </c>
      <c r="L400" s="306">
        <f>IF(C400="","",IF(COUNT(G400:J400)=0,"",IF(COUNT(G400:J400)&lt;4,"موقت - اطلاعات ناقص",IF(K400&gt;=17,"عالی",IF(K400&gt;=14,"خوب",IF(K400&gt;=10,"متوسط","ضعیف"))))))</f>
        <v/>
      </c>
      <c r="M400" s="306" t="n">
        <v>12</v>
      </c>
      <c r="N400" s="314">
        <f>IF(C400="","",COUNT(G400:J400)/4)</f>
        <v/>
      </c>
      <c r="O400" s="307" t="n"/>
    </row>
    <row r="401" ht="24" customHeight="1">
      <c r="A401" s="306" t="n">
        <v>397</v>
      </c>
      <c r="B401" s="306" t="inlineStr">
        <is>
          <t>تیر</t>
        </is>
      </c>
      <c r="C401" s="306">
        <f>IF('دانش‌آموزان'!E38="","",'دانش‌آموزان'!B38)</f>
        <v/>
      </c>
      <c r="D401" s="306">
        <f>IF('دانش‌آموزان'!C38="","",'دانش‌آموزان'!C38)</f>
        <v/>
      </c>
      <c r="E401" s="306">
        <f>IF('دانش‌آموزان'!E38="","",'دانش‌آموزان'!E38&amp;" "&amp;'دانش‌آموزان'!F38)</f>
        <v/>
      </c>
      <c r="F401" s="306">
        <f>IF('دانش‌آموزان'!I38="","",'دانش‌آموزان'!I38)</f>
        <v/>
      </c>
      <c r="G401" s="307" t="n"/>
      <c r="H401" s="307" t="n"/>
      <c r="I401" s="307" t="n"/>
      <c r="J401" s="307" t="n"/>
      <c r="K401" s="313">
        <f>IF(COUNT(G401:J401)=0,"",AVERAGE(G401:J401)*4)</f>
        <v/>
      </c>
      <c r="L401" s="306">
        <f>IF(C401="","",IF(COUNT(G401:J401)=0,"",IF(COUNT(G401:J401)&lt;4,"موقت - اطلاعات ناقص",IF(K401&gt;=17,"عالی",IF(K401&gt;=14,"خوب",IF(K401&gt;=10,"متوسط","ضعیف"))))))</f>
        <v/>
      </c>
      <c r="M401" s="306" t="n">
        <v>1</v>
      </c>
      <c r="N401" s="314">
        <f>IF(C401="","",COUNT(G401:J401)/4)</f>
        <v/>
      </c>
      <c r="O401" s="307" t="n"/>
    </row>
    <row r="402" ht="24" customHeight="1">
      <c r="A402" s="306" t="n">
        <v>398</v>
      </c>
      <c r="B402" s="306" t="inlineStr">
        <is>
          <t>مرداد</t>
        </is>
      </c>
      <c r="C402" s="306">
        <f>IF('دانش‌آموزان'!E38="","",'دانش‌آموزان'!B38)</f>
        <v/>
      </c>
      <c r="D402" s="306">
        <f>IF('دانش‌آموزان'!C38="","",'دانش‌آموزان'!C38)</f>
        <v/>
      </c>
      <c r="E402" s="306">
        <f>IF('دانش‌آموزان'!E38="","",'دانش‌آموزان'!E38&amp;" "&amp;'دانش‌آموزان'!F38)</f>
        <v/>
      </c>
      <c r="F402" s="306">
        <f>IF('دانش‌آموزان'!I38="","",'دانش‌آموزان'!I38)</f>
        <v/>
      </c>
      <c r="G402" s="307" t="n"/>
      <c r="H402" s="307" t="n"/>
      <c r="I402" s="307" t="n"/>
      <c r="J402" s="307" t="n"/>
      <c r="K402" s="313">
        <f>IF(COUNT(G402:J402)=0,"",AVERAGE(G402:J402)*4)</f>
        <v/>
      </c>
      <c r="L402" s="306">
        <f>IF(C402="","",IF(COUNT(G402:J402)=0,"",IF(COUNT(G402:J402)&lt;4,"موقت - اطلاعات ناقص",IF(K402&gt;=17,"عالی",IF(K402&gt;=14,"خوب",IF(K402&gt;=10,"متوسط","ضعیف"))))))</f>
        <v/>
      </c>
      <c r="M402" s="306" t="n">
        <v>2</v>
      </c>
      <c r="N402" s="314">
        <f>IF(C402="","",COUNT(G402:J402)/4)</f>
        <v/>
      </c>
      <c r="O402" s="307" t="n"/>
    </row>
    <row r="403" ht="24" customHeight="1">
      <c r="A403" s="306" t="n">
        <v>399</v>
      </c>
      <c r="B403" s="306" t="inlineStr">
        <is>
          <t>شهریور</t>
        </is>
      </c>
      <c r="C403" s="306">
        <f>IF('دانش‌آموزان'!E38="","",'دانش‌آموزان'!B38)</f>
        <v/>
      </c>
      <c r="D403" s="306">
        <f>IF('دانش‌آموزان'!C38="","",'دانش‌آموزان'!C38)</f>
        <v/>
      </c>
      <c r="E403" s="306">
        <f>IF('دانش‌آموزان'!E38="","",'دانش‌آموزان'!E38&amp;" "&amp;'دانش‌آموزان'!F38)</f>
        <v/>
      </c>
      <c r="F403" s="306">
        <f>IF('دانش‌آموزان'!I38="","",'دانش‌آموزان'!I38)</f>
        <v/>
      </c>
      <c r="G403" s="307" t="n"/>
      <c r="H403" s="307" t="n"/>
      <c r="I403" s="307" t="n"/>
      <c r="J403" s="307" t="n"/>
      <c r="K403" s="313">
        <f>IF(COUNT(G403:J403)=0,"",AVERAGE(G403:J403)*4)</f>
        <v/>
      </c>
      <c r="L403" s="306">
        <f>IF(C403="","",IF(COUNT(G403:J403)=0,"",IF(COUNT(G403:J403)&lt;4,"موقت - اطلاعات ناقص",IF(K403&gt;=17,"عالی",IF(K403&gt;=14,"خوب",IF(K403&gt;=10,"متوسط","ضعیف"))))))</f>
        <v/>
      </c>
      <c r="M403" s="306" t="n">
        <v>3</v>
      </c>
      <c r="N403" s="314">
        <f>IF(C403="","",COUNT(G403:J403)/4)</f>
        <v/>
      </c>
      <c r="O403" s="307" t="n"/>
    </row>
    <row r="404" ht="24" customHeight="1">
      <c r="A404" s="306" t="n">
        <v>400</v>
      </c>
      <c r="B404" s="306" t="inlineStr">
        <is>
          <t>مهر</t>
        </is>
      </c>
      <c r="C404" s="306">
        <f>IF('دانش‌آموزان'!E38="","",'دانش‌آموزان'!B38)</f>
        <v/>
      </c>
      <c r="D404" s="306">
        <f>IF('دانش‌آموزان'!C38="","",'دانش‌آموزان'!C38)</f>
        <v/>
      </c>
      <c r="E404" s="306">
        <f>IF('دانش‌آموزان'!E38="","",'دانش‌آموزان'!E38&amp;" "&amp;'دانش‌آموزان'!F38)</f>
        <v/>
      </c>
      <c r="F404" s="306">
        <f>IF('دانش‌آموزان'!I38="","",'دانش‌آموزان'!I38)</f>
        <v/>
      </c>
      <c r="G404" s="307" t="n"/>
      <c r="H404" s="307" t="n"/>
      <c r="I404" s="307" t="n"/>
      <c r="J404" s="307" t="n"/>
      <c r="K404" s="313">
        <f>IF(COUNT(G404:J404)=0,"",AVERAGE(G404:J404)*4)</f>
        <v/>
      </c>
      <c r="L404" s="306">
        <f>IF(C404="","",IF(COUNT(G404:J404)=0,"",IF(COUNT(G404:J404)&lt;4,"موقت - اطلاعات ناقص",IF(K404&gt;=17,"عالی",IF(K404&gt;=14,"خوب",IF(K404&gt;=10,"متوسط","ضعیف"))))))</f>
        <v/>
      </c>
      <c r="M404" s="306" t="n">
        <v>4</v>
      </c>
      <c r="N404" s="314">
        <f>IF(C404="","",COUNT(G404:J404)/4)</f>
        <v/>
      </c>
      <c r="O404" s="307" t="n"/>
    </row>
    <row r="405" ht="24" customHeight="1">
      <c r="A405" s="306" t="n">
        <v>401</v>
      </c>
      <c r="B405" s="306" t="inlineStr">
        <is>
          <t>آبان</t>
        </is>
      </c>
      <c r="C405" s="306">
        <f>IF('دانش‌آموزان'!E38="","",'دانش‌آموزان'!B38)</f>
        <v/>
      </c>
      <c r="D405" s="306">
        <f>IF('دانش‌آموزان'!C38="","",'دانش‌آموزان'!C38)</f>
        <v/>
      </c>
      <c r="E405" s="306">
        <f>IF('دانش‌آموزان'!E38="","",'دانش‌آموزان'!E38&amp;" "&amp;'دانش‌آموزان'!F38)</f>
        <v/>
      </c>
      <c r="F405" s="306">
        <f>IF('دانش‌آموزان'!I38="","",'دانش‌آموزان'!I38)</f>
        <v/>
      </c>
      <c r="G405" s="307" t="n"/>
      <c r="H405" s="307" t="n"/>
      <c r="I405" s="307" t="n"/>
      <c r="J405" s="307" t="n"/>
      <c r="K405" s="313">
        <f>IF(COUNT(G405:J405)=0,"",AVERAGE(G405:J405)*4)</f>
        <v/>
      </c>
      <c r="L405" s="306">
        <f>IF(C405="","",IF(COUNT(G405:J405)=0,"",IF(COUNT(G405:J405)&lt;4,"موقت - اطلاعات ناقص",IF(K405&gt;=17,"عالی",IF(K405&gt;=14,"خوب",IF(K405&gt;=10,"متوسط","ضعیف"))))))</f>
        <v/>
      </c>
      <c r="M405" s="306" t="n">
        <v>5</v>
      </c>
      <c r="N405" s="314">
        <f>IF(C405="","",COUNT(G405:J405)/4)</f>
        <v/>
      </c>
      <c r="O405" s="307" t="n"/>
    </row>
    <row r="406" ht="24" customHeight="1">
      <c r="A406" s="306" t="n">
        <v>402</v>
      </c>
      <c r="B406" s="306" t="inlineStr">
        <is>
          <t>آذر</t>
        </is>
      </c>
      <c r="C406" s="306">
        <f>IF('دانش‌آموزان'!E38="","",'دانش‌آموزان'!B38)</f>
        <v/>
      </c>
      <c r="D406" s="306">
        <f>IF('دانش‌آموزان'!C38="","",'دانش‌آموزان'!C38)</f>
        <v/>
      </c>
      <c r="E406" s="306">
        <f>IF('دانش‌آموزان'!E38="","",'دانش‌آموزان'!E38&amp;" "&amp;'دانش‌آموزان'!F38)</f>
        <v/>
      </c>
      <c r="F406" s="306">
        <f>IF('دانش‌آموزان'!I38="","",'دانش‌آموزان'!I38)</f>
        <v/>
      </c>
      <c r="G406" s="307" t="n"/>
      <c r="H406" s="307" t="n"/>
      <c r="I406" s="307" t="n"/>
      <c r="J406" s="307" t="n"/>
      <c r="K406" s="313">
        <f>IF(COUNT(G406:J406)=0,"",AVERAGE(G406:J406)*4)</f>
        <v/>
      </c>
      <c r="L406" s="306">
        <f>IF(C406="","",IF(COUNT(G406:J406)=0,"",IF(COUNT(G406:J406)&lt;4,"موقت - اطلاعات ناقص",IF(K406&gt;=17,"عالی",IF(K406&gt;=14,"خوب",IF(K406&gt;=10,"متوسط","ضعیف"))))))</f>
        <v/>
      </c>
      <c r="M406" s="306" t="n">
        <v>6</v>
      </c>
      <c r="N406" s="314">
        <f>IF(C406="","",COUNT(G406:J406)/4)</f>
        <v/>
      </c>
      <c r="O406" s="307" t="n"/>
    </row>
    <row r="407" ht="24" customHeight="1">
      <c r="A407" s="306" t="n">
        <v>403</v>
      </c>
      <c r="B407" s="306" t="inlineStr">
        <is>
          <t>دی</t>
        </is>
      </c>
      <c r="C407" s="306">
        <f>IF('دانش‌آموزان'!E38="","",'دانش‌آموزان'!B38)</f>
        <v/>
      </c>
      <c r="D407" s="306">
        <f>IF('دانش‌آموزان'!C38="","",'دانش‌آموزان'!C38)</f>
        <v/>
      </c>
      <c r="E407" s="306">
        <f>IF('دانش‌آموزان'!E38="","",'دانش‌آموزان'!E38&amp;" "&amp;'دانش‌آموزان'!F38)</f>
        <v/>
      </c>
      <c r="F407" s="306">
        <f>IF('دانش‌آموزان'!I38="","",'دانش‌آموزان'!I38)</f>
        <v/>
      </c>
      <c r="G407" s="307" t="n"/>
      <c r="H407" s="307" t="n"/>
      <c r="I407" s="307" t="n"/>
      <c r="J407" s="307" t="n"/>
      <c r="K407" s="313">
        <f>IF(COUNT(G407:J407)=0,"",AVERAGE(G407:J407)*4)</f>
        <v/>
      </c>
      <c r="L407" s="306">
        <f>IF(C407="","",IF(COUNT(G407:J407)=0,"",IF(COUNT(G407:J407)&lt;4,"موقت - اطلاعات ناقص",IF(K407&gt;=17,"عالی",IF(K407&gt;=14,"خوب",IF(K407&gt;=10,"متوسط","ضعیف"))))))</f>
        <v/>
      </c>
      <c r="M407" s="306" t="n">
        <v>7</v>
      </c>
      <c r="N407" s="314">
        <f>IF(C407="","",COUNT(G407:J407)/4)</f>
        <v/>
      </c>
      <c r="O407" s="307" t="n"/>
    </row>
    <row r="408" ht="24" customHeight="1">
      <c r="A408" s="306" t="n">
        <v>404</v>
      </c>
      <c r="B408" s="306" t="inlineStr">
        <is>
          <t>بهمن</t>
        </is>
      </c>
      <c r="C408" s="306">
        <f>IF('دانش‌آموزان'!E38="","",'دانش‌آموزان'!B38)</f>
        <v/>
      </c>
      <c r="D408" s="306">
        <f>IF('دانش‌آموزان'!C38="","",'دانش‌آموزان'!C38)</f>
        <v/>
      </c>
      <c r="E408" s="306">
        <f>IF('دانش‌آموزان'!E38="","",'دانش‌آموزان'!E38&amp;" "&amp;'دانش‌آموزان'!F38)</f>
        <v/>
      </c>
      <c r="F408" s="306">
        <f>IF('دانش‌آموزان'!I38="","",'دانش‌آموزان'!I38)</f>
        <v/>
      </c>
      <c r="G408" s="307" t="n"/>
      <c r="H408" s="307" t="n"/>
      <c r="I408" s="307" t="n"/>
      <c r="J408" s="307" t="n"/>
      <c r="K408" s="313">
        <f>IF(COUNT(G408:J408)=0,"",AVERAGE(G408:J408)*4)</f>
        <v/>
      </c>
      <c r="L408" s="306">
        <f>IF(C408="","",IF(COUNT(G408:J408)=0,"",IF(COUNT(G408:J408)&lt;4,"موقت - اطلاعات ناقص",IF(K408&gt;=17,"عالی",IF(K408&gt;=14,"خوب",IF(K408&gt;=10,"متوسط","ضعیف"))))))</f>
        <v/>
      </c>
      <c r="M408" s="306" t="n">
        <v>8</v>
      </c>
      <c r="N408" s="314">
        <f>IF(C408="","",COUNT(G408:J408)/4)</f>
        <v/>
      </c>
      <c r="O408" s="307" t="n"/>
    </row>
    <row r="409" ht="24" customHeight="1">
      <c r="A409" s="306" t="n">
        <v>405</v>
      </c>
      <c r="B409" s="306" t="inlineStr">
        <is>
          <t>اسفند</t>
        </is>
      </c>
      <c r="C409" s="306">
        <f>IF('دانش‌آموزان'!E38="","",'دانش‌آموزان'!B38)</f>
        <v/>
      </c>
      <c r="D409" s="306">
        <f>IF('دانش‌آموزان'!C38="","",'دانش‌آموزان'!C38)</f>
        <v/>
      </c>
      <c r="E409" s="306">
        <f>IF('دانش‌آموزان'!E38="","",'دانش‌آموزان'!E38&amp;" "&amp;'دانش‌آموزان'!F38)</f>
        <v/>
      </c>
      <c r="F409" s="306">
        <f>IF('دانش‌آموزان'!I38="","",'دانش‌آموزان'!I38)</f>
        <v/>
      </c>
      <c r="G409" s="307" t="n"/>
      <c r="H409" s="307" t="n"/>
      <c r="I409" s="307" t="n"/>
      <c r="J409" s="307" t="n"/>
      <c r="K409" s="313">
        <f>IF(COUNT(G409:J409)=0,"",AVERAGE(G409:J409)*4)</f>
        <v/>
      </c>
      <c r="L409" s="306">
        <f>IF(C409="","",IF(COUNT(G409:J409)=0,"",IF(COUNT(G409:J409)&lt;4,"موقت - اطلاعات ناقص",IF(K409&gt;=17,"عالی",IF(K409&gt;=14,"خوب",IF(K409&gt;=10,"متوسط","ضعیف"))))))</f>
        <v/>
      </c>
      <c r="M409" s="306" t="n">
        <v>9</v>
      </c>
      <c r="N409" s="314">
        <f>IF(C409="","",COUNT(G409:J409)/4)</f>
        <v/>
      </c>
      <c r="O409" s="307" t="n"/>
    </row>
    <row r="410" ht="24" customHeight="1">
      <c r="A410" s="306" t="n">
        <v>406</v>
      </c>
      <c r="B410" s="306" t="inlineStr">
        <is>
          <t>فروردین</t>
        </is>
      </c>
      <c r="C410" s="306">
        <f>IF('دانش‌آموزان'!E38="","",'دانش‌آموزان'!B38)</f>
        <v/>
      </c>
      <c r="D410" s="306">
        <f>IF('دانش‌آموزان'!C38="","",'دانش‌آموزان'!C38)</f>
        <v/>
      </c>
      <c r="E410" s="306">
        <f>IF('دانش‌آموزان'!E38="","",'دانش‌آموزان'!E38&amp;" "&amp;'دانش‌آموزان'!F38)</f>
        <v/>
      </c>
      <c r="F410" s="306">
        <f>IF('دانش‌آموزان'!I38="","",'دانش‌آموزان'!I38)</f>
        <v/>
      </c>
      <c r="G410" s="307" t="n"/>
      <c r="H410" s="307" t="n"/>
      <c r="I410" s="307" t="n"/>
      <c r="J410" s="307" t="n"/>
      <c r="K410" s="313">
        <f>IF(COUNT(G410:J410)=0,"",AVERAGE(G410:J410)*4)</f>
        <v/>
      </c>
      <c r="L410" s="306">
        <f>IF(C410="","",IF(COUNT(G410:J410)=0,"",IF(COUNT(G410:J410)&lt;4,"موقت - اطلاعات ناقص",IF(K410&gt;=17,"عالی",IF(K410&gt;=14,"خوب",IF(K410&gt;=10,"متوسط","ضعیف"))))))</f>
        <v/>
      </c>
      <c r="M410" s="306" t="n">
        <v>10</v>
      </c>
      <c r="N410" s="314">
        <f>IF(C410="","",COUNT(G410:J410)/4)</f>
        <v/>
      </c>
      <c r="O410" s="307" t="n"/>
    </row>
    <row r="411" ht="24" customHeight="1">
      <c r="A411" s="306" t="n">
        <v>407</v>
      </c>
      <c r="B411" s="306" t="inlineStr">
        <is>
          <t>اردیبهشت</t>
        </is>
      </c>
      <c r="C411" s="306">
        <f>IF('دانش‌آموزان'!E38="","",'دانش‌آموزان'!B38)</f>
        <v/>
      </c>
      <c r="D411" s="306">
        <f>IF('دانش‌آموزان'!C38="","",'دانش‌آموزان'!C38)</f>
        <v/>
      </c>
      <c r="E411" s="306">
        <f>IF('دانش‌آموزان'!E38="","",'دانش‌آموزان'!E38&amp;" "&amp;'دانش‌آموزان'!F38)</f>
        <v/>
      </c>
      <c r="F411" s="306">
        <f>IF('دانش‌آموزان'!I38="","",'دانش‌آموزان'!I38)</f>
        <v/>
      </c>
      <c r="G411" s="307" t="n"/>
      <c r="H411" s="307" t="n"/>
      <c r="I411" s="307" t="n"/>
      <c r="J411" s="307" t="n"/>
      <c r="K411" s="313">
        <f>IF(COUNT(G411:J411)=0,"",AVERAGE(G411:J411)*4)</f>
        <v/>
      </c>
      <c r="L411" s="306">
        <f>IF(C411="","",IF(COUNT(G411:J411)=0,"",IF(COUNT(G411:J411)&lt;4,"موقت - اطلاعات ناقص",IF(K411&gt;=17,"عالی",IF(K411&gt;=14,"خوب",IF(K411&gt;=10,"متوسط","ضعیف"))))))</f>
        <v/>
      </c>
      <c r="M411" s="306" t="n">
        <v>11</v>
      </c>
      <c r="N411" s="314">
        <f>IF(C411="","",COUNT(G411:J411)/4)</f>
        <v/>
      </c>
      <c r="O411" s="307" t="n"/>
    </row>
    <row r="412" ht="24" customHeight="1">
      <c r="A412" s="306" t="n">
        <v>408</v>
      </c>
      <c r="B412" s="306" t="inlineStr">
        <is>
          <t>خرداد</t>
        </is>
      </c>
      <c r="C412" s="306">
        <f>IF('دانش‌آموزان'!E38="","",'دانش‌آموزان'!B38)</f>
        <v/>
      </c>
      <c r="D412" s="306">
        <f>IF('دانش‌آموزان'!C38="","",'دانش‌آموزان'!C38)</f>
        <v/>
      </c>
      <c r="E412" s="306">
        <f>IF('دانش‌آموزان'!E38="","",'دانش‌آموزان'!E38&amp;" "&amp;'دانش‌آموزان'!F38)</f>
        <v/>
      </c>
      <c r="F412" s="306">
        <f>IF('دانش‌آموزان'!I38="","",'دانش‌آموزان'!I38)</f>
        <v/>
      </c>
      <c r="G412" s="307" t="n"/>
      <c r="H412" s="307" t="n"/>
      <c r="I412" s="307" t="n"/>
      <c r="J412" s="307" t="n"/>
      <c r="K412" s="313">
        <f>IF(COUNT(G412:J412)=0,"",AVERAGE(G412:J412)*4)</f>
        <v/>
      </c>
      <c r="L412" s="306">
        <f>IF(C412="","",IF(COUNT(G412:J412)=0,"",IF(COUNT(G412:J412)&lt;4,"موقت - اطلاعات ناقص",IF(K412&gt;=17,"عالی",IF(K412&gt;=14,"خوب",IF(K412&gt;=10,"متوسط","ضعیف"))))))</f>
        <v/>
      </c>
      <c r="M412" s="306" t="n">
        <v>12</v>
      </c>
      <c r="N412" s="314">
        <f>IF(C412="","",COUNT(G412:J412)/4)</f>
        <v/>
      </c>
      <c r="O412" s="307" t="n"/>
    </row>
    <row r="413" ht="24" customHeight="1">
      <c r="A413" s="306" t="n">
        <v>409</v>
      </c>
      <c r="B413" s="306" t="inlineStr">
        <is>
          <t>تیر</t>
        </is>
      </c>
      <c r="C413" s="306">
        <f>IF('دانش‌آموزان'!E39="","",'دانش‌آموزان'!B39)</f>
        <v/>
      </c>
      <c r="D413" s="306">
        <f>IF('دانش‌آموزان'!C39="","",'دانش‌آموزان'!C39)</f>
        <v/>
      </c>
      <c r="E413" s="306">
        <f>IF('دانش‌آموزان'!E39="","",'دانش‌آموزان'!E39&amp;" "&amp;'دانش‌آموزان'!F39)</f>
        <v/>
      </c>
      <c r="F413" s="306">
        <f>IF('دانش‌آموزان'!I39="","",'دانش‌آموزان'!I39)</f>
        <v/>
      </c>
      <c r="G413" s="307" t="n"/>
      <c r="H413" s="307" t="n"/>
      <c r="I413" s="307" t="n"/>
      <c r="J413" s="307" t="n"/>
      <c r="K413" s="313">
        <f>IF(COUNT(G413:J413)=0,"",AVERAGE(G413:J413)*4)</f>
        <v/>
      </c>
      <c r="L413" s="306">
        <f>IF(C413="","",IF(COUNT(G413:J413)=0,"",IF(COUNT(G413:J413)&lt;4,"موقت - اطلاعات ناقص",IF(K413&gt;=17,"عالی",IF(K413&gt;=14,"خوب",IF(K413&gt;=10,"متوسط","ضعیف"))))))</f>
        <v/>
      </c>
      <c r="M413" s="306" t="n">
        <v>1</v>
      </c>
      <c r="N413" s="314">
        <f>IF(C413="","",COUNT(G413:J413)/4)</f>
        <v/>
      </c>
      <c r="O413" s="307" t="n"/>
    </row>
    <row r="414" ht="24" customHeight="1">
      <c r="A414" s="306" t="n">
        <v>410</v>
      </c>
      <c r="B414" s="306" t="inlineStr">
        <is>
          <t>مرداد</t>
        </is>
      </c>
      <c r="C414" s="306">
        <f>IF('دانش‌آموزان'!E39="","",'دانش‌آموزان'!B39)</f>
        <v/>
      </c>
      <c r="D414" s="306">
        <f>IF('دانش‌آموزان'!C39="","",'دانش‌آموزان'!C39)</f>
        <v/>
      </c>
      <c r="E414" s="306">
        <f>IF('دانش‌آموزان'!E39="","",'دانش‌آموزان'!E39&amp;" "&amp;'دانش‌آموزان'!F39)</f>
        <v/>
      </c>
      <c r="F414" s="306">
        <f>IF('دانش‌آموزان'!I39="","",'دانش‌آموزان'!I39)</f>
        <v/>
      </c>
      <c r="G414" s="307" t="n"/>
      <c r="H414" s="307" t="n"/>
      <c r="I414" s="307" t="n"/>
      <c r="J414" s="307" t="n"/>
      <c r="K414" s="313">
        <f>IF(COUNT(G414:J414)=0,"",AVERAGE(G414:J414)*4)</f>
        <v/>
      </c>
      <c r="L414" s="306">
        <f>IF(C414="","",IF(COUNT(G414:J414)=0,"",IF(COUNT(G414:J414)&lt;4,"موقت - اطلاعات ناقص",IF(K414&gt;=17,"عالی",IF(K414&gt;=14,"خوب",IF(K414&gt;=10,"متوسط","ضعیف"))))))</f>
        <v/>
      </c>
      <c r="M414" s="306" t="n">
        <v>2</v>
      </c>
      <c r="N414" s="314">
        <f>IF(C414="","",COUNT(G414:J414)/4)</f>
        <v/>
      </c>
      <c r="O414" s="307" t="n"/>
    </row>
    <row r="415" ht="24" customHeight="1">
      <c r="A415" s="306" t="n">
        <v>411</v>
      </c>
      <c r="B415" s="306" t="inlineStr">
        <is>
          <t>شهریور</t>
        </is>
      </c>
      <c r="C415" s="306">
        <f>IF('دانش‌آموزان'!E39="","",'دانش‌آموزان'!B39)</f>
        <v/>
      </c>
      <c r="D415" s="306">
        <f>IF('دانش‌آموزان'!C39="","",'دانش‌آموزان'!C39)</f>
        <v/>
      </c>
      <c r="E415" s="306">
        <f>IF('دانش‌آموزان'!E39="","",'دانش‌آموزان'!E39&amp;" "&amp;'دانش‌آموزان'!F39)</f>
        <v/>
      </c>
      <c r="F415" s="306">
        <f>IF('دانش‌آموزان'!I39="","",'دانش‌آموزان'!I39)</f>
        <v/>
      </c>
      <c r="G415" s="307" t="n"/>
      <c r="H415" s="307" t="n"/>
      <c r="I415" s="307" t="n"/>
      <c r="J415" s="307" t="n"/>
      <c r="K415" s="313">
        <f>IF(COUNT(G415:J415)=0,"",AVERAGE(G415:J415)*4)</f>
        <v/>
      </c>
      <c r="L415" s="306">
        <f>IF(C415="","",IF(COUNT(G415:J415)=0,"",IF(COUNT(G415:J415)&lt;4,"موقت - اطلاعات ناقص",IF(K415&gt;=17,"عالی",IF(K415&gt;=14,"خوب",IF(K415&gt;=10,"متوسط","ضعیف"))))))</f>
        <v/>
      </c>
      <c r="M415" s="306" t="n">
        <v>3</v>
      </c>
      <c r="N415" s="314">
        <f>IF(C415="","",COUNT(G415:J415)/4)</f>
        <v/>
      </c>
      <c r="O415" s="307" t="n"/>
    </row>
    <row r="416" ht="24" customHeight="1">
      <c r="A416" s="306" t="n">
        <v>412</v>
      </c>
      <c r="B416" s="306" t="inlineStr">
        <is>
          <t>مهر</t>
        </is>
      </c>
      <c r="C416" s="306">
        <f>IF('دانش‌آموزان'!E39="","",'دانش‌آموزان'!B39)</f>
        <v/>
      </c>
      <c r="D416" s="306">
        <f>IF('دانش‌آموزان'!C39="","",'دانش‌آموزان'!C39)</f>
        <v/>
      </c>
      <c r="E416" s="306">
        <f>IF('دانش‌آموزان'!E39="","",'دانش‌آموزان'!E39&amp;" "&amp;'دانش‌آموزان'!F39)</f>
        <v/>
      </c>
      <c r="F416" s="306">
        <f>IF('دانش‌آموزان'!I39="","",'دانش‌آموزان'!I39)</f>
        <v/>
      </c>
      <c r="G416" s="307" t="n"/>
      <c r="H416" s="307" t="n"/>
      <c r="I416" s="307" t="n"/>
      <c r="J416" s="307" t="n"/>
      <c r="K416" s="313">
        <f>IF(COUNT(G416:J416)=0,"",AVERAGE(G416:J416)*4)</f>
        <v/>
      </c>
      <c r="L416" s="306">
        <f>IF(C416="","",IF(COUNT(G416:J416)=0,"",IF(COUNT(G416:J416)&lt;4,"موقت - اطلاعات ناقص",IF(K416&gt;=17,"عالی",IF(K416&gt;=14,"خوب",IF(K416&gt;=10,"متوسط","ضعیف"))))))</f>
        <v/>
      </c>
      <c r="M416" s="306" t="n">
        <v>4</v>
      </c>
      <c r="N416" s="314">
        <f>IF(C416="","",COUNT(G416:J416)/4)</f>
        <v/>
      </c>
      <c r="O416" s="307" t="n"/>
    </row>
    <row r="417" ht="24" customHeight="1">
      <c r="A417" s="306" t="n">
        <v>413</v>
      </c>
      <c r="B417" s="306" t="inlineStr">
        <is>
          <t>آبان</t>
        </is>
      </c>
      <c r="C417" s="306">
        <f>IF('دانش‌آموزان'!E39="","",'دانش‌آموزان'!B39)</f>
        <v/>
      </c>
      <c r="D417" s="306">
        <f>IF('دانش‌آموزان'!C39="","",'دانش‌آموزان'!C39)</f>
        <v/>
      </c>
      <c r="E417" s="306">
        <f>IF('دانش‌آموزان'!E39="","",'دانش‌آموزان'!E39&amp;" "&amp;'دانش‌آموزان'!F39)</f>
        <v/>
      </c>
      <c r="F417" s="306">
        <f>IF('دانش‌آموزان'!I39="","",'دانش‌آموزان'!I39)</f>
        <v/>
      </c>
      <c r="G417" s="307" t="n"/>
      <c r="H417" s="307" t="n"/>
      <c r="I417" s="307" t="n"/>
      <c r="J417" s="307" t="n"/>
      <c r="K417" s="313">
        <f>IF(COUNT(G417:J417)=0,"",AVERAGE(G417:J417)*4)</f>
        <v/>
      </c>
      <c r="L417" s="306">
        <f>IF(C417="","",IF(COUNT(G417:J417)=0,"",IF(COUNT(G417:J417)&lt;4,"موقت - اطلاعات ناقص",IF(K417&gt;=17,"عالی",IF(K417&gt;=14,"خوب",IF(K417&gt;=10,"متوسط","ضعیف"))))))</f>
        <v/>
      </c>
      <c r="M417" s="306" t="n">
        <v>5</v>
      </c>
      <c r="N417" s="314">
        <f>IF(C417="","",COUNT(G417:J417)/4)</f>
        <v/>
      </c>
      <c r="O417" s="307" t="n"/>
    </row>
    <row r="418" ht="24" customHeight="1">
      <c r="A418" s="306" t="n">
        <v>414</v>
      </c>
      <c r="B418" s="306" t="inlineStr">
        <is>
          <t>آذر</t>
        </is>
      </c>
      <c r="C418" s="306">
        <f>IF('دانش‌آموزان'!E39="","",'دانش‌آموزان'!B39)</f>
        <v/>
      </c>
      <c r="D418" s="306">
        <f>IF('دانش‌آموزان'!C39="","",'دانش‌آموزان'!C39)</f>
        <v/>
      </c>
      <c r="E418" s="306">
        <f>IF('دانش‌آموزان'!E39="","",'دانش‌آموزان'!E39&amp;" "&amp;'دانش‌آموزان'!F39)</f>
        <v/>
      </c>
      <c r="F418" s="306">
        <f>IF('دانش‌آموزان'!I39="","",'دانش‌آموزان'!I39)</f>
        <v/>
      </c>
      <c r="G418" s="307" t="n"/>
      <c r="H418" s="307" t="n"/>
      <c r="I418" s="307" t="n"/>
      <c r="J418" s="307" t="n"/>
      <c r="K418" s="313">
        <f>IF(COUNT(G418:J418)=0,"",AVERAGE(G418:J418)*4)</f>
        <v/>
      </c>
      <c r="L418" s="306">
        <f>IF(C418="","",IF(COUNT(G418:J418)=0,"",IF(COUNT(G418:J418)&lt;4,"موقت - اطلاعات ناقص",IF(K418&gt;=17,"عالی",IF(K418&gt;=14,"خوب",IF(K418&gt;=10,"متوسط","ضعیف"))))))</f>
        <v/>
      </c>
      <c r="M418" s="306" t="n">
        <v>6</v>
      </c>
      <c r="N418" s="314">
        <f>IF(C418="","",COUNT(G418:J418)/4)</f>
        <v/>
      </c>
      <c r="O418" s="307" t="n"/>
    </row>
    <row r="419" ht="24" customHeight="1">
      <c r="A419" s="306" t="n">
        <v>415</v>
      </c>
      <c r="B419" s="306" t="inlineStr">
        <is>
          <t>دی</t>
        </is>
      </c>
      <c r="C419" s="306">
        <f>IF('دانش‌آموزان'!E39="","",'دانش‌آموزان'!B39)</f>
        <v/>
      </c>
      <c r="D419" s="306">
        <f>IF('دانش‌آموزان'!C39="","",'دانش‌آموزان'!C39)</f>
        <v/>
      </c>
      <c r="E419" s="306">
        <f>IF('دانش‌آموزان'!E39="","",'دانش‌آموزان'!E39&amp;" "&amp;'دانش‌آموزان'!F39)</f>
        <v/>
      </c>
      <c r="F419" s="306">
        <f>IF('دانش‌آموزان'!I39="","",'دانش‌آموزان'!I39)</f>
        <v/>
      </c>
      <c r="G419" s="307" t="n"/>
      <c r="H419" s="307" t="n"/>
      <c r="I419" s="307" t="n"/>
      <c r="J419" s="307" t="n"/>
      <c r="K419" s="313">
        <f>IF(COUNT(G419:J419)=0,"",AVERAGE(G419:J419)*4)</f>
        <v/>
      </c>
      <c r="L419" s="306">
        <f>IF(C419="","",IF(COUNT(G419:J419)=0,"",IF(COUNT(G419:J419)&lt;4,"موقت - اطلاعات ناقص",IF(K419&gt;=17,"عالی",IF(K419&gt;=14,"خوب",IF(K419&gt;=10,"متوسط","ضعیف"))))))</f>
        <v/>
      </c>
      <c r="M419" s="306" t="n">
        <v>7</v>
      </c>
      <c r="N419" s="314">
        <f>IF(C419="","",COUNT(G419:J419)/4)</f>
        <v/>
      </c>
      <c r="O419" s="307" t="n"/>
    </row>
    <row r="420" ht="24" customHeight="1">
      <c r="A420" s="306" t="n">
        <v>416</v>
      </c>
      <c r="B420" s="306" t="inlineStr">
        <is>
          <t>بهمن</t>
        </is>
      </c>
      <c r="C420" s="306">
        <f>IF('دانش‌آموزان'!E39="","",'دانش‌آموزان'!B39)</f>
        <v/>
      </c>
      <c r="D420" s="306">
        <f>IF('دانش‌آموزان'!C39="","",'دانش‌آموزان'!C39)</f>
        <v/>
      </c>
      <c r="E420" s="306">
        <f>IF('دانش‌آموزان'!E39="","",'دانش‌آموزان'!E39&amp;" "&amp;'دانش‌آموزان'!F39)</f>
        <v/>
      </c>
      <c r="F420" s="306">
        <f>IF('دانش‌آموزان'!I39="","",'دانش‌آموزان'!I39)</f>
        <v/>
      </c>
      <c r="G420" s="307" t="n"/>
      <c r="H420" s="307" t="n"/>
      <c r="I420" s="307" t="n"/>
      <c r="J420" s="307" t="n"/>
      <c r="K420" s="313">
        <f>IF(COUNT(G420:J420)=0,"",AVERAGE(G420:J420)*4)</f>
        <v/>
      </c>
      <c r="L420" s="306">
        <f>IF(C420="","",IF(COUNT(G420:J420)=0,"",IF(COUNT(G420:J420)&lt;4,"موقت - اطلاعات ناقص",IF(K420&gt;=17,"عالی",IF(K420&gt;=14,"خوب",IF(K420&gt;=10,"متوسط","ضعیف"))))))</f>
        <v/>
      </c>
      <c r="M420" s="306" t="n">
        <v>8</v>
      </c>
      <c r="N420" s="314">
        <f>IF(C420="","",COUNT(G420:J420)/4)</f>
        <v/>
      </c>
      <c r="O420" s="307" t="n"/>
    </row>
    <row r="421" ht="24" customHeight="1">
      <c r="A421" s="306" t="n">
        <v>417</v>
      </c>
      <c r="B421" s="306" t="inlineStr">
        <is>
          <t>اسفند</t>
        </is>
      </c>
      <c r="C421" s="306">
        <f>IF('دانش‌آموزان'!E39="","",'دانش‌آموزان'!B39)</f>
        <v/>
      </c>
      <c r="D421" s="306">
        <f>IF('دانش‌آموزان'!C39="","",'دانش‌آموزان'!C39)</f>
        <v/>
      </c>
      <c r="E421" s="306">
        <f>IF('دانش‌آموزان'!E39="","",'دانش‌آموزان'!E39&amp;" "&amp;'دانش‌آموزان'!F39)</f>
        <v/>
      </c>
      <c r="F421" s="306">
        <f>IF('دانش‌آموزان'!I39="","",'دانش‌آموزان'!I39)</f>
        <v/>
      </c>
      <c r="G421" s="307" t="n"/>
      <c r="H421" s="307" t="n"/>
      <c r="I421" s="307" t="n"/>
      <c r="J421" s="307" t="n"/>
      <c r="K421" s="313">
        <f>IF(COUNT(G421:J421)=0,"",AVERAGE(G421:J421)*4)</f>
        <v/>
      </c>
      <c r="L421" s="306">
        <f>IF(C421="","",IF(COUNT(G421:J421)=0,"",IF(COUNT(G421:J421)&lt;4,"موقت - اطلاعات ناقص",IF(K421&gt;=17,"عالی",IF(K421&gt;=14,"خوب",IF(K421&gt;=10,"متوسط","ضعیف"))))))</f>
        <v/>
      </c>
      <c r="M421" s="306" t="n">
        <v>9</v>
      </c>
      <c r="N421" s="314">
        <f>IF(C421="","",COUNT(G421:J421)/4)</f>
        <v/>
      </c>
      <c r="O421" s="307" t="n"/>
    </row>
    <row r="422" ht="24" customHeight="1">
      <c r="A422" s="306" t="n">
        <v>418</v>
      </c>
      <c r="B422" s="306" t="inlineStr">
        <is>
          <t>فروردین</t>
        </is>
      </c>
      <c r="C422" s="306">
        <f>IF('دانش‌آموزان'!E39="","",'دانش‌آموزان'!B39)</f>
        <v/>
      </c>
      <c r="D422" s="306">
        <f>IF('دانش‌آموزان'!C39="","",'دانش‌آموزان'!C39)</f>
        <v/>
      </c>
      <c r="E422" s="306">
        <f>IF('دانش‌آموزان'!E39="","",'دانش‌آموزان'!E39&amp;" "&amp;'دانش‌آموزان'!F39)</f>
        <v/>
      </c>
      <c r="F422" s="306">
        <f>IF('دانش‌آموزان'!I39="","",'دانش‌آموزان'!I39)</f>
        <v/>
      </c>
      <c r="G422" s="307" t="n"/>
      <c r="H422" s="307" t="n"/>
      <c r="I422" s="307" t="n"/>
      <c r="J422" s="307" t="n"/>
      <c r="K422" s="313">
        <f>IF(COUNT(G422:J422)=0,"",AVERAGE(G422:J422)*4)</f>
        <v/>
      </c>
      <c r="L422" s="306">
        <f>IF(C422="","",IF(COUNT(G422:J422)=0,"",IF(COUNT(G422:J422)&lt;4,"موقت - اطلاعات ناقص",IF(K422&gt;=17,"عالی",IF(K422&gt;=14,"خوب",IF(K422&gt;=10,"متوسط","ضعیف"))))))</f>
        <v/>
      </c>
      <c r="M422" s="306" t="n">
        <v>10</v>
      </c>
      <c r="N422" s="314">
        <f>IF(C422="","",COUNT(G422:J422)/4)</f>
        <v/>
      </c>
      <c r="O422" s="307" t="n"/>
    </row>
    <row r="423" ht="24" customHeight="1">
      <c r="A423" s="306" t="n">
        <v>419</v>
      </c>
      <c r="B423" s="306" t="inlineStr">
        <is>
          <t>اردیبهشت</t>
        </is>
      </c>
      <c r="C423" s="306">
        <f>IF('دانش‌آموزان'!E39="","",'دانش‌آموزان'!B39)</f>
        <v/>
      </c>
      <c r="D423" s="306">
        <f>IF('دانش‌آموزان'!C39="","",'دانش‌آموزان'!C39)</f>
        <v/>
      </c>
      <c r="E423" s="306">
        <f>IF('دانش‌آموزان'!E39="","",'دانش‌آموزان'!E39&amp;" "&amp;'دانش‌آموزان'!F39)</f>
        <v/>
      </c>
      <c r="F423" s="306">
        <f>IF('دانش‌آموزان'!I39="","",'دانش‌آموزان'!I39)</f>
        <v/>
      </c>
      <c r="G423" s="307" t="n"/>
      <c r="H423" s="307" t="n"/>
      <c r="I423" s="307" t="n"/>
      <c r="J423" s="307" t="n"/>
      <c r="K423" s="313">
        <f>IF(COUNT(G423:J423)=0,"",AVERAGE(G423:J423)*4)</f>
        <v/>
      </c>
      <c r="L423" s="306">
        <f>IF(C423="","",IF(COUNT(G423:J423)=0,"",IF(COUNT(G423:J423)&lt;4,"موقت - اطلاعات ناقص",IF(K423&gt;=17,"عالی",IF(K423&gt;=14,"خوب",IF(K423&gt;=10,"متوسط","ضعیف"))))))</f>
        <v/>
      </c>
      <c r="M423" s="306" t="n">
        <v>11</v>
      </c>
      <c r="N423" s="314">
        <f>IF(C423="","",COUNT(G423:J423)/4)</f>
        <v/>
      </c>
      <c r="O423" s="307" t="n"/>
    </row>
    <row r="424" ht="24" customHeight="1">
      <c r="A424" s="306" t="n">
        <v>420</v>
      </c>
      <c r="B424" s="306" t="inlineStr">
        <is>
          <t>خرداد</t>
        </is>
      </c>
      <c r="C424" s="306">
        <f>IF('دانش‌آموزان'!E39="","",'دانش‌آموزان'!B39)</f>
        <v/>
      </c>
      <c r="D424" s="306">
        <f>IF('دانش‌آموزان'!C39="","",'دانش‌آموزان'!C39)</f>
        <v/>
      </c>
      <c r="E424" s="306">
        <f>IF('دانش‌آموزان'!E39="","",'دانش‌آموزان'!E39&amp;" "&amp;'دانش‌آموزان'!F39)</f>
        <v/>
      </c>
      <c r="F424" s="306">
        <f>IF('دانش‌آموزان'!I39="","",'دانش‌آموزان'!I39)</f>
        <v/>
      </c>
      <c r="G424" s="307" t="n"/>
      <c r="H424" s="307" t="n"/>
      <c r="I424" s="307" t="n"/>
      <c r="J424" s="307" t="n"/>
      <c r="K424" s="313">
        <f>IF(COUNT(G424:J424)=0,"",AVERAGE(G424:J424)*4)</f>
        <v/>
      </c>
      <c r="L424" s="306">
        <f>IF(C424="","",IF(COUNT(G424:J424)=0,"",IF(COUNT(G424:J424)&lt;4,"موقت - اطلاعات ناقص",IF(K424&gt;=17,"عالی",IF(K424&gt;=14,"خوب",IF(K424&gt;=10,"متوسط","ضعیف"))))))</f>
        <v/>
      </c>
      <c r="M424" s="306" t="n">
        <v>12</v>
      </c>
      <c r="N424" s="314">
        <f>IF(C424="","",COUNT(G424:J424)/4)</f>
        <v/>
      </c>
      <c r="O424" s="307" t="n"/>
    </row>
    <row r="425" ht="24" customHeight="1">
      <c r="A425" s="306" t="n">
        <v>421</v>
      </c>
      <c r="B425" s="306" t="inlineStr">
        <is>
          <t>تیر</t>
        </is>
      </c>
      <c r="C425" s="306">
        <f>IF('دانش‌آموزان'!E40="","",'دانش‌آموزان'!B40)</f>
        <v/>
      </c>
      <c r="D425" s="306">
        <f>IF('دانش‌آموزان'!C40="","",'دانش‌آموزان'!C40)</f>
        <v/>
      </c>
      <c r="E425" s="306">
        <f>IF('دانش‌آموزان'!E40="","",'دانش‌آموزان'!E40&amp;" "&amp;'دانش‌آموزان'!F40)</f>
        <v/>
      </c>
      <c r="F425" s="306">
        <f>IF('دانش‌آموزان'!I40="","",'دانش‌آموزان'!I40)</f>
        <v/>
      </c>
      <c r="G425" s="307" t="n"/>
      <c r="H425" s="307" t="n"/>
      <c r="I425" s="307" t="n"/>
      <c r="J425" s="307" t="n"/>
      <c r="K425" s="313">
        <f>IF(COUNT(G425:J425)=0,"",AVERAGE(G425:J425)*4)</f>
        <v/>
      </c>
      <c r="L425" s="306">
        <f>IF(C425="","",IF(COUNT(G425:J425)=0,"",IF(COUNT(G425:J425)&lt;4,"موقت - اطلاعات ناقص",IF(K425&gt;=17,"عالی",IF(K425&gt;=14,"خوب",IF(K425&gt;=10,"متوسط","ضعیف"))))))</f>
        <v/>
      </c>
      <c r="M425" s="306" t="n">
        <v>1</v>
      </c>
      <c r="N425" s="314">
        <f>IF(C425="","",COUNT(G425:J425)/4)</f>
        <v/>
      </c>
      <c r="O425" s="307" t="n"/>
    </row>
    <row r="426" ht="24" customHeight="1">
      <c r="A426" s="306" t="n">
        <v>422</v>
      </c>
      <c r="B426" s="306" t="inlineStr">
        <is>
          <t>مرداد</t>
        </is>
      </c>
      <c r="C426" s="306">
        <f>IF('دانش‌آموزان'!E40="","",'دانش‌آموزان'!B40)</f>
        <v/>
      </c>
      <c r="D426" s="306">
        <f>IF('دانش‌آموزان'!C40="","",'دانش‌آموزان'!C40)</f>
        <v/>
      </c>
      <c r="E426" s="306">
        <f>IF('دانش‌آموزان'!E40="","",'دانش‌آموزان'!E40&amp;" "&amp;'دانش‌آموزان'!F40)</f>
        <v/>
      </c>
      <c r="F426" s="306">
        <f>IF('دانش‌آموزان'!I40="","",'دانش‌آموزان'!I40)</f>
        <v/>
      </c>
      <c r="G426" s="307" t="n"/>
      <c r="H426" s="307" t="n"/>
      <c r="I426" s="307" t="n"/>
      <c r="J426" s="307" t="n"/>
      <c r="K426" s="313">
        <f>IF(COUNT(G426:J426)=0,"",AVERAGE(G426:J426)*4)</f>
        <v/>
      </c>
      <c r="L426" s="306">
        <f>IF(C426="","",IF(COUNT(G426:J426)=0,"",IF(COUNT(G426:J426)&lt;4,"موقت - اطلاعات ناقص",IF(K426&gt;=17,"عالی",IF(K426&gt;=14,"خوب",IF(K426&gt;=10,"متوسط","ضعیف"))))))</f>
        <v/>
      </c>
      <c r="M426" s="306" t="n">
        <v>2</v>
      </c>
      <c r="N426" s="314">
        <f>IF(C426="","",COUNT(G426:J426)/4)</f>
        <v/>
      </c>
      <c r="O426" s="307" t="n"/>
    </row>
    <row r="427" ht="24" customHeight="1">
      <c r="A427" s="306" t="n">
        <v>423</v>
      </c>
      <c r="B427" s="306" t="inlineStr">
        <is>
          <t>شهریور</t>
        </is>
      </c>
      <c r="C427" s="306">
        <f>IF('دانش‌آموزان'!E40="","",'دانش‌آموزان'!B40)</f>
        <v/>
      </c>
      <c r="D427" s="306">
        <f>IF('دانش‌آموزان'!C40="","",'دانش‌آموزان'!C40)</f>
        <v/>
      </c>
      <c r="E427" s="306">
        <f>IF('دانش‌آموزان'!E40="","",'دانش‌آموزان'!E40&amp;" "&amp;'دانش‌آموزان'!F40)</f>
        <v/>
      </c>
      <c r="F427" s="306">
        <f>IF('دانش‌آموزان'!I40="","",'دانش‌آموزان'!I40)</f>
        <v/>
      </c>
      <c r="G427" s="307" t="n"/>
      <c r="H427" s="307" t="n"/>
      <c r="I427" s="307" t="n"/>
      <c r="J427" s="307" t="n"/>
      <c r="K427" s="313">
        <f>IF(COUNT(G427:J427)=0,"",AVERAGE(G427:J427)*4)</f>
        <v/>
      </c>
      <c r="L427" s="306">
        <f>IF(C427="","",IF(COUNT(G427:J427)=0,"",IF(COUNT(G427:J427)&lt;4,"موقت - اطلاعات ناقص",IF(K427&gt;=17,"عالی",IF(K427&gt;=14,"خوب",IF(K427&gt;=10,"متوسط","ضعیف"))))))</f>
        <v/>
      </c>
      <c r="M427" s="306" t="n">
        <v>3</v>
      </c>
      <c r="N427" s="314">
        <f>IF(C427="","",COUNT(G427:J427)/4)</f>
        <v/>
      </c>
      <c r="O427" s="307" t="n"/>
    </row>
    <row r="428" ht="24" customHeight="1">
      <c r="A428" s="306" t="n">
        <v>424</v>
      </c>
      <c r="B428" s="306" t="inlineStr">
        <is>
          <t>مهر</t>
        </is>
      </c>
      <c r="C428" s="306">
        <f>IF('دانش‌آموزان'!E40="","",'دانش‌آموزان'!B40)</f>
        <v/>
      </c>
      <c r="D428" s="306">
        <f>IF('دانش‌آموزان'!C40="","",'دانش‌آموزان'!C40)</f>
        <v/>
      </c>
      <c r="E428" s="306">
        <f>IF('دانش‌آموزان'!E40="","",'دانش‌آموزان'!E40&amp;" "&amp;'دانش‌آموزان'!F40)</f>
        <v/>
      </c>
      <c r="F428" s="306">
        <f>IF('دانش‌آموزان'!I40="","",'دانش‌آموزان'!I40)</f>
        <v/>
      </c>
      <c r="G428" s="307" t="n"/>
      <c r="H428" s="307" t="n"/>
      <c r="I428" s="307" t="n"/>
      <c r="J428" s="307" t="n"/>
      <c r="K428" s="313">
        <f>IF(COUNT(G428:J428)=0,"",AVERAGE(G428:J428)*4)</f>
        <v/>
      </c>
      <c r="L428" s="306">
        <f>IF(C428="","",IF(COUNT(G428:J428)=0,"",IF(COUNT(G428:J428)&lt;4,"موقت - اطلاعات ناقص",IF(K428&gt;=17,"عالی",IF(K428&gt;=14,"خوب",IF(K428&gt;=10,"متوسط","ضعیف"))))))</f>
        <v/>
      </c>
      <c r="M428" s="306" t="n">
        <v>4</v>
      </c>
      <c r="N428" s="314">
        <f>IF(C428="","",COUNT(G428:J428)/4)</f>
        <v/>
      </c>
      <c r="O428" s="307" t="n"/>
    </row>
    <row r="429" ht="24" customHeight="1">
      <c r="A429" s="306" t="n">
        <v>425</v>
      </c>
      <c r="B429" s="306" t="inlineStr">
        <is>
          <t>آبان</t>
        </is>
      </c>
      <c r="C429" s="306">
        <f>IF('دانش‌آموزان'!E40="","",'دانش‌آموزان'!B40)</f>
        <v/>
      </c>
      <c r="D429" s="306">
        <f>IF('دانش‌آموزان'!C40="","",'دانش‌آموزان'!C40)</f>
        <v/>
      </c>
      <c r="E429" s="306">
        <f>IF('دانش‌آموزان'!E40="","",'دانش‌آموزان'!E40&amp;" "&amp;'دانش‌آموزان'!F40)</f>
        <v/>
      </c>
      <c r="F429" s="306">
        <f>IF('دانش‌آموزان'!I40="","",'دانش‌آموزان'!I40)</f>
        <v/>
      </c>
      <c r="G429" s="307" t="n"/>
      <c r="H429" s="307" t="n"/>
      <c r="I429" s="307" t="n"/>
      <c r="J429" s="307" t="n"/>
      <c r="K429" s="313">
        <f>IF(COUNT(G429:J429)=0,"",AVERAGE(G429:J429)*4)</f>
        <v/>
      </c>
      <c r="L429" s="306">
        <f>IF(C429="","",IF(COUNT(G429:J429)=0,"",IF(COUNT(G429:J429)&lt;4,"موقت - اطلاعات ناقص",IF(K429&gt;=17,"عالی",IF(K429&gt;=14,"خوب",IF(K429&gt;=10,"متوسط","ضعیف"))))))</f>
        <v/>
      </c>
      <c r="M429" s="306" t="n">
        <v>5</v>
      </c>
      <c r="N429" s="314">
        <f>IF(C429="","",COUNT(G429:J429)/4)</f>
        <v/>
      </c>
      <c r="O429" s="307" t="n"/>
    </row>
    <row r="430" ht="24" customHeight="1">
      <c r="A430" s="306" t="n">
        <v>426</v>
      </c>
      <c r="B430" s="306" t="inlineStr">
        <is>
          <t>آذر</t>
        </is>
      </c>
      <c r="C430" s="306">
        <f>IF('دانش‌آموزان'!E40="","",'دانش‌آموزان'!B40)</f>
        <v/>
      </c>
      <c r="D430" s="306">
        <f>IF('دانش‌آموزان'!C40="","",'دانش‌آموزان'!C40)</f>
        <v/>
      </c>
      <c r="E430" s="306">
        <f>IF('دانش‌آموزان'!E40="","",'دانش‌آموزان'!E40&amp;" "&amp;'دانش‌آموزان'!F40)</f>
        <v/>
      </c>
      <c r="F430" s="306">
        <f>IF('دانش‌آموزان'!I40="","",'دانش‌آموزان'!I40)</f>
        <v/>
      </c>
      <c r="G430" s="307" t="n"/>
      <c r="H430" s="307" t="n"/>
      <c r="I430" s="307" t="n"/>
      <c r="J430" s="307" t="n"/>
      <c r="K430" s="313">
        <f>IF(COUNT(G430:J430)=0,"",AVERAGE(G430:J430)*4)</f>
        <v/>
      </c>
      <c r="L430" s="306">
        <f>IF(C430="","",IF(COUNT(G430:J430)=0,"",IF(COUNT(G430:J430)&lt;4,"موقت - اطلاعات ناقص",IF(K430&gt;=17,"عالی",IF(K430&gt;=14,"خوب",IF(K430&gt;=10,"متوسط","ضعیف"))))))</f>
        <v/>
      </c>
      <c r="M430" s="306" t="n">
        <v>6</v>
      </c>
      <c r="N430" s="314">
        <f>IF(C430="","",COUNT(G430:J430)/4)</f>
        <v/>
      </c>
      <c r="O430" s="307" t="n"/>
    </row>
    <row r="431" ht="24" customHeight="1">
      <c r="A431" s="306" t="n">
        <v>427</v>
      </c>
      <c r="B431" s="306" t="inlineStr">
        <is>
          <t>دی</t>
        </is>
      </c>
      <c r="C431" s="306">
        <f>IF('دانش‌آموزان'!E40="","",'دانش‌آموزان'!B40)</f>
        <v/>
      </c>
      <c r="D431" s="306">
        <f>IF('دانش‌آموزان'!C40="","",'دانش‌آموزان'!C40)</f>
        <v/>
      </c>
      <c r="E431" s="306">
        <f>IF('دانش‌آموزان'!E40="","",'دانش‌آموزان'!E40&amp;" "&amp;'دانش‌آموزان'!F40)</f>
        <v/>
      </c>
      <c r="F431" s="306">
        <f>IF('دانش‌آموزان'!I40="","",'دانش‌آموزان'!I40)</f>
        <v/>
      </c>
      <c r="G431" s="307" t="n"/>
      <c r="H431" s="307" t="n"/>
      <c r="I431" s="307" t="n"/>
      <c r="J431" s="307" t="n"/>
      <c r="K431" s="313">
        <f>IF(COUNT(G431:J431)=0,"",AVERAGE(G431:J431)*4)</f>
        <v/>
      </c>
      <c r="L431" s="306">
        <f>IF(C431="","",IF(COUNT(G431:J431)=0,"",IF(COUNT(G431:J431)&lt;4,"موقت - اطلاعات ناقص",IF(K431&gt;=17,"عالی",IF(K431&gt;=14,"خوب",IF(K431&gt;=10,"متوسط","ضعیف"))))))</f>
        <v/>
      </c>
      <c r="M431" s="306" t="n">
        <v>7</v>
      </c>
      <c r="N431" s="314">
        <f>IF(C431="","",COUNT(G431:J431)/4)</f>
        <v/>
      </c>
      <c r="O431" s="307" t="n"/>
    </row>
    <row r="432" ht="24" customHeight="1">
      <c r="A432" s="306" t="n">
        <v>428</v>
      </c>
      <c r="B432" s="306" t="inlineStr">
        <is>
          <t>بهمن</t>
        </is>
      </c>
      <c r="C432" s="306">
        <f>IF('دانش‌آموزان'!E40="","",'دانش‌آموزان'!B40)</f>
        <v/>
      </c>
      <c r="D432" s="306">
        <f>IF('دانش‌آموزان'!C40="","",'دانش‌آموزان'!C40)</f>
        <v/>
      </c>
      <c r="E432" s="306">
        <f>IF('دانش‌آموزان'!E40="","",'دانش‌آموزان'!E40&amp;" "&amp;'دانش‌آموزان'!F40)</f>
        <v/>
      </c>
      <c r="F432" s="306">
        <f>IF('دانش‌آموزان'!I40="","",'دانش‌آموزان'!I40)</f>
        <v/>
      </c>
      <c r="G432" s="307" t="n"/>
      <c r="H432" s="307" t="n"/>
      <c r="I432" s="307" t="n"/>
      <c r="J432" s="307" t="n"/>
      <c r="K432" s="313">
        <f>IF(COUNT(G432:J432)=0,"",AVERAGE(G432:J432)*4)</f>
        <v/>
      </c>
      <c r="L432" s="306">
        <f>IF(C432="","",IF(COUNT(G432:J432)=0,"",IF(COUNT(G432:J432)&lt;4,"موقت - اطلاعات ناقص",IF(K432&gt;=17,"عالی",IF(K432&gt;=14,"خوب",IF(K432&gt;=10,"متوسط","ضعیف"))))))</f>
        <v/>
      </c>
      <c r="M432" s="306" t="n">
        <v>8</v>
      </c>
      <c r="N432" s="314">
        <f>IF(C432="","",COUNT(G432:J432)/4)</f>
        <v/>
      </c>
      <c r="O432" s="307" t="n"/>
    </row>
    <row r="433" ht="24" customHeight="1">
      <c r="A433" s="306" t="n">
        <v>429</v>
      </c>
      <c r="B433" s="306" t="inlineStr">
        <is>
          <t>اسفند</t>
        </is>
      </c>
      <c r="C433" s="306">
        <f>IF('دانش‌آموزان'!E40="","",'دانش‌آموزان'!B40)</f>
        <v/>
      </c>
      <c r="D433" s="306">
        <f>IF('دانش‌آموزان'!C40="","",'دانش‌آموزان'!C40)</f>
        <v/>
      </c>
      <c r="E433" s="306">
        <f>IF('دانش‌آموزان'!E40="","",'دانش‌آموزان'!E40&amp;" "&amp;'دانش‌آموزان'!F40)</f>
        <v/>
      </c>
      <c r="F433" s="306">
        <f>IF('دانش‌آموزان'!I40="","",'دانش‌آموزان'!I40)</f>
        <v/>
      </c>
      <c r="G433" s="307" t="n"/>
      <c r="H433" s="307" t="n"/>
      <c r="I433" s="307" t="n"/>
      <c r="J433" s="307" t="n"/>
      <c r="K433" s="313">
        <f>IF(COUNT(G433:J433)=0,"",AVERAGE(G433:J433)*4)</f>
        <v/>
      </c>
      <c r="L433" s="306">
        <f>IF(C433="","",IF(COUNT(G433:J433)=0,"",IF(COUNT(G433:J433)&lt;4,"موقت - اطلاعات ناقص",IF(K433&gt;=17,"عالی",IF(K433&gt;=14,"خوب",IF(K433&gt;=10,"متوسط","ضعیف"))))))</f>
        <v/>
      </c>
      <c r="M433" s="306" t="n">
        <v>9</v>
      </c>
      <c r="N433" s="314">
        <f>IF(C433="","",COUNT(G433:J433)/4)</f>
        <v/>
      </c>
      <c r="O433" s="307" t="n"/>
    </row>
    <row r="434" ht="24" customHeight="1">
      <c r="A434" s="306" t="n">
        <v>430</v>
      </c>
      <c r="B434" s="306" t="inlineStr">
        <is>
          <t>فروردین</t>
        </is>
      </c>
      <c r="C434" s="306">
        <f>IF('دانش‌آموزان'!E40="","",'دانش‌آموزان'!B40)</f>
        <v/>
      </c>
      <c r="D434" s="306">
        <f>IF('دانش‌آموزان'!C40="","",'دانش‌آموزان'!C40)</f>
        <v/>
      </c>
      <c r="E434" s="306">
        <f>IF('دانش‌آموزان'!E40="","",'دانش‌آموزان'!E40&amp;" "&amp;'دانش‌آموزان'!F40)</f>
        <v/>
      </c>
      <c r="F434" s="306">
        <f>IF('دانش‌آموزان'!I40="","",'دانش‌آموزان'!I40)</f>
        <v/>
      </c>
      <c r="G434" s="307" t="n"/>
      <c r="H434" s="307" t="n"/>
      <c r="I434" s="307" t="n"/>
      <c r="J434" s="307" t="n"/>
      <c r="K434" s="313">
        <f>IF(COUNT(G434:J434)=0,"",AVERAGE(G434:J434)*4)</f>
        <v/>
      </c>
      <c r="L434" s="306">
        <f>IF(C434="","",IF(COUNT(G434:J434)=0,"",IF(COUNT(G434:J434)&lt;4,"موقت - اطلاعات ناقص",IF(K434&gt;=17,"عالی",IF(K434&gt;=14,"خوب",IF(K434&gt;=10,"متوسط","ضعیف"))))))</f>
        <v/>
      </c>
      <c r="M434" s="306" t="n">
        <v>10</v>
      </c>
      <c r="N434" s="314">
        <f>IF(C434="","",COUNT(G434:J434)/4)</f>
        <v/>
      </c>
      <c r="O434" s="307" t="n"/>
    </row>
    <row r="435" ht="24" customHeight="1">
      <c r="A435" s="306" t="n">
        <v>431</v>
      </c>
      <c r="B435" s="306" t="inlineStr">
        <is>
          <t>اردیبهشت</t>
        </is>
      </c>
      <c r="C435" s="306">
        <f>IF('دانش‌آموزان'!E40="","",'دانش‌آموزان'!B40)</f>
        <v/>
      </c>
      <c r="D435" s="306">
        <f>IF('دانش‌آموزان'!C40="","",'دانش‌آموزان'!C40)</f>
        <v/>
      </c>
      <c r="E435" s="306">
        <f>IF('دانش‌آموزان'!E40="","",'دانش‌آموزان'!E40&amp;" "&amp;'دانش‌آموزان'!F40)</f>
        <v/>
      </c>
      <c r="F435" s="306">
        <f>IF('دانش‌آموزان'!I40="","",'دانش‌آموزان'!I40)</f>
        <v/>
      </c>
      <c r="G435" s="307" t="n"/>
      <c r="H435" s="307" t="n"/>
      <c r="I435" s="307" t="n"/>
      <c r="J435" s="307" t="n"/>
      <c r="K435" s="313">
        <f>IF(COUNT(G435:J435)=0,"",AVERAGE(G435:J435)*4)</f>
        <v/>
      </c>
      <c r="L435" s="306">
        <f>IF(C435="","",IF(COUNT(G435:J435)=0,"",IF(COUNT(G435:J435)&lt;4,"موقت - اطلاعات ناقص",IF(K435&gt;=17,"عالی",IF(K435&gt;=14,"خوب",IF(K435&gt;=10,"متوسط","ضعیف"))))))</f>
        <v/>
      </c>
      <c r="M435" s="306" t="n">
        <v>11</v>
      </c>
      <c r="N435" s="314">
        <f>IF(C435="","",COUNT(G435:J435)/4)</f>
        <v/>
      </c>
      <c r="O435" s="307" t="n"/>
    </row>
    <row r="436" ht="24" customHeight="1">
      <c r="A436" s="306" t="n">
        <v>432</v>
      </c>
      <c r="B436" s="306" t="inlineStr">
        <is>
          <t>خرداد</t>
        </is>
      </c>
      <c r="C436" s="306">
        <f>IF('دانش‌آموزان'!E40="","",'دانش‌آموزان'!B40)</f>
        <v/>
      </c>
      <c r="D436" s="306">
        <f>IF('دانش‌آموزان'!C40="","",'دانش‌آموزان'!C40)</f>
        <v/>
      </c>
      <c r="E436" s="306">
        <f>IF('دانش‌آموزان'!E40="","",'دانش‌آموزان'!E40&amp;" "&amp;'دانش‌آموزان'!F40)</f>
        <v/>
      </c>
      <c r="F436" s="306">
        <f>IF('دانش‌آموزان'!I40="","",'دانش‌آموزان'!I40)</f>
        <v/>
      </c>
      <c r="G436" s="307" t="n"/>
      <c r="H436" s="307" t="n"/>
      <c r="I436" s="307" t="n"/>
      <c r="J436" s="307" t="n"/>
      <c r="K436" s="313">
        <f>IF(COUNT(G436:J436)=0,"",AVERAGE(G436:J436)*4)</f>
        <v/>
      </c>
      <c r="L436" s="306">
        <f>IF(C436="","",IF(COUNT(G436:J436)=0,"",IF(COUNT(G436:J436)&lt;4,"موقت - اطلاعات ناقص",IF(K436&gt;=17,"عالی",IF(K436&gt;=14,"خوب",IF(K436&gt;=10,"متوسط","ضعیف"))))))</f>
        <v/>
      </c>
      <c r="M436" s="306" t="n">
        <v>12</v>
      </c>
      <c r="N436" s="314">
        <f>IF(C436="","",COUNT(G436:J436)/4)</f>
        <v/>
      </c>
      <c r="O436" s="307" t="n"/>
    </row>
    <row r="437" ht="24" customHeight="1">
      <c r="A437" s="306" t="n">
        <v>433</v>
      </c>
      <c r="B437" s="306" t="inlineStr">
        <is>
          <t>تیر</t>
        </is>
      </c>
      <c r="C437" s="306">
        <f>IF('دانش‌آموزان'!E41="","",'دانش‌آموزان'!B41)</f>
        <v/>
      </c>
      <c r="D437" s="306">
        <f>IF('دانش‌آموزان'!C41="","",'دانش‌آموزان'!C41)</f>
        <v/>
      </c>
      <c r="E437" s="306">
        <f>IF('دانش‌آموزان'!E41="","",'دانش‌آموزان'!E41&amp;" "&amp;'دانش‌آموزان'!F41)</f>
        <v/>
      </c>
      <c r="F437" s="306">
        <f>IF('دانش‌آموزان'!I41="","",'دانش‌آموزان'!I41)</f>
        <v/>
      </c>
      <c r="G437" s="307" t="n"/>
      <c r="H437" s="307" t="n"/>
      <c r="I437" s="307" t="n"/>
      <c r="J437" s="307" t="n"/>
      <c r="K437" s="313">
        <f>IF(COUNT(G437:J437)=0,"",AVERAGE(G437:J437)*4)</f>
        <v/>
      </c>
      <c r="L437" s="306">
        <f>IF(C437="","",IF(COUNT(G437:J437)=0,"",IF(COUNT(G437:J437)&lt;4,"موقت - اطلاعات ناقص",IF(K437&gt;=17,"عالی",IF(K437&gt;=14,"خوب",IF(K437&gt;=10,"متوسط","ضعیف"))))))</f>
        <v/>
      </c>
      <c r="M437" s="306" t="n">
        <v>1</v>
      </c>
      <c r="N437" s="314">
        <f>IF(C437="","",COUNT(G437:J437)/4)</f>
        <v/>
      </c>
      <c r="O437" s="307" t="n"/>
    </row>
    <row r="438" ht="24" customHeight="1">
      <c r="A438" s="306" t="n">
        <v>434</v>
      </c>
      <c r="B438" s="306" t="inlineStr">
        <is>
          <t>مرداد</t>
        </is>
      </c>
      <c r="C438" s="306">
        <f>IF('دانش‌آموزان'!E41="","",'دانش‌آموزان'!B41)</f>
        <v/>
      </c>
      <c r="D438" s="306">
        <f>IF('دانش‌آموزان'!C41="","",'دانش‌آموزان'!C41)</f>
        <v/>
      </c>
      <c r="E438" s="306">
        <f>IF('دانش‌آموزان'!E41="","",'دانش‌آموزان'!E41&amp;" "&amp;'دانش‌آموزان'!F41)</f>
        <v/>
      </c>
      <c r="F438" s="306">
        <f>IF('دانش‌آموزان'!I41="","",'دانش‌آموزان'!I41)</f>
        <v/>
      </c>
      <c r="G438" s="307" t="n"/>
      <c r="H438" s="307" t="n"/>
      <c r="I438" s="307" t="n"/>
      <c r="J438" s="307" t="n"/>
      <c r="K438" s="313">
        <f>IF(COUNT(G438:J438)=0,"",AVERAGE(G438:J438)*4)</f>
        <v/>
      </c>
      <c r="L438" s="306">
        <f>IF(C438="","",IF(COUNT(G438:J438)=0,"",IF(COUNT(G438:J438)&lt;4,"موقت - اطلاعات ناقص",IF(K438&gt;=17,"عالی",IF(K438&gt;=14,"خوب",IF(K438&gt;=10,"متوسط","ضعیف"))))))</f>
        <v/>
      </c>
      <c r="M438" s="306" t="n">
        <v>2</v>
      </c>
      <c r="N438" s="314">
        <f>IF(C438="","",COUNT(G438:J438)/4)</f>
        <v/>
      </c>
      <c r="O438" s="307" t="n"/>
    </row>
    <row r="439" ht="24" customHeight="1">
      <c r="A439" s="306" t="n">
        <v>435</v>
      </c>
      <c r="B439" s="306" t="inlineStr">
        <is>
          <t>شهریور</t>
        </is>
      </c>
      <c r="C439" s="306">
        <f>IF('دانش‌آموزان'!E41="","",'دانش‌آموزان'!B41)</f>
        <v/>
      </c>
      <c r="D439" s="306">
        <f>IF('دانش‌آموزان'!C41="","",'دانش‌آموزان'!C41)</f>
        <v/>
      </c>
      <c r="E439" s="306">
        <f>IF('دانش‌آموزان'!E41="","",'دانش‌آموزان'!E41&amp;" "&amp;'دانش‌آموزان'!F41)</f>
        <v/>
      </c>
      <c r="F439" s="306">
        <f>IF('دانش‌آموزان'!I41="","",'دانش‌آموزان'!I41)</f>
        <v/>
      </c>
      <c r="G439" s="307" t="n"/>
      <c r="H439" s="307" t="n"/>
      <c r="I439" s="307" t="n"/>
      <c r="J439" s="307" t="n"/>
      <c r="K439" s="313">
        <f>IF(COUNT(G439:J439)=0,"",AVERAGE(G439:J439)*4)</f>
        <v/>
      </c>
      <c r="L439" s="306">
        <f>IF(C439="","",IF(COUNT(G439:J439)=0,"",IF(COUNT(G439:J439)&lt;4,"موقت - اطلاعات ناقص",IF(K439&gt;=17,"عالی",IF(K439&gt;=14,"خوب",IF(K439&gt;=10,"متوسط","ضعیف"))))))</f>
        <v/>
      </c>
      <c r="M439" s="306" t="n">
        <v>3</v>
      </c>
      <c r="N439" s="314">
        <f>IF(C439="","",COUNT(G439:J439)/4)</f>
        <v/>
      </c>
      <c r="O439" s="307" t="n"/>
    </row>
    <row r="440" ht="24" customHeight="1">
      <c r="A440" s="306" t="n">
        <v>436</v>
      </c>
      <c r="B440" s="306" t="inlineStr">
        <is>
          <t>مهر</t>
        </is>
      </c>
      <c r="C440" s="306">
        <f>IF('دانش‌آموزان'!E41="","",'دانش‌آموزان'!B41)</f>
        <v/>
      </c>
      <c r="D440" s="306">
        <f>IF('دانش‌آموزان'!C41="","",'دانش‌آموزان'!C41)</f>
        <v/>
      </c>
      <c r="E440" s="306">
        <f>IF('دانش‌آموزان'!E41="","",'دانش‌آموزان'!E41&amp;" "&amp;'دانش‌آموزان'!F41)</f>
        <v/>
      </c>
      <c r="F440" s="306">
        <f>IF('دانش‌آموزان'!I41="","",'دانش‌آموزان'!I41)</f>
        <v/>
      </c>
      <c r="G440" s="307" t="n"/>
      <c r="H440" s="307" t="n"/>
      <c r="I440" s="307" t="n"/>
      <c r="J440" s="307" t="n"/>
      <c r="K440" s="313">
        <f>IF(COUNT(G440:J440)=0,"",AVERAGE(G440:J440)*4)</f>
        <v/>
      </c>
      <c r="L440" s="306">
        <f>IF(C440="","",IF(COUNT(G440:J440)=0,"",IF(COUNT(G440:J440)&lt;4,"موقت - اطلاعات ناقص",IF(K440&gt;=17,"عالی",IF(K440&gt;=14,"خوب",IF(K440&gt;=10,"متوسط","ضعیف"))))))</f>
        <v/>
      </c>
      <c r="M440" s="306" t="n">
        <v>4</v>
      </c>
      <c r="N440" s="314">
        <f>IF(C440="","",COUNT(G440:J440)/4)</f>
        <v/>
      </c>
      <c r="O440" s="307" t="n"/>
    </row>
    <row r="441" ht="24" customHeight="1">
      <c r="A441" s="306" t="n">
        <v>437</v>
      </c>
      <c r="B441" s="306" t="inlineStr">
        <is>
          <t>آبان</t>
        </is>
      </c>
      <c r="C441" s="306">
        <f>IF('دانش‌آموزان'!E41="","",'دانش‌آموزان'!B41)</f>
        <v/>
      </c>
      <c r="D441" s="306">
        <f>IF('دانش‌آموزان'!C41="","",'دانش‌آموزان'!C41)</f>
        <v/>
      </c>
      <c r="E441" s="306">
        <f>IF('دانش‌آموزان'!E41="","",'دانش‌آموزان'!E41&amp;" "&amp;'دانش‌آموزان'!F41)</f>
        <v/>
      </c>
      <c r="F441" s="306">
        <f>IF('دانش‌آموزان'!I41="","",'دانش‌آموزان'!I41)</f>
        <v/>
      </c>
      <c r="G441" s="307" t="n"/>
      <c r="H441" s="307" t="n"/>
      <c r="I441" s="307" t="n"/>
      <c r="J441" s="307" t="n"/>
      <c r="K441" s="313">
        <f>IF(COUNT(G441:J441)=0,"",AVERAGE(G441:J441)*4)</f>
        <v/>
      </c>
      <c r="L441" s="306">
        <f>IF(C441="","",IF(COUNT(G441:J441)=0,"",IF(COUNT(G441:J441)&lt;4,"موقت - اطلاعات ناقص",IF(K441&gt;=17,"عالی",IF(K441&gt;=14,"خوب",IF(K441&gt;=10,"متوسط","ضعیف"))))))</f>
        <v/>
      </c>
      <c r="M441" s="306" t="n">
        <v>5</v>
      </c>
      <c r="N441" s="314">
        <f>IF(C441="","",COUNT(G441:J441)/4)</f>
        <v/>
      </c>
      <c r="O441" s="307" t="n"/>
    </row>
    <row r="442" ht="24" customHeight="1">
      <c r="A442" s="306" t="n">
        <v>438</v>
      </c>
      <c r="B442" s="306" t="inlineStr">
        <is>
          <t>آذر</t>
        </is>
      </c>
      <c r="C442" s="306">
        <f>IF('دانش‌آموزان'!E41="","",'دانش‌آموزان'!B41)</f>
        <v/>
      </c>
      <c r="D442" s="306">
        <f>IF('دانش‌آموزان'!C41="","",'دانش‌آموزان'!C41)</f>
        <v/>
      </c>
      <c r="E442" s="306">
        <f>IF('دانش‌آموزان'!E41="","",'دانش‌آموزان'!E41&amp;" "&amp;'دانش‌آموزان'!F41)</f>
        <v/>
      </c>
      <c r="F442" s="306">
        <f>IF('دانش‌آموزان'!I41="","",'دانش‌آموزان'!I41)</f>
        <v/>
      </c>
      <c r="G442" s="307" t="n"/>
      <c r="H442" s="307" t="n"/>
      <c r="I442" s="307" t="n"/>
      <c r="J442" s="307" t="n"/>
      <c r="K442" s="313">
        <f>IF(COUNT(G442:J442)=0,"",AVERAGE(G442:J442)*4)</f>
        <v/>
      </c>
      <c r="L442" s="306">
        <f>IF(C442="","",IF(COUNT(G442:J442)=0,"",IF(COUNT(G442:J442)&lt;4,"موقت - اطلاعات ناقص",IF(K442&gt;=17,"عالی",IF(K442&gt;=14,"خوب",IF(K442&gt;=10,"متوسط","ضعیف"))))))</f>
        <v/>
      </c>
      <c r="M442" s="306" t="n">
        <v>6</v>
      </c>
      <c r="N442" s="314">
        <f>IF(C442="","",COUNT(G442:J442)/4)</f>
        <v/>
      </c>
      <c r="O442" s="307" t="n"/>
    </row>
    <row r="443" ht="24" customHeight="1">
      <c r="A443" s="306" t="n">
        <v>439</v>
      </c>
      <c r="B443" s="306" t="inlineStr">
        <is>
          <t>دی</t>
        </is>
      </c>
      <c r="C443" s="306">
        <f>IF('دانش‌آموزان'!E41="","",'دانش‌آموزان'!B41)</f>
        <v/>
      </c>
      <c r="D443" s="306">
        <f>IF('دانش‌آموزان'!C41="","",'دانش‌آموزان'!C41)</f>
        <v/>
      </c>
      <c r="E443" s="306">
        <f>IF('دانش‌آموزان'!E41="","",'دانش‌آموزان'!E41&amp;" "&amp;'دانش‌آموزان'!F41)</f>
        <v/>
      </c>
      <c r="F443" s="306">
        <f>IF('دانش‌آموزان'!I41="","",'دانش‌آموزان'!I41)</f>
        <v/>
      </c>
      <c r="G443" s="307" t="n"/>
      <c r="H443" s="307" t="n"/>
      <c r="I443" s="307" t="n"/>
      <c r="J443" s="307" t="n"/>
      <c r="K443" s="313">
        <f>IF(COUNT(G443:J443)=0,"",AVERAGE(G443:J443)*4)</f>
        <v/>
      </c>
      <c r="L443" s="306">
        <f>IF(C443="","",IF(COUNT(G443:J443)=0,"",IF(COUNT(G443:J443)&lt;4,"موقت - اطلاعات ناقص",IF(K443&gt;=17,"عالی",IF(K443&gt;=14,"خوب",IF(K443&gt;=10,"متوسط","ضعیف"))))))</f>
        <v/>
      </c>
      <c r="M443" s="306" t="n">
        <v>7</v>
      </c>
      <c r="N443" s="314">
        <f>IF(C443="","",COUNT(G443:J443)/4)</f>
        <v/>
      </c>
      <c r="O443" s="307" t="n"/>
    </row>
    <row r="444" ht="24" customHeight="1">
      <c r="A444" s="306" t="n">
        <v>440</v>
      </c>
      <c r="B444" s="306" t="inlineStr">
        <is>
          <t>بهمن</t>
        </is>
      </c>
      <c r="C444" s="306">
        <f>IF('دانش‌آموزان'!E41="","",'دانش‌آموزان'!B41)</f>
        <v/>
      </c>
      <c r="D444" s="306">
        <f>IF('دانش‌آموزان'!C41="","",'دانش‌آموزان'!C41)</f>
        <v/>
      </c>
      <c r="E444" s="306">
        <f>IF('دانش‌آموزان'!E41="","",'دانش‌آموزان'!E41&amp;" "&amp;'دانش‌آموزان'!F41)</f>
        <v/>
      </c>
      <c r="F444" s="306">
        <f>IF('دانش‌آموزان'!I41="","",'دانش‌آموزان'!I41)</f>
        <v/>
      </c>
      <c r="G444" s="307" t="n"/>
      <c r="H444" s="307" t="n"/>
      <c r="I444" s="307" t="n"/>
      <c r="J444" s="307" t="n"/>
      <c r="K444" s="313">
        <f>IF(COUNT(G444:J444)=0,"",AVERAGE(G444:J444)*4)</f>
        <v/>
      </c>
      <c r="L444" s="306">
        <f>IF(C444="","",IF(COUNT(G444:J444)=0,"",IF(COUNT(G444:J444)&lt;4,"موقت - اطلاعات ناقص",IF(K444&gt;=17,"عالی",IF(K444&gt;=14,"خوب",IF(K444&gt;=10,"متوسط","ضعیف"))))))</f>
        <v/>
      </c>
      <c r="M444" s="306" t="n">
        <v>8</v>
      </c>
      <c r="N444" s="314">
        <f>IF(C444="","",COUNT(G444:J444)/4)</f>
        <v/>
      </c>
      <c r="O444" s="307" t="n"/>
    </row>
    <row r="445" ht="24" customHeight="1">
      <c r="A445" s="306" t="n">
        <v>441</v>
      </c>
      <c r="B445" s="306" t="inlineStr">
        <is>
          <t>اسفند</t>
        </is>
      </c>
      <c r="C445" s="306">
        <f>IF('دانش‌آموزان'!E41="","",'دانش‌آموزان'!B41)</f>
        <v/>
      </c>
      <c r="D445" s="306">
        <f>IF('دانش‌آموزان'!C41="","",'دانش‌آموزان'!C41)</f>
        <v/>
      </c>
      <c r="E445" s="306">
        <f>IF('دانش‌آموزان'!E41="","",'دانش‌آموزان'!E41&amp;" "&amp;'دانش‌آموزان'!F41)</f>
        <v/>
      </c>
      <c r="F445" s="306">
        <f>IF('دانش‌آموزان'!I41="","",'دانش‌آموزان'!I41)</f>
        <v/>
      </c>
      <c r="G445" s="307" t="n"/>
      <c r="H445" s="307" t="n"/>
      <c r="I445" s="307" t="n"/>
      <c r="J445" s="307" t="n"/>
      <c r="K445" s="313">
        <f>IF(COUNT(G445:J445)=0,"",AVERAGE(G445:J445)*4)</f>
        <v/>
      </c>
      <c r="L445" s="306">
        <f>IF(C445="","",IF(COUNT(G445:J445)=0,"",IF(COUNT(G445:J445)&lt;4,"موقت - اطلاعات ناقص",IF(K445&gt;=17,"عالی",IF(K445&gt;=14,"خوب",IF(K445&gt;=10,"متوسط","ضعیف"))))))</f>
        <v/>
      </c>
      <c r="M445" s="306" t="n">
        <v>9</v>
      </c>
      <c r="N445" s="314">
        <f>IF(C445="","",COUNT(G445:J445)/4)</f>
        <v/>
      </c>
      <c r="O445" s="307" t="n"/>
    </row>
    <row r="446" ht="24" customHeight="1">
      <c r="A446" s="306" t="n">
        <v>442</v>
      </c>
      <c r="B446" s="306" t="inlineStr">
        <is>
          <t>فروردین</t>
        </is>
      </c>
      <c r="C446" s="306">
        <f>IF('دانش‌آموزان'!E41="","",'دانش‌آموزان'!B41)</f>
        <v/>
      </c>
      <c r="D446" s="306">
        <f>IF('دانش‌آموزان'!C41="","",'دانش‌آموزان'!C41)</f>
        <v/>
      </c>
      <c r="E446" s="306">
        <f>IF('دانش‌آموزان'!E41="","",'دانش‌آموزان'!E41&amp;" "&amp;'دانش‌آموزان'!F41)</f>
        <v/>
      </c>
      <c r="F446" s="306">
        <f>IF('دانش‌آموزان'!I41="","",'دانش‌آموزان'!I41)</f>
        <v/>
      </c>
      <c r="G446" s="307" t="n"/>
      <c r="H446" s="307" t="n"/>
      <c r="I446" s="307" t="n"/>
      <c r="J446" s="307" t="n"/>
      <c r="K446" s="313">
        <f>IF(COUNT(G446:J446)=0,"",AVERAGE(G446:J446)*4)</f>
        <v/>
      </c>
      <c r="L446" s="306">
        <f>IF(C446="","",IF(COUNT(G446:J446)=0,"",IF(COUNT(G446:J446)&lt;4,"موقت - اطلاعات ناقص",IF(K446&gt;=17,"عالی",IF(K446&gt;=14,"خوب",IF(K446&gt;=10,"متوسط","ضعیف"))))))</f>
        <v/>
      </c>
      <c r="M446" s="306" t="n">
        <v>10</v>
      </c>
      <c r="N446" s="314">
        <f>IF(C446="","",COUNT(G446:J446)/4)</f>
        <v/>
      </c>
      <c r="O446" s="307" t="n"/>
    </row>
    <row r="447" ht="24" customHeight="1">
      <c r="A447" s="306" t="n">
        <v>443</v>
      </c>
      <c r="B447" s="306" t="inlineStr">
        <is>
          <t>اردیبهشت</t>
        </is>
      </c>
      <c r="C447" s="306">
        <f>IF('دانش‌آموزان'!E41="","",'دانش‌آموزان'!B41)</f>
        <v/>
      </c>
      <c r="D447" s="306">
        <f>IF('دانش‌آموزان'!C41="","",'دانش‌آموزان'!C41)</f>
        <v/>
      </c>
      <c r="E447" s="306">
        <f>IF('دانش‌آموزان'!E41="","",'دانش‌آموزان'!E41&amp;" "&amp;'دانش‌آموزان'!F41)</f>
        <v/>
      </c>
      <c r="F447" s="306">
        <f>IF('دانش‌آموزان'!I41="","",'دانش‌آموزان'!I41)</f>
        <v/>
      </c>
      <c r="G447" s="307" t="n"/>
      <c r="H447" s="307" t="n"/>
      <c r="I447" s="307" t="n"/>
      <c r="J447" s="307" t="n"/>
      <c r="K447" s="313">
        <f>IF(COUNT(G447:J447)=0,"",AVERAGE(G447:J447)*4)</f>
        <v/>
      </c>
      <c r="L447" s="306">
        <f>IF(C447="","",IF(COUNT(G447:J447)=0,"",IF(COUNT(G447:J447)&lt;4,"موقت - اطلاعات ناقص",IF(K447&gt;=17,"عالی",IF(K447&gt;=14,"خوب",IF(K447&gt;=10,"متوسط","ضعیف"))))))</f>
        <v/>
      </c>
      <c r="M447" s="306" t="n">
        <v>11</v>
      </c>
      <c r="N447" s="314">
        <f>IF(C447="","",COUNT(G447:J447)/4)</f>
        <v/>
      </c>
      <c r="O447" s="307" t="n"/>
    </row>
    <row r="448" ht="24" customHeight="1">
      <c r="A448" s="306" t="n">
        <v>444</v>
      </c>
      <c r="B448" s="306" t="inlineStr">
        <is>
          <t>خرداد</t>
        </is>
      </c>
      <c r="C448" s="306">
        <f>IF('دانش‌آموزان'!E41="","",'دانش‌آموزان'!B41)</f>
        <v/>
      </c>
      <c r="D448" s="306">
        <f>IF('دانش‌آموزان'!C41="","",'دانش‌آموزان'!C41)</f>
        <v/>
      </c>
      <c r="E448" s="306">
        <f>IF('دانش‌آموزان'!E41="","",'دانش‌آموزان'!E41&amp;" "&amp;'دانش‌آموزان'!F41)</f>
        <v/>
      </c>
      <c r="F448" s="306">
        <f>IF('دانش‌آموزان'!I41="","",'دانش‌آموزان'!I41)</f>
        <v/>
      </c>
      <c r="G448" s="307" t="n"/>
      <c r="H448" s="307" t="n"/>
      <c r="I448" s="307" t="n"/>
      <c r="J448" s="307" t="n"/>
      <c r="K448" s="313">
        <f>IF(COUNT(G448:J448)=0,"",AVERAGE(G448:J448)*4)</f>
        <v/>
      </c>
      <c r="L448" s="306">
        <f>IF(C448="","",IF(COUNT(G448:J448)=0,"",IF(COUNT(G448:J448)&lt;4,"موقت - اطلاعات ناقص",IF(K448&gt;=17,"عالی",IF(K448&gt;=14,"خوب",IF(K448&gt;=10,"متوسط","ضعیف"))))))</f>
        <v/>
      </c>
      <c r="M448" s="306" t="n">
        <v>12</v>
      </c>
      <c r="N448" s="314">
        <f>IF(C448="","",COUNT(G448:J448)/4)</f>
        <v/>
      </c>
      <c r="O448" s="307" t="n"/>
    </row>
    <row r="449" ht="24" customHeight="1">
      <c r="A449" s="306" t="n">
        <v>445</v>
      </c>
      <c r="B449" s="306" t="inlineStr">
        <is>
          <t>تیر</t>
        </is>
      </c>
      <c r="C449" s="306">
        <f>IF('دانش‌آموزان'!E42="","",'دانش‌آموزان'!B42)</f>
        <v/>
      </c>
      <c r="D449" s="306">
        <f>IF('دانش‌آموزان'!C42="","",'دانش‌آموزان'!C42)</f>
        <v/>
      </c>
      <c r="E449" s="306">
        <f>IF('دانش‌آموزان'!E42="","",'دانش‌آموزان'!E42&amp;" "&amp;'دانش‌آموزان'!F42)</f>
        <v/>
      </c>
      <c r="F449" s="306">
        <f>IF('دانش‌آموزان'!I42="","",'دانش‌آموزان'!I42)</f>
        <v/>
      </c>
      <c r="G449" s="307" t="n"/>
      <c r="H449" s="307" t="n"/>
      <c r="I449" s="307" t="n"/>
      <c r="J449" s="307" t="n"/>
      <c r="K449" s="313">
        <f>IF(COUNT(G449:J449)=0,"",AVERAGE(G449:J449)*4)</f>
        <v/>
      </c>
      <c r="L449" s="306">
        <f>IF(C449="","",IF(COUNT(G449:J449)=0,"",IF(COUNT(G449:J449)&lt;4,"موقت - اطلاعات ناقص",IF(K449&gt;=17,"عالی",IF(K449&gt;=14,"خوب",IF(K449&gt;=10,"متوسط","ضعیف"))))))</f>
        <v/>
      </c>
      <c r="M449" s="306" t="n">
        <v>1</v>
      </c>
      <c r="N449" s="314">
        <f>IF(C449="","",COUNT(G449:J449)/4)</f>
        <v/>
      </c>
      <c r="O449" s="307" t="n"/>
    </row>
    <row r="450" ht="24" customHeight="1">
      <c r="A450" s="306" t="n">
        <v>446</v>
      </c>
      <c r="B450" s="306" t="inlineStr">
        <is>
          <t>مرداد</t>
        </is>
      </c>
      <c r="C450" s="306">
        <f>IF('دانش‌آموزان'!E42="","",'دانش‌آموزان'!B42)</f>
        <v/>
      </c>
      <c r="D450" s="306">
        <f>IF('دانش‌آموزان'!C42="","",'دانش‌آموزان'!C42)</f>
        <v/>
      </c>
      <c r="E450" s="306">
        <f>IF('دانش‌آموزان'!E42="","",'دانش‌آموزان'!E42&amp;" "&amp;'دانش‌آموزان'!F42)</f>
        <v/>
      </c>
      <c r="F450" s="306">
        <f>IF('دانش‌آموزان'!I42="","",'دانش‌آموزان'!I42)</f>
        <v/>
      </c>
      <c r="G450" s="307" t="n"/>
      <c r="H450" s="307" t="n"/>
      <c r="I450" s="307" t="n"/>
      <c r="J450" s="307" t="n"/>
      <c r="K450" s="313">
        <f>IF(COUNT(G450:J450)=0,"",AVERAGE(G450:J450)*4)</f>
        <v/>
      </c>
      <c r="L450" s="306">
        <f>IF(C450="","",IF(COUNT(G450:J450)=0,"",IF(COUNT(G450:J450)&lt;4,"موقت - اطلاعات ناقص",IF(K450&gt;=17,"عالی",IF(K450&gt;=14,"خوب",IF(K450&gt;=10,"متوسط","ضعیف"))))))</f>
        <v/>
      </c>
      <c r="M450" s="306" t="n">
        <v>2</v>
      </c>
      <c r="N450" s="314">
        <f>IF(C450="","",COUNT(G450:J450)/4)</f>
        <v/>
      </c>
      <c r="O450" s="307" t="n"/>
    </row>
    <row r="451" ht="24" customHeight="1">
      <c r="A451" s="306" t="n">
        <v>447</v>
      </c>
      <c r="B451" s="306" t="inlineStr">
        <is>
          <t>شهریور</t>
        </is>
      </c>
      <c r="C451" s="306">
        <f>IF('دانش‌آموزان'!E42="","",'دانش‌آموزان'!B42)</f>
        <v/>
      </c>
      <c r="D451" s="306">
        <f>IF('دانش‌آموزان'!C42="","",'دانش‌آموزان'!C42)</f>
        <v/>
      </c>
      <c r="E451" s="306">
        <f>IF('دانش‌آموزان'!E42="","",'دانش‌آموزان'!E42&amp;" "&amp;'دانش‌آموزان'!F42)</f>
        <v/>
      </c>
      <c r="F451" s="306">
        <f>IF('دانش‌آموزان'!I42="","",'دانش‌آموزان'!I42)</f>
        <v/>
      </c>
      <c r="G451" s="307" t="n"/>
      <c r="H451" s="307" t="n"/>
      <c r="I451" s="307" t="n"/>
      <c r="J451" s="307" t="n"/>
      <c r="K451" s="313">
        <f>IF(COUNT(G451:J451)=0,"",AVERAGE(G451:J451)*4)</f>
        <v/>
      </c>
      <c r="L451" s="306">
        <f>IF(C451="","",IF(COUNT(G451:J451)=0,"",IF(COUNT(G451:J451)&lt;4,"موقت - اطلاعات ناقص",IF(K451&gt;=17,"عالی",IF(K451&gt;=14,"خوب",IF(K451&gt;=10,"متوسط","ضعیف"))))))</f>
        <v/>
      </c>
      <c r="M451" s="306" t="n">
        <v>3</v>
      </c>
      <c r="N451" s="314">
        <f>IF(C451="","",COUNT(G451:J451)/4)</f>
        <v/>
      </c>
      <c r="O451" s="307" t="n"/>
    </row>
    <row r="452" ht="24" customHeight="1">
      <c r="A452" s="306" t="n">
        <v>448</v>
      </c>
      <c r="B452" s="306" t="inlineStr">
        <is>
          <t>مهر</t>
        </is>
      </c>
      <c r="C452" s="306">
        <f>IF('دانش‌آموزان'!E42="","",'دانش‌آموزان'!B42)</f>
        <v/>
      </c>
      <c r="D452" s="306">
        <f>IF('دانش‌آموزان'!C42="","",'دانش‌آموزان'!C42)</f>
        <v/>
      </c>
      <c r="E452" s="306">
        <f>IF('دانش‌آموزان'!E42="","",'دانش‌آموزان'!E42&amp;" "&amp;'دانش‌آموزان'!F42)</f>
        <v/>
      </c>
      <c r="F452" s="306">
        <f>IF('دانش‌آموزان'!I42="","",'دانش‌آموزان'!I42)</f>
        <v/>
      </c>
      <c r="G452" s="307" t="n"/>
      <c r="H452" s="307" t="n"/>
      <c r="I452" s="307" t="n"/>
      <c r="J452" s="307" t="n"/>
      <c r="K452" s="313">
        <f>IF(COUNT(G452:J452)=0,"",AVERAGE(G452:J452)*4)</f>
        <v/>
      </c>
      <c r="L452" s="306">
        <f>IF(C452="","",IF(COUNT(G452:J452)=0,"",IF(COUNT(G452:J452)&lt;4,"موقت - اطلاعات ناقص",IF(K452&gt;=17,"عالی",IF(K452&gt;=14,"خوب",IF(K452&gt;=10,"متوسط","ضعیف"))))))</f>
        <v/>
      </c>
      <c r="M452" s="306" t="n">
        <v>4</v>
      </c>
      <c r="N452" s="314">
        <f>IF(C452="","",COUNT(G452:J452)/4)</f>
        <v/>
      </c>
      <c r="O452" s="307" t="n"/>
    </row>
    <row r="453" ht="24" customHeight="1">
      <c r="A453" s="306" t="n">
        <v>449</v>
      </c>
      <c r="B453" s="306" t="inlineStr">
        <is>
          <t>آبان</t>
        </is>
      </c>
      <c r="C453" s="306">
        <f>IF('دانش‌آموزان'!E42="","",'دانش‌آموزان'!B42)</f>
        <v/>
      </c>
      <c r="D453" s="306">
        <f>IF('دانش‌آموزان'!C42="","",'دانش‌آموزان'!C42)</f>
        <v/>
      </c>
      <c r="E453" s="306">
        <f>IF('دانش‌آموزان'!E42="","",'دانش‌آموزان'!E42&amp;" "&amp;'دانش‌آموزان'!F42)</f>
        <v/>
      </c>
      <c r="F453" s="306">
        <f>IF('دانش‌آموزان'!I42="","",'دانش‌آموزان'!I42)</f>
        <v/>
      </c>
      <c r="G453" s="307" t="n"/>
      <c r="H453" s="307" t="n"/>
      <c r="I453" s="307" t="n"/>
      <c r="J453" s="307" t="n"/>
      <c r="K453" s="313">
        <f>IF(COUNT(G453:J453)=0,"",AVERAGE(G453:J453)*4)</f>
        <v/>
      </c>
      <c r="L453" s="306">
        <f>IF(C453="","",IF(COUNT(G453:J453)=0,"",IF(COUNT(G453:J453)&lt;4,"موقت - اطلاعات ناقص",IF(K453&gt;=17,"عالی",IF(K453&gt;=14,"خوب",IF(K453&gt;=10,"متوسط","ضعیف"))))))</f>
        <v/>
      </c>
      <c r="M453" s="306" t="n">
        <v>5</v>
      </c>
      <c r="N453" s="314">
        <f>IF(C453="","",COUNT(G453:J453)/4)</f>
        <v/>
      </c>
      <c r="O453" s="307" t="n"/>
    </row>
    <row r="454" ht="24" customHeight="1">
      <c r="A454" s="306" t="n">
        <v>450</v>
      </c>
      <c r="B454" s="306" t="inlineStr">
        <is>
          <t>آذر</t>
        </is>
      </c>
      <c r="C454" s="306">
        <f>IF('دانش‌آموزان'!E42="","",'دانش‌آموزان'!B42)</f>
        <v/>
      </c>
      <c r="D454" s="306">
        <f>IF('دانش‌آموزان'!C42="","",'دانش‌آموزان'!C42)</f>
        <v/>
      </c>
      <c r="E454" s="306">
        <f>IF('دانش‌آموزان'!E42="","",'دانش‌آموزان'!E42&amp;" "&amp;'دانش‌آموزان'!F42)</f>
        <v/>
      </c>
      <c r="F454" s="306">
        <f>IF('دانش‌آموزان'!I42="","",'دانش‌آموزان'!I42)</f>
        <v/>
      </c>
      <c r="G454" s="307" t="n"/>
      <c r="H454" s="307" t="n"/>
      <c r="I454" s="307" t="n"/>
      <c r="J454" s="307" t="n"/>
      <c r="K454" s="313">
        <f>IF(COUNT(G454:J454)=0,"",AVERAGE(G454:J454)*4)</f>
        <v/>
      </c>
      <c r="L454" s="306">
        <f>IF(C454="","",IF(COUNT(G454:J454)=0,"",IF(COUNT(G454:J454)&lt;4,"موقت - اطلاعات ناقص",IF(K454&gt;=17,"عالی",IF(K454&gt;=14,"خوب",IF(K454&gt;=10,"متوسط","ضعیف"))))))</f>
        <v/>
      </c>
      <c r="M454" s="306" t="n">
        <v>6</v>
      </c>
      <c r="N454" s="314">
        <f>IF(C454="","",COUNT(G454:J454)/4)</f>
        <v/>
      </c>
      <c r="O454" s="307" t="n"/>
    </row>
    <row r="455" ht="24" customHeight="1">
      <c r="A455" s="306" t="n">
        <v>451</v>
      </c>
      <c r="B455" s="306" t="inlineStr">
        <is>
          <t>دی</t>
        </is>
      </c>
      <c r="C455" s="306">
        <f>IF('دانش‌آموزان'!E42="","",'دانش‌آموزان'!B42)</f>
        <v/>
      </c>
      <c r="D455" s="306">
        <f>IF('دانش‌آموزان'!C42="","",'دانش‌آموزان'!C42)</f>
        <v/>
      </c>
      <c r="E455" s="306">
        <f>IF('دانش‌آموزان'!E42="","",'دانش‌آموزان'!E42&amp;" "&amp;'دانش‌آموزان'!F42)</f>
        <v/>
      </c>
      <c r="F455" s="306">
        <f>IF('دانش‌آموزان'!I42="","",'دانش‌آموزان'!I42)</f>
        <v/>
      </c>
      <c r="G455" s="307" t="n"/>
      <c r="H455" s="307" t="n"/>
      <c r="I455" s="307" t="n"/>
      <c r="J455" s="307" t="n"/>
      <c r="K455" s="313">
        <f>IF(COUNT(G455:J455)=0,"",AVERAGE(G455:J455)*4)</f>
        <v/>
      </c>
      <c r="L455" s="306">
        <f>IF(C455="","",IF(COUNT(G455:J455)=0,"",IF(COUNT(G455:J455)&lt;4,"موقت - اطلاعات ناقص",IF(K455&gt;=17,"عالی",IF(K455&gt;=14,"خوب",IF(K455&gt;=10,"متوسط","ضعیف"))))))</f>
        <v/>
      </c>
      <c r="M455" s="306" t="n">
        <v>7</v>
      </c>
      <c r="N455" s="314">
        <f>IF(C455="","",COUNT(G455:J455)/4)</f>
        <v/>
      </c>
      <c r="O455" s="307" t="n"/>
    </row>
    <row r="456" ht="24" customHeight="1">
      <c r="A456" s="306" t="n">
        <v>452</v>
      </c>
      <c r="B456" s="306" t="inlineStr">
        <is>
          <t>بهمن</t>
        </is>
      </c>
      <c r="C456" s="306">
        <f>IF('دانش‌آموزان'!E42="","",'دانش‌آموزان'!B42)</f>
        <v/>
      </c>
      <c r="D456" s="306">
        <f>IF('دانش‌آموزان'!C42="","",'دانش‌آموزان'!C42)</f>
        <v/>
      </c>
      <c r="E456" s="306">
        <f>IF('دانش‌آموزان'!E42="","",'دانش‌آموزان'!E42&amp;" "&amp;'دانش‌آموزان'!F42)</f>
        <v/>
      </c>
      <c r="F456" s="306">
        <f>IF('دانش‌آموزان'!I42="","",'دانش‌آموزان'!I42)</f>
        <v/>
      </c>
      <c r="G456" s="307" t="n"/>
      <c r="H456" s="307" t="n"/>
      <c r="I456" s="307" t="n"/>
      <c r="J456" s="307" t="n"/>
      <c r="K456" s="313">
        <f>IF(COUNT(G456:J456)=0,"",AVERAGE(G456:J456)*4)</f>
        <v/>
      </c>
      <c r="L456" s="306">
        <f>IF(C456="","",IF(COUNT(G456:J456)=0,"",IF(COUNT(G456:J456)&lt;4,"موقت - اطلاعات ناقص",IF(K456&gt;=17,"عالی",IF(K456&gt;=14,"خوب",IF(K456&gt;=10,"متوسط","ضعیف"))))))</f>
        <v/>
      </c>
      <c r="M456" s="306" t="n">
        <v>8</v>
      </c>
      <c r="N456" s="314">
        <f>IF(C456="","",COUNT(G456:J456)/4)</f>
        <v/>
      </c>
      <c r="O456" s="307" t="n"/>
    </row>
    <row r="457" ht="24" customHeight="1">
      <c r="A457" s="306" t="n">
        <v>453</v>
      </c>
      <c r="B457" s="306" t="inlineStr">
        <is>
          <t>اسفند</t>
        </is>
      </c>
      <c r="C457" s="306">
        <f>IF('دانش‌آموزان'!E42="","",'دانش‌آموزان'!B42)</f>
        <v/>
      </c>
      <c r="D457" s="306">
        <f>IF('دانش‌آموزان'!C42="","",'دانش‌آموزان'!C42)</f>
        <v/>
      </c>
      <c r="E457" s="306">
        <f>IF('دانش‌آموزان'!E42="","",'دانش‌آموزان'!E42&amp;" "&amp;'دانش‌آموزان'!F42)</f>
        <v/>
      </c>
      <c r="F457" s="306">
        <f>IF('دانش‌آموزان'!I42="","",'دانش‌آموزان'!I42)</f>
        <v/>
      </c>
      <c r="G457" s="307" t="n"/>
      <c r="H457" s="307" t="n"/>
      <c r="I457" s="307" t="n"/>
      <c r="J457" s="307" t="n"/>
      <c r="K457" s="313">
        <f>IF(COUNT(G457:J457)=0,"",AVERAGE(G457:J457)*4)</f>
        <v/>
      </c>
      <c r="L457" s="306">
        <f>IF(C457="","",IF(COUNT(G457:J457)=0,"",IF(COUNT(G457:J457)&lt;4,"موقت - اطلاعات ناقص",IF(K457&gt;=17,"عالی",IF(K457&gt;=14,"خوب",IF(K457&gt;=10,"متوسط","ضعیف"))))))</f>
        <v/>
      </c>
      <c r="M457" s="306" t="n">
        <v>9</v>
      </c>
      <c r="N457" s="314">
        <f>IF(C457="","",COUNT(G457:J457)/4)</f>
        <v/>
      </c>
      <c r="O457" s="307" t="n"/>
    </row>
    <row r="458" ht="24" customHeight="1">
      <c r="A458" s="306" t="n">
        <v>454</v>
      </c>
      <c r="B458" s="306" t="inlineStr">
        <is>
          <t>فروردین</t>
        </is>
      </c>
      <c r="C458" s="306">
        <f>IF('دانش‌آموزان'!E42="","",'دانش‌آموزان'!B42)</f>
        <v/>
      </c>
      <c r="D458" s="306">
        <f>IF('دانش‌آموزان'!C42="","",'دانش‌آموزان'!C42)</f>
        <v/>
      </c>
      <c r="E458" s="306">
        <f>IF('دانش‌آموزان'!E42="","",'دانش‌آموزان'!E42&amp;" "&amp;'دانش‌آموزان'!F42)</f>
        <v/>
      </c>
      <c r="F458" s="306">
        <f>IF('دانش‌آموزان'!I42="","",'دانش‌آموزان'!I42)</f>
        <v/>
      </c>
      <c r="G458" s="307" t="n"/>
      <c r="H458" s="307" t="n"/>
      <c r="I458" s="307" t="n"/>
      <c r="J458" s="307" t="n"/>
      <c r="K458" s="313">
        <f>IF(COUNT(G458:J458)=0,"",AVERAGE(G458:J458)*4)</f>
        <v/>
      </c>
      <c r="L458" s="306">
        <f>IF(C458="","",IF(COUNT(G458:J458)=0,"",IF(COUNT(G458:J458)&lt;4,"موقت - اطلاعات ناقص",IF(K458&gt;=17,"عالی",IF(K458&gt;=14,"خوب",IF(K458&gt;=10,"متوسط","ضعیف"))))))</f>
        <v/>
      </c>
      <c r="M458" s="306" t="n">
        <v>10</v>
      </c>
      <c r="N458" s="314">
        <f>IF(C458="","",COUNT(G458:J458)/4)</f>
        <v/>
      </c>
      <c r="O458" s="307" t="n"/>
    </row>
    <row r="459" ht="24" customHeight="1">
      <c r="A459" s="306" t="n">
        <v>455</v>
      </c>
      <c r="B459" s="306" t="inlineStr">
        <is>
          <t>اردیبهشت</t>
        </is>
      </c>
      <c r="C459" s="306">
        <f>IF('دانش‌آموزان'!E42="","",'دانش‌آموزان'!B42)</f>
        <v/>
      </c>
      <c r="D459" s="306">
        <f>IF('دانش‌آموزان'!C42="","",'دانش‌آموزان'!C42)</f>
        <v/>
      </c>
      <c r="E459" s="306">
        <f>IF('دانش‌آموزان'!E42="","",'دانش‌آموزان'!E42&amp;" "&amp;'دانش‌آموزان'!F42)</f>
        <v/>
      </c>
      <c r="F459" s="306">
        <f>IF('دانش‌آموزان'!I42="","",'دانش‌آموزان'!I42)</f>
        <v/>
      </c>
      <c r="G459" s="307" t="n"/>
      <c r="H459" s="307" t="n"/>
      <c r="I459" s="307" t="n"/>
      <c r="J459" s="307" t="n"/>
      <c r="K459" s="313">
        <f>IF(COUNT(G459:J459)=0,"",AVERAGE(G459:J459)*4)</f>
        <v/>
      </c>
      <c r="L459" s="306">
        <f>IF(C459="","",IF(COUNT(G459:J459)=0,"",IF(COUNT(G459:J459)&lt;4,"موقت - اطلاعات ناقص",IF(K459&gt;=17,"عالی",IF(K459&gt;=14,"خوب",IF(K459&gt;=10,"متوسط","ضعیف"))))))</f>
        <v/>
      </c>
      <c r="M459" s="306" t="n">
        <v>11</v>
      </c>
      <c r="N459" s="314">
        <f>IF(C459="","",COUNT(G459:J459)/4)</f>
        <v/>
      </c>
      <c r="O459" s="307" t="n"/>
    </row>
    <row r="460" ht="24" customHeight="1">
      <c r="A460" s="306" t="n">
        <v>456</v>
      </c>
      <c r="B460" s="306" t="inlineStr">
        <is>
          <t>خرداد</t>
        </is>
      </c>
      <c r="C460" s="306">
        <f>IF('دانش‌آموزان'!E42="","",'دانش‌آموزان'!B42)</f>
        <v/>
      </c>
      <c r="D460" s="306">
        <f>IF('دانش‌آموزان'!C42="","",'دانش‌آموزان'!C42)</f>
        <v/>
      </c>
      <c r="E460" s="306">
        <f>IF('دانش‌آموزان'!E42="","",'دانش‌آموزان'!E42&amp;" "&amp;'دانش‌آموزان'!F42)</f>
        <v/>
      </c>
      <c r="F460" s="306">
        <f>IF('دانش‌آموزان'!I42="","",'دانش‌آموزان'!I42)</f>
        <v/>
      </c>
      <c r="G460" s="307" t="n"/>
      <c r="H460" s="307" t="n"/>
      <c r="I460" s="307" t="n"/>
      <c r="J460" s="307" t="n"/>
      <c r="K460" s="313">
        <f>IF(COUNT(G460:J460)=0,"",AVERAGE(G460:J460)*4)</f>
        <v/>
      </c>
      <c r="L460" s="306">
        <f>IF(C460="","",IF(COUNT(G460:J460)=0,"",IF(COUNT(G460:J460)&lt;4,"موقت - اطلاعات ناقص",IF(K460&gt;=17,"عالی",IF(K460&gt;=14,"خوب",IF(K460&gt;=10,"متوسط","ضعیف"))))))</f>
        <v/>
      </c>
      <c r="M460" s="306" t="n">
        <v>12</v>
      </c>
      <c r="N460" s="314">
        <f>IF(C460="","",COUNT(G460:J460)/4)</f>
        <v/>
      </c>
      <c r="O460" s="307" t="n"/>
    </row>
    <row r="461" ht="24" customHeight="1">
      <c r="A461" s="306" t="n">
        <v>457</v>
      </c>
      <c r="B461" s="306" t="inlineStr">
        <is>
          <t>تیر</t>
        </is>
      </c>
      <c r="C461" s="306">
        <f>IF('دانش‌آموزان'!E43="","",'دانش‌آموزان'!B43)</f>
        <v/>
      </c>
      <c r="D461" s="306">
        <f>IF('دانش‌آموزان'!C43="","",'دانش‌آموزان'!C43)</f>
        <v/>
      </c>
      <c r="E461" s="306">
        <f>IF('دانش‌آموزان'!E43="","",'دانش‌آموزان'!E43&amp;" "&amp;'دانش‌آموزان'!F43)</f>
        <v/>
      </c>
      <c r="F461" s="306">
        <f>IF('دانش‌آموزان'!I43="","",'دانش‌آموزان'!I43)</f>
        <v/>
      </c>
      <c r="G461" s="307" t="n"/>
      <c r="H461" s="307" t="n"/>
      <c r="I461" s="307" t="n"/>
      <c r="J461" s="307" t="n"/>
      <c r="K461" s="313">
        <f>IF(COUNT(G461:J461)=0,"",AVERAGE(G461:J461)*4)</f>
        <v/>
      </c>
      <c r="L461" s="306">
        <f>IF(C461="","",IF(COUNT(G461:J461)=0,"",IF(COUNT(G461:J461)&lt;4,"موقت - اطلاعات ناقص",IF(K461&gt;=17,"عالی",IF(K461&gt;=14,"خوب",IF(K461&gt;=10,"متوسط","ضعیف"))))))</f>
        <v/>
      </c>
      <c r="M461" s="306" t="n">
        <v>1</v>
      </c>
      <c r="N461" s="314">
        <f>IF(C461="","",COUNT(G461:J461)/4)</f>
        <v/>
      </c>
      <c r="O461" s="307" t="n"/>
    </row>
    <row r="462" ht="24" customHeight="1">
      <c r="A462" s="306" t="n">
        <v>458</v>
      </c>
      <c r="B462" s="306" t="inlineStr">
        <is>
          <t>مرداد</t>
        </is>
      </c>
      <c r="C462" s="306">
        <f>IF('دانش‌آموزان'!E43="","",'دانش‌آموزان'!B43)</f>
        <v/>
      </c>
      <c r="D462" s="306">
        <f>IF('دانش‌آموزان'!C43="","",'دانش‌آموزان'!C43)</f>
        <v/>
      </c>
      <c r="E462" s="306">
        <f>IF('دانش‌آموزان'!E43="","",'دانش‌آموزان'!E43&amp;" "&amp;'دانش‌آموزان'!F43)</f>
        <v/>
      </c>
      <c r="F462" s="306">
        <f>IF('دانش‌آموزان'!I43="","",'دانش‌آموزان'!I43)</f>
        <v/>
      </c>
      <c r="G462" s="307" t="n"/>
      <c r="H462" s="307" t="n"/>
      <c r="I462" s="307" t="n"/>
      <c r="J462" s="307" t="n"/>
      <c r="K462" s="313">
        <f>IF(COUNT(G462:J462)=0,"",AVERAGE(G462:J462)*4)</f>
        <v/>
      </c>
      <c r="L462" s="306">
        <f>IF(C462="","",IF(COUNT(G462:J462)=0,"",IF(COUNT(G462:J462)&lt;4,"موقت - اطلاعات ناقص",IF(K462&gt;=17,"عالی",IF(K462&gt;=14,"خوب",IF(K462&gt;=10,"متوسط","ضعیف"))))))</f>
        <v/>
      </c>
      <c r="M462" s="306" t="n">
        <v>2</v>
      </c>
      <c r="N462" s="314">
        <f>IF(C462="","",COUNT(G462:J462)/4)</f>
        <v/>
      </c>
      <c r="O462" s="307" t="n"/>
    </row>
    <row r="463" ht="24" customHeight="1">
      <c r="A463" s="306" t="n">
        <v>459</v>
      </c>
      <c r="B463" s="306" t="inlineStr">
        <is>
          <t>شهریور</t>
        </is>
      </c>
      <c r="C463" s="306">
        <f>IF('دانش‌آموزان'!E43="","",'دانش‌آموزان'!B43)</f>
        <v/>
      </c>
      <c r="D463" s="306">
        <f>IF('دانش‌آموزان'!C43="","",'دانش‌آموزان'!C43)</f>
        <v/>
      </c>
      <c r="E463" s="306">
        <f>IF('دانش‌آموزان'!E43="","",'دانش‌آموزان'!E43&amp;" "&amp;'دانش‌آموزان'!F43)</f>
        <v/>
      </c>
      <c r="F463" s="306">
        <f>IF('دانش‌آموزان'!I43="","",'دانش‌آموزان'!I43)</f>
        <v/>
      </c>
      <c r="G463" s="307" t="n"/>
      <c r="H463" s="307" t="n"/>
      <c r="I463" s="307" t="n"/>
      <c r="J463" s="307" t="n"/>
      <c r="K463" s="313">
        <f>IF(COUNT(G463:J463)=0,"",AVERAGE(G463:J463)*4)</f>
        <v/>
      </c>
      <c r="L463" s="306">
        <f>IF(C463="","",IF(COUNT(G463:J463)=0,"",IF(COUNT(G463:J463)&lt;4,"موقت - اطلاعات ناقص",IF(K463&gt;=17,"عالی",IF(K463&gt;=14,"خوب",IF(K463&gt;=10,"متوسط","ضعیف"))))))</f>
        <v/>
      </c>
      <c r="M463" s="306" t="n">
        <v>3</v>
      </c>
      <c r="N463" s="314">
        <f>IF(C463="","",COUNT(G463:J463)/4)</f>
        <v/>
      </c>
      <c r="O463" s="307" t="n"/>
    </row>
    <row r="464" ht="24" customHeight="1">
      <c r="A464" s="306" t="n">
        <v>460</v>
      </c>
      <c r="B464" s="306" t="inlineStr">
        <is>
          <t>مهر</t>
        </is>
      </c>
      <c r="C464" s="306">
        <f>IF('دانش‌آموزان'!E43="","",'دانش‌آموزان'!B43)</f>
        <v/>
      </c>
      <c r="D464" s="306">
        <f>IF('دانش‌آموزان'!C43="","",'دانش‌آموزان'!C43)</f>
        <v/>
      </c>
      <c r="E464" s="306">
        <f>IF('دانش‌آموزان'!E43="","",'دانش‌آموزان'!E43&amp;" "&amp;'دانش‌آموزان'!F43)</f>
        <v/>
      </c>
      <c r="F464" s="306">
        <f>IF('دانش‌آموزان'!I43="","",'دانش‌آموزان'!I43)</f>
        <v/>
      </c>
      <c r="G464" s="307" t="n"/>
      <c r="H464" s="307" t="n"/>
      <c r="I464" s="307" t="n"/>
      <c r="J464" s="307" t="n"/>
      <c r="K464" s="313">
        <f>IF(COUNT(G464:J464)=0,"",AVERAGE(G464:J464)*4)</f>
        <v/>
      </c>
      <c r="L464" s="306">
        <f>IF(C464="","",IF(COUNT(G464:J464)=0,"",IF(COUNT(G464:J464)&lt;4,"موقت - اطلاعات ناقص",IF(K464&gt;=17,"عالی",IF(K464&gt;=14,"خوب",IF(K464&gt;=10,"متوسط","ضعیف"))))))</f>
        <v/>
      </c>
      <c r="M464" s="306" t="n">
        <v>4</v>
      </c>
      <c r="N464" s="314">
        <f>IF(C464="","",COUNT(G464:J464)/4)</f>
        <v/>
      </c>
      <c r="O464" s="307" t="n"/>
    </row>
    <row r="465" ht="24" customHeight="1">
      <c r="A465" s="306" t="n">
        <v>461</v>
      </c>
      <c r="B465" s="306" t="inlineStr">
        <is>
          <t>آبان</t>
        </is>
      </c>
      <c r="C465" s="306">
        <f>IF('دانش‌آموزان'!E43="","",'دانش‌آموزان'!B43)</f>
        <v/>
      </c>
      <c r="D465" s="306">
        <f>IF('دانش‌آموزان'!C43="","",'دانش‌آموزان'!C43)</f>
        <v/>
      </c>
      <c r="E465" s="306">
        <f>IF('دانش‌آموزان'!E43="","",'دانش‌آموزان'!E43&amp;" "&amp;'دانش‌آموزان'!F43)</f>
        <v/>
      </c>
      <c r="F465" s="306">
        <f>IF('دانش‌آموزان'!I43="","",'دانش‌آموزان'!I43)</f>
        <v/>
      </c>
      <c r="G465" s="307" t="n"/>
      <c r="H465" s="307" t="n"/>
      <c r="I465" s="307" t="n"/>
      <c r="J465" s="307" t="n"/>
      <c r="K465" s="313">
        <f>IF(COUNT(G465:J465)=0,"",AVERAGE(G465:J465)*4)</f>
        <v/>
      </c>
      <c r="L465" s="306">
        <f>IF(C465="","",IF(COUNT(G465:J465)=0,"",IF(COUNT(G465:J465)&lt;4,"موقت - اطلاعات ناقص",IF(K465&gt;=17,"عالی",IF(K465&gt;=14,"خوب",IF(K465&gt;=10,"متوسط","ضعیف"))))))</f>
        <v/>
      </c>
      <c r="M465" s="306" t="n">
        <v>5</v>
      </c>
      <c r="N465" s="314">
        <f>IF(C465="","",COUNT(G465:J465)/4)</f>
        <v/>
      </c>
      <c r="O465" s="307" t="n"/>
    </row>
    <row r="466" ht="24" customHeight="1">
      <c r="A466" s="306" t="n">
        <v>462</v>
      </c>
      <c r="B466" s="306" t="inlineStr">
        <is>
          <t>آذر</t>
        </is>
      </c>
      <c r="C466" s="306">
        <f>IF('دانش‌آموزان'!E43="","",'دانش‌آموزان'!B43)</f>
        <v/>
      </c>
      <c r="D466" s="306">
        <f>IF('دانش‌آموزان'!C43="","",'دانش‌آموزان'!C43)</f>
        <v/>
      </c>
      <c r="E466" s="306">
        <f>IF('دانش‌آموزان'!E43="","",'دانش‌آموزان'!E43&amp;" "&amp;'دانش‌آموزان'!F43)</f>
        <v/>
      </c>
      <c r="F466" s="306">
        <f>IF('دانش‌آموزان'!I43="","",'دانش‌آموزان'!I43)</f>
        <v/>
      </c>
      <c r="G466" s="307" t="n"/>
      <c r="H466" s="307" t="n"/>
      <c r="I466" s="307" t="n"/>
      <c r="J466" s="307" t="n"/>
      <c r="K466" s="313">
        <f>IF(COUNT(G466:J466)=0,"",AVERAGE(G466:J466)*4)</f>
        <v/>
      </c>
      <c r="L466" s="306">
        <f>IF(C466="","",IF(COUNT(G466:J466)=0,"",IF(COUNT(G466:J466)&lt;4,"موقت - اطلاعات ناقص",IF(K466&gt;=17,"عالی",IF(K466&gt;=14,"خوب",IF(K466&gt;=10,"متوسط","ضعیف"))))))</f>
        <v/>
      </c>
      <c r="M466" s="306" t="n">
        <v>6</v>
      </c>
      <c r="N466" s="314">
        <f>IF(C466="","",COUNT(G466:J466)/4)</f>
        <v/>
      </c>
      <c r="O466" s="307" t="n"/>
    </row>
    <row r="467" ht="24" customHeight="1">
      <c r="A467" s="306" t="n">
        <v>463</v>
      </c>
      <c r="B467" s="306" t="inlineStr">
        <is>
          <t>دی</t>
        </is>
      </c>
      <c r="C467" s="306">
        <f>IF('دانش‌آموزان'!E43="","",'دانش‌آموزان'!B43)</f>
        <v/>
      </c>
      <c r="D467" s="306">
        <f>IF('دانش‌آموزان'!C43="","",'دانش‌آموزان'!C43)</f>
        <v/>
      </c>
      <c r="E467" s="306">
        <f>IF('دانش‌آموزان'!E43="","",'دانش‌آموزان'!E43&amp;" "&amp;'دانش‌آموزان'!F43)</f>
        <v/>
      </c>
      <c r="F467" s="306">
        <f>IF('دانش‌آموزان'!I43="","",'دانش‌آموزان'!I43)</f>
        <v/>
      </c>
      <c r="G467" s="307" t="n"/>
      <c r="H467" s="307" t="n"/>
      <c r="I467" s="307" t="n"/>
      <c r="J467" s="307" t="n"/>
      <c r="K467" s="313">
        <f>IF(COUNT(G467:J467)=0,"",AVERAGE(G467:J467)*4)</f>
        <v/>
      </c>
      <c r="L467" s="306">
        <f>IF(C467="","",IF(COUNT(G467:J467)=0,"",IF(COUNT(G467:J467)&lt;4,"موقت - اطلاعات ناقص",IF(K467&gt;=17,"عالی",IF(K467&gt;=14,"خوب",IF(K467&gt;=10,"متوسط","ضعیف"))))))</f>
        <v/>
      </c>
      <c r="M467" s="306" t="n">
        <v>7</v>
      </c>
      <c r="N467" s="314">
        <f>IF(C467="","",COUNT(G467:J467)/4)</f>
        <v/>
      </c>
      <c r="O467" s="307" t="n"/>
    </row>
    <row r="468" ht="24" customHeight="1">
      <c r="A468" s="306" t="n">
        <v>464</v>
      </c>
      <c r="B468" s="306" t="inlineStr">
        <is>
          <t>بهمن</t>
        </is>
      </c>
      <c r="C468" s="306">
        <f>IF('دانش‌آموزان'!E43="","",'دانش‌آموزان'!B43)</f>
        <v/>
      </c>
      <c r="D468" s="306">
        <f>IF('دانش‌آموزان'!C43="","",'دانش‌آموزان'!C43)</f>
        <v/>
      </c>
      <c r="E468" s="306">
        <f>IF('دانش‌آموزان'!E43="","",'دانش‌آموزان'!E43&amp;" "&amp;'دانش‌آموزان'!F43)</f>
        <v/>
      </c>
      <c r="F468" s="306">
        <f>IF('دانش‌آموزان'!I43="","",'دانش‌آموزان'!I43)</f>
        <v/>
      </c>
      <c r="G468" s="307" t="n"/>
      <c r="H468" s="307" t="n"/>
      <c r="I468" s="307" t="n"/>
      <c r="J468" s="307" t="n"/>
      <c r="K468" s="313">
        <f>IF(COUNT(G468:J468)=0,"",AVERAGE(G468:J468)*4)</f>
        <v/>
      </c>
      <c r="L468" s="306">
        <f>IF(C468="","",IF(COUNT(G468:J468)=0,"",IF(COUNT(G468:J468)&lt;4,"موقت - اطلاعات ناقص",IF(K468&gt;=17,"عالی",IF(K468&gt;=14,"خوب",IF(K468&gt;=10,"متوسط","ضعیف"))))))</f>
        <v/>
      </c>
      <c r="M468" s="306" t="n">
        <v>8</v>
      </c>
      <c r="N468" s="314">
        <f>IF(C468="","",COUNT(G468:J468)/4)</f>
        <v/>
      </c>
      <c r="O468" s="307" t="n"/>
    </row>
    <row r="469" ht="24" customHeight="1">
      <c r="A469" s="306" t="n">
        <v>465</v>
      </c>
      <c r="B469" s="306" t="inlineStr">
        <is>
          <t>اسفند</t>
        </is>
      </c>
      <c r="C469" s="306">
        <f>IF('دانش‌آموزان'!E43="","",'دانش‌آموزان'!B43)</f>
        <v/>
      </c>
      <c r="D469" s="306">
        <f>IF('دانش‌آموزان'!C43="","",'دانش‌آموزان'!C43)</f>
        <v/>
      </c>
      <c r="E469" s="306">
        <f>IF('دانش‌آموزان'!E43="","",'دانش‌آموزان'!E43&amp;" "&amp;'دانش‌آموزان'!F43)</f>
        <v/>
      </c>
      <c r="F469" s="306">
        <f>IF('دانش‌آموزان'!I43="","",'دانش‌آموزان'!I43)</f>
        <v/>
      </c>
      <c r="G469" s="307" t="n"/>
      <c r="H469" s="307" t="n"/>
      <c r="I469" s="307" t="n"/>
      <c r="J469" s="307" t="n"/>
      <c r="K469" s="313">
        <f>IF(COUNT(G469:J469)=0,"",AVERAGE(G469:J469)*4)</f>
        <v/>
      </c>
      <c r="L469" s="306">
        <f>IF(C469="","",IF(COUNT(G469:J469)=0,"",IF(COUNT(G469:J469)&lt;4,"موقت - اطلاعات ناقص",IF(K469&gt;=17,"عالی",IF(K469&gt;=14,"خوب",IF(K469&gt;=10,"متوسط","ضعیف"))))))</f>
        <v/>
      </c>
      <c r="M469" s="306" t="n">
        <v>9</v>
      </c>
      <c r="N469" s="314">
        <f>IF(C469="","",COUNT(G469:J469)/4)</f>
        <v/>
      </c>
      <c r="O469" s="307" t="n"/>
    </row>
    <row r="470" ht="24" customHeight="1">
      <c r="A470" s="306" t="n">
        <v>466</v>
      </c>
      <c r="B470" s="306" t="inlineStr">
        <is>
          <t>فروردین</t>
        </is>
      </c>
      <c r="C470" s="306">
        <f>IF('دانش‌آموزان'!E43="","",'دانش‌آموزان'!B43)</f>
        <v/>
      </c>
      <c r="D470" s="306">
        <f>IF('دانش‌آموزان'!C43="","",'دانش‌آموزان'!C43)</f>
        <v/>
      </c>
      <c r="E470" s="306">
        <f>IF('دانش‌آموزان'!E43="","",'دانش‌آموزان'!E43&amp;" "&amp;'دانش‌آموزان'!F43)</f>
        <v/>
      </c>
      <c r="F470" s="306">
        <f>IF('دانش‌آموزان'!I43="","",'دانش‌آموزان'!I43)</f>
        <v/>
      </c>
      <c r="G470" s="307" t="n"/>
      <c r="H470" s="307" t="n"/>
      <c r="I470" s="307" t="n"/>
      <c r="J470" s="307" t="n"/>
      <c r="K470" s="313">
        <f>IF(COUNT(G470:J470)=0,"",AVERAGE(G470:J470)*4)</f>
        <v/>
      </c>
      <c r="L470" s="306">
        <f>IF(C470="","",IF(COUNT(G470:J470)=0,"",IF(COUNT(G470:J470)&lt;4,"موقت - اطلاعات ناقص",IF(K470&gt;=17,"عالی",IF(K470&gt;=14,"خوب",IF(K470&gt;=10,"متوسط","ضعیف"))))))</f>
        <v/>
      </c>
      <c r="M470" s="306" t="n">
        <v>10</v>
      </c>
      <c r="N470" s="314">
        <f>IF(C470="","",COUNT(G470:J470)/4)</f>
        <v/>
      </c>
      <c r="O470" s="307" t="n"/>
    </row>
    <row r="471" ht="24" customHeight="1">
      <c r="A471" s="306" t="n">
        <v>467</v>
      </c>
      <c r="B471" s="306" t="inlineStr">
        <is>
          <t>اردیبهشت</t>
        </is>
      </c>
      <c r="C471" s="306">
        <f>IF('دانش‌آموزان'!E43="","",'دانش‌آموزان'!B43)</f>
        <v/>
      </c>
      <c r="D471" s="306">
        <f>IF('دانش‌آموزان'!C43="","",'دانش‌آموزان'!C43)</f>
        <v/>
      </c>
      <c r="E471" s="306">
        <f>IF('دانش‌آموزان'!E43="","",'دانش‌آموزان'!E43&amp;" "&amp;'دانش‌آموزان'!F43)</f>
        <v/>
      </c>
      <c r="F471" s="306">
        <f>IF('دانش‌آموزان'!I43="","",'دانش‌آموزان'!I43)</f>
        <v/>
      </c>
      <c r="G471" s="307" t="n"/>
      <c r="H471" s="307" t="n"/>
      <c r="I471" s="307" t="n"/>
      <c r="J471" s="307" t="n"/>
      <c r="K471" s="313">
        <f>IF(COUNT(G471:J471)=0,"",AVERAGE(G471:J471)*4)</f>
        <v/>
      </c>
      <c r="L471" s="306">
        <f>IF(C471="","",IF(COUNT(G471:J471)=0,"",IF(COUNT(G471:J471)&lt;4,"موقت - اطلاعات ناقص",IF(K471&gt;=17,"عالی",IF(K471&gt;=14,"خوب",IF(K471&gt;=10,"متوسط","ضعیف"))))))</f>
        <v/>
      </c>
      <c r="M471" s="306" t="n">
        <v>11</v>
      </c>
      <c r="N471" s="314">
        <f>IF(C471="","",COUNT(G471:J471)/4)</f>
        <v/>
      </c>
      <c r="O471" s="307" t="n"/>
    </row>
    <row r="472" ht="24" customHeight="1">
      <c r="A472" s="306" t="n">
        <v>468</v>
      </c>
      <c r="B472" s="306" t="inlineStr">
        <is>
          <t>خرداد</t>
        </is>
      </c>
      <c r="C472" s="306">
        <f>IF('دانش‌آموزان'!E43="","",'دانش‌آموزان'!B43)</f>
        <v/>
      </c>
      <c r="D472" s="306">
        <f>IF('دانش‌آموزان'!C43="","",'دانش‌آموزان'!C43)</f>
        <v/>
      </c>
      <c r="E472" s="306">
        <f>IF('دانش‌آموزان'!E43="","",'دانش‌آموزان'!E43&amp;" "&amp;'دانش‌آموزان'!F43)</f>
        <v/>
      </c>
      <c r="F472" s="306">
        <f>IF('دانش‌آموزان'!I43="","",'دانش‌آموزان'!I43)</f>
        <v/>
      </c>
      <c r="G472" s="307" t="n"/>
      <c r="H472" s="307" t="n"/>
      <c r="I472" s="307" t="n"/>
      <c r="J472" s="307" t="n"/>
      <c r="K472" s="313">
        <f>IF(COUNT(G472:J472)=0,"",AVERAGE(G472:J472)*4)</f>
        <v/>
      </c>
      <c r="L472" s="306">
        <f>IF(C472="","",IF(COUNT(G472:J472)=0,"",IF(COUNT(G472:J472)&lt;4,"موقت - اطلاعات ناقص",IF(K472&gt;=17,"عالی",IF(K472&gt;=14,"خوب",IF(K472&gt;=10,"متوسط","ضعیف"))))))</f>
        <v/>
      </c>
      <c r="M472" s="306" t="n">
        <v>12</v>
      </c>
      <c r="N472" s="314">
        <f>IF(C472="","",COUNT(G472:J472)/4)</f>
        <v/>
      </c>
      <c r="O472" s="307" t="n"/>
    </row>
    <row r="473" ht="24" customHeight="1">
      <c r="A473" s="306" t="n">
        <v>469</v>
      </c>
      <c r="B473" s="306" t="inlineStr">
        <is>
          <t>تیر</t>
        </is>
      </c>
      <c r="C473" s="306">
        <f>IF('دانش‌آموزان'!E44="","",'دانش‌آموزان'!B44)</f>
        <v/>
      </c>
      <c r="D473" s="306">
        <f>IF('دانش‌آموزان'!C44="","",'دانش‌آموزان'!C44)</f>
        <v/>
      </c>
      <c r="E473" s="306">
        <f>IF('دانش‌آموزان'!E44="","",'دانش‌آموزان'!E44&amp;" "&amp;'دانش‌آموزان'!F44)</f>
        <v/>
      </c>
      <c r="F473" s="306">
        <f>IF('دانش‌آموزان'!I44="","",'دانش‌آموزان'!I44)</f>
        <v/>
      </c>
      <c r="G473" s="307" t="n"/>
      <c r="H473" s="307" t="n"/>
      <c r="I473" s="307" t="n"/>
      <c r="J473" s="307" t="n"/>
      <c r="K473" s="313">
        <f>IF(COUNT(G473:J473)=0,"",AVERAGE(G473:J473)*4)</f>
        <v/>
      </c>
      <c r="L473" s="306">
        <f>IF(C473="","",IF(COUNT(G473:J473)=0,"",IF(COUNT(G473:J473)&lt;4,"موقت - اطلاعات ناقص",IF(K473&gt;=17,"عالی",IF(K473&gt;=14,"خوب",IF(K473&gt;=10,"متوسط","ضعیف"))))))</f>
        <v/>
      </c>
      <c r="M473" s="306" t="n">
        <v>1</v>
      </c>
      <c r="N473" s="314">
        <f>IF(C473="","",COUNT(G473:J473)/4)</f>
        <v/>
      </c>
      <c r="O473" s="307" t="n"/>
    </row>
    <row r="474" ht="24" customHeight="1">
      <c r="A474" s="306" t="n">
        <v>470</v>
      </c>
      <c r="B474" s="306" t="inlineStr">
        <is>
          <t>مرداد</t>
        </is>
      </c>
      <c r="C474" s="306">
        <f>IF('دانش‌آموزان'!E44="","",'دانش‌آموزان'!B44)</f>
        <v/>
      </c>
      <c r="D474" s="306">
        <f>IF('دانش‌آموزان'!C44="","",'دانش‌آموزان'!C44)</f>
        <v/>
      </c>
      <c r="E474" s="306">
        <f>IF('دانش‌آموزان'!E44="","",'دانش‌آموزان'!E44&amp;" "&amp;'دانش‌آموزان'!F44)</f>
        <v/>
      </c>
      <c r="F474" s="306">
        <f>IF('دانش‌آموزان'!I44="","",'دانش‌آموزان'!I44)</f>
        <v/>
      </c>
      <c r="G474" s="307" t="n"/>
      <c r="H474" s="307" t="n"/>
      <c r="I474" s="307" t="n"/>
      <c r="J474" s="307" t="n"/>
      <c r="K474" s="313">
        <f>IF(COUNT(G474:J474)=0,"",AVERAGE(G474:J474)*4)</f>
        <v/>
      </c>
      <c r="L474" s="306">
        <f>IF(C474="","",IF(COUNT(G474:J474)=0,"",IF(COUNT(G474:J474)&lt;4,"موقت - اطلاعات ناقص",IF(K474&gt;=17,"عالی",IF(K474&gt;=14,"خوب",IF(K474&gt;=10,"متوسط","ضعیف"))))))</f>
        <v/>
      </c>
      <c r="M474" s="306" t="n">
        <v>2</v>
      </c>
      <c r="N474" s="314">
        <f>IF(C474="","",COUNT(G474:J474)/4)</f>
        <v/>
      </c>
      <c r="O474" s="307" t="n"/>
    </row>
    <row r="475" ht="24" customHeight="1">
      <c r="A475" s="306" t="n">
        <v>471</v>
      </c>
      <c r="B475" s="306" t="inlineStr">
        <is>
          <t>شهریور</t>
        </is>
      </c>
      <c r="C475" s="306">
        <f>IF('دانش‌آموزان'!E44="","",'دانش‌آموزان'!B44)</f>
        <v/>
      </c>
      <c r="D475" s="306">
        <f>IF('دانش‌آموزان'!C44="","",'دانش‌آموزان'!C44)</f>
        <v/>
      </c>
      <c r="E475" s="306">
        <f>IF('دانش‌آموزان'!E44="","",'دانش‌آموزان'!E44&amp;" "&amp;'دانش‌آموزان'!F44)</f>
        <v/>
      </c>
      <c r="F475" s="306">
        <f>IF('دانش‌آموزان'!I44="","",'دانش‌آموزان'!I44)</f>
        <v/>
      </c>
      <c r="G475" s="307" t="n"/>
      <c r="H475" s="307" t="n"/>
      <c r="I475" s="307" t="n"/>
      <c r="J475" s="307" t="n"/>
      <c r="K475" s="313">
        <f>IF(COUNT(G475:J475)=0,"",AVERAGE(G475:J475)*4)</f>
        <v/>
      </c>
      <c r="L475" s="306">
        <f>IF(C475="","",IF(COUNT(G475:J475)=0,"",IF(COUNT(G475:J475)&lt;4,"موقت - اطلاعات ناقص",IF(K475&gt;=17,"عالی",IF(K475&gt;=14,"خوب",IF(K475&gt;=10,"متوسط","ضعیف"))))))</f>
        <v/>
      </c>
      <c r="M475" s="306" t="n">
        <v>3</v>
      </c>
      <c r="N475" s="314">
        <f>IF(C475="","",COUNT(G475:J475)/4)</f>
        <v/>
      </c>
      <c r="O475" s="307" t="n"/>
    </row>
    <row r="476" ht="24" customHeight="1">
      <c r="A476" s="306" t="n">
        <v>472</v>
      </c>
      <c r="B476" s="306" t="inlineStr">
        <is>
          <t>مهر</t>
        </is>
      </c>
      <c r="C476" s="306">
        <f>IF('دانش‌آموزان'!E44="","",'دانش‌آموزان'!B44)</f>
        <v/>
      </c>
      <c r="D476" s="306">
        <f>IF('دانش‌آموزان'!C44="","",'دانش‌آموزان'!C44)</f>
        <v/>
      </c>
      <c r="E476" s="306">
        <f>IF('دانش‌آموزان'!E44="","",'دانش‌آموزان'!E44&amp;" "&amp;'دانش‌آموزان'!F44)</f>
        <v/>
      </c>
      <c r="F476" s="306">
        <f>IF('دانش‌آموزان'!I44="","",'دانش‌آموزان'!I44)</f>
        <v/>
      </c>
      <c r="G476" s="307" t="n"/>
      <c r="H476" s="307" t="n"/>
      <c r="I476" s="307" t="n"/>
      <c r="J476" s="307" t="n"/>
      <c r="K476" s="313">
        <f>IF(COUNT(G476:J476)=0,"",AVERAGE(G476:J476)*4)</f>
        <v/>
      </c>
      <c r="L476" s="306">
        <f>IF(C476="","",IF(COUNT(G476:J476)=0,"",IF(COUNT(G476:J476)&lt;4,"موقت - اطلاعات ناقص",IF(K476&gt;=17,"عالی",IF(K476&gt;=14,"خوب",IF(K476&gt;=10,"متوسط","ضعیف"))))))</f>
        <v/>
      </c>
      <c r="M476" s="306" t="n">
        <v>4</v>
      </c>
      <c r="N476" s="314">
        <f>IF(C476="","",COUNT(G476:J476)/4)</f>
        <v/>
      </c>
      <c r="O476" s="307" t="n"/>
    </row>
    <row r="477" ht="24" customHeight="1">
      <c r="A477" s="306" t="n">
        <v>473</v>
      </c>
      <c r="B477" s="306" t="inlineStr">
        <is>
          <t>آبان</t>
        </is>
      </c>
      <c r="C477" s="306">
        <f>IF('دانش‌آموزان'!E44="","",'دانش‌آموزان'!B44)</f>
        <v/>
      </c>
      <c r="D477" s="306">
        <f>IF('دانش‌آموزان'!C44="","",'دانش‌آموزان'!C44)</f>
        <v/>
      </c>
      <c r="E477" s="306">
        <f>IF('دانش‌آموزان'!E44="","",'دانش‌آموزان'!E44&amp;" "&amp;'دانش‌آموزان'!F44)</f>
        <v/>
      </c>
      <c r="F477" s="306">
        <f>IF('دانش‌آموزان'!I44="","",'دانش‌آموزان'!I44)</f>
        <v/>
      </c>
      <c r="G477" s="307" t="n"/>
      <c r="H477" s="307" t="n"/>
      <c r="I477" s="307" t="n"/>
      <c r="J477" s="307" t="n"/>
      <c r="K477" s="313">
        <f>IF(COUNT(G477:J477)=0,"",AVERAGE(G477:J477)*4)</f>
        <v/>
      </c>
      <c r="L477" s="306">
        <f>IF(C477="","",IF(COUNT(G477:J477)=0,"",IF(COUNT(G477:J477)&lt;4,"موقت - اطلاعات ناقص",IF(K477&gt;=17,"عالی",IF(K477&gt;=14,"خوب",IF(K477&gt;=10,"متوسط","ضعیف"))))))</f>
        <v/>
      </c>
      <c r="M477" s="306" t="n">
        <v>5</v>
      </c>
      <c r="N477" s="314">
        <f>IF(C477="","",COUNT(G477:J477)/4)</f>
        <v/>
      </c>
      <c r="O477" s="307" t="n"/>
    </row>
    <row r="478" ht="24" customHeight="1">
      <c r="A478" s="306" t="n">
        <v>474</v>
      </c>
      <c r="B478" s="306" t="inlineStr">
        <is>
          <t>آذر</t>
        </is>
      </c>
      <c r="C478" s="306">
        <f>IF('دانش‌آموزان'!E44="","",'دانش‌آموزان'!B44)</f>
        <v/>
      </c>
      <c r="D478" s="306">
        <f>IF('دانش‌آموزان'!C44="","",'دانش‌آموزان'!C44)</f>
        <v/>
      </c>
      <c r="E478" s="306">
        <f>IF('دانش‌آموزان'!E44="","",'دانش‌آموزان'!E44&amp;" "&amp;'دانش‌آموزان'!F44)</f>
        <v/>
      </c>
      <c r="F478" s="306">
        <f>IF('دانش‌آموزان'!I44="","",'دانش‌آموزان'!I44)</f>
        <v/>
      </c>
      <c r="G478" s="307" t="n"/>
      <c r="H478" s="307" t="n"/>
      <c r="I478" s="307" t="n"/>
      <c r="J478" s="307" t="n"/>
      <c r="K478" s="313">
        <f>IF(COUNT(G478:J478)=0,"",AVERAGE(G478:J478)*4)</f>
        <v/>
      </c>
      <c r="L478" s="306">
        <f>IF(C478="","",IF(COUNT(G478:J478)=0,"",IF(COUNT(G478:J478)&lt;4,"موقت - اطلاعات ناقص",IF(K478&gt;=17,"عالی",IF(K478&gt;=14,"خوب",IF(K478&gt;=10,"متوسط","ضعیف"))))))</f>
        <v/>
      </c>
      <c r="M478" s="306" t="n">
        <v>6</v>
      </c>
      <c r="N478" s="314">
        <f>IF(C478="","",COUNT(G478:J478)/4)</f>
        <v/>
      </c>
      <c r="O478" s="307" t="n"/>
    </row>
    <row r="479" ht="24" customHeight="1">
      <c r="A479" s="306" t="n">
        <v>475</v>
      </c>
      <c r="B479" s="306" t="inlineStr">
        <is>
          <t>دی</t>
        </is>
      </c>
      <c r="C479" s="306">
        <f>IF('دانش‌آموزان'!E44="","",'دانش‌آموزان'!B44)</f>
        <v/>
      </c>
      <c r="D479" s="306">
        <f>IF('دانش‌آموزان'!C44="","",'دانش‌آموزان'!C44)</f>
        <v/>
      </c>
      <c r="E479" s="306">
        <f>IF('دانش‌آموزان'!E44="","",'دانش‌آموزان'!E44&amp;" "&amp;'دانش‌آموزان'!F44)</f>
        <v/>
      </c>
      <c r="F479" s="306">
        <f>IF('دانش‌آموزان'!I44="","",'دانش‌آموزان'!I44)</f>
        <v/>
      </c>
      <c r="G479" s="307" t="n"/>
      <c r="H479" s="307" t="n"/>
      <c r="I479" s="307" t="n"/>
      <c r="J479" s="307" t="n"/>
      <c r="K479" s="313">
        <f>IF(COUNT(G479:J479)=0,"",AVERAGE(G479:J479)*4)</f>
        <v/>
      </c>
      <c r="L479" s="306">
        <f>IF(C479="","",IF(COUNT(G479:J479)=0,"",IF(COUNT(G479:J479)&lt;4,"موقت - اطلاعات ناقص",IF(K479&gt;=17,"عالی",IF(K479&gt;=14,"خوب",IF(K479&gt;=10,"متوسط","ضعیف"))))))</f>
        <v/>
      </c>
      <c r="M479" s="306" t="n">
        <v>7</v>
      </c>
      <c r="N479" s="314">
        <f>IF(C479="","",COUNT(G479:J479)/4)</f>
        <v/>
      </c>
      <c r="O479" s="307" t="n"/>
    </row>
    <row r="480" ht="24" customHeight="1">
      <c r="A480" s="306" t="n">
        <v>476</v>
      </c>
      <c r="B480" s="306" t="inlineStr">
        <is>
          <t>بهمن</t>
        </is>
      </c>
      <c r="C480" s="306">
        <f>IF('دانش‌آموزان'!E44="","",'دانش‌آموزان'!B44)</f>
        <v/>
      </c>
      <c r="D480" s="306">
        <f>IF('دانش‌آموزان'!C44="","",'دانش‌آموزان'!C44)</f>
        <v/>
      </c>
      <c r="E480" s="306">
        <f>IF('دانش‌آموزان'!E44="","",'دانش‌آموزان'!E44&amp;" "&amp;'دانش‌آموزان'!F44)</f>
        <v/>
      </c>
      <c r="F480" s="306">
        <f>IF('دانش‌آموزان'!I44="","",'دانش‌آموزان'!I44)</f>
        <v/>
      </c>
      <c r="G480" s="307" t="n"/>
      <c r="H480" s="307" t="n"/>
      <c r="I480" s="307" t="n"/>
      <c r="J480" s="307" t="n"/>
      <c r="K480" s="313">
        <f>IF(COUNT(G480:J480)=0,"",AVERAGE(G480:J480)*4)</f>
        <v/>
      </c>
      <c r="L480" s="306">
        <f>IF(C480="","",IF(COUNT(G480:J480)=0,"",IF(COUNT(G480:J480)&lt;4,"موقت - اطلاعات ناقص",IF(K480&gt;=17,"عالی",IF(K480&gt;=14,"خوب",IF(K480&gt;=10,"متوسط","ضعیف"))))))</f>
        <v/>
      </c>
      <c r="M480" s="306" t="n">
        <v>8</v>
      </c>
      <c r="N480" s="314">
        <f>IF(C480="","",COUNT(G480:J480)/4)</f>
        <v/>
      </c>
      <c r="O480" s="307" t="n"/>
    </row>
    <row r="481" ht="24" customHeight="1">
      <c r="A481" s="306" t="n">
        <v>477</v>
      </c>
      <c r="B481" s="306" t="inlineStr">
        <is>
          <t>اسفند</t>
        </is>
      </c>
      <c r="C481" s="306">
        <f>IF('دانش‌آموزان'!E44="","",'دانش‌آموزان'!B44)</f>
        <v/>
      </c>
      <c r="D481" s="306">
        <f>IF('دانش‌آموزان'!C44="","",'دانش‌آموزان'!C44)</f>
        <v/>
      </c>
      <c r="E481" s="306">
        <f>IF('دانش‌آموزان'!E44="","",'دانش‌آموزان'!E44&amp;" "&amp;'دانش‌آموزان'!F44)</f>
        <v/>
      </c>
      <c r="F481" s="306">
        <f>IF('دانش‌آموزان'!I44="","",'دانش‌آموزان'!I44)</f>
        <v/>
      </c>
      <c r="G481" s="307" t="n"/>
      <c r="H481" s="307" t="n"/>
      <c r="I481" s="307" t="n"/>
      <c r="J481" s="307" t="n"/>
      <c r="K481" s="313">
        <f>IF(COUNT(G481:J481)=0,"",AVERAGE(G481:J481)*4)</f>
        <v/>
      </c>
      <c r="L481" s="306">
        <f>IF(C481="","",IF(COUNT(G481:J481)=0,"",IF(COUNT(G481:J481)&lt;4,"موقت - اطلاعات ناقص",IF(K481&gt;=17,"عالی",IF(K481&gt;=14,"خوب",IF(K481&gt;=10,"متوسط","ضعیف"))))))</f>
        <v/>
      </c>
      <c r="M481" s="306" t="n">
        <v>9</v>
      </c>
      <c r="N481" s="314">
        <f>IF(C481="","",COUNT(G481:J481)/4)</f>
        <v/>
      </c>
      <c r="O481" s="307" t="n"/>
    </row>
    <row r="482" ht="24" customHeight="1">
      <c r="A482" s="306" t="n">
        <v>478</v>
      </c>
      <c r="B482" s="306" t="inlineStr">
        <is>
          <t>فروردین</t>
        </is>
      </c>
      <c r="C482" s="306">
        <f>IF('دانش‌آموزان'!E44="","",'دانش‌آموزان'!B44)</f>
        <v/>
      </c>
      <c r="D482" s="306">
        <f>IF('دانش‌آموزان'!C44="","",'دانش‌آموزان'!C44)</f>
        <v/>
      </c>
      <c r="E482" s="306">
        <f>IF('دانش‌آموزان'!E44="","",'دانش‌آموزان'!E44&amp;" "&amp;'دانش‌آموزان'!F44)</f>
        <v/>
      </c>
      <c r="F482" s="306">
        <f>IF('دانش‌آموزان'!I44="","",'دانش‌آموزان'!I44)</f>
        <v/>
      </c>
      <c r="G482" s="307" t="n"/>
      <c r="H482" s="307" t="n"/>
      <c r="I482" s="307" t="n"/>
      <c r="J482" s="307" t="n"/>
      <c r="K482" s="313">
        <f>IF(COUNT(G482:J482)=0,"",AVERAGE(G482:J482)*4)</f>
        <v/>
      </c>
      <c r="L482" s="306">
        <f>IF(C482="","",IF(COUNT(G482:J482)=0,"",IF(COUNT(G482:J482)&lt;4,"موقت - اطلاعات ناقص",IF(K482&gt;=17,"عالی",IF(K482&gt;=14,"خوب",IF(K482&gt;=10,"متوسط","ضعیف"))))))</f>
        <v/>
      </c>
      <c r="M482" s="306" t="n">
        <v>10</v>
      </c>
      <c r="N482" s="314">
        <f>IF(C482="","",COUNT(G482:J482)/4)</f>
        <v/>
      </c>
      <c r="O482" s="307" t="n"/>
    </row>
    <row r="483" ht="24" customHeight="1">
      <c r="A483" s="306" t="n">
        <v>479</v>
      </c>
      <c r="B483" s="306" t="inlineStr">
        <is>
          <t>اردیبهشت</t>
        </is>
      </c>
      <c r="C483" s="306">
        <f>IF('دانش‌آموزان'!E44="","",'دانش‌آموزان'!B44)</f>
        <v/>
      </c>
      <c r="D483" s="306">
        <f>IF('دانش‌آموزان'!C44="","",'دانش‌آموزان'!C44)</f>
        <v/>
      </c>
      <c r="E483" s="306">
        <f>IF('دانش‌آموزان'!E44="","",'دانش‌آموزان'!E44&amp;" "&amp;'دانش‌آموزان'!F44)</f>
        <v/>
      </c>
      <c r="F483" s="306">
        <f>IF('دانش‌آموزان'!I44="","",'دانش‌آموزان'!I44)</f>
        <v/>
      </c>
      <c r="G483" s="307" t="n"/>
      <c r="H483" s="307" t="n"/>
      <c r="I483" s="307" t="n"/>
      <c r="J483" s="307" t="n"/>
      <c r="K483" s="313">
        <f>IF(COUNT(G483:J483)=0,"",AVERAGE(G483:J483)*4)</f>
        <v/>
      </c>
      <c r="L483" s="306">
        <f>IF(C483="","",IF(COUNT(G483:J483)=0,"",IF(COUNT(G483:J483)&lt;4,"موقت - اطلاعات ناقص",IF(K483&gt;=17,"عالی",IF(K483&gt;=14,"خوب",IF(K483&gt;=10,"متوسط","ضعیف"))))))</f>
        <v/>
      </c>
      <c r="M483" s="306" t="n">
        <v>11</v>
      </c>
      <c r="N483" s="314">
        <f>IF(C483="","",COUNT(G483:J483)/4)</f>
        <v/>
      </c>
      <c r="O483" s="307" t="n"/>
    </row>
    <row r="484" ht="24" customHeight="1">
      <c r="A484" s="306" t="n">
        <v>480</v>
      </c>
      <c r="B484" s="306" t="inlineStr">
        <is>
          <t>خرداد</t>
        </is>
      </c>
      <c r="C484" s="306">
        <f>IF('دانش‌آموزان'!E44="","",'دانش‌آموزان'!B44)</f>
        <v/>
      </c>
      <c r="D484" s="306">
        <f>IF('دانش‌آموزان'!C44="","",'دانش‌آموزان'!C44)</f>
        <v/>
      </c>
      <c r="E484" s="306">
        <f>IF('دانش‌آموزان'!E44="","",'دانش‌آموزان'!E44&amp;" "&amp;'دانش‌آموزان'!F44)</f>
        <v/>
      </c>
      <c r="F484" s="306">
        <f>IF('دانش‌آموزان'!I44="","",'دانش‌آموزان'!I44)</f>
        <v/>
      </c>
      <c r="G484" s="307" t="n"/>
      <c r="H484" s="307" t="n"/>
      <c r="I484" s="307" t="n"/>
      <c r="J484" s="307" t="n"/>
      <c r="K484" s="313">
        <f>IF(COUNT(G484:J484)=0,"",AVERAGE(G484:J484)*4)</f>
        <v/>
      </c>
      <c r="L484" s="306">
        <f>IF(C484="","",IF(COUNT(G484:J484)=0,"",IF(COUNT(G484:J484)&lt;4,"موقت - اطلاعات ناقص",IF(K484&gt;=17,"عالی",IF(K484&gt;=14,"خوب",IF(K484&gt;=10,"متوسط","ضعیف"))))))</f>
        <v/>
      </c>
      <c r="M484" s="306" t="n">
        <v>12</v>
      </c>
      <c r="N484" s="314">
        <f>IF(C484="","",COUNT(G484:J484)/4)</f>
        <v/>
      </c>
      <c r="O484" s="307" t="n"/>
    </row>
    <row r="485" ht="24" customHeight="1">
      <c r="A485" s="306" t="n">
        <v>481</v>
      </c>
      <c r="B485" s="306" t="inlineStr">
        <is>
          <t>تیر</t>
        </is>
      </c>
      <c r="C485" s="306">
        <f>IF('دانش‌آموزان'!E45="","",'دانش‌آموزان'!B45)</f>
        <v/>
      </c>
      <c r="D485" s="306">
        <f>IF('دانش‌آموزان'!C45="","",'دانش‌آموزان'!C45)</f>
        <v/>
      </c>
      <c r="E485" s="306">
        <f>IF('دانش‌آموزان'!E45="","",'دانش‌آموزان'!E45&amp;" "&amp;'دانش‌آموزان'!F45)</f>
        <v/>
      </c>
      <c r="F485" s="306">
        <f>IF('دانش‌آموزان'!I45="","",'دانش‌آموزان'!I45)</f>
        <v/>
      </c>
      <c r="G485" s="307" t="n"/>
      <c r="H485" s="307" t="n"/>
      <c r="I485" s="307" t="n"/>
      <c r="J485" s="307" t="n"/>
      <c r="K485" s="313">
        <f>IF(COUNT(G485:J485)=0,"",AVERAGE(G485:J485)*4)</f>
        <v/>
      </c>
      <c r="L485" s="306">
        <f>IF(C485="","",IF(COUNT(G485:J485)=0,"",IF(COUNT(G485:J485)&lt;4,"موقت - اطلاعات ناقص",IF(K485&gt;=17,"عالی",IF(K485&gt;=14,"خوب",IF(K485&gt;=10,"متوسط","ضعیف"))))))</f>
        <v/>
      </c>
      <c r="M485" s="306" t="n">
        <v>1</v>
      </c>
      <c r="N485" s="314">
        <f>IF(C485="","",COUNT(G485:J485)/4)</f>
        <v/>
      </c>
      <c r="O485" s="307" t="n"/>
    </row>
    <row r="486" ht="24" customHeight="1">
      <c r="A486" s="306" t="n">
        <v>482</v>
      </c>
      <c r="B486" s="306" t="inlineStr">
        <is>
          <t>مرداد</t>
        </is>
      </c>
      <c r="C486" s="306">
        <f>IF('دانش‌آموزان'!E45="","",'دانش‌آموزان'!B45)</f>
        <v/>
      </c>
      <c r="D486" s="306">
        <f>IF('دانش‌آموزان'!C45="","",'دانش‌آموزان'!C45)</f>
        <v/>
      </c>
      <c r="E486" s="306">
        <f>IF('دانش‌آموزان'!E45="","",'دانش‌آموزان'!E45&amp;" "&amp;'دانش‌آموزان'!F45)</f>
        <v/>
      </c>
      <c r="F486" s="306">
        <f>IF('دانش‌آموزان'!I45="","",'دانش‌آموزان'!I45)</f>
        <v/>
      </c>
      <c r="G486" s="307" t="n"/>
      <c r="H486" s="307" t="n"/>
      <c r="I486" s="307" t="n"/>
      <c r="J486" s="307" t="n"/>
      <c r="K486" s="313">
        <f>IF(COUNT(G486:J486)=0,"",AVERAGE(G486:J486)*4)</f>
        <v/>
      </c>
      <c r="L486" s="306">
        <f>IF(C486="","",IF(COUNT(G486:J486)=0,"",IF(COUNT(G486:J486)&lt;4,"موقت - اطلاعات ناقص",IF(K486&gt;=17,"عالی",IF(K486&gt;=14,"خوب",IF(K486&gt;=10,"متوسط","ضعیف"))))))</f>
        <v/>
      </c>
      <c r="M486" s="306" t="n">
        <v>2</v>
      </c>
      <c r="N486" s="314">
        <f>IF(C486="","",COUNT(G486:J486)/4)</f>
        <v/>
      </c>
      <c r="O486" s="307" t="n"/>
    </row>
    <row r="487" ht="24" customHeight="1">
      <c r="A487" s="306" t="n">
        <v>483</v>
      </c>
      <c r="B487" s="306" t="inlineStr">
        <is>
          <t>شهریور</t>
        </is>
      </c>
      <c r="C487" s="306">
        <f>IF('دانش‌آموزان'!E45="","",'دانش‌آموزان'!B45)</f>
        <v/>
      </c>
      <c r="D487" s="306">
        <f>IF('دانش‌آموزان'!C45="","",'دانش‌آموزان'!C45)</f>
        <v/>
      </c>
      <c r="E487" s="306">
        <f>IF('دانش‌آموزان'!E45="","",'دانش‌آموزان'!E45&amp;" "&amp;'دانش‌آموزان'!F45)</f>
        <v/>
      </c>
      <c r="F487" s="306">
        <f>IF('دانش‌آموزان'!I45="","",'دانش‌آموزان'!I45)</f>
        <v/>
      </c>
      <c r="G487" s="307" t="n"/>
      <c r="H487" s="307" t="n"/>
      <c r="I487" s="307" t="n"/>
      <c r="J487" s="307" t="n"/>
      <c r="K487" s="313">
        <f>IF(COUNT(G487:J487)=0,"",AVERAGE(G487:J487)*4)</f>
        <v/>
      </c>
      <c r="L487" s="306">
        <f>IF(C487="","",IF(COUNT(G487:J487)=0,"",IF(COUNT(G487:J487)&lt;4,"موقت - اطلاعات ناقص",IF(K487&gt;=17,"عالی",IF(K487&gt;=14,"خوب",IF(K487&gt;=10,"متوسط","ضعیف"))))))</f>
        <v/>
      </c>
      <c r="M487" s="306" t="n">
        <v>3</v>
      </c>
      <c r="N487" s="314">
        <f>IF(C487="","",COUNT(G487:J487)/4)</f>
        <v/>
      </c>
      <c r="O487" s="307" t="n"/>
    </row>
    <row r="488" ht="24" customHeight="1">
      <c r="A488" s="306" t="n">
        <v>484</v>
      </c>
      <c r="B488" s="306" t="inlineStr">
        <is>
          <t>مهر</t>
        </is>
      </c>
      <c r="C488" s="306">
        <f>IF('دانش‌آموزان'!E45="","",'دانش‌آموزان'!B45)</f>
        <v/>
      </c>
      <c r="D488" s="306">
        <f>IF('دانش‌آموزان'!C45="","",'دانش‌آموزان'!C45)</f>
        <v/>
      </c>
      <c r="E488" s="306">
        <f>IF('دانش‌آموزان'!E45="","",'دانش‌آموزان'!E45&amp;" "&amp;'دانش‌آموزان'!F45)</f>
        <v/>
      </c>
      <c r="F488" s="306">
        <f>IF('دانش‌آموزان'!I45="","",'دانش‌آموزان'!I45)</f>
        <v/>
      </c>
      <c r="G488" s="307" t="n"/>
      <c r="H488" s="307" t="n"/>
      <c r="I488" s="307" t="n"/>
      <c r="J488" s="307" t="n"/>
      <c r="K488" s="313">
        <f>IF(COUNT(G488:J488)=0,"",AVERAGE(G488:J488)*4)</f>
        <v/>
      </c>
      <c r="L488" s="306">
        <f>IF(C488="","",IF(COUNT(G488:J488)=0,"",IF(COUNT(G488:J488)&lt;4,"موقت - اطلاعات ناقص",IF(K488&gt;=17,"عالی",IF(K488&gt;=14,"خوب",IF(K488&gt;=10,"متوسط","ضعیف"))))))</f>
        <v/>
      </c>
      <c r="M488" s="306" t="n">
        <v>4</v>
      </c>
      <c r="N488" s="314">
        <f>IF(C488="","",COUNT(G488:J488)/4)</f>
        <v/>
      </c>
      <c r="O488" s="307" t="n"/>
    </row>
    <row r="489" ht="24" customHeight="1">
      <c r="A489" s="306" t="n">
        <v>485</v>
      </c>
      <c r="B489" s="306" t="inlineStr">
        <is>
          <t>آبان</t>
        </is>
      </c>
      <c r="C489" s="306">
        <f>IF('دانش‌آموزان'!E45="","",'دانش‌آموزان'!B45)</f>
        <v/>
      </c>
      <c r="D489" s="306">
        <f>IF('دانش‌آموزان'!C45="","",'دانش‌آموزان'!C45)</f>
        <v/>
      </c>
      <c r="E489" s="306">
        <f>IF('دانش‌آموزان'!E45="","",'دانش‌آموزان'!E45&amp;" "&amp;'دانش‌آموزان'!F45)</f>
        <v/>
      </c>
      <c r="F489" s="306">
        <f>IF('دانش‌آموزان'!I45="","",'دانش‌آموزان'!I45)</f>
        <v/>
      </c>
      <c r="G489" s="307" t="n"/>
      <c r="H489" s="307" t="n"/>
      <c r="I489" s="307" t="n"/>
      <c r="J489" s="307" t="n"/>
      <c r="K489" s="313">
        <f>IF(COUNT(G489:J489)=0,"",AVERAGE(G489:J489)*4)</f>
        <v/>
      </c>
      <c r="L489" s="306">
        <f>IF(C489="","",IF(COUNT(G489:J489)=0,"",IF(COUNT(G489:J489)&lt;4,"موقت - اطلاعات ناقص",IF(K489&gt;=17,"عالی",IF(K489&gt;=14,"خوب",IF(K489&gt;=10,"متوسط","ضعیف"))))))</f>
        <v/>
      </c>
      <c r="M489" s="306" t="n">
        <v>5</v>
      </c>
      <c r="N489" s="314">
        <f>IF(C489="","",COUNT(G489:J489)/4)</f>
        <v/>
      </c>
      <c r="O489" s="307" t="n"/>
    </row>
    <row r="490" ht="24" customHeight="1">
      <c r="A490" s="306" t="n">
        <v>486</v>
      </c>
      <c r="B490" s="306" t="inlineStr">
        <is>
          <t>آذر</t>
        </is>
      </c>
      <c r="C490" s="306">
        <f>IF('دانش‌آموزان'!E45="","",'دانش‌آموزان'!B45)</f>
        <v/>
      </c>
      <c r="D490" s="306">
        <f>IF('دانش‌آموزان'!C45="","",'دانش‌آموزان'!C45)</f>
        <v/>
      </c>
      <c r="E490" s="306">
        <f>IF('دانش‌آموزان'!E45="","",'دانش‌آموزان'!E45&amp;" "&amp;'دانش‌آموزان'!F45)</f>
        <v/>
      </c>
      <c r="F490" s="306">
        <f>IF('دانش‌آموزان'!I45="","",'دانش‌آموزان'!I45)</f>
        <v/>
      </c>
      <c r="G490" s="307" t="n"/>
      <c r="H490" s="307" t="n"/>
      <c r="I490" s="307" t="n"/>
      <c r="J490" s="307" t="n"/>
      <c r="K490" s="313">
        <f>IF(COUNT(G490:J490)=0,"",AVERAGE(G490:J490)*4)</f>
        <v/>
      </c>
      <c r="L490" s="306">
        <f>IF(C490="","",IF(COUNT(G490:J490)=0,"",IF(COUNT(G490:J490)&lt;4,"موقت - اطلاعات ناقص",IF(K490&gt;=17,"عالی",IF(K490&gt;=14,"خوب",IF(K490&gt;=10,"متوسط","ضعیف"))))))</f>
        <v/>
      </c>
      <c r="M490" s="306" t="n">
        <v>6</v>
      </c>
      <c r="N490" s="314">
        <f>IF(C490="","",COUNT(G490:J490)/4)</f>
        <v/>
      </c>
      <c r="O490" s="307" t="n"/>
    </row>
    <row r="491" ht="24" customHeight="1">
      <c r="A491" s="306" t="n">
        <v>487</v>
      </c>
      <c r="B491" s="306" t="inlineStr">
        <is>
          <t>دی</t>
        </is>
      </c>
      <c r="C491" s="306">
        <f>IF('دانش‌آموزان'!E45="","",'دانش‌آموزان'!B45)</f>
        <v/>
      </c>
      <c r="D491" s="306">
        <f>IF('دانش‌آموزان'!C45="","",'دانش‌آموزان'!C45)</f>
        <v/>
      </c>
      <c r="E491" s="306">
        <f>IF('دانش‌آموزان'!E45="","",'دانش‌آموزان'!E45&amp;" "&amp;'دانش‌آموزان'!F45)</f>
        <v/>
      </c>
      <c r="F491" s="306">
        <f>IF('دانش‌آموزان'!I45="","",'دانش‌آموزان'!I45)</f>
        <v/>
      </c>
      <c r="G491" s="307" t="n"/>
      <c r="H491" s="307" t="n"/>
      <c r="I491" s="307" t="n"/>
      <c r="J491" s="307" t="n"/>
      <c r="K491" s="313">
        <f>IF(COUNT(G491:J491)=0,"",AVERAGE(G491:J491)*4)</f>
        <v/>
      </c>
      <c r="L491" s="306">
        <f>IF(C491="","",IF(COUNT(G491:J491)=0,"",IF(COUNT(G491:J491)&lt;4,"موقت - اطلاعات ناقص",IF(K491&gt;=17,"عالی",IF(K491&gt;=14,"خوب",IF(K491&gt;=10,"متوسط","ضعیف"))))))</f>
        <v/>
      </c>
      <c r="M491" s="306" t="n">
        <v>7</v>
      </c>
      <c r="N491" s="314">
        <f>IF(C491="","",COUNT(G491:J491)/4)</f>
        <v/>
      </c>
      <c r="O491" s="307" t="n"/>
    </row>
    <row r="492" ht="24" customHeight="1">
      <c r="A492" s="306" t="n">
        <v>488</v>
      </c>
      <c r="B492" s="306" t="inlineStr">
        <is>
          <t>بهمن</t>
        </is>
      </c>
      <c r="C492" s="306">
        <f>IF('دانش‌آموزان'!E45="","",'دانش‌آموزان'!B45)</f>
        <v/>
      </c>
      <c r="D492" s="306">
        <f>IF('دانش‌آموزان'!C45="","",'دانش‌آموزان'!C45)</f>
        <v/>
      </c>
      <c r="E492" s="306">
        <f>IF('دانش‌آموزان'!E45="","",'دانش‌آموزان'!E45&amp;" "&amp;'دانش‌آموزان'!F45)</f>
        <v/>
      </c>
      <c r="F492" s="306">
        <f>IF('دانش‌آموزان'!I45="","",'دانش‌آموزان'!I45)</f>
        <v/>
      </c>
      <c r="G492" s="307" t="n"/>
      <c r="H492" s="307" t="n"/>
      <c r="I492" s="307" t="n"/>
      <c r="J492" s="307" t="n"/>
      <c r="K492" s="313">
        <f>IF(COUNT(G492:J492)=0,"",AVERAGE(G492:J492)*4)</f>
        <v/>
      </c>
      <c r="L492" s="306">
        <f>IF(C492="","",IF(COUNT(G492:J492)=0,"",IF(COUNT(G492:J492)&lt;4,"موقت - اطلاعات ناقص",IF(K492&gt;=17,"عالی",IF(K492&gt;=14,"خوب",IF(K492&gt;=10,"متوسط","ضعیف"))))))</f>
        <v/>
      </c>
      <c r="M492" s="306" t="n">
        <v>8</v>
      </c>
      <c r="N492" s="314">
        <f>IF(C492="","",COUNT(G492:J492)/4)</f>
        <v/>
      </c>
      <c r="O492" s="307" t="n"/>
    </row>
    <row r="493" ht="24" customHeight="1">
      <c r="A493" s="306" t="n">
        <v>489</v>
      </c>
      <c r="B493" s="306" t="inlineStr">
        <is>
          <t>اسفند</t>
        </is>
      </c>
      <c r="C493" s="306">
        <f>IF('دانش‌آموزان'!E45="","",'دانش‌آموزان'!B45)</f>
        <v/>
      </c>
      <c r="D493" s="306">
        <f>IF('دانش‌آموزان'!C45="","",'دانش‌آموزان'!C45)</f>
        <v/>
      </c>
      <c r="E493" s="306">
        <f>IF('دانش‌آموزان'!E45="","",'دانش‌آموزان'!E45&amp;" "&amp;'دانش‌آموزان'!F45)</f>
        <v/>
      </c>
      <c r="F493" s="306">
        <f>IF('دانش‌آموزان'!I45="","",'دانش‌آموزان'!I45)</f>
        <v/>
      </c>
      <c r="G493" s="307" t="n"/>
      <c r="H493" s="307" t="n"/>
      <c r="I493" s="307" t="n"/>
      <c r="J493" s="307" t="n"/>
      <c r="K493" s="313">
        <f>IF(COUNT(G493:J493)=0,"",AVERAGE(G493:J493)*4)</f>
        <v/>
      </c>
      <c r="L493" s="306">
        <f>IF(C493="","",IF(COUNT(G493:J493)=0,"",IF(COUNT(G493:J493)&lt;4,"موقت - اطلاعات ناقص",IF(K493&gt;=17,"عالی",IF(K493&gt;=14,"خوب",IF(K493&gt;=10,"متوسط","ضعیف"))))))</f>
        <v/>
      </c>
      <c r="M493" s="306" t="n">
        <v>9</v>
      </c>
      <c r="N493" s="314">
        <f>IF(C493="","",COUNT(G493:J493)/4)</f>
        <v/>
      </c>
      <c r="O493" s="307" t="n"/>
    </row>
    <row r="494" ht="24" customHeight="1">
      <c r="A494" s="306" t="n">
        <v>490</v>
      </c>
      <c r="B494" s="306" t="inlineStr">
        <is>
          <t>فروردین</t>
        </is>
      </c>
      <c r="C494" s="306">
        <f>IF('دانش‌آموزان'!E45="","",'دانش‌آموزان'!B45)</f>
        <v/>
      </c>
      <c r="D494" s="306">
        <f>IF('دانش‌آموزان'!C45="","",'دانش‌آموزان'!C45)</f>
        <v/>
      </c>
      <c r="E494" s="306">
        <f>IF('دانش‌آموزان'!E45="","",'دانش‌آموزان'!E45&amp;" "&amp;'دانش‌آموزان'!F45)</f>
        <v/>
      </c>
      <c r="F494" s="306">
        <f>IF('دانش‌آموزان'!I45="","",'دانش‌آموزان'!I45)</f>
        <v/>
      </c>
      <c r="G494" s="307" t="n"/>
      <c r="H494" s="307" t="n"/>
      <c r="I494" s="307" t="n"/>
      <c r="J494" s="307" t="n"/>
      <c r="K494" s="313">
        <f>IF(COUNT(G494:J494)=0,"",AVERAGE(G494:J494)*4)</f>
        <v/>
      </c>
      <c r="L494" s="306">
        <f>IF(C494="","",IF(COUNT(G494:J494)=0,"",IF(COUNT(G494:J494)&lt;4,"موقت - اطلاعات ناقص",IF(K494&gt;=17,"عالی",IF(K494&gt;=14,"خوب",IF(K494&gt;=10,"متوسط","ضعیف"))))))</f>
        <v/>
      </c>
      <c r="M494" s="306" t="n">
        <v>10</v>
      </c>
      <c r="N494" s="314">
        <f>IF(C494="","",COUNT(G494:J494)/4)</f>
        <v/>
      </c>
      <c r="O494" s="307" t="n"/>
    </row>
    <row r="495" ht="24" customHeight="1">
      <c r="A495" s="306" t="n">
        <v>491</v>
      </c>
      <c r="B495" s="306" t="inlineStr">
        <is>
          <t>اردیبهشت</t>
        </is>
      </c>
      <c r="C495" s="306">
        <f>IF('دانش‌آموزان'!E45="","",'دانش‌آموزان'!B45)</f>
        <v/>
      </c>
      <c r="D495" s="306">
        <f>IF('دانش‌آموزان'!C45="","",'دانش‌آموزان'!C45)</f>
        <v/>
      </c>
      <c r="E495" s="306">
        <f>IF('دانش‌آموزان'!E45="","",'دانش‌آموزان'!E45&amp;" "&amp;'دانش‌آموزان'!F45)</f>
        <v/>
      </c>
      <c r="F495" s="306">
        <f>IF('دانش‌آموزان'!I45="","",'دانش‌آموزان'!I45)</f>
        <v/>
      </c>
      <c r="G495" s="307" t="n"/>
      <c r="H495" s="307" t="n"/>
      <c r="I495" s="307" t="n"/>
      <c r="J495" s="307" t="n"/>
      <c r="K495" s="313">
        <f>IF(COUNT(G495:J495)=0,"",AVERAGE(G495:J495)*4)</f>
        <v/>
      </c>
      <c r="L495" s="306">
        <f>IF(C495="","",IF(COUNT(G495:J495)=0,"",IF(COUNT(G495:J495)&lt;4,"موقت - اطلاعات ناقص",IF(K495&gt;=17,"عالی",IF(K495&gt;=14,"خوب",IF(K495&gt;=10,"متوسط","ضعیف"))))))</f>
        <v/>
      </c>
      <c r="M495" s="306" t="n">
        <v>11</v>
      </c>
      <c r="N495" s="314">
        <f>IF(C495="","",COUNT(G495:J495)/4)</f>
        <v/>
      </c>
      <c r="O495" s="307" t="n"/>
    </row>
    <row r="496" ht="24" customHeight="1">
      <c r="A496" s="306" t="n">
        <v>492</v>
      </c>
      <c r="B496" s="306" t="inlineStr">
        <is>
          <t>خرداد</t>
        </is>
      </c>
      <c r="C496" s="306">
        <f>IF('دانش‌آموزان'!E45="","",'دانش‌آموزان'!B45)</f>
        <v/>
      </c>
      <c r="D496" s="306">
        <f>IF('دانش‌آموزان'!C45="","",'دانش‌آموزان'!C45)</f>
        <v/>
      </c>
      <c r="E496" s="306">
        <f>IF('دانش‌آموزان'!E45="","",'دانش‌آموزان'!E45&amp;" "&amp;'دانش‌آموزان'!F45)</f>
        <v/>
      </c>
      <c r="F496" s="306">
        <f>IF('دانش‌آموزان'!I45="","",'دانش‌آموزان'!I45)</f>
        <v/>
      </c>
      <c r="G496" s="307" t="n"/>
      <c r="H496" s="307" t="n"/>
      <c r="I496" s="307" t="n"/>
      <c r="J496" s="307" t="n"/>
      <c r="K496" s="313">
        <f>IF(COUNT(G496:J496)=0,"",AVERAGE(G496:J496)*4)</f>
        <v/>
      </c>
      <c r="L496" s="306">
        <f>IF(C496="","",IF(COUNT(G496:J496)=0,"",IF(COUNT(G496:J496)&lt;4,"موقت - اطلاعات ناقص",IF(K496&gt;=17,"عالی",IF(K496&gt;=14,"خوب",IF(K496&gt;=10,"متوسط","ضعیف"))))))</f>
        <v/>
      </c>
      <c r="M496" s="306" t="n">
        <v>12</v>
      </c>
      <c r="N496" s="314">
        <f>IF(C496="","",COUNT(G496:J496)/4)</f>
        <v/>
      </c>
      <c r="O496" s="307" t="n"/>
    </row>
    <row r="497" ht="24" customHeight="1">
      <c r="A497" s="306" t="n">
        <v>493</v>
      </c>
      <c r="B497" s="306" t="inlineStr">
        <is>
          <t>تیر</t>
        </is>
      </c>
      <c r="C497" s="306">
        <f>IF('دانش‌آموزان'!E46="","",'دانش‌آموزان'!B46)</f>
        <v/>
      </c>
      <c r="D497" s="306">
        <f>IF('دانش‌آموزان'!C46="","",'دانش‌آموزان'!C46)</f>
        <v/>
      </c>
      <c r="E497" s="306">
        <f>IF('دانش‌آموزان'!E46="","",'دانش‌آموزان'!E46&amp;" "&amp;'دانش‌آموزان'!F46)</f>
        <v/>
      </c>
      <c r="F497" s="306">
        <f>IF('دانش‌آموزان'!I46="","",'دانش‌آموزان'!I46)</f>
        <v/>
      </c>
      <c r="G497" s="307" t="n"/>
      <c r="H497" s="307" t="n"/>
      <c r="I497" s="307" t="n"/>
      <c r="J497" s="307" t="n"/>
      <c r="K497" s="313">
        <f>IF(COUNT(G497:J497)=0,"",AVERAGE(G497:J497)*4)</f>
        <v/>
      </c>
      <c r="L497" s="306">
        <f>IF(C497="","",IF(COUNT(G497:J497)=0,"",IF(COUNT(G497:J497)&lt;4,"موقت - اطلاعات ناقص",IF(K497&gt;=17,"عالی",IF(K497&gt;=14,"خوب",IF(K497&gt;=10,"متوسط","ضعیف"))))))</f>
        <v/>
      </c>
      <c r="M497" s="306" t="n">
        <v>1</v>
      </c>
      <c r="N497" s="314">
        <f>IF(C497="","",COUNT(G497:J497)/4)</f>
        <v/>
      </c>
      <c r="O497" s="307" t="n"/>
    </row>
    <row r="498" ht="24" customHeight="1">
      <c r="A498" s="306" t="n">
        <v>494</v>
      </c>
      <c r="B498" s="306" t="inlineStr">
        <is>
          <t>مرداد</t>
        </is>
      </c>
      <c r="C498" s="306">
        <f>IF('دانش‌آموزان'!E46="","",'دانش‌آموزان'!B46)</f>
        <v/>
      </c>
      <c r="D498" s="306">
        <f>IF('دانش‌آموزان'!C46="","",'دانش‌آموزان'!C46)</f>
        <v/>
      </c>
      <c r="E498" s="306">
        <f>IF('دانش‌آموزان'!E46="","",'دانش‌آموزان'!E46&amp;" "&amp;'دانش‌آموزان'!F46)</f>
        <v/>
      </c>
      <c r="F498" s="306">
        <f>IF('دانش‌آموزان'!I46="","",'دانش‌آموزان'!I46)</f>
        <v/>
      </c>
      <c r="G498" s="307" t="n"/>
      <c r="H498" s="307" t="n"/>
      <c r="I498" s="307" t="n"/>
      <c r="J498" s="307" t="n"/>
      <c r="K498" s="313">
        <f>IF(COUNT(G498:J498)=0,"",AVERAGE(G498:J498)*4)</f>
        <v/>
      </c>
      <c r="L498" s="306">
        <f>IF(C498="","",IF(COUNT(G498:J498)=0,"",IF(COUNT(G498:J498)&lt;4,"موقت - اطلاعات ناقص",IF(K498&gt;=17,"عالی",IF(K498&gt;=14,"خوب",IF(K498&gt;=10,"متوسط","ضعیف"))))))</f>
        <v/>
      </c>
      <c r="M498" s="306" t="n">
        <v>2</v>
      </c>
      <c r="N498" s="314">
        <f>IF(C498="","",COUNT(G498:J498)/4)</f>
        <v/>
      </c>
      <c r="O498" s="307" t="n"/>
    </row>
    <row r="499" ht="24" customHeight="1">
      <c r="A499" s="306" t="n">
        <v>495</v>
      </c>
      <c r="B499" s="306" t="inlineStr">
        <is>
          <t>شهریور</t>
        </is>
      </c>
      <c r="C499" s="306">
        <f>IF('دانش‌آموزان'!E46="","",'دانش‌آموزان'!B46)</f>
        <v/>
      </c>
      <c r="D499" s="306">
        <f>IF('دانش‌آموزان'!C46="","",'دانش‌آموزان'!C46)</f>
        <v/>
      </c>
      <c r="E499" s="306">
        <f>IF('دانش‌آموزان'!E46="","",'دانش‌آموزان'!E46&amp;" "&amp;'دانش‌آموزان'!F46)</f>
        <v/>
      </c>
      <c r="F499" s="306">
        <f>IF('دانش‌آموزان'!I46="","",'دانش‌آموزان'!I46)</f>
        <v/>
      </c>
      <c r="G499" s="307" t="n"/>
      <c r="H499" s="307" t="n"/>
      <c r="I499" s="307" t="n"/>
      <c r="J499" s="307" t="n"/>
      <c r="K499" s="313">
        <f>IF(COUNT(G499:J499)=0,"",AVERAGE(G499:J499)*4)</f>
        <v/>
      </c>
      <c r="L499" s="306">
        <f>IF(C499="","",IF(COUNT(G499:J499)=0,"",IF(COUNT(G499:J499)&lt;4,"موقت - اطلاعات ناقص",IF(K499&gt;=17,"عالی",IF(K499&gt;=14,"خوب",IF(K499&gt;=10,"متوسط","ضعیف"))))))</f>
        <v/>
      </c>
      <c r="M499" s="306" t="n">
        <v>3</v>
      </c>
      <c r="N499" s="314">
        <f>IF(C499="","",COUNT(G499:J499)/4)</f>
        <v/>
      </c>
      <c r="O499" s="307" t="n"/>
    </row>
    <row r="500" ht="24" customHeight="1">
      <c r="A500" s="306" t="n">
        <v>496</v>
      </c>
      <c r="B500" s="306" t="inlineStr">
        <is>
          <t>مهر</t>
        </is>
      </c>
      <c r="C500" s="306">
        <f>IF('دانش‌آموزان'!E46="","",'دانش‌آموزان'!B46)</f>
        <v/>
      </c>
      <c r="D500" s="306">
        <f>IF('دانش‌آموزان'!C46="","",'دانش‌آموزان'!C46)</f>
        <v/>
      </c>
      <c r="E500" s="306">
        <f>IF('دانش‌آموزان'!E46="","",'دانش‌آموزان'!E46&amp;" "&amp;'دانش‌آموزان'!F46)</f>
        <v/>
      </c>
      <c r="F500" s="306">
        <f>IF('دانش‌آموزان'!I46="","",'دانش‌آموزان'!I46)</f>
        <v/>
      </c>
      <c r="G500" s="307" t="n"/>
      <c r="H500" s="307" t="n"/>
      <c r="I500" s="307" t="n"/>
      <c r="J500" s="307" t="n"/>
      <c r="K500" s="313">
        <f>IF(COUNT(G500:J500)=0,"",AVERAGE(G500:J500)*4)</f>
        <v/>
      </c>
      <c r="L500" s="306">
        <f>IF(C500="","",IF(COUNT(G500:J500)=0,"",IF(COUNT(G500:J500)&lt;4,"موقت - اطلاعات ناقص",IF(K500&gt;=17,"عالی",IF(K500&gt;=14,"خوب",IF(K500&gt;=10,"متوسط","ضعیف"))))))</f>
        <v/>
      </c>
      <c r="M500" s="306" t="n">
        <v>4</v>
      </c>
      <c r="N500" s="314">
        <f>IF(C500="","",COUNT(G500:J500)/4)</f>
        <v/>
      </c>
      <c r="O500" s="307" t="n"/>
    </row>
    <row r="501" ht="24" customHeight="1">
      <c r="A501" s="306" t="n">
        <v>497</v>
      </c>
      <c r="B501" s="306" t="inlineStr">
        <is>
          <t>آبان</t>
        </is>
      </c>
      <c r="C501" s="306">
        <f>IF('دانش‌آموزان'!E46="","",'دانش‌آموزان'!B46)</f>
        <v/>
      </c>
      <c r="D501" s="306">
        <f>IF('دانش‌آموزان'!C46="","",'دانش‌آموزان'!C46)</f>
        <v/>
      </c>
      <c r="E501" s="306">
        <f>IF('دانش‌آموزان'!E46="","",'دانش‌آموزان'!E46&amp;" "&amp;'دانش‌آموزان'!F46)</f>
        <v/>
      </c>
      <c r="F501" s="306">
        <f>IF('دانش‌آموزان'!I46="","",'دانش‌آموزان'!I46)</f>
        <v/>
      </c>
      <c r="G501" s="307" t="n"/>
      <c r="H501" s="307" t="n"/>
      <c r="I501" s="307" t="n"/>
      <c r="J501" s="307" t="n"/>
      <c r="K501" s="313">
        <f>IF(COUNT(G501:J501)=0,"",AVERAGE(G501:J501)*4)</f>
        <v/>
      </c>
      <c r="L501" s="306">
        <f>IF(C501="","",IF(COUNT(G501:J501)=0,"",IF(COUNT(G501:J501)&lt;4,"موقت - اطلاعات ناقص",IF(K501&gt;=17,"عالی",IF(K501&gt;=14,"خوب",IF(K501&gt;=10,"متوسط","ضعیف"))))))</f>
        <v/>
      </c>
      <c r="M501" s="306" t="n">
        <v>5</v>
      </c>
      <c r="N501" s="314">
        <f>IF(C501="","",COUNT(G501:J501)/4)</f>
        <v/>
      </c>
      <c r="O501" s="307" t="n"/>
    </row>
    <row r="502" ht="24" customHeight="1">
      <c r="A502" s="306" t="n">
        <v>498</v>
      </c>
      <c r="B502" s="306" t="inlineStr">
        <is>
          <t>آذر</t>
        </is>
      </c>
      <c r="C502" s="306">
        <f>IF('دانش‌آموزان'!E46="","",'دانش‌آموزان'!B46)</f>
        <v/>
      </c>
      <c r="D502" s="306">
        <f>IF('دانش‌آموزان'!C46="","",'دانش‌آموزان'!C46)</f>
        <v/>
      </c>
      <c r="E502" s="306">
        <f>IF('دانش‌آموزان'!E46="","",'دانش‌آموزان'!E46&amp;" "&amp;'دانش‌آموزان'!F46)</f>
        <v/>
      </c>
      <c r="F502" s="306">
        <f>IF('دانش‌آموزان'!I46="","",'دانش‌آموزان'!I46)</f>
        <v/>
      </c>
      <c r="G502" s="307" t="n"/>
      <c r="H502" s="307" t="n"/>
      <c r="I502" s="307" t="n"/>
      <c r="J502" s="307" t="n"/>
      <c r="K502" s="313">
        <f>IF(COUNT(G502:J502)=0,"",AVERAGE(G502:J502)*4)</f>
        <v/>
      </c>
      <c r="L502" s="306">
        <f>IF(C502="","",IF(COUNT(G502:J502)=0,"",IF(COUNT(G502:J502)&lt;4,"موقت - اطلاعات ناقص",IF(K502&gt;=17,"عالی",IF(K502&gt;=14,"خوب",IF(K502&gt;=10,"متوسط","ضعیف"))))))</f>
        <v/>
      </c>
      <c r="M502" s="306" t="n">
        <v>6</v>
      </c>
      <c r="N502" s="314">
        <f>IF(C502="","",COUNT(G502:J502)/4)</f>
        <v/>
      </c>
      <c r="O502" s="307" t="n"/>
    </row>
    <row r="503" ht="24" customHeight="1">
      <c r="A503" s="306" t="n">
        <v>499</v>
      </c>
      <c r="B503" s="306" t="inlineStr">
        <is>
          <t>دی</t>
        </is>
      </c>
      <c r="C503" s="306">
        <f>IF('دانش‌آموزان'!E46="","",'دانش‌آموزان'!B46)</f>
        <v/>
      </c>
      <c r="D503" s="306">
        <f>IF('دانش‌آموزان'!C46="","",'دانش‌آموزان'!C46)</f>
        <v/>
      </c>
      <c r="E503" s="306">
        <f>IF('دانش‌آموزان'!E46="","",'دانش‌آموزان'!E46&amp;" "&amp;'دانش‌آموزان'!F46)</f>
        <v/>
      </c>
      <c r="F503" s="306">
        <f>IF('دانش‌آموزان'!I46="","",'دانش‌آموزان'!I46)</f>
        <v/>
      </c>
      <c r="G503" s="307" t="n"/>
      <c r="H503" s="307" t="n"/>
      <c r="I503" s="307" t="n"/>
      <c r="J503" s="307" t="n"/>
      <c r="K503" s="313">
        <f>IF(COUNT(G503:J503)=0,"",AVERAGE(G503:J503)*4)</f>
        <v/>
      </c>
      <c r="L503" s="306">
        <f>IF(C503="","",IF(COUNT(G503:J503)=0,"",IF(COUNT(G503:J503)&lt;4,"موقت - اطلاعات ناقص",IF(K503&gt;=17,"عالی",IF(K503&gt;=14,"خوب",IF(K503&gt;=10,"متوسط","ضعیف"))))))</f>
        <v/>
      </c>
      <c r="M503" s="306" t="n">
        <v>7</v>
      </c>
      <c r="N503" s="314">
        <f>IF(C503="","",COUNT(G503:J503)/4)</f>
        <v/>
      </c>
      <c r="O503" s="307" t="n"/>
    </row>
    <row r="504" ht="24" customHeight="1">
      <c r="A504" s="306" t="n">
        <v>500</v>
      </c>
      <c r="B504" s="306" t="inlineStr">
        <is>
          <t>بهمن</t>
        </is>
      </c>
      <c r="C504" s="306">
        <f>IF('دانش‌آموزان'!E46="","",'دانش‌آموزان'!B46)</f>
        <v/>
      </c>
      <c r="D504" s="306">
        <f>IF('دانش‌آموزان'!C46="","",'دانش‌آموزان'!C46)</f>
        <v/>
      </c>
      <c r="E504" s="306">
        <f>IF('دانش‌آموزان'!E46="","",'دانش‌آموزان'!E46&amp;" "&amp;'دانش‌آموزان'!F46)</f>
        <v/>
      </c>
      <c r="F504" s="306">
        <f>IF('دانش‌آموزان'!I46="","",'دانش‌آموزان'!I46)</f>
        <v/>
      </c>
      <c r="G504" s="307" t="n"/>
      <c r="H504" s="307" t="n"/>
      <c r="I504" s="307" t="n"/>
      <c r="J504" s="307" t="n"/>
      <c r="K504" s="313">
        <f>IF(COUNT(G504:J504)=0,"",AVERAGE(G504:J504)*4)</f>
        <v/>
      </c>
      <c r="L504" s="306">
        <f>IF(C504="","",IF(COUNT(G504:J504)=0,"",IF(COUNT(G504:J504)&lt;4,"موقت - اطلاعات ناقص",IF(K504&gt;=17,"عالی",IF(K504&gt;=14,"خوب",IF(K504&gt;=10,"متوسط","ضعیف"))))))</f>
        <v/>
      </c>
      <c r="M504" s="306" t="n">
        <v>8</v>
      </c>
      <c r="N504" s="314">
        <f>IF(C504="","",COUNT(G504:J504)/4)</f>
        <v/>
      </c>
      <c r="O504" s="307" t="n"/>
    </row>
    <row r="505" ht="24" customHeight="1">
      <c r="A505" s="306" t="n">
        <v>501</v>
      </c>
      <c r="B505" s="306" t="inlineStr">
        <is>
          <t>اسفند</t>
        </is>
      </c>
      <c r="C505" s="306">
        <f>IF('دانش‌آموزان'!E46="","",'دانش‌آموزان'!B46)</f>
        <v/>
      </c>
      <c r="D505" s="306">
        <f>IF('دانش‌آموزان'!C46="","",'دانش‌آموزان'!C46)</f>
        <v/>
      </c>
      <c r="E505" s="306">
        <f>IF('دانش‌آموزان'!E46="","",'دانش‌آموزان'!E46&amp;" "&amp;'دانش‌آموزان'!F46)</f>
        <v/>
      </c>
      <c r="F505" s="306">
        <f>IF('دانش‌آموزان'!I46="","",'دانش‌آموزان'!I46)</f>
        <v/>
      </c>
      <c r="G505" s="307" t="n"/>
      <c r="H505" s="307" t="n"/>
      <c r="I505" s="307" t="n"/>
      <c r="J505" s="307" t="n"/>
      <c r="K505" s="313">
        <f>IF(COUNT(G505:J505)=0,"",AVERAGE(G505:J505)*4)</f>
        <v/>
      </c>
      <c r="L505" s="306">
        <f>IF(C505="","",IF(COUNT(G505:J505)=0,"",IF(COUNT(G505:J505)&lt;4,"موقت - اطلاعات ناقص",IF(K505&gt;=17,"عالی",IF(K505&gt;=14,"خوب",IF(K505&gt;=10,"متوسط","ضعیف"))))))</f>
        <v/>
      </c>
      <c r="M505" s="306" t="n">
        <v>9</v>
      </c>
      <c r="N505" s="314">
        <f>IF(C505="","",COUNT(G505:J505)/4)</f>
        <v/>
      </c>
      <c r="O505" s="307" t="n"/>
    </row>
    <row r="506" ht="24" customHeight="1">
      <c r="A506" s="306" t="n">
        <v>502</v>
      </c>
      <c r="B506" s="306" t="inlineStr">
        <is>
          <t>فروردین</t>
        </is>
      </c>
      <c r="C506" s="306">
        <f>IF('دانش‌آموزان'!E46="","",'دانش‌آموزان'!B46)</f>
        <v/>
      </c>
      <c r="D506" s="306">
        <f>IF('دانش‌آموزان'!C46="","",'دانش‌آموزان'!C46)</f>
        <v/>
      </c>
      <c r="E506" s="306">
        <f>IF('دانش‌آموزان'!E46="","",'دانش‌آموزان'!E46&amp;" "&amp;'دانش‌آموزان'!F46)</f>
        <v/>
      </c>
      <c r="F506" s="306">
        <f>IF('دانش‌آموزان'!I46="","",'دانش‌آموزان'!I46)</f>
        <v/>
      </c>
      <c r="G506" s="307" t="n"/>
      <c r="H506" s="307" t="n"/>
      <c r="I506" s="307" t="n"/>
      <c r="J506" s="307" t="n"/>
      <c r="K506" s="313">
        <f>IF(COUNT(G506:J506)=0,"",AVERAGE(G506:J506)*4)</f>
        <v/>
      </c>
      <c r="L506" s="306">
        <f>IF(C506="","",IF(COUNT(G506:J506)=0,"",IF(COUNT(G506:J506)&lt;4,"موقت - اطلاعات ناقص",IF(K506&gt;=17,"عالی",IF(K506&gt;=14,"خوب",IF(K506&gt;=10,"متوسط","ضعیف"))))))</f>
        <v/>
      </c>
      <c r="M506" s="306" t="n">
        <v>10</v>
      </c>
      <c r="N506" s="314">
        <f>IF(C506="","",COUNT(G506:J506)/4)</f>
        <v/>
      </c>
      <c r="O506" s="307" t="n"/>
    </row>
    <row r="507" ht="24" customHeight="1">
      <c r="A507" s="306" t="n">
        <v>503</v>
      </c>
      <c r="B507" s="306" t="inlineStr">
        <is>
          <t>اردیبهشت</t>
        </is>
      </c>
      <c r="C507" s="306">
        <f>IF('دانش‌آموزان'!E46="","",'دانش‌آموزان'!B46)</f>
        <v/>
      </c>
      <c r="D507" s="306">
        <f>IF('دانش‌آموزان'!C46="","",'دانش‌آموزان'!C46)</f>
        <v/>
      </c>
      <c r="E507" s="306">
        <f>IF('دانش‌آموزان'!E46="","",'دانش‌آموزان'!E46&amp;" "&amp;'دانش‌آموزان'!F46)</f>
        <v/>
      </c>
      <c r="F507" s="306">
        <f>IF('دانش‌آموزان'!I46="","",'دانش‌آموزان'!I46)</f>
        <v/>
      </c>
      <c r="G507" s="307" t="n"/>
      <c r="H507" s="307" t="n"/>
      <c r="I507" s="307" t="n"/>
      <c r="J507" s="307" t="n"/>
      <c r="K507" s="313">
        <f>IF(COUNT(G507:J507)=0,"",AVERAGE(G507:J507)*4)</f>
        <v/>
      </c>
      <c r="L507" s="306">
        <f>IF(C507="","",IF(COUNT(G507:J507)=0,"",IF(COUNT(G507:J507)&lt;4,"موقت - اطلاعات ناقص",IF(K507&gt;=17,"عالی",IF(K507&gt;=14,"خوب",IF(K507&gt;=10,"متوسط","ضعیف"))))))</f>
        <v/>
      </c>
      <c r="M507" s="306" t="n">
        <v>11</v>
      </c>
      <c r="N507" s="314">
        <f>IF(C507="","",COUNT(G507:J507)/4)</f>
        <v/>
      </c>
      <c r="O507" s="307" t="n"/>
    </row>
    <row r="508" ht="24" customHeight="1">
      <c r="A508" s="306" t="n">
        <v>504</v>
      </c>
      <c r="B508" s="306" t="inlineStr">
        <is>
          <t>خرداد</t>
        </is>
      </c>
      <c r="C508" s="306">
        <f>IF('دانش‌آموزان'!E46="","",'دانش‌آموزان'!B46)</f>
        <v/>
      </c>
      <c r="D508" s="306">
        <f>IF('دانش‌آموزان'!C46="","",'دانش‌آموزان'!C46)</f>
        <v/>
      </c>
      <c r="E508" s="306">
        <f>IF('دانش‌آموزان'!E46="","",'دانش‌آموزان'!E46&amp;" "&amp;'دانش‌آموزان'!F46)</f>
        <v/>
      </c>
      <c r="F508" s="306">
        <f>IF('دانش‌آموزان'!I46="","",'دانش‌آموزان'!I46)</f>
        <v/>
      </c>
      <c r="G508" s="307" t="n"/>
      <c r="H508" s="307" t="n"/>
      <c r="I508" s="307" t="n"/>
      <c r="J508" s="307" t="n"/>
      <c r="K508" s="313">
        <f>IF(COUNT(G508:J508)=0,"",AVERAGE(G508:J508)*4)</f>
        <v/>
      </c>
      <c r="L508" s="306">
        <f>IF(C508="","",IF(COUNT(G508:J508)=0,"",IF(COUNT(G508:J508)&lt;4,"موقت - اطلاعات ناقص",IF(K508&gt;=17,"عالی",IF(K508&gt;=14,"خوب",IF(K508&gt;=10,"متوسط","ضعیف"))))))</f>
        <v/>
      </c>
      <c r="M508" s="306" t="n">
        <v>12</v>
      </c>
      <c r="N508" s="314">
        <f>IF(C508="","",COUNT(G508:J508)/4)</f>
        <v/>
      </c>
      <c r="O508" s="307" t="n"/>
    </row>
    <row r="509" ht="24" customHeight="1">
      <c r="A509" s="306" t="n">
        <v>505</v>
      </c>
      <c r="B509" s="306" t="inlineStr">
        <is>
          <t>تیر</t>
        </is>
      </c>
      <c r="C509" s="306">
        <f>IF('دانش‌آموزان'!E47="","",'دانش‌آموزان'!B47)</f>
        <v/>
      </c>
      <c r="D509" s="306">
        <f>IF('دانش‌آموزان'!C47="","",'دانش‌آموزان'!C47)</f>
        <v/>
      </c>
      <c r="E509" s="306">
        <f>IF('دانش‌آموزان'!E47="","",'دانش‌آموزان'!E47&amp;" "&amp;'دانش‌آموزان'!F47)</f>
        <v/>
      </c>
      <c r="F509" s="306">
        <f>IF('دانش‌آموزان'!I47="","",'دانش‌آموزان'!I47)</f>
        <v/>
      </c>
      <c r="G509" s="307" t="n"/>
      <c r="H509" s="307" t="n"/>
      <c r="I509" s="307" t="n"/>
      <c r="J509" s="307" t="n"/>
      <c r="K509" s="313">
        <f>IF(COUNT(G509:J509)=0,"",AVERAGE(G509:J509)*4)</f>
        <v/>
      </c>
      <c r="L509" s="306">
        <f>IF(C509="","",IF(COUNT(G509:J509)=0,"",IF(COUNT(G509:J509)&lt;4,"موقت - اطلاعات ناقص",IF(K509&gt;=17,"عالی",IF(K509&gt;=14,"خوب",IF(K509&gt;=10,"متوسط","ضعیف"))))))</f>
        <v/>
      </c>
      <c r="M509" s="306" t="n">
        <v>1</v>
      </c>
      <c r="N509" s="314">
        <f>IF(C509="","",COUNT(G509:J509)/4)</f>
        <v/>
      </c>
      <c r="O509" s="307" t="n"/>
    </row>
    <row r="510" ht="24" customHeight="1">
      <c r="A510" s="306" t="n">
        <v>506</v>
      </c>
      <c r="B510" s="306" t="inlineStr">
        <is>
          <t>مرداد</t>
        </is>
      </c>
      <c r="C510" s="306">
        <f>IF('دانش‌آموزان'!E47="","",'دانش‌آموزان'!B47)</f>
        <v/>
      </c>
      <c r="D510" s="306">
        <f>IF('دانش‌آموزان'!C47="","",'دانش‌آموزان'!C47)</f>
        <v/>
      </c>
      <c r="E510" s="306">
        <f>IF('دانش‌آموزان'!E47="","",'دانش‌آموزان'!E47&amp;" "&amp;'دانش‌آموزان'!F47)</f>
        <v/>
      </c>
      <c r="F510" s="306">
        <f>IF('دانش‌آموزان'!I47="","",'دانش‌آموزان'!I47)</f>
        <v/>
      </c>
      <c r="G510" s="307" t="n"/>
      <c r="H510" s="307" t="n"/>
      <c r="I510" s="307" t="n"/>
      <c r="J510" s="307" t="n"/>
      <c r="K510" s="313">
        <f>IF(COUNT(G510:J510)=0,"",AVERAGE(G510:J510)*4)</f>
        <v/>
      </c>
      <c r="L510" s="306">
        <f>IF(C510="","",IF(COUNT(G510:J510)=0,"",IF(COUNT(G510:J510)&lt;4,"موقت - اطلاعات ناقص",IF(K510&gt;=17,"عالی",IF(K510&gt;=14,"خوب",IF(K510&gt;=10,"متوسط","ضعیف"))))))</f>
        <v/>
      </c>
      <c r="M510" s="306" t="n">
        <v>2</v>
      </c>
      <c r="N510" s="314">
        <f>IF(C510="","",COUNT(G510:J510)/4)</f>
        <v/>
      </c>
      <c r="O510" s="307" t="n"/>
    </row>
    <row r="511" ht="24" customHeight="1">
      <c r="A511" s="306" t="n">
        <v>507</v>
      </c>
      <c r="B511" s="306" t="inlineStr">
        <is>
          <t>شهریور</t>
        </is>
      </c>
      <c r="C511" s="306">
        <f>IF('دانش‌آموزان'!E47="","",'دانش‌آموزان'!B47)</f>
        <v/>
      </c>
      <c r="D511" s="306">
        <f>IF('دانش‌آموزان'!C47="","",'دانش‌آموزان'!C47)</f>
        <v/>
      </c>
      <c r="E511" s="306">
        <f>IF('دانش‌آموزان'!E47="","",'دانش‌آموزان'!E47&amp;" "&amp;'دانش‌آموزان'!F47)</f>
        <v/>
      </c>
      <c r="F511" s="306">
        <f>IF('دانش‌آموزان'!I47="","",'دانش‌آموزان'!I47)</f>
        <v/>
      </c>
      <c r="G511" s="307" t="n"/>
      <c r="H511" s="307" t="n"/>
      <c r="I511" s="307" t="n"/>
      <c r="J511" s="307" t="n"/>
      <c r="K511" s="313">
        <f>IF(COUNT(G511:J511)=0,"",AVERAGE(G511:J511)*4)</f>
        <v/>
      </c>
      <c r="L511" s="306">
        <f>IF(C511="","",IF(COUNT(G511:J511)=0,"",IF(COUNT(G511:J511)&lt;4,"موقت - اطلاعات ناقص",IF(K511&gt;=17,"عالی",IF(K511&gt;=14,"خوب",IF(K511&gt;=10,"متوسط","ضعیف"))))))</f>
        <v/>
      </c>
      <c r="M511" s="306" t="n">
        <v>3</v>
      </c>
      <c r="N511" s="314">
        <f>IF(C511="","",COUNT(G511:J511)/4)</f>
        <v/>
      </c>
      <c r="O511" s="307" t="n"/>
    </row>
    <row r="512" ht="24" customHeight="1">
      <c r="A512" s="306" t="n">
        <v>508</v>
      </c>
      <c r="B512" s="306" t="inlineStr">
        <is>
          <t>مهر</t>
        </is>
      </c>
      <c r="C512" s="306">
        <f>IF('دانش‌آموزان'!E47="","",'دانش‌آموزان'!B47)</f>
        <v/>
      </c>
      <c r="D512" s="306">
        <f>IF('دانش‌آموزان'!C47="","",'دانش‌آموزان'!C47)</f>
        <v/>
      </c>
      <c r="E512" s="306">
        <f>IF('دانش‌آموزان'!E47="","",'دانش‌آموزان'!E47&amp;" "&amp;'دانش‌آموزان'!F47)</f>
        <v/>
      </c>
      <c r="F512" s="306">
        <f>IF('دانش‌آموزان'!I47="","",'دانش‌آموزان'!I47)</f>
        <v/>
      </c>
      <c r="G512" s="307" t="n"/>
      <c r="H512" s="307" t="n"/>
      <c r="I512" s="307" t="n"/>
      <c r="J512" s="307" t="n"/>
      <c r="K512" s="313">
        <f>IF(COUNT(G512:J512)=0,"",AVERAGE(G512:J512)*4)</f>
        <v/>
      </c>
      <c r="L512" s="306">
        <f>IF(C512="","",IF(COUNT(G512:J512)=0,"",IF(COUNT(G512:J512)&lt;4,"موقت - اطلاعات ناقص",IF(K512&gt;=17,"عالی",IF(K512&gt;=14,"خوب",IF(K512&gt;=10,"متوسط","ضعیف"))))))</f>
        <v/>
      </c>
      <c r="M512" s="306" t="n">
        <v>4</v>
      </c>
      <c r="N512" s="314">
        <f>IF(C512="","",COUNT(G512:J512)/4)</f>
        <v/>
      </c>
      <c r="O512" s="307" t="n"/>
    </row>
    <row r="513" ht="24" customHeight="1">
      <c r="A513" s="306" t="n">
        <v>509</v>
      </c>
      <c r="B513" s="306" t="inlineStr">
        <is>
          <t>آبان</t>
        </is>
      </c>
      <c r="C513" s="306">
        <f>IF('دانش‌آموزان'!E47="","",'دانش‌آموزان'!B47)</f>
        <v/>
      </c>
      <c r="D513" s="306">
        <f>IF('دانش‌آموزان'!C47="","",'دانش‌آموزان'!C47)</f>
        <v/>
      </c>
      <c r="E513" s="306">
        <f>IF('دانش‌آموزان'!E47="","",'دانش‌آموزان'!E47&amp;" "&amp;'دانش‌آموزان'!F47)</f>
        <v/>
      </c>
      <c r="F513" s="306">
        <f>IF('دانش‌آموزان'!I47="","",'دانش‌آموزان'!I47)</f>
        <v/>
      </c>
      <c r="G513" s="307" t="n"/>
      <c r="H513" s="307" t="n"/>
      <c r="I513" s="307" t="n"/>
      <c r="J513" s="307" t="n"/>
      <c r="K513" s="313">
        <f>IF(COUNT(G513:J513)=0,"",AVERAGE(G513:J513)*4)</f>
        <v/>
      </c>
      <c r="L513" s="306">
        <f>IF(C513="","",IF(COUNT(G513:J513)=0,"",IF(COUNT(G513:J513)&lt;4,"موقت - اطلاعات ناقص",IF(K513&gt;=17,"عالی",IF(K513&gt;=14,"خوب",IF(K513&gt;=10,"متوسط","ضعیف"))))))</f>
        <v/>
      </c>
      <c r="M513" s="306" t="n">
        <v>5</v>
      </c>
      <c r="N513" s="314">
        <f>IF(C513="","",COUNT(G513:J513)/4)</f>
        <v/>
      </c>
      <c r="O513" s="307" t="n"/>
    </row>
    <row r="514" ht="24" customHeight="1">
      <c r="A514" s="306" t="n">
        <v>510</v>
      </c>
      <c r="B514" s="306" t="inlineStr">
        <is>
          <t>آذر</t>
        </is>
      </c>
      <c r="C514" s="306">
        <f>IF('دانش‌آموزان'!E47="","",'دانش‌آموزان'!B47)</f>
        <v/>
      </c>
      <c r="D514" s="306">
        <f>IF('دانش‌آموزان'!C47="","",'دانش‌آموزان'!C47)</f>
        <v/>
      </c>
      <c r="E514" s="306">
        <f>IF('دانش‌آموزان'!E47="","",'دانش‌آموزان'!E47&amp;" "&amp;'دانش‌آموزان'!F47)</f>
        <v/>
      </c>
      <c r="F514" s="306">
        <f>IF('دانش‌آموزان'!I47="","",'دانش‌آموزان'!I47)</f>
        <v/>
      </c>
      <c r="G514" s="307" t="n"/>
      <c r="H514" s="307" t="n"/>
      <c r="I514" s="307" t="n"/>
      <c r="J514" s="307" t="n"/>
      <c r="K514" s="313">
        <f>IF(COUNT(G514:J514)=0,"",AVERAGE(G514:J514)*4)</f>
        <v/>
      </c>
      <c r="L514" s="306">
        <f>IF(C514="","",IF(COUNT(G514:J514)=0,"",IF(COUNT(G514:J514)&lt;4,"موقت - اطلاعات ناقص",IF(K514&gt;=17,"عالی",IF(K514&gt;=14,"خوب",IF(K514&gt;=10,"متوسط","ضعیف"))))))</f>
        <v/>
      </c>
      <c r="M514" s="306" t="n">
        <v>6</v>
      </c>
      <c r="N514" s="314">
        <f>IF(C514="","",COUNT(G514:J514)/4)</f>
        <v/>
      </c>
      <c r="O514" s="307" t="n"/>
    </row>
    <row r="515" ht="24" customHeight="1">
      <c r="A515" s="306" t="n">
        <v>511</v>
      </c>
      <c r="B515" s="306" t="inlineStr">
        <is>
          <t>دی</t>
        </is>
      </c>
      <c r="C515" s="306">
        <f>IF('دانش‌آموزان'!E47="","",'دانش‌آموزان'!B47)</f>
        <v/>
      </c>
      <c r="D515" s="306">
        <f>IF('دانش‌آموزان'!C47="","",'دانش‌آموزان'!C47)</f>
        <v/>
      </c>
      <c r="E515" s="306">
        <f>IF('دانش‌آموزان'!E47="","",'دانش‌آموزان'!E47&amp;" "&amp;'دانش‌آموزان'!F47)</f>
        <v/>
      </c>
      <c r="F515" s="306">
        <f>IF('دانش‌آموزان'!I47="","",'دانش‌آموزان'!I47)</f>
        <v/>
      </c>
      <c r="G515" s="307" t="n"/>
      <c r="H515" s="307" t="n"/>
      <c r="I515" s="307" t="n"/>
      <c r="J515" s="307" t="n"/>
      <c r="K515" s="313">
        <f>IF(COUNT(G515:J515)=0,"",AVERAGE(G515:J515)*4)</f>
        <v/>
      </c>
      <c r="L515" s="306">
        <f>IF(C515="","",IF(COUNT(G515:J515)=0,"",IF(COUNT(G515:J515)&lt;4,"موقت - اطلاعات ناقص",IF(K515&gt;=17,"عالی",IF(K515&gt;=14,"خوب",IF(K515&gt;=10,"متوسط","ضعیف"))))))</f>
        <v/>
      </c>
      <c r="M515" s="306" t="n">
        <v>7</v>
      </c>
      <c r="N515" s="314">
        <f>IF(C515="","",COUNT(G515:J515)/4)</f>
        <v/>
      </c>
      <c r="O515" s="307" t="n"/>
    </row>
    <row r="516" ht="24" customHeight="1">
      <c r="A516" s="306" t="n">
        <v>512</v>
      </c>
      <c r="B516" s="306" t="inlineStr">
        <is>
          <t>بهمن</t>
        </is>
      </c>
      <c r="C516" s="306">
        <f>IF('دانش‌آموزان'!E47="","",'دانش‌آموزان'!B47)</f>
        <v/>
      </c>
      <c r="D516" s="306">
        <f>IF('دانش‌آموزان'!C47="","",'دانش‌آموزان'!C47)</f>
        <v/>
      </c>
      <c r="E516" s="306">
        <f>IF('دانش‌آموزان'!E47="","",'دانش‌آموزان'!E47&amp;" "&amp;'دانش‌آموزان'!F47)</f>
        <v/>
      </c>
      <c r="F516" s="306">
        <f>IF('دانش‌آموزان'!I47="","",'دانش‌آموزان'!I47)</f>
        <v/>
      </c>
      <c r="G516" s="307" t="n"/>
      <c r="H516" s="307" t="n"/>
      <c r="I516" s="307" t="n"/>
      <c r="J516" s="307" t="n"/>
      <c r="K516" s="313">
        <f>IF(COUNT(G516:J516)=0,"",AVERAGE(G516:J516)*4)</f>
        <v/>
      </c>
      <c r="L516" s="306">
        <f>IF(C516="","",IF(COUNT(G516:J516)=0,"",IF(COUNT(G516:J516)&lt;4,"موقت - اطلاعات ناقص",IF(K516&gt;=17,"عالی",IF(K516&gt;=14,"خوب",IF(K516&gt;=10,"متوسط","ضعیف"))))))</f>
        <v/>
      </c>
      <c r="M516" s="306" t="n">
        <v>8</v>
      </c>
      <c r="N516" s="314">
        <f>IF(C516="","",COUNT(G516:J516)/4)</f>
        <v/>
      </c>
      <c r="O516" s="307" t="n"/>
    </row>
    <row r="517" ht="24" customHeight="1">
      <c r="A517" s="306" t="n">
        <v>513</v>
      </c>
      <c r="B517" s="306" t="inlineStr">
        <is>
          <t>اسفند</t>
        </is>
      </c>
      <c r="C517" s="306">
        <f>IF('دانش‌آموزان'!E47="","",'دانش‌آموزان'!B47)</f>
        <v/>
      </c>
      <c r="D517" s="306">
        <f>IF('دانش‌آموزان'!C47="","",'دانش‌آموزان'!C47)</f>
        <v/>
      </c>
      <c r="E517" s="306">
        <f>IF('دانش‌آموزان'!E47="","",'دانش‌آموزان'!E47&amp;" "&amp;'دانش‌آموزان'!F47)</f>
        <v/>
      </c>
      <c r="F517" s="306">
        <f>IF('دانش‌آموزان'!I47="","",'دانش‌آموزان'!I47)</f>
        <v/>
      </c>
      <c r="G517" s="307" t="n"/>
      <c r="H517" s="307" t="n"/>
      <c r="I517" s="307" t="n"/>
      <c r="J517" s="307" t="n"/>
      <c r="K517" s="313">
        <f>IF(COUNT(G517:J517)=0,"",AVERAGE(G517:J517)*4)</f>
        <v/>
      </c>
      <c r="L517" s="306">
        <f>IF(C517="","",IF(COUNT(G517:J517)=0,"",IF(COUNT(G517:J517)&lt;4,"موقت - اطلاعات ناقص",IF(K517&gt;=17,"عالی",IF(K517&gt;=14,"خوب",IF(K517&gt;=10,"متوسط","ضعیف"))))))</f>
        <v/>
      </c>
      <c r="M517" s="306" t="n">
        <v>9</v>
      </c>
      <c r="N517" s="314">
        <f>IF(C517="","",COUNT(G517:J517)/4)</f>
        <v/>
      </c>
      <c r="O517" s="307" t="n"/>
    </row>
    <row r="518" ht="24" customHeight="1">
      <c r="A518" s="306" t="n">
        <v>514</v>
      </c>
      <c r="B518" s="306" t="inlineStr">
        <is>
          <t>فروردین</t>
        </is>
      </c>
      <c r="C518" s="306">
        <f>IF('دانش‌آموزان'!E47="","",'دانش‌آموزان'!B47)</f>
        <v/>
      </c>
      <c r="D518" s="306">
        <f>IF('دانش‌آموزان'!C47="","",'دانش‌آموزان'!C47)</f>
        <v/>
      </c>
      <c r="E518" s="306">
        <f>IF('دانش‌آموزان'!E47="","",'دانش‌آموزان'!E47&amp;" "&amp;'دانش‌آموزان'!F47)</f>
        <v/>
      </c>
      <c r="F518" s="306">
        <f>IF('دانش‌آموزان'!I47="","",'دانش‌آموزان'!I47)</f>
        <v/>
      </c>
      <c r="G518" s="307" t="n"/>
      <c r="H518" s="307" t="n"/>
      <c r="I518" s="307" t="n"/>
      <c r="J518" s="307" t="n"/>
      <c r="K518" s="313">
        <f>IF(COUNT(G518:J518)=0,"",AVERAGE(G518:J518)*4)</f>
        <v/>
      </c>
      <c r="L518" s="306">
        <f>IF(C518="","",IF(COUNT(G518:J518)=0,"",IF(COUNT(G518:J518)&lt;4,"موقت - اطلاعات ناقص",IF(K518&gt;=17,"عالی",IF(K518&gt;=14,"خوب",IF(K518&gt;=10,"متوسط","ضعیف"))))))</f>
        <v/>
      </c>
      <c r="M518" s="306" t="n">
        <v>10</v>
      </c>
      <c r="N518" s="314">
        <f>IF(C518="","",COUNT(G518:J518)/4)</f>
        <v/>
      </c>
      <c r="O518" s="307" t="n"/>
    </row>
    <row r="519" ht="24" customHeight="1">
      <c r="A519" s="306" t="n">
        <v>515</v>
      </c>
      <c r="B519" s="306" t="inlineStr">
        <is>
          <t>اردیبهشت</t>
        </is>
      </c>
      <c r="C519" s="306">
        <f>IF('دانش‌آموزان'!E47="","",'دانش‌آموزان'!B47)</f>
        <v/>
      </c>
      <c r="D519" s="306">
        <f>IF('دانش‌آموزان'!C47="","",'دانش‌آموزان'!C47)</f>
        <v/>
      </c>
      <c r="E519" s="306">
        <f>IF('دانش‌آموزان'!E47="","",'دانش‌آموزان'!E47&amp;" "&amp;'دانش‌آموزان'!F47)</f>
        <v/>
      </c>
      <c r="F519" s="306">
        <f>IF('دانش‌آموزان'!I47="","",'دانش‌آموزان'!I47)</f>
        <v/>
      </c>
      <c r="G519" s="307" t="n"/>
      <c r="H519" s="307" t="n"/>
      <c r="I519" s="307" t="n"/>
      <c r="J519" s="307" t="n"/>
      <c r="K519" s="313">
        <f>IF(COUNT(G519:J519)=0,"",AVERAGE(G519:J519)*4)</f>
        <v/>
      </c>
      <c r="L519" s="306">
        <f>IF(C519="","",IF(COUNT(G519:J519)=0,"",IF(COUNT(G519:J519)&lt;4,"موقت - اطلاعات ناقص",IF(K519&gt;=17,"عالی",IF(K519&gt;=14,"خوب",IF(K519&gt;=10,"متوسط","ضعیف"))))))</f>
        <v/>
      </c>
      <c r="M519" s="306" t="n">
        <v>11</v>
      </c>
      <c r="N519" s="314">
        <f>IF(C519="","",COUNT(G519:J519)/4)</f>
        <v/>
      </c>
      <c r="O519" s="307" t="n"/>
    </row>
    <row r="520" ht="24" customHeight="1">
      <c r="A520" s="306" t="n">
        <v>516</v>
      </c>
      <c r="B520" s="306" t="inlineStr">
        <is>
          <t>خرداد</t>
        </is>
      </c>
      <c r="C520" s="306">
        <f>IF('دانش‌آموزان'!E47="","",'دانش‌آموزان'!B47)</f>
        <v/>
      </c>
      <c r="D520" s="306">
        <f>IF('دانش‌آموزان'!C47="","",'دانش‌آموزان'!C47)</f>
        <v/>
      </c>
      <c r="E520" s="306">
        <f>IF('دانش‌آموزان'!E47="","",'دانش‌آموزان'!E47&amp;" "&amp;'دانش‌آموزان'!F47)</f>
        <v/>
      </c>
      <c r="F520" s="306">
        <f>IF('دانش‌آموزان'!I47="","",'دانش‌آموزان'!I47)</f>
        <v/>
      </c>
      <c r="G520" s="307" t="n"/>
      <c r="H520" s="307" t="n"/>
      <c r="I520" s="307" t="n"/>
      <c r="J520" s="307" t="n"/>
      <c r="K520" s="313">
        <f>IF(COUNT(G520:J520)=0,"",AVERAGE(G520:J520)*4)</f>
        <v/>
      </c>
      <c r="L520" s="306">
        <f>IF(C520="","",IF(COUNT(G520:J520)=0,"",IF(COUNT(G520:J520)&lt;4,"موقت - اطلاعات ناقص",IF(K520&gt;=17,"عالی",IF(K520&gt;=14,"خوب",IF(K520&gt;=10,"متوسط","ضعیف"))))))</f>
        <v/>
      </c>
      <c r="M520" s="306" t="n">
        <v>12</v>
      </c>
      <c r="N520" s="314">
        <f>IF(C520="","",COUNT(G520:J520)/4)</f>
        <v/>
      </c>
      <c r="O520" s="307" t="n"/>
    </row>
    <row r="521" ht="24" customHeight="1">
      <c r="A521" s="306" t="n">
        <v>517</v>
      </c>
      <c r="B521" s="306" t="inlineStr">
        <is>
          <t>تیر</t>
        </is>
      </c>
      <c r="C521" s="306">
        <f>IF('دانش‌آموزان'!E48="","",'دانش‌آموزان'!B48)</f>
        <v/>
      </c>
      <c r="D521" s="306">
        <f>IF('دانش‌آموزان'!C48="","",'دانش‌آموزان'!C48)</f>
        <v/>
      </c>
      <c r="E521" s="306">
        <f>IF('دانش‌آموزان'!E48="","",'دانش‌آموزان'!E48&amp;" "&amp;'دانش‌آموزان'!F48)</f>
        <v/>
      </c>
      <c r="F521" s="306">
        <f>IF('دانش‌آموزان'!I48="","",'دانش‌آموزان'!I48)</f>
        <v/>
      </c>
      <c r="G521" s="307" t="n"/>
      <c r="H521" s="307" t="n"/>
      <c r="I521" s="307" t="n"/>
      <c r="J521" s="307" t="n"/>
      <c r="K521" s="313">
        <f>IF(COUNT(G521:J521)=0,"",AVERAGE(G521:J521)*4)</f>
        <v/>
      </c>
      <c r="L521" s="306">
        <f>IF(C521="","",IF(COUNT(G521:J521)=0,"",IF(COUNT(G521:J521)&lt;4,"موقت - اطلاعات ناقص",IF(K521&gt;=17,"عالی",IF(K521&gt;=14,"خوب",IF(K521&gt;=10,"متوسط","ضعیف"))))))</f>
        <v/>
      </c>
      <c r="M521" s="306" t="n">
        <v>1</v>
      </c>
      <c r="N521" s="314">
        <f>IF(C521="","",COUNT(G521:J521)/4)</f>
        <v/>
      </c>
      <c r="O521" s="307" t="n"/>
    </row>
    <row r="522" ht="24" customHeight="1">
      <c r="A522" s="306" t="n">
        <v>518</v>
      </c>
      <c r="B522" s="306" t="inlineStr">
        <is>
          <t>مرداد</t>
        </is>
      </c>
      <c r="C522" s="306">
        <f>IF('دانش‌آموزان'!E48="","",'دانش‌آموزان'!B48)</f>
        <v/>
      </c>
      <c r="D522" s="306">
        <f>IF('دانش‌آموزان'!C48="","",'دانش‌آموزان'!C48)</f>
        <v/>
      </c>
      <c r="E522" s="306">
        <f>IF('دانش‌آموزان'!E48="","",'دانش‌آموزان'!E48&amp;" "&amp;'دانش‌آموزان'!F48)</f>
        <v/>
      </c>
      <c r="F522" s="306">
        <f>IF('دانش‌آموزان'!I48="","",'دانش‌آموزان'!I48)</f>
        <v/>
      </c>
      <c r="G522" s="307" t="n"/>
      <c r="H522" s="307" t="n"/>
      <c r="I522" s="307" t="n"/>
      <c r="J522" s="307" t="n"/>
      <c r="K522" s="313">
        <f>IF(COUNT(G522:J522)=0,"",AVERAGE(G522:J522)*4)</f>
        <v/>
      </c>
      <c r="L522" s="306">
        <f>IF(C522="","",IF(COUNT(G522:J522)=0,"",IF(COUNT(G522:J522)&lt;4,"موقت - اطلاعات ناقص",IF(K522&gt;=17,"عالی",IF(K522&gt;=14,"خوب",IF(K522&gt;=10,"متوسط","ضعیف"))))))</f>
        <v/>
      </c>
      <c r="M522" s="306" t="n">
        <v>2</v>
      </c>
      <c r="N522" s="314">
        <f>IF(C522="","",COUNT(G522:J522)/4)</f>
        <v/>
      </c>
      <c r="O522" s="307" t="n"/>
    </row>
    <row r="523" ht="24" customHeight="1">
      <c r="A523" s="306" t="n">
        <v>519</v>
      </c>
      <c r="B523" s="306" t="inlineStr">
        <is>
          <t>شهریور</t>
        </is>
      </c>
      <c r="C523" s="306">
        <f>IF('دانش‌آموزان'!E48="","",'دانش‌آموزان'!B48)</f>
        <v/>
      </c>
      <c r="D523" s="306">
        <f>IF('دانش‌آموزان'!C48="","",'دانش‌آموزان'!C48)</f>
        <v/>
      </c>
      <c r="E523" s="306">
        <f>IF('دانش‌آموزان'!E48="","",'دانش‌آموزان'!E48&amp;" "&amp;'دانش‌آموزان'!F48)</f>
        <v/>
      </c>
      <c r="F523" s="306">
        <f>IF('دانش‌آموزان'!I48="","",'دانش‌آموزان'!I48)</f>
        <v/>
      </c>
      <c r="G523" s="307" t="n"/>
      <c r="H523" s="307" t="n"/>
      <c r="I523" s="307" t="n"/>
      <c r="J523" s="307" t="n"/>
      <c r="K523" s="313">
        <f>IF(COUNT(G523:J523)=0,"",AVERAGE(G523:J523)*4)</f>
        <v/>
      </c>
      <c r="L523" s="306">
        <f>IF(C523="","",IF(COUNT(G523:J523)=0,"",IF(COUNT(G523:J523)&lt;4,"موقت - اطلاعات ناقص",IF(K523&gt;=17,"عالی",IF(K523&gt;=14,"خوب",IF(K523&gt;=10,"متوسط","ضعیف"))))))</f>
        <v/>
      </c>
      <c r="M523" s="306" t="n">
        <v>3</v>
      </c>
      <c r="N523" s="314">
        <f>IF(C523="","",COUNT(G523:J523)/4)</f>
        <v/>
      </c>
      <c r="O523" s="307" t="n"/>
    </row>
    <row r="524" ht="24" customHeight="1">
      <c r="A524" s="306" t="n">
        <v>520</v>
      </c>
      <c r="B524" s="306" t="inlineStr">
        <is>
          <t>مهر</t>
        </is>
      </c>
      <c r="C524" s="306">
        <f>IF('دانش‌آموزان'!E48="","",'دانش‌آموزان'!B48)</f>
        <v/>
      </c>
      <c r="D524" s="306">
        <f>IF('دانش‌آموزان'!C48="","",'دانش‌آموزان'!C48)</f>
        <v/>
      </c>
      <c r="E524" s="306">
        <f>IF('دانش‌آموزان'!E48="","",'دانش‌آموزان'!E48&amp;" "&amp;'دانش‌آموزان'!F48)</f>
        <v/>
      </c>
      <c r="F524" s="306">
        <f>IF('دانش‌آموزان'!I48="","",'دانش‌آموزان'!I48)</f>
        <v/>
      </c>
      <c r="G524" s="307" t="n"/>
      <c r="H524" s="307" t="n"/>
      <c r="I524" s="307" t="n"/>
      <c r="J524" s="307" t="n"/>
      <c r="K524" s="313">
        <f>IF(COUNT(G524:J524)=0,"",AVERAGE(G524:J524)*4)</f>
        <v/>
      </c>
      <c r="L524" s="306">
        <f>IF(C524="","",IF(COUNT(G524:J524)=0,"",IF(COUNT(G524:J524)&lt;4,"موقت - اطلاعات ناقص",IF(K524&gt;=17,"عالی",IF(K524&gt;=14,"خوب",IF(K524&gt;=10,"متوسط","ضعیف"))))))</f>
        <v/>
      </c>
      <c r="M524" s="306" t="n">
        <v>4</v>
      </c>
      <c r="N524" s="314">
        <f>IF(C524="","",COUNT(G524:J524)/4)</f>
        <v/>
      </c>
      <c r="O524" s="307" t="n"/>
    </row>
    <row r="525" ht="24" customHeight="1">
      <c r="A525" s="306" t="n">
        <v>521</v>
      </c>
      <c r="B525" s="306" t="inlineStr">
        <is>
          <t>آبان</t>
        </is>
      </c>
      <c r="C525" s="306">
        <f>IF('دانش‌آموزان'!E48="","",'دانش‌آموزان'!B48)</f>
        <v/>
      </c>
      <c r="D525" s="306">
        <f>IF('دانش‌آموزان'!C48="","",'دانش‌آموزان'!C48)</f>
        <v/>
      </c>
      <c r="E525" s="306">
        <f>IF('دانش‌آموزان'!E48="","",'دانش‌آموزان'!E48&amp;" "&amp;'دانش‌آموزان'!F48)</f>
        <v/>
      </c>
      <c r="F525" s="306">
        <f>IF('دانش‌آموزان'!I48="","",'دانش‌آموزان'!I48)</f>
        <v/>
      </c>
      <c r="G525" s="307" t="n"/>
      <c r="H525" s="307" t="n"/>
      <c r="I525" s="307" t="n"/>
      <c r="J525" s="307" t="n"/>
      <c r="K525" s="313">
        <f>IF(COUNT(G525:J525)=0,"",AVERAGE(G525:J525)*4)</f>
        <v/>
      </c>
      <c r="L525" s="306">
        <f>IF(C525="","",IF(COUNT(G525:J525)=0,"",IF(COUNT(G525:J525)&lt;4,"موقت - اطلاعات ناقص",IF(K525&gt;=17,"عالی",IF(K525&gt;=14,"خوب",IF(K525&gt;=10,"متوسط","ضعیف"))))))</f>
        <v/>
      </c>
      <c r="M525" s="306" t="n">
        <v>5</v>
      </c>
      <c r="N525" s="314">
        <f>IF(C525="","",COUNT(G525:J525)/4)</f>
        <v/>
      </c>
      <c r="O525" s="307" t="n"/>
    </row>
    <row r="526" ht="24" customHeight="1">
      <c r="A526" s="306" t="n">
        <v>522</v>
      </c>
      <c r="B526" s="306" t="inlineStr">
        <is>
          <t>آذر</t>
        </is>
      </c>
      <c r="C526" s="306">
        <f>IF('دانش‌آموزان'!E48="","",'دانش‌آموزان'!B48)</f>
        <v/>
      </c>
      <c r="D526" s="306">
        <f>IF('دانش‌آموزان'!C48="","",'دانش‌آموزان'!C48)</f>
        <v/>
      </c>
      <c r="E526" s="306">
        <f>IF('دانش‌آموزان'!E48="","",'دانش‌آموزان'!E48&amp;" "&amp;'دانش‌آموزان'!F48)</f>
        <v/>
      </c>
      <c r="F526" s="306">
        <f>IF('دانش‌آموزان'!I48="","",'دانش‌آموزان'!I48)</f>
        <v/>
      </c>
      <c r="G526" s="307" t="n"/>
      <c r="H526" s="307" t="n"/>
      <c r="I526" s="307" t="n"/>
      <c r="J526" s="307" t="n"/>
      <c r="K526" s="313">
        <f>IF(COUNT(G526:J526)=0,"",AVERAGE(G526:J526)*4)</f>
        <v/>
      </c>
      <c r="L526" s="306">
        <f>IF(C526="","",IF(COUNT(G526:J526)=0,"",IF(COUNT(G526:J526)&lt;4,"موقت - اطلاعات ناقص",IF(K526&gt;=17,"عالی",IF(K526&gt;=14,"خوب",IF(K526&gt;=10,"متوسط","ضعیف"))))))</f>
        <v/>
      </c>
      <c r="M526" s="306" t="n">
        <v>6</v>
      </c>
      <c r="N526" s="314">
        <f>IF(C526="","",COUNT(G526:J526)/4)</f>
        <v/>
      </c>
      <c r="O526" s="307" t="n"/>
    </row>
    <row r="527" ht="24" customHeight="1">
      <c r="A527" s="306" t="n">
        <v>523</v>
      </c>
      <c r="B527" s="306" t="inlineStr">
        <is>
          <t>دی</t>
        </is>
      </c>
      <c r="C527" s="306">
        <f>IF('دانش‌آموزان'!E48="","",'دانش‌آموزان'!B48)</f>
        <v/>
      </c>
      <c r="D527" s="306">
        <f>IF('دانش‌آموزان'!C48="","",'دانش‌آموزان'!C48)</f>
        <v/>
      </c>
      <c r="E527" s="306">
        <f>IF('دانش‌آموزان'!E48="","",'دانش‌آموزان'!E48&amp;" "&amp;'دانش‌آموزان'!F48)</f>
        <v/>
      </c>
      <c r="F527" s="306">
        <f>IF('دانش‌آموزان'!I48="","",'دانش‌آموزان'!I48)</f>
        <v/>
      </c>
      <c r="G527" s="307" t="n"/>
      <c r="H527" s="307" t="n"/>
      <c r="I527" s="307" t="n"/>
      <c r="J527" s="307" t="n"/>
      <c r="K527" s="313">
        <f>IF(COUNT(G527:J527)=0,"",AVERAGE(G527:J527)*4)</f>
        <v/>
      </c>
      <c r="L527" s="306">
        <f>IF(C527="","",IF(COUNT(G527:J527)=0,"",IF(COUNT(G527:J527)&lt;4,"موقت - اطلاعات ناقص",IF(K527&gt;=17,"عالی",IF(K527&gt;=14,"خوب",IF(K527&gt;=10,"متوسط","ضعیف"))))))</f>
        <v/>
      </c>
      <c r="M527" s="306" t="n">
        <v>7</v>
      </c>
      <c r="N527" s="314">
        <f>IF(C527="","",COUNT(G527:J527)/4)</f>
        <v/>
      </c>
      <c r="O527" s="307" t="n"/>
    </row>
    <row r="528" ht="24" customHeight="1">
      <c r="A528" s="306" t="n">
        <v>524</v>
      </c>
      <c r="B528" s="306" t="inlineStr">
        <is>
          <t>بهمن</t>
        </is>
      </c>
      <c r="C528" s="306">
        <f>IF('دانش‌آموزان'!E48="","",'دانش‌آموزان'!B48)</f>
        <v/>
      </c>
      <c r="D528" s="306">
        <f>IF('دانش‌آموزان'!C48="","",'دانش‌آموزان'!C48)</f>
        <v/>
      </c>
      <c r="E528" s="306">
        <f>IF('دانش‌آموزان'!E48="","",'دانش‌آموزان'!E48&amp;" "&amp;'دانش‌آموزان'!F48)</f>
        <v/>
      </c>
      <c r="F528" s="306">
        <f>IF('دانش‌آموزان'!I48="","",'دانش‌آموزان'!I48)</f>
        <v/>
      </c>
      <c r="G528" s="307" t="n"/>
      <c r="H528" s="307" t="n"/>
      <c r="I528" s="307" t="n"/>
      <c r="J528" s="307" t="n"/>
      <c r="K528" s="313">
        <f>IF(COUNT(G528:J528)=0,"",AVERAGE(G528:J528)*4)</f>
        <v/>
      </c>
      <c r="L528" s="306">
        <f>IF(C528="","",IF(COUNT(G528:J528)=0,"",IF(COUNT(G528:J528)&lt;4,"موقت - اطلاعات ناقص",IF(K528&gt;=17,"عالی",IF(K528&gt;=14,"خوب",IF(K528&gt;=10,"متوسط","ضعیف"))))))</f>
        <v/>
      </c>
      <c r="M528" s="306" t="n">
        <v>8</v>
      </c>
      <c r="N528" s="314">
        <f>IF(C528="","",COUNT(G528:J528)/4)</f>
        <v/>
      </c>
      <c r="O528" s="307" t="n"/>
    </row>
    <row r="529" ht="24" customHeight="1">
      <c r="A529" s="306" t="n">
        <v>525</v>
      </c>
      <c r="B529" s="306" t="inlineStr">
        <is>
          <t>اسفند</t>
        </is>
      </c>
      <c r="C529" s="306">
        <f>IF('دانش‌آموزان'!E48="","",'دانش‌آموزان'!B48)</f>
        <v/>
      </c>
      <c r="D529" s="306">
        <f>IF('دانش‌آموزان'!C48="","",'دانش‌آموزان'!C48)</f>
        <v/>
      </c>
      <c r="E529" s="306">
        <f>IF('دانش‌آموزان'!E48="","",'دانش‌آموزان'!E48&amp;" "&amp;'دانش‌آموزان'!F48)</f>
        <v/>
      </c>
      <c r="F529" s="306">
        <f>IF('دانش‌آموزان'!I48="","",'دانش‌آموزان'!I48)</f>
        <v/>
      </c>
      <c r="G529" s="307" t="n"/>
      <c r="H529" s="307" t="n"/>
      <c r="I529" s="307" t="n"/>
      <c r="J529" s="307" t="n"/>
      <c r="K529" s="313">
        <f>IF(COUNT(G529:J529)=0,"",AVERAGE(G529:J529)*4)</f>
        <v/>
      </c>
      <c r="L529" s="306">
        <f>IF(C529="","",IF(COUNT(G529:J529)=0,"",IF(COUNT(G529:J529)&lt;4,"موقت - اطلاعات ناقص",IF(K529&gt;=17,"عالی",IF(K529&gt;=14,"خوب",IF(K529&gt;=10,"متوسط","ضعیف"))))))</f>
        <v/>
      </c>
      <c r="M529" s="306" t="n">
        <v>9</v>
      </c>
      <c r="N529" s="314">
        <f>IF(C529="","",COUNT(G529:J529)/4)</f>
        <v/>
      </c>
      <c r="O529" s="307" t="n"/>
    </row>
    <row r="530" ht="24" customHeight="1">
      <c r="A530" s="306" t="n">
        <v>526</v>
      </c>
      <c r="B530" s="306" t="inlineStr">
        <is>
          <t>فروردین</t>
        </is>
      </c>
      <c r="C530" s="306">
        <f>IF('دانش‌آموزان'!E48="","",'دانش‌آموزان'!B48)</f>
        <v/>
      </c>
      <c r="D530" s="306">
        <f>IF('دانش‌آموزان'!C48="","",'دانش‌آموزان'!C48)</f>
        <v/>
      </c>
      <c r="E530" s="306">
        <f>IF('دانش‌آموزان'!E48="","",'دانش‌آموزان'!E48&amp;" "&amp;'دانش‌آموزان'!F48)</f>
        <v/>
      </c>
      <c r="F530" s="306">
        <f>IF('دانش‌آموزان'!I48="","",'دانش‌آموزان'!I48)</f>
        <v/>
      </c>
      <c r="G530" s="307" t="n"/>
      <c r="H530" s="307" t="n"/>
      <c r="I530" s="307" t="n"/>
      <c r="J530" s="307" t="n"/>
      <c r="K530" s="313">
        <f>IF(COUNT(G530:J530)=0,"",AVERAGE(G530:J530)*4)</f>
        <v/>
      </c>
      <c r="L530" s="306">
        <f>IF(C530="","",IF(COUNT(G530:J530)=0,"",IF(COUNT(G530:J530)&lt;4,"موقت - اطلاعات ناقص",IF(K530&gt;=17,"عالی",IF(K530&gt;=14,"خوب",IF(K530&gt;=10,"متوسط","ضعیف"))))))</f>
        <v/>
      </c>
      <c r="M530" s="306" t="n">
        <v>10</v>
      </c>
      <c r="N530" s="314">
        <f>IF(C530="","",COUNT(G530:J530)/4)</f>
        <v/>
      </c>
      <c r="O530" s="307" t="n"/>
    </row>
    <row r="531" ht="24" customHeight="1">
      <c r="A531" s="306" t="n">
        <v>527</v>
      </c>
      <c r="B531" s="306" t="inlineStr">
        <is>
          <t>اردیبهشت</t>
        </is>
      </c>
      <c r="C531" s="306">
        <f>IF('دانش‌آموزان'!E48="","",'دانش‌آموزان'!B48)</f>
        <v/>
      </c>
      <c r="D531" s="306">
        <f>IF('دانش‌آموزان'!C48="","",'دانش‌آموزان'!C48)</f>
        <v/>
      </c>
      <c r="E531" s="306">
        <f>IF('دانش‌آموزان'!E48="","",'دانش‌آموزان'!E48&amp;" "&amp;'دانش‌آموزان'!F48)</f>
        <v/>
      </c>
      <c r="F531" s="306">
        <f>IF('دانش‌آموزان'!I48="","",'دانش‌آموزان'!I48)</f>
        <v/>
      </c>
      <c r="G531" s="307" t="n"/>
      <c r="H531" s="307" t="n"/>
      <c r="I531" s="307" t="n"/>
      <c r="J531" s="307" t="n"/>
      <c r="K531" s="313">
        <f>IF(COUNT(G531:J531)=0,"",AVERAGE(G531:J531)*4)</f>
        <v/>
      </c>
      <c r="L531" s="306">
        <f>IF(C531="","",IF(COUNT(G531:J531)=0,"",IF(COUNT(G531:J531)&lt;4,"موقت - اطلاعات ناقص",IF(K531&gt;=17,"عالی",IF(K531&gt;=14,"خوب",IF(K531&gt;=10,"متوسط","ضعیف"))))))</f>
        <v/>
      </c>
      <c r="M531" s="306" t="n">
        <v>11</v>
      </c>
      <c r="N531" s="314">
        <f>IF(C531="","",COUNT(G531:J531)/4)</f>
        <v/>
      </c>
      <c r="O531" s="307" t="n"/>
    </row>
    <row r="532" ht="24" customHeight="1">
      <c r="A532" s="306" t="n">
        <v>528</v>
      </c>
      <c r="B532" s="306" t="inlineStr">
        <is>
          <t>خرداد</t>
        </is>
      </c>
      <c r="C532" s="306">
        <f>IF('دانش‌آموزان'!E48="","",'دانش‌آموزان'!B48)</f>
        <v/>
      </c>
      <c r="D532" s="306">
        <f>IF('دانش‌آموزان'!C48="","",'دانش‌آموزان'!C48)</f>
        <v/>
      </c>
      <c r="E532" s="306">
        <f>IF('دانش‌آموزان'!E48="","",'دانش‌آموزان'!E48&amp;" "&amp;'دانش‌آموزان'!F48)</f>
        <v/>
      </c>
      <c r="F532" s="306">
        <f>IF('دانش‌آموزان'!I48="","",'دانش‌آموزان'!I48)</f>
        <v/>
      </c>
      <c r="G532" s="307" t="n"/>
      <c r="H532" s="307" t="n"/>
      <c r="I532" s="307" t="n"/>
      <c r="J532" s="307" t="n"/>
      <c r="K532" s="313">
        <f>IF(COUNT(G532:J532)=0,"",AVERAGE(G532:J532)*4)</f>
        <v/>
      </c>
      <c r="L532" s="306">
        <f>IF(C532="","",IF(COUNT(G532:J532)=0,"",IF(COUNT(G532:J532)&lt;4,"موقت - اطلاعات ناقص",IF(K532&gt;=17,"عالی",IF(K532&gt;=14,"خوب",IF(K532&gt;=10,"متوسط","ضعیف"))))))</f>
        <v/>
      </c>
      <c r="M532" s="306" t="n">
        <v>12</v>
      </c>
      <c r="N532" s="314">
        <f>IF(C532="","",COUNT(G532:J532)/4)</f>
        <v/>
      </c>
      <c r="O532" s="307" t="n"/>
    </row>
    <row r="533" ht="24" customHeight="1">
      <c r="A533" s="306" t="n">
        <v>529</v>
      </c>
      <c r="B533" s="306" t="inlineStr">
        <is>
          <t>تیر</t>
        </is>
      </c>
      <c r="C533" s="306">
        <f>IF('دانش‌آموزان'!E49="","",'دانش‌آموزان'!B49)</f>
        <v/>
      </c>
      <c r="D533" s="306">
        <f>IF('دانش‌آموزان'!C49="","",'دانش‌آموزان'!C49)</f>
        <v/>
      </c>
      <c r="E533" s="306">
        <f>IF('دانش‌آموزان'!E49="","",'دانش‌آموزان'!E49&amp;" "&amp;'دانش‌آموزان'!F49)</f>
        <v/>
      </c>
      <c r="F533" s="306">
        <f>IF('دانش‌آموزان'!I49="","",'دانش‌آموزان'!I49)</f>
        <v/>
      </c>
      <c r="G533" s="307" t="n"/>
      <c r="H533" s="307" t="n"/>
      <c r="I533" s="307" t="n"/>
      <c r="J533" s="307" t="n"/>
      <c r="K533" s="313">
        <f>IF(COUNT(G533:J533)=0,"",AVERAGE(G533:J533)*4)</f>
        <v/>
      </c>
      <c r="L533" s="306">
        <f>IF(C533="","",IF(COUNT(G533:J533)=0,"",IF(COUNT(G533:J533)&lt;4,"موقت - اطلاعات ناقص",IF(K533&gt;=17,"عالی",IF(K533&gt;=14,"خوب",IF(K533&gt;=10,"متوسط","ضعیف"))))))</f>
        <v/>
      </c>
      <c r="M533" s="306" t="n">
        <v>1</v>
      </c>
      <c r="N533" s="314">
        <f>IF(C533="","",COUNT(G533:J533)/4)</f>
        <v/>
      </c>
      <c r="O533" s="307" t="n"/>
    </row>
    <row r="534" ht="24" customHeight="1">
      <c r="A534" s="306" t="n">
        <v>530</v>
      </c>
      <c r="B534" s="306" t="inlineStr">
        <is>
          <t>مرداد</t>
        </is>
      </c>
      <c r="C534" s="306">
        <f>IF('دانش‌آموزان'!E49="","",'دانش‌آموزان'!B49)</f>
        <v/>
      </c>
      <c r="D534" s="306">
        <f>IF('دانش‌آموزان'!C49="","",'دانش‌آموزان'!C49)</f>
        <v/>
      </c>
      <c r="E534" s="306">
        <f>IF('دانش‌آموزان'!E49="","",'دانش‌آموزان'!E49&amp;" "&amp;'دانش‌آموزان'!F49)</f>
        <v/>
      </c>
      <c r="F534" s="306">
        <f>IF('دانش‌آموزان'!I49="","",'دانش‌آموزان'!I49)</f>
        <v/>
      </c>
      <c r="G534" s="307" t="n"/>
      <c r="H534" s="307" t="n"/>
      <c r="I534" s="307" t="n"/>
      <c r="J534" s="307" t="n"/>
      <c r="K534" s="313">
        <f>IF(COUNT(G534:J534)=0,"",AVERAGE(G534:J534)*4)</f>
        <v/>
      </c>
      <c r="L534" s="306">
        <f>IF(C534="","",IF(COUNT(G534:J534)=0,"",IF(COUNT(G534:J534)&lt;4,"موقت - اطلاعات ناقص",IF(K534&gt;=17,"عالی",IF(K534&gt;=14,"خوب",IF(K534&gt;=10,"متوسط","ضعیف"))))))</f>
        <v/>
      </c>
      <c r="M534" s="306" t="n">
        <v>2</v>
      </c>
      <c r="N534" s="314">
        <f>IF(C534="","",COUNT(G534:J534)/4)</f>
        <v/>
      </c>
      <c r="O534" s="307" t="n"/>
    </row>
    <row r="535" ht="24" customHeight="1">
      <c r="A535" s="306" t="n">
        <v>531</v>
      </c>
      <c r="B535" s="306" t="inlineStr">
        <is>
          <t>شهریور</t>
        </is>
      </c>
      <c r="C535" s="306">
        <f>IF('دانش‌آموزان'!E49="","",'دانش‌آموزان'!B49)</f>
        <v/>
      </c>
      <c r="D535" s="306">
        <f>IF('دانش‌آموزان'!C49="","",'دانش‌آموزان'!C49)</f>
        <v/>
      </c>
      <c r="E535" s="306">
        <f>IF('دانش‌آموزان'!E49="","",'دانش‌آموزان'!E49&amp;" "&amp;'دانش‌آموزان'!F49)</f>
        <v/>
      </c>
      <c r="F535" s="306">
        <f>IF('دانش‌آموزان'!I49="","",'دانش‌آموزان'!I49)</f>
        <v/>
      </c>
      <c r="G535" s="307" t="n"/>
      <c r="H535" s="307" t="n"/>
      <c r="I535" s="307" t="n"/>
      <c r="J535" s="307" t="n"/>
      <c r="K535" s="313">
        <f>IF(COUNT(G535:J535)=0,"",AVERAGE(G535:J535)*4)</f>
        <v/>
      </c>
      <c r="L535" s="306">
        <f>IF(C535="","",IF(COUNT(G535:J535)=0,"",IF(COUNT(G535:J535)&lt;4,"موقت - اطلاعات ناقص",IF(K535&gt;=17,"عالی",IF(K535&gt;=14,"خوب",IF(K535&gt;=10,"متوسط","ضعیف"))))))</f>
        <v/>
      </c>
      <c r="M535" s="306" t="n">
        <v>3</v>
      </c>
      <c r="N535" s="314">
        <f>IF(C535="","",COUNT(G535:J535)/4)</f>
        <v/>
      </c>
      <c r="O535" s="307" t="n"/>
    </row>
    <row r="536" ht="24" customHeight="1">
      <c r="A536" s="306" t="n">
        <v>532</v>
      </c>
      <c r="B536" s="306" t="inlineStr">
        <is>
          <t>مهر</t>
        </is>
      </c>
      <c r="C536" s="306">
        <f>IF('دانش‌آموزان'!E49="","",'دانش‌آموزان'!B49)</f>
        <v/>
      </c>
      <c r="D536" s="306">
        <f>IF('دانش‌آموزان'!C49="","",'دانش‌آموزان'!C49)</f>
        <v/>
      </c>
      <c r="E536" s="306">
        <f>IF('دانش‌آموزان'!E49="","",'دانش‌آموزان'!E49&amp;" "&amp;'دانش‌آموزان'!F49)</f>
        <v/>
      </c>
      <c r="F536" s="306">
        <f>IF('دانش‌آموزان'!I49="","",'دانش‌آموزان'!I49)</f>
        <v/>
      </c>
      <c r="G536" s="307" t="n"/>
      <c r="H536" s="307" t="n"/>
      <c r="I536" s="307" t="n"/>
      <c r="J536" s="307" t="n"/>
      <c r="K536" s="313">
        <f>IF(COUNT(G536:J536)=0,"",AVERAGE(G536:J536)*4)</f>
        <v/>
      </c>
      <c r="L536" s="306">
        <f>IF(C536="","",IF(COUNT(G536:J536)=0,"",IF(COUNT(G536:J536)&lt;4,"موقت - اطلاعات ناقص",IF(K536&gt;=17,"عالی",IF(K536&gt;=14,"خوب",IF(K536&gt;=10,"متوسط","ضعیف"))))))</f>
        <v/>
      </c>
      <c r="M536" s="306" t="n">
        <v>4</v>
      </c>
      <c r="N536" s="314">
        <f>IF(C536="","",COUNT(G536:J536)/4)</f>
        <v/>
      </c>
      <c r="O536" s="307" t="n"/>
    </row>
    <row r="537" ht="24" customHeight="1">
      <c r="A537" s="306" t="n">
        <v>533</v>
      </c>
      <c r="B537" s="306" t="inlineStr">
        <is>
          <t>آبان</t>
        </is>
      </c>
      <c r="C537" s="306">
        <f>IF('دانش‌آموزان'!E49="","",'دانش‌آموزان'!B49)</f>
        <v/>
      </c>
      <c r="D537" s="306">
        <f>IF('دانش‌آموزان'!C49="","",'دانش‌آموزان'!C49)</f>
        <v/>
      </c>
      <c r="E537" s="306">
        <f>IF('دانش‌آموزان'!E49="","",'دانش‌آموزان'!E49&amp;" "&amp;'دانش‌آموزان'!F49)</f>
        <v/>
      </c>
      <c r="F537" s="306">
        <f>IF('دانش‌آموزان'!I49="","",'دانش‌آموزان'!I49)</f>
        <v/>
      </c>
      <c r="G537" s="307" t="n"/>
      <c r="H537" s="307" t="n"/>
      <c r="I537" s="307" t="n"/>
      <c r="J537" s="307" t="n"/>
      <c r="K537" s="313">
        <f>IF(COUNT(G537:J537)=0,"",AVERAGE(G537:J537)*4)</f>
        <v/>
      </c>
      <c r="L537" s="306">
        <f>IF(C537="","",IF(COUNT(G537:J537)=0,"",IF(COUNT(G537:J537)&lt;4,"موقت - اطلاعات ناقص",IF(K537&gt;=17,"عالی",IF(K537&gt;=14,"خوب",IF(K537&gt;=10,"متوسط","ضعیف"))))))</f>
        <v/>
      </c>
      <c r="M537" s="306" t="n">
        <v>5</v>
      </c>
      <c r="N537" s="314">
        <f>IF(C537="","",COUNT(G537:J537)/4)</f>
        <v/>
      </c>
      <c r="O537" s="307" t="n"/>
    </row>
    <row r="538" ht="24" customHeight="1">
      <c r="A538" s="306" t="n">
        <v>534</v>
      </c>
      <c r="B538" s="306" t="inlineStr">
        <is>
          <t>آذر</t>
        </is>
      </c>
      <c r="C538" s="306">
        <f>IF('دانش‌آموزان'!E49="","",'دانش‌آموزان'!B49)</f>
        <v/>
      </c>
      <c r="D538" s="306">
        <f>IF('دانش‌آموزان'!C49="","",'دانش‌آموزان'!C49)</f>
        <v/>
      </c>
      <c r="E538" s="306">
        <f>IF('دانش‌آموزان'!E49="","",'دانش‌آموزان'!E49&amp;" "&amp;'دانش‌آموزان'!F49)</f>
        <v/>
      </c>
      <c r="F538" s="306">
        <f>IF('دانش‌آموزان'!I49="","",'دانش‌آموزان'!I49)</f>
        <v/>
      </c>
      <c r="G538" s="307" t="n"/>
      <c r="H538" s="307" t="n"/>
      <c r="I538" s="307" t="n"/>
      <c r="J538" s="307" t="n"/>
      <c r="K538" s="313">
        <f>IF(COUNT(G538:J538)=0,"",AVERAGE(G538:J538)*4)</f>
        <v/>
      </c>
      <c r="L538" s="306">
        <f>IF(C538="","",IF(COUNT(G538:J538)=0,"",IF(COUNT(G538:J538)&lt;4,"موقت - اطلاعات ناقص",IF(K538&gt;=17,"عالی",IF(K538&gt;=14,"خوب",IF(K538&gt;=10,"متوسط","ضعیف"))))))</f>
        <v/>
      </c>
      <c r="M538" s="306" t="n">
        <v>6</v>
      </c>
      <c r="N538" s="314">
        <f>IF(C538="","",COUNT(G538:J538)/4)</f>
        <v/>
      </c>
      <c r="O538" s="307" t="n"/>
    </row>
    <row r="539" ht="24" customHeight="1">
      <c r="A539" s="306" t="n">
        <v>535</v>
      </c>
      <c r="B539" s="306" t="inlineStr">
        <is>
          <t>دی</t>
        </is>
      </c>
      <c r="C539" s="306">
        <f>IF('دانش‌آموزان'!E49="","",'دانش‌آموزان'!B49)</f>
        <v/>
      </c>
      <c r="D539" s="306">
        <f>IF('دانش‌آموزان'!C49="","",'دانش‌آموزان'!C49)</f>
        <v/>
      </c>
      <c r="E539" s="306">
        <f>IF('دانش‌آموزان'!E49="","",'دانش‌آموزان'!E49&amp;" "&amp;'دانش‌آموزان'!F49)</f>
        <v/>
      </c>
      <c r="F539" s="306">
        <f>IF('دانش‌آموزان'!I49="","",'دانش‌آموزان'!I49)</f>
        <v/>
      </c>
      <c r="G539" s="307" t="n"/>
      <c r="H539" s="307" t="n"/>
      <c r="I539" s="307" t="n"/>
      <c r="J539" s="307" t="n"/>
      <c r="K539" s="313">
        <f>IF(COUNT(G539:J539)=0,"",AVERAGE(G539:J539)*4)</f>
        <v/>
      </c>
      <c r="L539" s="306">
        <f>IF(C539="","",IF(COUNT(G539:J539)=0,"",IF(COUNT(G539:J539)&lt;4,"موقت - اطلاعات ناقص",IF(K539&gt;=17,"عالی",IF(K539&gt;=14,"خوب",IF(K539&gt;=10,"متوسط","ضعیف"))))))</f>
        <v/>
      </c>
      <c r="M539" s="306" t="n">
        <v>7</v>
      </c>
      <c r="N539" s="314">
        <f>IF(C539="","",COUNT(G539:J539)/4)</f>
        <v/>
      </c>
      <c r="O539" s="307" t="n"/>
    </row>
    <row r="540" ht="24" customHeight="1">
      <c r="A540" s="306" t="n">
        <v>536</v>
      </c>
      <c r="B540" s="306" t="inlineStr">
        <is>
          <t>بهمن</t>
        </is>
      </c>
      <c r="C540" s="306">
        <f>IF('دانش‌آموزان'!E49="","",'دانش‌آموزان'!B49)</f>
        <v/>
      </c>
      <c r="D540" s="306">
        <f>IF('دانش‌آموزان'!C49="","",'دانش‌آموزان'!C49)</f>
        <v/>
      </c>
      <c r="E540" s="306">
        <f>IF('دانش‌آموزان'!E49="","",'دانش‌آموزان'!E49&amp;" "&amp;'دانش‌آموزان'!F49)</f>
        <v/>
      </c>
      <c r="F540" s="306">
        <f>IF('دانش‌آموزان'!I49="","",'دانش‌آموزان'!I49)</f>
        <v/>
      </c>
      <c r="G540" s="307" t="n"/>
      <c r="H540" s="307" t="n"/>
      <c r="I540" s="307" t="n"/>
      <c r="J540" s="307" t="n"/>
      <c r="K540" s="313">
        <f>IF(COUNT(G540:J540)=0,"",AVERAGE(G540:J540)*4)</f>
        <v/>
      </c>
      <c r="L540" s="306">
        <f>IF(C540="","",IF(COUNT(G540:J540)=0,"",IF(COUNT(G540:J540)&lt;4,"موقت - اطلاعات ناقص",IF(K540&gt;=17,"عالی",IF(K540&gt;=14,"خوب",IF(K540&gt;=10,"متوسط","ضعیف"))))))</f>
        <v/>
      </c>
      <c r="M540" s="306" t="n">
        <v>8</v>
      </c>
      <c r="N540" s="314">
        <f>IF(C540="","",COUNT(G540:J540)/4)</f>
        <v/>
      </c>
      <c r="O540" s="307" t="n"/>
    </row>
    <row r="541" ht="24" customHeight="1">
      <c r="A541" s="306" t="n">
        <v>537</v>
      </c>
      <c r="B541" s="306" t="inlineStr">
        <is>
          <t>اسفند</t>
        </is>
      </c>
      <c r="C541" s="306">
        <f>IF('دانش‌آموزان'!E49="","",'دانش‌آموزان'!B49)</f>
        <v/>
      </c>
      <c r="D541" s="306">
        <f>IF('دانش‌آموزان'!C49="","",'دانش‌آموزان'!C49)</f>
        <v/>
      </c>
      <c r="E541" s="306">
        <f>IF('دانش‌آموزان'!E49="","",'دانش‌آموزان'!E49&amp;" "&amp;'دانش‌آموزان'!F49)</f>
        <v/>
      </c>
      <c r="F541" s="306">
        <f>IF('دانش‌آموزان'!I49="","",'دانش‌آموزان'!I49)</f>
        <v/>
      </c>
      <c r="G541" s="307" t="n"/>
      <c r="H541" s="307" t="n"/>
      <c r="I541" s="307" t="n"/>
      <c r="J541" s="307" t="n"/>
      <c r="K541" s="313">
        <f>IF(COUNT(G541:J541)=0,"",AVERAGE(G541:J541)*4)</f>
        <v/>
      </c>
      <c r="L541" s="306">
        <f>IF(C541="","",IF(COUNT(G541:J541)=0,"",IF(COUNT(G541:J541)&lt;4,"موقت - اطلاعات ناقص",IF(K541&gt;=17,"عالی",IF(K541&gt;=14,"خوب",IF(K541&gt;=10,"متوسط","ضعیف"))))))</f>
        <v/>
      </c>
      <c r="M541" s="306" t="n">
        <v>9</v>
      </c>
      <c r="N541" s="314">
        <f>IF(C541="","",COUNT(G541:J541)/4)</f>
        <v/>
      </c>
      <c r="O541" s="307" t="n"/>
    </row>
    <row r="542" ht="24" customHeight="1">
      <c r="A542" s="306" t="n">
        <v>538</v>
      </c>
      <c r="B542" s="306" t="inlineStr">
        <is>
          <t>فروردین</t>
        </is>
      </c>
      <c r="C542" s="306">
        <f>IF('دانش‌آموزان'!E49="","",'دانش‌آموزان'!B49)</f>
        <v/>
      </c>
      <c r="D542" s="306">
        <f>IF('دانش‌آموزان'!C49="","",'دانش‌آموزان'!C49)</f>
        <v/>
      </c>
      <c r="E542" s="306">
        <f>IF('دانش‌آموزان'!E49="","",'دانش‌آموزان'!E49&amp;" "&amp;'دانش‌آموزان'!F49)</f>
        <v/>
      </c>
      <c r="F542" s="306">
        <f>IF('دانش‌آموزان'!I49="","",'دانش‌آموزان'!I49)</f>
        <v/>
      </c>
      <c r="G542" s="307" t="n"/>
      <c r="H542" s="307" t="n"/>
      <c r="I542" s="307" t="n"/>
      <c r="J542" s="307" t="n"/>
      <c r="K542" s="313">
        <f>IF(COUNT(G542:J542)=0,"",AVERAGE(G542:J542)*4)</f>
        <v/>
      </c>
      <c r="L542" s="306">
        <f>IF(C542="","",IF(COUNT(G542:J542)=0,"",IF(COUNT(G542:J542)&lt;4,"موقت - اطلاعات ناقص",IF(K542&gt;=17,"عالی",IF(K542&gt;=14,"خوب",IF(K542&gt;=10,"متوسط","ضعیف"))))))</f>
        <v/>
      </c>
      <c r="M542" s="306" t="n">
        <v>10</v>
      </c>
      <c r="N542" s="314">
        <f>IF(C542="","",COUNT(G542:J542)/4)</f>
        <v/>
      </c>
      <c r="O542" s="307" t="n"/>
    </row>
    <row r="543" ht="24" customHeight="1">
      <c r="A543" s="306" t="n">
        <v>539</v>
      </c>
      <c r="B543" s="306" t="inlineStr">
        <is>
          <t>اردیبهشت</t>
        </is>
      </c>
      <c r="C543" s="306">
        <f>IF('دانش‌آموزان'!E49="","",'دانش‌آموزان'!B49)</f>
        <v/>
      </c>
      <c r="D543" s="306">
        <f>IF('دانش‌آموزان'!C49="","",'دانش‌آموزان'!C49)</f>
        <v/>
      </c>
      <c r="E543" s="306">
        <f>IF('دانش‌آموزان'!E49="","",'دانش‌آموزان'!E49&amp;" "&amp;'دانش‌آموزان'!F49)</f>
        <v/>
      </c>
      <c r="F543" s="306">
        <f>IF('دانش‌آموزان'!I49="","",'دانش‌آموزان'!I49)</f>
        <v/>
      </c>
      <c r="G543" s="307" t="n"/>
      <c r="H543" s="307" t="n"/>
      <c r="I543" s="307" t="n"/>
      <c r="J543" s="307" t="n"/>
      <c r="K543" s="313">
        <f>IF(COUNT(G543:J543)=0,"",AVERAGE(G543:J543)*4)</f>
        <v/>
      </c>
      <c r="L543" s="306">
        <f>IF(C543="","",IF(COUNT(G543:J543)=0,"",IF(COUNT(G543:J543)&lt;4,"موقت - اطلاعات ناقص",IF(K543&gt;=17,"عالی",IF(K543&gt;=14,"خوب",IF(K543&gt;=10,"متوسط","ضعیف"))))))</f>
        <v/>
      </c>
      <c r="M543" s="306" t="n">
        <v>11</v>
      </c>
      <c r="N543" s="314">
        <f>IF(C543="","",COUNT(G543:J543)/4)</f>
        <v/>
      </c>
      <c r="O543" s="307" t="n"/>
    </row>
    <row r="544" ht="24" customHeight="1">
      <c r="A544" s="306" t="n">
        <v>540</v>
      </c>
      <c r="B544" s="306" t="inlineStr">
        <is>
          <t>خرداد</t>
        </is>
      </c>
      <c r="C544" s="306">
        <f>IF('دانش‌آموزان'!E49="","",'دانش‌آموزان'!B49)</f>
        <v/>
      </c>
      <c r="D544" s="306">
        <f>IF('دانش‌آموزان'!C49="","",'دانش‌آموزان'!C49)</f>
        <v/>
      </c>
      <c r="E544" s="306">
        <f>IF('دانش‌آموزان'!E49="","",'دانش‌آموزان'!E49&amp;" "&amp;'دانش‌آموزان'!F49)</f>
        <v/>
      </c>
      <c r="F544" s="306">
        <f>IF('دانش‌آموزان'!I49="","",'دانش‌آموزان'!I49)</f>
        <v/>
      </c>
      <c r="G544" s="307" t="n"/>
      <c r="H544" s="307" t="n"/>
      <c r="I544" s="307" t="n"/>
      <c r="J544" s="307" t="n"/>
      <c r="K544" s="313">
        <f>IF(COUNT(G544:J544)=0,"",AVERAGE(G544:J544)*4)</f>
        <v/>
      </c>
      <c r="L544" s="306">
        <f>IF(C544="","",IF(COUNT(G544:J544)=0,"",IF(COUNT(G544:J544)&lt;4,"موقت - اطلاعات ناقص",IF(K544&gt;=17,"عالی",IF(K544&gt;=14,"خوب",IF(K544&gt;=10,"متوسط","ضعیف"))))))</f>
        <v/>
      </c>
      <c r="M544" s="306" t="n">
        <v>12</v>
      </c>
      <c r="N544" s="314">
        <f>IF(C544="","",COUNT(G544:J544)/4)</f>
        <v/>
      </c>
      <c r="O544" s="307" t="n"/>
    </row>
    <row r="545" ht="24" customHeight="1">
      <c r="A545" s="306" t="n">
        <v>541</v>
      </c>
      <c r="B545" s="306" t="inlineStr">
        <is>
          <t>تیر</t>
        </is>
      </c>
      <c r="C545" s="306">
        <f>IF('دانش‌آموزان'!E50="","",'دانش‌آموزان'!B50)</f>
        <v/>
      </c>
      <c r="D545" s="306">
        <f>IF('دانش‌آموزان'!C50="","",'دانش‌آموزان'!C50)</f>
        <v/>
      </c>
      <c r="E545" s="306">
        <f>IF('دانش‌آموزان'!E50="","",'دانش‌آموزان'!E50&amp;" "&amp;'دانش‌آموزان'!F50)</f>
        <v/>
      </c>
      <c r="F545" s="306">
        <f>IF('دانش‌آموزان'!I50="","",'دانش‌آموزان'!I50)</f>
        <v/>
      </c>
      <c r="G545" s="307" t="n"/>
      <c r="H545" s="307" t="n"/>
      <c r="I545" s="307" t="n"/>
      <c r="J545" s="307" t="n"/>
      <c r="K545" s="313">
        <f>IF(COUNT(G545:J545)=0,"",AVERAGE(G545:J545)*4)</f>
        <v/>
      </c>
      <c r="L545" s="306">
        <f>IF(C545="","",IF(COUNT(G545:J545)=0,"",IF(COUNT(G545:J545)&lt;4,"موقت - اطلاعات ناقص",IF(K545&gt;=17,"عالی",IF(K545&gt;=14,"خوب",IF(K545&gt;=10,"متوسط","ضعیف"))))))</f>
        <v/>
      </c>
      <c r="M545" s="306" t="n">
        <v>1</v>
      </c>
      <c r="N545" s="314">
        <f>IF(C545="","",COUNT(G545:J545)/4)</f>
        <v/>
      </c>
      <c r="O545" s="307" t="n"/>
    </row>
    <row r="546" ht="24" customHeight="1">
      <c r="A546" s="306" t="n">
        <v>542</v>
      </c>
      <c r="B546" s="306" t="inlineStr">
        <is>
          <t>مرداد</t>
        </is>
      </c>
      <c r="C546" s="306">
        <f>IF('دانش‌آموزان'!E50="","",'دانش‌آموزان'!B50)</f>
        <v/>
      </c>
      <c r="D546" s="306">
        <f>IF('دانش‌آموزان'!C50="","",'دانش‌آموزان'!C50)</f>
        <v/>
      </c>
      <c r="E546" s="306">
        <f>IF('دانش‌آموزان'!E50="","",'دانش‌آموزان'!E50&amp;" "&amp;'دانش‌آموزان'!F50)</f>
        <v/>
      </c>
      <c r="F546" s="306">
        <f>IF('دانش‌آموزان'!I50="","",'دانش‌آموزان'!I50)</f>
        <v/>
      </c>
      <c r="G546" s="307" t="n"/>
      <c r="H546" s="307" t="n"/>
      <c r="I546" s="307" t="n"/>
      <c r="J546" s="307" t="n"/>
      <c r="K546" s="313">
        <f>IF(COUNT(G546:J546)=0,"",AVERAGE(G546:J546)*4)</f>
        <v/>
      </c>
      <c r="L546" s="306">
        <f>IF(C546="","",IF(COUNT(G546:J546)=0,"",IF(COUNT(G546:J546)&lt;4,"موقت - اطلاعات ناقص",IF(K546&gt;=17,"عالی",IF(K546&gt;=14,"خوب",IF(K546&gt;=10,"متوسط","ضعیف"))))))</f>
        <v/>
      </c>
      <c r="M546" s="306" t="n">
        <v>2</v>
      </c>
      <c r="N546" s="314">
        <f>IF(C546="","",COUNT(G546:J546)/4)</f>
        <v/>
      </c>
      <c r="O546" s="307" t="n"/>
    </row>
    <row r="547" ht="24" customHeight="1">
      <c r="A547" s="306" t="n">
        <v>543</v>
      </c>
      <c r="B547" s="306" t="inlineStr">
        <is>
          <t>شهریور</t>
        </is>
      </c>
      <c r="C547" s="306">
        <f>IF('دانش‌آموزان'!E50="","",'دانش‌آموزان'!B50)</f>
        <v/>
      </c>
      <c r="D547" s="306">
        <f>IF('دانش‌آموزان'!C50="","",'دانش‌آموزان'!C50)</f>
        <v/>
      </c>
      <c r="E547" s="306">
        <f>IF('دانش‌آموزان'!E50="","",'دانش‌آموزان'!E50&amp;" "&amp;'دانش‌آموزان'!F50)</f>
        <v/>
      </c>
      <c r="F547" s="306">
        <f>IF('دانش‌آموزان'!I50="","",'دانش‌آموزان'!I50)</f>
        <v/>
      </c>
      <c r="G547" s="307" t="n"/>
      <c r="H547" s="307" t="n"/>
      <c r="I547" s="307" t="n"/>
      <c r="J547" s="307" t="n"/>
      <c r="K547" s="313">
        <f>IF(COUNT(G547:J547)=0,"",AVERAGE(G547:J547)*4)</f>
        <v/>
      </c>
      <c r="L547" s="306">
        <f>IF(C547="","",IF(COUNT(G547:J547)=0,"",IF(COUNT(G547:J547)&lt;4,"موقت - اطلاعات ناقص",IF(K547&gt;=17,"عالی",IF(K547&gt;=14,"خوب",IF(K547&gt;=10,"متوسط","ضعیف"))))))</f>
        <v/>
      </c>
      <c r="M547" s="306" t="n">
        <v>3</v>
      </c>
      <c r="N547" s="314">
        <f>IF(C547="","",COUNT(G547:J547)/4)</f>
        <v/>
      </c>
      <c r="O547" s="307" t="n"/>
    </row>
    <row r="548" ht="24" customHeight="1">
      <c r="A548" s="306" t="n">
        <v>544</v>
      </c>
      <c r="B548" s="306" t="inlineStr">
        <is>
          <t>مهر</t>
        </is>
      </c>
      <c r="C548" s="306">
        <f>IF('دانش‌آموزان'!E50="","",'دانش‌آموزان'!B50)</f>
        <v/>
      </c>
      <c r="D548" s="306">
        <f>IF('دانش‌آموزان'!C50="","",'دانش‌آموزان'!C50)</f>
        <v/>
      </c>
      <c r="E548" s="306">
        <f>IF('دانش‌آموزان'!E50="","",'دانش‌آموزان'!E50&amp;" "&amp;'دانش‌آموزان'!F50)</f>
        <v/>
      </c>
      <c r="F548" s="306">
        <f>IF('دانش‌آموزان'!I50="","",'دانش‌آموزان'!I50)</f>
        <v/>
      </c>
      <c r="G548" s="307" t="n"/>
      <c r="H548" s="307" t="n"/>
      <c r="I548" s="307" t="n"/>
      <c r="J548" s="307" t="n"/>
      <c r="K548" s="313">
        <f>IF(COUNT(G548:J548)=0,"",AVERAGE(G548:J548)*4)</f>
        <v/>
      </c>
      <c r="L548" s="306">
        <f>IF(C548="","",IF(COUNT(G548:J548)=0,"",IF(COUNT(G548:J548)&lt;4,"موقت - اطلاعات ناقص",IF(K548&gt;=17,"عالی",IF(K548&gt;=14,"خوب",IF(K548&gt;=10,"متوسط","ضعیف"))))))</f>
        <v/>
      </c>
      <c r="M548" s="306" t="n">
        <v>4</v>
      </c>
      <c r="N548" s="314">
        <f>IF(C548="","",COUNT(G548:J548)/4)</f>
        <v/>
      </c>
      <c r="O548" s="307" t="n"/>
    </row>
    <row r="549" ht="24" customHeight="1">
      <c r="A549" s="306" t="n">
        <v>545</v>
      </c>
      <c r="B549" s="306" t="inlineStr">
        <is>
          <t>آبان</t>
        </is>
      </c>
      <c r="C549" s="306">
        <f>IF('دانش‌آموزان'!E50="","",'دانش‌آموزان'!B50)</f>
        <v/>
      </c>
      <c r="D549" s="306">
        <f>IF('دانش‌آموزان'!C50="","",'دانش‌آموزان'!C50)</f>
        <v/>
      </c>
      <c r="E549" s="306">
        <f>IF('دانش‌آموزان'!E50="","",'دانش‌آموزان'!E50&amp;" "&amp;'دانش‌آموزان'!F50)</f>
        <v/>
      </c>
      <c r="F549" s="306">
        <f>IF('دانش‌آموزان'!I50="","",'دانش‌آموزان'!I50)</f>
        <v/>
      </c>
      <c r="G549" s="307" t="n"/>
      <c r="H549" s="307" t="n"/>
      <c r="I549" s="307" t="n"/>
      <c r="J549" s="307" t="n"/>
      <c r="K549" s="313">
        <f>IF(COUNT(G549:J549)=0,"",AVERAGE(G549:J549)*4)</f>
        <v/>
      </c>
      <c r="L549" s="306">
        <f>IF(C549="","",IF(COUNT(G549:J549)=0,"",IF(COUNT(G549:J549)&lt;4,"موقت - اطلاعات ناقص",IF(K549&gt;=17,"عالی",IF(K549&gt;=14,"خوب",IF(K549&gt;=10,"متوسط","ضعیف"))))))</f>
        <v/>
      </c>
      <c r="M549" s="306" t="n">
        <v>5</v>
      </c>
      <c r="N549" s="314">
        <f>IF(C549="","",COUNT(G549:J549)/4)</f>
        <v/>
      </c>
      <c r="O549" s="307" t="n"/>
    </row>
    <row r="550" ht="24" customHeight="1">
      <c r="A550" s="306" t="n">
        <v>546</v>
      </c>
      <c r="B550" s="306" t="inlineStr">
        <is>
          <t>آذر</t>
        </is>
      </c>
      <c r="C550" s="306">
        <f>IF('دانش‌آموزان'!E50="","",'دانش‌آموزان'!B50)</f>
        <v/>
      </c>
      <c r="D550" s="306">
        <f>IF('دانش‌آموزان'!C50="","",'دانش‌آموزان'!C50)</f>
        <v/>
      </c>
      <c r="E550" s="306">
        <f>IF('دانش‌آموزان'!E50="","",'دانش‌آموزان'!E50&amp;" "&amp;'دانش‌آموزان'!F50)</f>
        <v/>
      </c>
      <c r="F550" s="306">
        <f>IF('دانش‌آموزان'!I50="","",'دانش‌آموزان'!I50)</f>
        <v/>
      </c>
      <c r="G550" s="307" t="n"/>
      <c r="H550" s="307" t="n"/>
      <c r="I550" s="307" t="n"/>
      <c r="J550" s="307" t="n"/>
      <c r="K550" s="313">
        <f>IF(COUNT(G550:J550)=0,"",AVERAGE(G550:J550)*4)</f>
        <v/>
      </c>
      <c r="L550" s="306">
        <f>IF(C550="","",IF(COUNT(G550:J550)=0,"",IF(COUNT(G550:J550)&lt;4,"موقت - اطلاعات ناقص",IF(K550&gt;=17,"عالی",IF(K550&gt;=14,"خوب",IF(K550&gt;=10,"متوسط","ضعیف"))))))</f>
        <v/>
      </c>
      <c r="M550" s="306" t="n">
        <v>6</v>
      </c>
      <c r="N550" s="314">
        <f>IF(C550="","",COUNT(G550:J550)/4)</f>
        <v/>
      </c>
      <c r="O550" s="307" t="n"/>
    </row>
    <row r="551" ht="24" customHeight="1">
      <c r="A551" s="306" t="n">
        <v>547</v>
      </c>
      <c r="B551" s="306" t="inlineStr">
        <is>
          <t>دی</t>
        </is>
      </c>
      <c r="C551" s="306">
        <f>IF('دانش‌آموزان'!E50="","",'دانش‌آموزان'!B50)</f>
        <v/>
      </c>
      <c r="D551" s="306">
        <f>IF('دانش‌آموزان'!C50="","",'دانش‌آموزان'!C50)</f>
        <v/>
      </c>
      <c r="E551" s="306">
        <f>IF('دانش‌آموزان'!E50="","",'دانش‌آموزان'!E50&amp;" "&amp;'دانش‌آموزان'!F50)</f>
        <v/>
      </c>
      <c r="F551" s="306">
        <f>IF('دانش‌آموزان'!I50="","",'دانش‌آموزان'!I50)</f>
        <v/>
      </c>
      <c r="G551" s="307" t="n"/>
      <c r="H551" s="307" t="n"/>
      <c r="I551" s="307" t="n"/>
      <c r="J551" s="307" t="n"/>
      <c r="K551" s="313">
        <f>IF(COUNT(G551:J551)=0,"",AVERAGE(G551:J551)*4)</f>
        <v/>
      </c>
      <c r="L551" s="306">
        <f>IF(C551="","",IF(COUNT(G551:J551)=0,"",IF(COUNT(G551:J551)&lt;4,"موقت - اطلاعات ناقص",IF(K551&gt;=17,"عالی",IF(K551&gt;=14,"خوب",IF(K551&gt;=10,"متوسط","ضعیف"))))))</f>
        <v/>
      </c>
      <c r="M551" s="306" t="n">
        <v>7</v>
      </c>
      <c r="N551" s="314">
        <f>IF(C551="","",COUNT(G551:J551)/4)</f>
        <v/>
      </c>
      <c r="O551" s="307" t="n"/>
    </row>
    <row r="552" ht="24" customHeight="1">
      <c r="A552" s="306" t="n">
        <v>548</v>
      </c>
      <c r="B552" s="306" t="inlineStr">
        <is>
          <t>بهمن</t>
        </is>
      </c>
      <c r="C552" s="306">
        <f>IF('دانش‌آموزان'!E50="","",'دانش‌آموزان'!B50)</f>
        <v/>
      </c>
      <c r="D552" s="306">
        <f>IF('دانش‌آموزان'!C50="","",'دانش‌آموزان'!C50)</f>
        <v/>
      </c>
      <c r="E552" s="306">
        <f>IF('دانش‌آموزان'!E50="","",'دانش‌آموزان'!E50&amp;" "&amp;'دانش‌آموزان'!F50)</f>
        <v/>
      </c>
      <c r="F552" s="306">
        <f>IF('دانش‌آموزان'!I50="","",'دانش‌آموزان'!I50)</f>
        <v/>
      </c>
      <c r="G552" s="307" t="n"/>
      <c r="H552" s="307" t="n"/>
      <c r="I552" s="307" t="n"/>
      <c r="J552" s="307" t="n"/>
      <c r="K552" s="313">
        <f>IF(COUNT(G552:J552)=0,"",AVERAGE(G552:J552)*4)</f>
        <v/>
      </c>
      <c r="L552" s="306">
        <f>IF(C552="","",IF(COUNT(G552:J552)=0,"",IF(COUNT(G552:J552)&lt;4,"موقت - اطلاعات ناقص",IF(K552&gt;=17,"عالی",IF(K552&gt;=14,"خوب",IF(K552&gt;=10,"متوسط","ضعیف"))))))</f>
        <v/>
      </c>
      <c r="M552" s="306" t="n">
        <v>8</v>
      </c>
      <c r="N552" s="314">
        <f>IF(C552="","",COUNT(G552:J552)/4)</f>
        <v/>
      </c>
      <c r="O552" s="307" t="n"/>
    </row>
    <row r="553" ht="24" customHeight="1">
      <c r="A553" s="306" t="n">
        <v>549</v>
      </c>
      <c r="B553" s="306" t="inlineStr">
        <is>
          <t>اسفند</t>
        </is>
      </c>
      <c r="C553" s="306">
        <f>IF('دانش‌آموزان'!E50="","",'دانش‌آموزان'!B50)</f>
        <v/>
      </c>
      <c r="D553" s="306">
        <f>IF('دانش‌آموزان'!C50="","",'دانش‌آموزان'!C50)</f>
        <v/>
      </c>
      <c r="E553" s="306">
        <f>IF('دانش‌آموزان'!E50="","",'دانش‌آموزان'!E50&amp;" "&amp;'دانش‌آموزان'!F50)</f>
        <v/>
      </c>
      <c r="F553" s="306">
        <f>IF('دانش‌آموزان'!I50="","",'دانش‌آموزان'!I50)</f>
        <v/>
      </c>
      <c r="G553" s="307" t="n"/>
      <c r="H553" s="307" t="n"/>
      <c r="I553" s="307" t="n"/>
      <c r="J553" s="307" t="n"/>
      <c r="K553" s="313">
        <f>IF(COUNT(G553:J553)=0,"",AVERAGE(G553:J553)*4)</f>
        <v/>
      </c>
      <c r="L553" s="306">
        <f>IF(C553="","",IF(COUNT(G553:J553)=0,"",IF(COUNT(G553:J553)&lt;4,"موقت - اطلاعات ناقص",IF(K553&gt;=17,"عالی",IF(K553&gt;=14,"خوب",IF(K553&gt;=10,"متوسط","ضعیف"))))))</f>
        <v/>
      </c>
      <c r="M553" s="306" t="n">
        <v>9</v>
      </c>
      <c r="N553" s="314">
        <f>IF(C553="","",COUNT(G553:J553)/4)</f>
        <v/>
      </c>
      <c r="O553" s="307" t="n"/>
    </row>
    <row r="554" ht="24" customHeight="1">
      <c r="A554" s="306" t="n">
        <v>550</v>
      </c>
      <c r="B554" s="306" t="inlineStr">
        <is>
          <t>فروردین</t>
        </is>
      </c>
      <c r="C554" s="306">
        <f>IF('دانش‌آموزان'!E50="","",'دانش‌آموزان'!B50)</f>
        <v/>
      </c>
      <c r="D554" s="306">
        <f>IF('دانش‌آموزان'!C50="","",'دانش‌آموزان'!C50)</f>
        <v/>
      </c>
      <c r="E554" s="306">
        <f>IF('دانش‌آموزان'!E50="","",'دانش‌آموزان'!E50&amp;" "&amp;'دانش‌آموزان'!F50)</f>
        <v/>
      </c>
      <c r="F554" s="306">
        <f>IF('دانش‌آموزان'!I50="","",'دانش‌آموزان'!I50)</f>
        <v/>
      </c>
      <c r="G554" s="307" t="n"/>
      <c r="H554" s="307" t="n"/>
      <c r="I554" s="307" t="n"/>
      <c r="J554" s="307" t="n"/>
      <c r="K554" s="313">
        <f>IF(COUNT(G554:J554)=0,"",AVERAGE(G554:J554)*4)</f>
        <v/>
      </c>
      <c r="L554" s="306">
        <f>IF(C554="","",IF(COUNT(G554:J554)=0,"",IF(COUNT(G554:J554)&lt;4,"موقت - اطلاعات ناقص",IF(K554&gt;=17,"عالی",IF(K554&gt;=14,"خوب",IF(K554&gt;=10,"متوسط","ضعیف"))))))</f>
        <v/>
      </c>
      <c r="M554" s="306" t="n">
        <v>10</v>
      </c>
      <c r="N554" s="314">
        <f>IF(C554="","",COUNT(G554:J554)/4)</f>
        <v/>
      </c>
      <c r="O554" s="307" t="n"/>
    </row>
    <row r="555" ht="24" customHeight="1">
      <c r="A555" s="306" t="n">
        <v>551</v>
      </c>
      <c r="B555" s="306" t="inlineStr">
        <is>
          <t>اردیبهشت</t>
        </is>
      </c>
      <c r="C555" s="306">
        <f>IF('دانش‌آموزان'!E50="","",'دانش‌آموزان'!B50)</f>
        <v/>
      </c>
      <c r="D555" s="306">
        <f>IF('دانش‌آموزان'!C50="","",'دانش‌آموزان'!C50)</f>
        <v/>
      </c>
      <c r="E555" s="306">
        <f>IF('دانش‌آموزان'!E50="","",'دانش‌آموزان'!E50&amp;" "&amp;'دانش‌آموزان'!F50)</f>
        <v/>
      </c>
      <c r="F555" s="306">
        <f>IF('دانش‌آموزان'!I50="","",'دانش‌آموزان'!I50)</f>
        <v/>
      </c>
      <c r="G555" s="307" t="n"/>
      <c r="H555" s="307" t="n"/>
      <c r="I555" s="307" t="n"/>
      <c r="J555" s="307" t="n"/>
      <c r="K555" s="313">
        <f>IF(COUNT(G555:J555)=0,"",AVERAGE(G555:J555)*4)</f>
        <v/>
      </c>
      <c r="L555" s="306">
        <f>IF(C555="","",IF(COUNT(G555:J555)=0,"",IF(COUNT(G555:J555)&lt;4,"موقت - اطلاعات ناقص",IF(K555&gt;=17,"عالی",IF(K555&gt;=14,"خوب",IF(K555&gt;=10,"متوسط","ضعیف"))))))</f>
        <v/>
      </c>
      <c r="M555" s="306" t="n">
        <v>11</v>
      </c>
      <c r="N555" s="314">
        <f>IF(C555="","",COUNT(G555:J555)/4)</f>
        <v/>
      </c>
      <c r="O555" s="307" t="n"/>
    </row>
    <row r="556" ht="24" customHeight="1">
      <c r="A556" s="306" t="n">
        <v>552</v>
      </c>
      <c r="B556" s="306" t="inlineStr">
        <is>
          <t>خرداد</t>
        </is>
      </c>
      <c r="C556" s="306">
        <f>IF('دانش‌آموزان'!E50="","",'دانش‌آموزان'!B50)</f>
        <v/>
      </c>
      <c r="D556" s="306">
        <f>IF('دانش‌آموزان'!C50="","",'دانش‌آموزان'!C50)</f>
        <v/>
      </c>
      <c r="E556" s="306">
        <f>IF('دانش‌آموزان'!E50="","",'دانش‌آموزان'!E50&amp;" "&amp;'دانش‌آموزان'!F50)</f>
        <v/>
      </c>
      <c r="F556" s="306">
        <f>IF('دانش‌آموزان'!I50="","",'دانش‌آموزان'!I50)</f>
        <v/>
      </c>
      <c r="G556" s="307" t="n"/>
      <c r="H556" s="307" t="n"/>
      <c r="I556" s="307" t="n"/>
      <c r="J556" s="307" t="n"/>
      <c r="K556" s="313">
        <f>IF(COUNT(G556:J556)=0,"",AVERAGE(G556:J556)*4)</f>
        <v/>
      </c>
      <c r="L556" s="306">
        <f>IF(C556="","",IF(COUNT(G556:J556)=0,"",IF(COUNT(G556:J556)&lt;4,"موقت - اطلاعات ناقص",IF(K556&gt;=17,"عالی",IF(K556&gt;=14,"خوب",IF(K556&gt;=10,"متوسط","ضعیف"))))))</f>
        <v/>
      </c>
      <c r="M556" s="306" t="n">
        <v>12</v>
      </c>
      <c r="N556" s="314">
        <f>IF(C556="","",COUNT(G556:J556)/4)</f>
        <v/>
      </c>
      <c r="O556" s="307" t="n"/>
    </row>
    <row r="557" ht="24" customHeight="1">
      <c r="A557" s="306" t="n">
        <v>553</v>
      </c>
      <c r="B557" s="306" t="inlineStr">
        <is>
          <t>تیر</t>
        </is>
      </c>
      <c r="C557" s="306">
        <f>IF('دانش‌آموزان'!E51="","",'دانش‌آموزان'!B51)</f>
        <v/>
      </c>
      <c r="D557" s="306">
        <f>IF('دانش‌آموزان'!C51="","",'دانش‌آموزان'!C51)</f>
        <v/>
      </c>
      <c r="E557" s="306">
        <f>IF('دانش‌آموزان'!E51="","",'دانش‌آموزان'!E51&amp;" "&amp;'دانش‌آموزان'!F51)</f>
        <v/>
      </c>
      <c r="F557" s="306">
        <f>IF('دانش‌آموزان'!I51="","",'دانش‌آموزان'!I51)</f>
        <v/>
      </c>
      <c r="G557" s="307" t="n"/>
      <c r="H557" s="307" t="n"/>
      <c r="I557" s="307" t="n"/>
      <c r="J557" s="307" t="n"/>
      <c r="K557" s="313">
        <f>IF(COUNT(G557:J557)=0,"",AVERAGE(G557:J557)*4)</f>
        <v/>
      </c>
      <c r="L557" s="306">
        <f>IF(C557="","",IF(COUNT(G557:J557)=0,"",IF(COUNT(G557:J557)&lt;4,"موقت - اطلاعات ناقص",IF(K557&gt;=17,"عالی",IF(K557&gt;=14,"خوب",IF(K557&gt;=10,"متوسط","ضعیف"))))))</f>
        <v/>
      </c>
      <c r="M557" s="306" t="n">
        <v>1</v>
      </c>
      <c r="N557" s="314">
        <f>IF(C557="","",COUNT(G557:J557)/4)</f>
        <v/>
      </c>
      <c r="O557" s="307" t="n"/>
    </row>
    <row r="558" ht="24" customHeight="1">
      <c r="A558" s="306" t="n">
        <v>554</v>
      </c>
      <c r="B558" s="306" t="inlineStr">
        <is>
          <t>مرداد</t>
        </is>
      </c>
      <c r="C558" s="306">
        <f>IF('دانش‌آموزان'!E51="","",'دانش‌آموزان'!B51)</f>
        <v/>
      </c>
      <c r="D558" s="306">
        <f>IF('دانش‌آموزان'!C51="","",'دانش‌آموزان'!C51)</f>
        <v/>
      </c>
      <c r="E558" s="306">
        <f>IF('دانش‌آموزان'!E51="","",'دانش‌آموزان'!E51&amp;" "&amp;'دانش‌آموزان'!F51)</f>
        <v/>
      </c>
      <c r="F558" s="306">
        <f>IF('دانش‌آموزان'!I51="","",'دانش‌آموزان'!I51)</f>
        <v/>
      </c>
      <c r="G558" s="307" t="n"/>
      <c r="H558" s="307" t="n"/>
      <c r="I558" s="307" t="n"/>
      <c r="J558" s="307" t="n"/>
      <c r="K558" s="313">
        <f>IF(COUNT(G558:J558)=0,"",AVERAGE(G558:J558)*4)</f>
        <v/>
      </c>
      <c r="L558" s="306">
        <f>IF(C558="","",IF(COUNT(G558:J558)=0,"",IF(COUNT(G558:J558)&lt;4,"موقت - اطلاعات ناقص",IF(K558&gt;=17,"عالی",IF(K558&gt;=14,"خوب",IF(K558&gt;=10,"متوسط","ضعیف"))))))</f>
        <v/>
      </c>
      <c r="M558" s="306" t="n">
        <v>2</v>
      </c>
      <c r="N558" s="314">
        <f>IF(C558="","",COUNT(G558:J558)/4)</f>
        <v/>
      </c>
      <c r="O558" s="307" t="n"/>
    </row>
    <row r="559" ht="24" customHeight="1">
      <c r="A559" s="306" t="n">
        <v>555</v>
      </c>
      <c r="B559" s="306" t="inlineStr">
        <is>
          <t>شهریور</t>
        </is>
      </c>
      <c r="C559" s="306">
        <f>IF('دانش‌آموزان'!E51="","",'دانش‌آموزان'!B51)</f>
        <v/>
      </c>
      <c r="D559" s="306">
        <f>IF('دانش‌آموزان'!C51="","",'دانش‌آموزان'!C51)</f>
        <v/>
      </c>
      <c r="E559" s="306">
        <f>IF('دانش‌آموزان'!E51="","",'دانش‌آموزان'!E51&amp;" "&amp;'دانش‌آموزان'!F51)</f>
        <v/>
      </c>
      <c r="F559" s="306">
        <f>IF('دانش‌آموزان'!I51="","",'دانش‌آموزان'!I51)</f>
        <v/>
      </c>
      <c r="G559" s="307" t="n"/>
      <c r="H559" s="307" t="n"/>
      <c r="I559" s="307" t="n"/>
      <c r="J559" s="307" t="n"/>
      <c r="K559" s="313">
        <f>IF(COUNT(G559:J559)=0,"",AVERAGE(G559:J559)*4)</f>
        <v/>
      </c>
      <c r="L559" s="306">
        <f>IF(C559="","",IF(COUNT(G559:J559)=0,"",IF(COUNT(G559:J559)&lt;4,"موقت - اطلاعات ناقص",IF(K559&gt;=17,"عالی",IF(K559&gt;=14,"خوب",IF(K559&gt;=10,"متوسط","ضعیف"))))))</f>
        <v/>
      </c>
      <c r="M559" s="306" t="n">
        <v>3</v>
      </c>
      <c r="N559" s="314">
        <f>IF(C559="","",COUNT(G559:J559)/4)</f>
        <v/>
      </c>
      <c r="O559" s="307" t="n"/>
    </row>
    <row r="560" ht="24" customHeight="1">
      <c r="A560" s="306" t="n">
        <v>556</v>
      </c>
      <c r="B560" s="306" t="inlineStr">
        <is>
          <t>مهر</t>
        </is>
      </c>
      <c r="C560" s="306">
        <f>IF('دانش‌آموزان'!E51="","",'دانش‌آموزان'!B51)</f>
        <v/>
      </c>
      <c r="D560" s="306">
        <f>IF('دانش‌آموزان'!C51="","",'دانش‌آموزان'!C51)</f>
        <v/>
      </c>
      <c r="E560" s="306">
        <f>IF('دانش‌آموزان'!E51="","",'دانش‌آموزان'!E51&amp;" "&amp;'دانش‌آموزان'!F51)</f>
        <v/>
      </c>
      <c r="F560" s="306">
        <f>IF('دانش‌آموزان'!I51="","",'دانش‌آموزان'!I51)</f>
        <v/>
      </c>
      <c r="G560" s="307" t="n"/>
      <c r="H560" s="307" t="n"/>
      <c r="I560" s="307" t="n"/>
      <c r="J560" s="307" t="n"/>
      <c r="K560" s="313">
        <f>IF(COUNT(G560:J560)=0,"",AVERAGE(G560:J560)*4)</f>
        <v/>
      </c>
      <c r="L560" s="306">
        <f>IF(C560="","",IF(COUNT(G560:J560)=0,"",IF(COUNT(G560:J560)&lt;4,"موقت - اطلاعات ناقص",IF(K560&gt;=17,"عالی",IF(K560&gt;=14,"خوب",IF(K560&gt;=10,"متوسط","ضعیف"))))))</f>
        <v/>
      </c>
      <c r="M560" s="306" t="n">
        <v>4</v>
      </c>
      <c r="N560" s="314">
        <f>IF(C560="","",COUNT(G560:J560)/4)</f>
        <v/>
      </c>
      <c r="O560" s="307" t="n"/>
    </row>
    <row r="561" ht="24" customHeight="1">
      <c r="A561" s="306" t="n">
        <v>557</v>
      </c>
      <c r="B561" s="306" t="inlineStr">
        <is>
          <t>آبان</t>
        </is>
      </c>
      <c r="C561" s="306">
        <f>IF('دانش‌آموزان'!E51="","",'دانش‌آموزان'!B51)</f>
        <v/>
      </c>
      <c r="D561" s="306">
        <f>IF('دانش‌آموزان'!C51="","",'دانش‌آموزان'!C51)</f>
        <v/>
      </c>
      <c r="E561" s="306">
        <f>IF('دانش‌آموزان'!E51="","",'دانش‌آموزان'!E51&amp;" "&amp;'دانش‌آموزان'!F51)</f>
        <v/>
      </c>
      <c r="F561" s="306">
        <f>IF('دانش‌آموزان'!I51="","",'دانش‌آموزان'!I51)</f>
        <v/>
      </c>
      <c r="G561" s="307" t="n"/>
      <c r="H561" s="307" t="n"/>
      <c r="I561" s="307" t="n"/>
      <c r="J561" s="307" t="n"/>
      <c r="K561" s="313">
        <f>IF(COUNT(G561:J561)=0,"",AVERAGE(G561:J561)*4)</f>
        <v/>
      </c>
      <c r="L561" s="306">
        <f>IF(C561="","",IF(COUNT(G561:J561)=0,"",IF(COUNT(G561:J561)&lt;4,"موقت - اطلاعات ناقص",IF(K561&gt;=17,"عالی",IF(K561&gt;=14,"خوب",IF(K561&gt;=10,"متوسط","ضعیف"))))))</f>
        <v/>
      </c>
      <c r="M561" s="306" t="n">
        <v>5</v>
      </c>
      <c r="N561" s="314">
        <f>IF(C561="","",COUNT(G561:J561)/4)</f>
        <v/>
      </c>
      <c r="O561" s="307" t="n"/>
    </row>
    <row r="562" ht="24" customHeight="1">
      <c r="A562" s="306" t="n">
        <v>558</v>
      </c>
      <c r="B562" s="306" t="inlineStr">
        <is>
          <t>آذر</t>
        </is>
      </c>
      <c r="C562" s="306">
        <f>IF('دانش‌آموزان'!E51="","",'دانش‌آموزان'!B51)</f>
        <v/>
      </c>
      <c r="D562" s="306">
        <f>IF('دانش‌آموزان'!C51="","",'دانش‌آموزان'!C51)</f>
        <v/>
      </c>
      <c r="E562" s="306">
        <f>IF('دانش‌آموزان'!E51="","",'دانش‌آموزان'!E51&amp;" "&amp;'دانش‌آموزان'!F51)</f>
        <v/>
      </c>
      <c r="F562" s="306">
        <f>IF('دانش‌آموزان'!I51="","",'دانش‌آموزان'!I51)</f>
        <v/>
      </c>
      <c r="G562" s="307" t="n"/>
      <c r="H562" s="307" t="n"/>
      <c r="I562" s="307" t="n"/>
      <c r="J562" s="307" t="n"/>
      <c r="K562" s="313">
        <f>IF(COUNT(G562:J562)=0,"",AVERAGE(G562:J562)*4)</f>
        <v/>
      </c>
      <c r="L562" s="306">
        <f>IF(C562="","",IF(COUNT(G562:J562)=0,"",IF(COUNT(G562:J562)&lt;4,"موقت - اطلاعات ناقص",IF(K562&gt;=17,"عالی",IF(K562&gt;=14,"خوب",IF(K562&gt;=10,"متوسط","ضعیف"))))))</f>
        <v/>
      </c>
      <c r="M562" s="306" t="n">
        <v>6</v>
      </c>
      <c r="N562" s="314">
        <f>IF(C562="","",COUNT(G562:J562)/4)</f>
        <v/>
      </c>
      <c r="O562" s="307" t="n"/>
    </row>
    <row r="563" ht="24" customHeight="1">
      <c r="A563" s="306" t="n">
        <v>559</v>
      </c>
      <c r="B563" s="306" t="inlineStr">
        <is>
          <t>دی</t>
        </is>
      </c>
      <c r="C563" s="306">
        <f>IF('دانش‌آموزان'!E51="","",'دانش‌آموزان'!B51)</f>
        <v/>
      </c>
      <c r="D563" s="306">
        <f>IF('دانش‌آموزان'!C51="","",'دانش‌آموزان'!C51)</f>
        <v/>
      </c>
      <c r="E563" s="306">
        <f>IF('دانش‌آموزان'!E51="","",'دانش‌آموزان'!E51&amp;" "&amp;'دانش‌آموزان'!F51)</f>
        <v/>
      </c>
      <c r="F563" s="306">
        <f>IF('دانش‌آموزان'!I51="","",'دانش‌آموزان'!I51)</f>
        <v/>
      </c>
      <c r="G563" s="307" t="n"/>
      <c r="H563" s="307" t="n"/>
      <c r="I563" s="307" t="n"/>
      <c r="J563" s="307" t="n"/>
      <c r="K563" s="313">
        <f>IF(COUNT(G563:J563)=0,"",AVERAGE(G563:J563)*4)</f>
        <v/>
      </c>
      <c r="L563" s="306">
        <f>IF(C563="","",IF(COUNT(G563:J563)=0,"",IF(COUNT(G563:J563)&lt;4,"موقت - اطلاعات ناقص",IF(K563&gt;=17,"عالی",IF(K563&gt;=14,"خوب",IF(K563&gt;=10,"متوسط","ضعیف"))))))</f>
        <v/>
      </c>
      <c r="M563" s="306" t="n">
        <v>7</v>
      </c>
      <c r="N563" s="314">
        <f>IF(C563="","",COUNT(G563:J563)/4)</f>
        <v/>
      </c>
      <c r="O563" s="307" t="n"/>
    </row>
    <row r="564" ht="24" customHeight="1">
      <c r="A564" s="306" t="n">
        <v>560</v>
      </c>
      <c r="B564" s="306" t="inlineStr">
        <is>
          <t>بهمن</t>
        </is>
      </c>
      <c r="C564" s="306">
        <f>IF('دانش‌آموزان'!E51="","",'دانش‌آموزان'!B51)</f>
        <v/>
      </c>
      <c r="D564" s="306">
        <f>IF('دانش‌آموزان'!C51="","",'دانش‌آموزان'!C51)</f>
        <v/>
      </c>
      <c r="E564" s="306">
        <f>IF('دانش‌آموزان'!E51="","",'دانش‌آموزان'!E51&amp;" "&amp;'دانش‌آموزان'!F51)</f>
        <v/>
      </c>
      <c r="F564" s="306">
        <f>IF('دانش‌آموزان'!I51="","",'دانش‌آموزان'!I51)</f>
        <v/>
      </c>
      <c r="G564" s="307" t="n"/>
      <c r="H564" s="307" t="n"/>
      <c r="I564" s="307" t="n"/>
      <c r="J564" s="307" t="n"/>
      <c r="K564" s="313">
        <f>IF(COUNT(G564:J564)=0,"",AVERAGE(G564:J564)*4)</f>
        <v/>
      </c>
      <c r="L564" s="306">
        <f>IF(C564="","",IF(COUNT(G564:J564)=0,"",IF(COUNT(G564:J564)&lt;4,"موقت - اطلاعات ناقص",IF(K564&gt;=17,"عالی",IF(K564&gt;=14,"خوب",IF(K564&gt;=10,"متوسط","ضعیف"))))))</f>
        <v/>
      </c>
      <c r="M564" s="306" t="n">
        <v>8</v>
      </c>
      <c r="N564" s="314">
        <f>IF(C564="","",COUNT(G564:J564)/4)</f>
        <v/>
      </c>
      <c r="O564" s="307" t="n"/>
    </row>
    <row r="565" ht="24" customHeight="1">
      <c r="A565" s="306" t="n">
        <v>561</v>
      </c>
      <c r="B565" s="306" t="inlineStr">
        <is>
          <t>اسفند</t>
        </is>
      </c>
      <c r="C565" s="306">
        <f>IF('دانش‌آموزان'!E51="","",'دانش‌آموزان'!B51)</f>
        <v/>
      </c>
      <c r="D565" s="306">
        <f>IF('دانش‌آموزان'!C51="","",'دانش‌آموزان'!C51)</f>
        <v/>
      </c>
      <c r="E565" s="306">
        <f>IF('دانش‌آموزان'!E51="","",'دانش‌آموزان'!E51&amp;" "&amp;'دانش‌آموزان'!F51)</f>
        <v/>
      </c>
      <c r="F565" s="306">
        <f>IF('دانش‌آموزان'!I51="","",'دانش‌آموزان'!I51)</f>
        <v/>
      </c>
      <c r="G565" s="307" t="n"/>
      <c r="H565" s="307" t="n"/>
      <c r="I565" s="307" t="n"/>
      <c r="J565" s="307" t="n"/>
      <c r="K565" s="313">
        <f>IF(COUNT(G565:J565)=0,"",AVERAGE(G565:J565)*4)</f>
        <v/>
      </c>
      <c r="L565" s="306">
        <f>IF(C565="","",IF(COUNT(G565:J565)=0,"",IF(COUNT(G565:J565)&lt;4,"موقت - اطلاعات ناقص",IF(K565&gt;=17,"عالی",IF(K565&gt;=14,"خوب",IF(K565&gt;=10,"متوسط","ضعیف"))))))</f>
        <v/>
      </c>
      <c r="M565" s="306" t="n">
        <v>9</v>
      </c>
      <c r="N565" s="314">
        <f>IF(C565="","",COUNT(G565:J565)/4)</f>
        <v/>
      </c>
      <c r="O565" s="307" t="n"/>
    </row>
    <row r="566" ht="24" customHeight="1">
      <c r="A566" s="306" t="n">
        <v>562</v>
      </c>
      <c r="B566" s="306" t="inlineStr">
        <is>
          <t>فروردین</t>
        </is>
      </c>
      <c r="C566" s="306">
        <f>IF('دانش‌آموزان'!E51="","",'دانش‌آموزان'!B51)</f>
        <v/>
      </c>
      <c r="D566" s="306">
        <f>IF('دانش‌آموزان'!C51="","",'دانش‌آموزان'!C51)</f>
        <v/>
      </c>
      <c r="E566" s="306">
        <f>IF('دانش‌آموزان'!E51="","",'دانش‌آموزان'!E51&amp;" "&amp;'دانش‌آموزان'!F51)</f>
        <v/>
      </c>
      <c r="F566" s="306">
        <f>IF('دانش‌آموزان'!I51="","",'دانش‌آموزان'!I51)</f>
        <v/>
      </c>
      <c r="G566" s="307" t="n"/>
      <c r="H566" s="307" t="n"/>
      <c r="I566" s="307" t="n"/>
      <c r="J566" s="307" t="n"/>
      <c r="K566" s="313">
        <f>IF(COUNT(G566:J566)=0,"",AVERAGE(G566:J566)*4)</f>
        <v/>
      </c>
      <c r="L566" s="306">
        <f>IF(C566="","",IF(COUNT(G566:J566)=0,"",IF(COUNT(G566:J566)&lt;4,"موقت - اطلاعات ناقص",IF(K566&gt;=17,"عالی",IF(K566&gt;=14,"خوب",IF(K566&gt;=10,"متوسط","ضعیف"))))))</f>
        <v/>
      </c>
      <c r="M566" s="306" t="n">
        <v>10</v>
      </c>
      <c r="N566" s="314">
        <f>IF(C566="","",COUNT(G566:J566)/4)</f>
        <v/>
      </c>
      <c r="O566" s="307" t="n"/>
    </row>
    <row r="567" ht="24" customHeight="1">
      <c r="A567" s="306" t="n">
        <v>563</v>
      </c>
      <c r="B567" s="306" t="inlineStr">
        <is>
          <t>اردیبهشت</t>
        </is>
      </c>
      <c r="C567" s="306">
        <f>IF('دانش‌آموزان'!E51="","",'دانش‌آموزان'!B51)</f>
        <v/>
      </c>
      <c r="D567" s="306">
        <f>IF('دانش‌آموزان'!C51="","",'دانش‌آموزان'!C51)</f>
        <v/>
      </c>
      <c r="E567" s="306">
        <f>IF('دانش‌آموزان'!E51="","",'دانش‌آموزان'!E51&amp;" "&amp;'دانش‌آموزان'!F51)</f>
        <v/>
      </c>
      <c r="F567" s="306">
        <f>IF('دانش‌آموزان'!I51="","",'دانش‌آموزان'!I51)</f>
        <v/>
      </c>
      <c r="G567" s="307" t="n"/>
      <c r="H567" s="307" t="n"/>
      <c r="I567" s="307" t="n"/>
      <c r="J567" s="307" t="n"/>
      <c r="K567" s="313">
        <f>IF(COUNT(G567:J567)=0,"",AVERAGE(G567:J567)*4)</f>
        <v/>
      </c>
      <c r="L567" s="306">
        <f>IF(C567="","",IF(COUNT(G567:J567)=0,"",IF(COUNT(G567:J567)&lt;4,"موقت - اطلاعات ناقص",IF(K567&gt;=17,"عالی",IF(K567&gt;=14,"خوب",IF(K567&gt;=10,"متوسط","ضعیف"))))))</f>
        <v/>
      </c>
      <c r="M567" s="306" t="n">
        <v>11</v>
      </c>
      <c r="N567" s="314">
        <f>IF(C567="","",COUNT(G567:J567)/4)</f>
        <v/>
      </c>
      <c r="O567" s="307" t="n"/>
    </row>
    <row r="568" ht="24" customHeight="1">
      <c r="A568" s="306" t="n">
        <v>564</v>
      </c>
      <c r="B568" s="306" t="inlineStr">
        <is>
          <t>خرداد</t>
        </is>
      </c>
      <c r="C568" s="306">
        <f>IF('دانش‌آموزان'!E51="","",'دانش‌آموزان'!B51)</f>
        <v/>
      </c>
      <c r="D568" s="306">
        <f>IF('دانش‌آموزان'!C51="","",'دانش‌آموزان'!C51)</f>
        <v/>
      </c>
      <c r="E568" s="306">
        <f>IF('دانش‌آموزان'!E51="","",'دانش‌آموزان'!E51&amp;" "&amp;'دانش‌آموزان'!F51)</f>
        <v/>
      </c>
      <c r="F568" s="306">
        <f>IF('دانش‌آموزان'!I51="","",'دانش‌آموزان'!I51)</f>
        <v/>
      </c>
      <c r="G568" s="307" t="n"/>
      <c r="H568" s="307" t="n"/>
      <c r="I568" s="307" t="n"/>
      <c r="J568" s="307" t="n"/>
      <c r="K568" s="313">
        <f>IF(COUNT(G568:J568)=0,"",AVERAGE(G568:J568)*4)</f>
        <v/>
      </c>
      <c r="L568" s="306">
        <f>IF(C568="","",IF(COUNT(G568:J568)=0,"",IF(COUNT(G568:J568)&lt;4,"موقت - اطلاعات ناقص",IF(K568&gt;=17,"عالی",IF(K568&gt;=14,"خوب",IF(K568&gt;=10,"متوسط","ضعیف"))))))</f>
        <v/>
      </c>
      <c r="M568" s="306" t="n">
        <v>12</v>
      </c>
      <c r="N568" s="314">
        <f>IF(C568="","",COUNT(G568:J568)/4)</f>
        <v/>
      </c>
      <c r="O568" s="307" t="n"/>
    </row>
    <row r="569" ht="24" customHeight="1">
      <c r="A569" s="306" t="n">
        <v>565</v>
      </c>
      <c r="B569" s="306" t="inlineStr">
        <is>
          <t>تیر</t>
        </is>
      </c>
      <c r="C569" s="306">
        <f>IF('دانش‌آموزان'!E52="","",'دانش‌آموزان'!B52)</f>
        <v/>
      </c>
      <c r="D569" s="306">
        <f>IF('دانش‌آموزان'!C52="","",'دانش‌آموزان'!C52)</f>
        <v/>
      </c>
      <c r="E569" s="306">
        <f>IF('دانش‌آموزان'!E52="","",'دانش‌آموزان'!E52&amp;" "&amp;'دانش‌آموزان'!F52)</f>
        <v/>
      </c>
      <c r="F569" s="306">
        <f>IF('دانش‌آموزان'!I52="","",'دانش‌آموزان'!I52)</f>
        <v/>
      </c>
      <c r="G569" s="307" t="n"/>
      <c r="H569" s="307" t="n"/>
      <c r="I569" s="307" t="n"/>
      <c r="J569" s="307" t="n"/>
      <c r="K569" s="313">
        <f>IF(COUNT(G569:J569)=0,"",AVERAGE(G569:J569)*4)</f>
        <v/>
      </c>
      <c r="L569" s="306">
        <f>IF(C569="","",IF(COUNT(G569:J569)=0,"",IF(COUNT(G569:J569)&lt;4,"موقت - اطلاعات ناقص",IF(K569&gt;=17,"عالی",IF(K569&gt;=14,"خوب",IF(K569&gt;=10,"متوسط","ضعیف"))))))</f>
        <v/>
      </c>
      <c r="M569" s="306" t="n">
        <v>1</v>
      </c>
      <c r="N569" s="314">
        <f>IF(C569="","",COUNT(G569:J569)/4)</f>
        <v/>
      </c>
      <c r="O569" s="307" t="n"/>
    </row>
    <row r="570" ht="24" customHeight="1">
      <c r="A570" s="306" t="n">
        <v>566</v>
      </c>
      <c r="B570" s="306" t="inlineStr">
        <is>
          <t>مرداد</t>
        </is>
      </c>
      <c r="C570" s="306">
        <f>IF('دانش‌آموزان'!E52="","",'دانش‌آموزان'!B52)</f>
        <v/>
      </c>
      <c r="D570" s="306">
        <f>IF('دانش‌آموزان'!C52="","",'دانش‌آموزان'!C52)</f>
        <v/>
      </c>
      <c r="E570" s="306">
        <f>IF('دانش‌آموزان'!E52="","",'دانش‌آموزان'!E52&amp;" "&amp;'دانش‌آموزان'!F52)</f>
        <v/>
      </c>
      <c r="F570" s="306">
        <f>IF('دانش‌آموزان'!I52="","",'دانش‌آموزان'!I52)</f>
        <v/>
      </c>
      <c r="G570" s="307" t="n"/>
      <c r="H570" s="307" t="n"/>
      <c r="I570" s="307" t="n"/>
      <c r="J570" s="307" t="n"/>
      <c r="K570" s="313">
        <f>IF(COUNT(G570:J570)=0,"",AVERAGE(G570:J570)*4)</f>
        <v/>
      </c>
      <c r="L570" s="306">
        <f>IF(C570="","",IF(COUNT(G570:J570)=0,"",IF(COUNT(G570:J570)&lt;4,"موقت - اطلاعات ناقص",IF(K570&gt;=17,"عالی",IF(K570&gt;=14,"خوب",IF(K570&gt;=10,"متوسط","ضعیف"))))))</f>
        <v/>
      </c>
      <c r="M570" s="306" t="n">
        <v>2</v>
      </c>
      <c r="N570" s="314">
        <f>IF(C570="","",COUNT(G570:J570)/4)</f>
        <v/>
      </c>
      <c r="O570" s="307" t="n"/>
    </row>
    <row r="571" ht="24" customHeight="1">
      <c r="A571" s="306" t="n">
        <v>567</v>
      </c>
      <c r="B571" s="306" t="inlineStr">
        <is>
          <t>شهریور</t>
        </is>
      </c>
      <c r="C571" s="306">
        <f>IF('دانش‌آموزان'!E52="","",'دانش‌آموزان'!B52)</f>
        <v/>
      </c>
      <c r="D571" s="306">
        <f>IF('دانش‌آموزان'!C52="","",'دانش‌آموزان'!C52)</f>
        <v/>
      </c>
      <c r="E571" s="306">
        <f>IF('دانش‌آموزان'!E52="","",'دانش‌آموزان'!E52&amp;" "&amp;'دانش‌آموزان'!F52)</f>
        <v/>
      </c>
      <c r="F571" s="306">
        <f>IF('دانش‌آموزان'!I52="","",'دانش‌آموزان'!I52)</f>
        <v/>
      </c>
      <c r="G571" s="307" t="n"/>
      <c r="H571" s="307" t="n"/>
      <c r="I571" s="307" t="n"/>
      <c r="J571" s="307" t="n"/>
      <c r="K571" s="313">
        <f>IF(COUNT(G571:J571)=0,"",AVERAGE(G571:J571)*4)</f>
        <v/>
      </c>
      <c r="L571" s="306">
        <f>IF(C571="","",IF(COUNT(G571:J571)=0,"",IF(COUNT(G571:J571)&lt;4,"موقت - اطلاعات ناقص",IF(K571&gt;=17,"عالی",IF(K571&gt;=14,"خوب",IF(K571&gt;=10,"متوسط","ضعیف"))))))</f>
        <v/>
      </c>
      <c r="M571" s="306" t="n">
        <v>3</v>
      </c>
      <c r="N571" s="314">
        <f>IF(C571="","",COUNT(G571:J571)/4)</f>
        <v/>
      </c>
      <c r="O571" s="307" t="n"/>
    </row>
    <row r="572" ht="24" customHeight="1">
      <c r="A572" s="306" t="n">
        <v>568</v>
      </c>
      <c r="B572" s="306" t="inlineStr">
        <is>
          <t>مهر</t>
        </is>
      </c>
      <c r="C572" s="306">
        <f>IF('دانش‌آموزان'!E52="","",'دانش‌آموزان'!B52)</f>
        <v/>
      </c>
      <c r="D572" s="306">
        <f>IF('دانش‌آموزان'!C52="","",'دانش‌آموزان'!C52)</f>
        <v/>
      </c>
      <c r="E572" s="306">
        <f>IF('دانش‌آموزان'!E52="","",'دانش‌آموزان'!E52&amp;" "&amp;'دانش‌آموزان'!F52)</f>
        <v/>
      </c>
      <c r="F572" s="306">
        <f>IF('دانش‌آموزان'!I52="","",'دانش‌آموزان'!I52)</f>
        <v/>
      </c>
      <c r="G572" s="307" t="n"/>
      <c r="H572" s="307" t="n"/>
      <c r="I572" s="307" t="n"/>
      <c r="J572" s="307" t="n"/>
      <c r="K572" s="313">
        <f>IF(COUNT(G572:J572)=0,"",AVERAGE(G572:J572)*4)</f>
        <v/>
      </c>
      <c r="L572" s="306">
        <f>IF(C572="","",IF(COUNT(G572:J572)=0,"",IF(COUNT(G572:J572)&lt;4,"موقت - اطلاعات ناقص",IF(K572&gt;=17,"عالی",IF(K572&gt;=14,"خوب",IF(K572&gt;=10,"متوسط","ضعیف"))))))</f>
        <v/>
      </c>
      <c r="M572" s="306" t="n">
        <v>4</v>
      </c>
      <c r="N572" s="314">
        <f>IF(C572="","",COUNT(G572:J572)/4)</f>
        <v/>
      </c>
      <c r="O572" s="307" t="n"/>
    </row>
    <row r="573" ht="24" customHeight="1">
      <c r="A573" s="306" t="n">
        <v>569</v>
      </c>
      <c r="B573" s="306" t="inlineStr">
        <is>
          <t>آبان</t>
        </is>
      </c>
      <c r="C573" s="306">
        <f>IF('دانش‌آموزان'!E52="","",'دانش‌آموزان'!B52)</f>
        <v/>
      </c>
      <c r="D573" s="306">
        <f>IF('دانش‌آموزان'!C52="","",'دانش‌آموزان'!C52)</f>
        <v/>
      </c>
      <c r="E573" s="306">
        <f>IF('دانش‌آموزان'!E52="","",'دانش‌آموزان'!E52&amp;" "&amp;'دانش‌آموزان'!F52)</f>
        <v/>
      </c>
      <c r="F573" s="306">
        <f>IF('دانش‌آموزان'!I52="","",'دانش‌آموزان'!I52)</f>
        <v/>
      </c>
      <c r="G573" s="307" t="n"/>
      <c r="H573" s="307" t="n"/>
      <c r="I573" s="307" t="n"/>
      <c r="J573" s="307" t="n"/>
      <c r="K573" s="313">
        <f>IF(COUNT(G573:J573)=0,"",AVERAGE(G573:J573)*4)</f>
        <v/>
      </c>
      <c r="L573" s="306">
        <f>IF(C573="","",IF(COUNT(G573:J573)=0,"",IF(COUNT(G573:J573)&lt;4,"موقت - اطلاعات ناقص",IF(K573&gt;=17,"عالی",IF(K573&gt;=14,"خوب",IF(K573&gt;=10,"متوسط","ضعیف"))))))</f>
        <v/>
      </c>
      <c r="M573" s="306" t="n">
        <v>5</v>
      </c>
      <c r="N573" s="314">
        <f>IF(C573="","",COUNT(G573:J573)/4)</f>
        <v/>
      </c>
      <c r="O573" s="307" t="n"/>
    </row>
    <row r="574" ht="24" customHeight="1">
      <c r="A574" s="306" t="n">
        <v>570</v>
      </c>
      <c r="B574" s="306" t="inlineStr">
        <is>
          <t>آذر</t>
        </is>
      </c>
      <c r="C574" s="306">
        <f>IF('دانش‌آموزان'!E52="","",'دانش‌آموزان'!B52)</f>
        <v/>
      </c>
      <c r="D574" s="306">
        <f>IF('دانش‌آموزان'!C52="","",'دانش‌آموزان'!C52)</f>
        <v/>
      </c>
      <c r="E574" s="306">
        <f>IF('دانش‌آموزان'!E52="","",'دانش‌آموزان'!E52&amp;" "&amp;'دانش‌آموزان'!F52)</f>
        <v/>
      </c>
      <c r="F574" s="306">
        <f>IF('دانش‌آموزان'!I52="","",'دانش‌آموزان'!I52)</f>
        <v/>
      </c>
      <c r="G574" s="307" t="n"/>
      <c r="H574" s="307" t="n"/>
      <c r="I574" s="307" t="n"/>
      <c r="J574" s="307" t="n"/>
      <c r="K574" s="313">
        <f>IF(COUNT(G574:J574)=0,"",AVERAGE(G574:J574)*4)</f>
        <v/>
      </c>
      <c r="L574" s="306">
        <f>IF(C574="","",IF(COUNT(G574:J574)=0,"",IF(COUNT(G574:J574)&lt;4,"موقت - اطلاعات ناقص",IF(K574&gt;=17,"عالی",IF(K574&gt;=14,"خوب",IF(K574&gt;=10,"متوسط","ضعیف"))))))</f>
        <v/>
      </c>
      <c r="M574" s="306" t="n">
        <v>6</v>
      </c>
      <c r="N574" s="314">
        <f>IF(C574="","",COUNT(G574:J574)/4)</f>
        <v/>
      </c>
      <c r="O574" s="307" t="n"/>
    </row>
    <row r="575" ht="24" customHeight="1">
      <c r="A575" s="306" t="n">
        <v>571</v>
      </c>
      <c r="B575" s="306" t="inlineStr">
        <is>
          <t>دی</t>
        </is>
      </c>
      <c r="C575" s="306">
        <f>IF('دانش‌آموزان'!E52="","",'دانش‌آموزان'!B52)</f>
        <v/>
      </c>
      <c r="D575" s="306">
        <f>IF('دانش‌آموزان'!C52="","",'دانش‌آموزان'!C52)</f>
        <v/>
      </c>
      <c r="E575" s="306">
        <f>IF('دانش‌آموزان'!E52="","",'دانش‌آموزان'!E52&amp;" "&amp;'دانش‌آموزان'!F52)</f>
        <v/>
      </c>
      <c r="F575" s="306">
        <f>IF('دانش‌آموزان'!I52="","",'دانش‌آموزان'!I52)</f>
        <v/>
      </c>
      <c r="G575" s="307" t="n"/>
      <c r="H575" s="307" t="n"/>
      <c r="I575" s="307" t="n"/>
      <c r="J575" s="307" t="n"/>
      <c r="K575" s="313">
        <f>IF(COUNT(G575:J575)=0,"",AVERAGE(G575:J575)*4)</f>
        <v/>
      </c>
      <c r="L575" s="306">
        <f>IF(C575="","",IF(COUNT(G575:J575)=0,"",IF(COUNT(G575:J575)&lt;4,"موقت - اطلاعات ناقص",IF(K575&gt;=17,"عالی",IF(K575&gt;=14,"خوب",IF(K575&gt;=10,"متوسط","ضعیف"))))))</f>
        <v/>
      </c>
      <c r="M575" s="306" t="n">
        <v>7</v>
      </c>
      <c r="N575" s="314">
        <f>IF(C575="","",COUNT(G575:J575)/4)</f>
        <v/>
      </c>
      <c r="O575" s="307" t="n"/>
    </row>
    <row r="576" ht="24" customHeight="1">
      <c r="A576" s="306" t="n">
        <v>572</v>
      </c>
      <c r="B576" s="306" t="inlineStr">
        <is>
          <t>بهمن</t>
        </is>
      </c>
      <c r="C576" s="306">
        <f>IF('دانش‌آموزان'!E52="","",'دانش‌آموزان'!B52)</f>
        <v/>
      </c>
      <c r="D576" s="306">
        <f>IF('دانش‌آموزان'!C52="","",'دانش‌آموزان'!C52)</f>
        <v/>
      </c>
      <c r="E576" s="306">
        <f>IF('دانش‌آموزان'!E52="","",'دانش‌آموزان'!E52&amp;" "&amp;'دانش‌آموزان'!F52)</f>
        <v/>
      </c>
      <c r="F576" s="306">
        <f>IF('دانش‌آموزان'!I52="","",'دانش‌آموزان'!I52)</f>
        <v/>
      </c>
      <c r="G576" s="307" t="n"/>
      <c r="H576" s="307" t="n"/>
      <c r="I576" s="307" t="n"/>
      <c r="J576" s="307" t="n"/>
      <c r="K576" s="313">
        <f>IF(COUNT(G576:J576)=0,"",AVERAGE(G576:J576)*4)</f>
        <v/>
      </c>
      <c r="L576" s="306">
        <f>IF(C576="","",IF(COUNT(G576:J576)=0,"",IF(COUNT(G576:J576)&lt;4,"موقت - اطلاعات ناقص",IF(K576&gt;=17,"عالی",IF(K576&gt;=14,"خوب",IF(K576&gt;=10,"متوسط","ضعیف"))))))</f>
        <v/>
      </c>
      <c r="M576" s="306" t="n">
        <v>8</v>
      </c>
      <c r="N576" s="314">
        <f>IF(C576="","",COUNT(G576:J576)/4)</f>
        <v/>
      </c>
      <c r="O576" s="307" t="n"/>
    </row>
    <row r="577" ht="24" customHeight="1">
      <c r="A577" s="306" t="n">
        <v>573</v>
      </c>
      <c r="B577" s="306" t="inlineStr">
        <is>
          <t>اسفند</t>
        </is>
      </c>
      <c r="C577" s="306">
        <f>IF('دانش‌آموزان'!E52="","",'دانش‌آموزان'!B52)</f>
        <v/>
      </c>
      <c r="D577" s="306">
        <f>IF('دانش‌آموزان'!C52="","",'دانش‌آموزان'!C52)</f>
        <v/>
      </c>
      <c r="E577" s="306">
        <f>IF('دانش‌آموزان'!E52="","",'دانش‌آموزان'!E52&amp;" "&amp;'دانش‌آموزان'!F52)</f>
        <v/>
      </c>
      <c r="F577" s="306">
        <f>IF('دانش‌آموزان'!I52="","",'دانش‌آموزان'!I52)</f>
        <v/>
      </c>
      <c r="G577" s="307" t="n"/>
      <c r="H577" s="307" t="n"/>
      <c r="I577" s="307" t="n"/>
      <c r="J577" s="307" t="n"/>
      <c r="K577" s="313">
        <f>IF(COUNT(G577:J577)=0,"",AVERAGE(G577:J577)*4)</f>
        <v/>
      </c>
      <c r="L577" s="306">
        <f>IF(C577="","",IF(COUNT(G577:J577)=0,"",IF(COUNT(G577:J577)&lt;4,"موقت - اطلاعات ناقص",IF(K577&gt;=17,"عالی",IF(K577&gt;=14,"خوب",IF(K577&gt;=10,"متوسط","ضعیف"))))))</f>
        <v/>
      </c>
      <c r="M577" s="306" t="n">
        <v>9</v>
      </c>
      <c r="N577" s="314">
        <f>IF(C577="","",COUNT(G577:J577)/4)</f>
        <v/>
      </c>
      <c r="O577" s="307" t="n"/>
    </row>
    <row r="578" ht="24" customHeight="1">
      <c r="A578" s="306" t="n">
        <v>574</v>
      </c>
      <c r="B578" s="306" t="inlineStr">
        <is>
          <t>فروردین</t>
        </is>
      </c>
      <c r="C578" s="306">
        <f>IF('دانش‌آموزان'!E52="","",'دانش‌آموزان'!B52)</f>
        <v/>
      </c>
      <c r="D578" s="306">
        <f>IF('دانش‌آموزان'!C52="","",'دانش‌آموزان'!C52)</f>
        <v/>
      </c>
      <c r="E578" s="306">
        <f>IF('دانش‌آموزان'!E52="","",'دانش‌آموزان'!E52&amp;" "&amp;'دانش‌آموزان'!F52)</f>
        <v/>
      </c>
      <c r="F578" s="306">
        <f>IF('دانش‌آموزان'!I52="","",'دانش‌آموزان'!I52)</f>
        <v/>
      </c>
      <c r="G578" s="307" t="n"/>
      <c r="H578" s="307" t="n"/>
      <c r="I578" s="307" t="n"/>
      <c r="J578" s="307" t="n"/>
      <c r="K578" s="313">
        <f>IF(COUNT(G578:J578)=0,"",AVERAGE(G578:J578)*4)</f>
        <v/>
      </c>
      <c r="L578" s="306">
        <f>IF(C578="","",IF(COUNT(G578:J578)=0,"",IF(COUNT(G578:J578)&lt;4,"موقت - اطلاعات ناقص",IF(K578&gt;=17,"عالی",IF(K578&gt;=14,"خوب",IF(K578&gt;=10,"متوسط","ضعیف"))))))</f>
        <v/>
      </c>
      <c r="M578" s="306" t="n">
        <v>10</v>
      </c>
      <c r="N578" s="314">
        <f>IF(C578="","",COUNT(G578:J578)/4)</f>
        <v/>
      </c>
      <c r="O578" s="307" t="n"/>
    </row>
    <row r="579" ht="24" customHeight="1">
      <c r="A579" s="306" t="n">
        <v>575</v>
      </c>
      <c r="B579" s="306" t="inlineStr">
        <is>
          <t>اردیبهشت</t>
        </is>
      </c>
      <c r="C579" s="306">
        <f>IF('دانش‌آموزان'!E52="","",'دانش‌آموزان'!B52)</f>
        <v/>
      </c>
      <c r="D579" s="306">
        <f>IF('دانش‌آموزان'!C52="","",'دانش‌آموزان'!C52)</f>
        <v/>
      </c>
      <c r="E579" s="306">
        <f>IF('دانش‌آموزان'!E52="","",'دانش‌آموزان'!E52&amp;" "&amp;'دانش‌آموزان'!F52)</f>
        <v/>
      </c>
      <c r="F579" s="306">
        <f>IF('دانش‌آموزان'!I52="","",'دانش‌آموزان'!I52)</f>
        <v/>
      </c>
      <c r="G579" s="307" t="n"/>
      <c r="H579" s="307" t="n"/>
      <c r="I579" s="307" t="n"/>
      <c r="J579" s="307" t="n"/>
      <c r="K579" s="313">
        <f>IF(COUNT(G579:J579)=0,"",AVERAGE(G579:J579)*4)</f>
        <v/>
      </c>
      <c r="L579" s="306">
        <f>IF(C579="","",IF(COUNT(G579:J579)=0,"",IF(COUNT(G579:J579)&lt;4,"موقت - اطلاعات ناقص",IF(K579&gt;=17,"عالی",IF(K579&gt;=14,"خوب",IF(K579&gt;=10,"متوسط","ضعیف"))))))</f>
        <v/>
      </c>
      <c r="M579" s="306" t="n">
        <v>11</v>
      </c>
      <c r="N579" s="314">
        <f>IF(C579="","",COUNT(G579:J579)/4)</f>
        <v/>
      </c>
      <c r="O579" s="307" t="n"/>
    </row>
    <row r="580" ht="24" customHeight="1">
      <c r="A580" s="306" t="n">
        <v>576</v>
      </c>
      <c r="B580" s="306" t="inlineStr">
        <is>
          <t>خرداد</t>
        </is>
      </c>
      <c r="C580" s="306">
        <f>IF('دانش‌آموزان'!E52="","",'دانش‌آموزان'!B52)</f>
        <v/>
      </c>
      <c r="D580" s="306">
        <f>IF('دانش‌آموزان'!C52="","",'دانش‌آموزان'!C52)</f>
        <v/>
      </c>
      <c r="E580" s="306">
        <f>IF('دانش‌آموزان'!E52="","",'دانش‌آموزان'!E52&amp;" "&amp;'دانش‌آموزان'!F52)</f>
        <v/>
      </c>
      <c r="F580" s="306">
        <f>IF('دانش‌آموزان'!I52="","",'دانش‌آموزان'!I52)</f>
        <v/>
      </c>
      <c r="G580" s="307" t="n"/>
      <c r="H580" s="307" t="n"/>
      <c r="I580" s="307" t="n"/>
      <c r="J580" s="307" t="n"/>
      <c r="K580" s="313">
        <f>IF(COUNT(G580:J580)=0,"",AVERAGE(G580:J580)*4)</f>
        <v/>
      </c>
      <c r="L580" s="306">
        <f>IF(C580="","",IF(COUNT(G580:J580)=0,"",IF(COUNT(G580:J580)&lt;4,"موقت - اطلاعات ناقص",IF(K580&gt;=17,"عالی",IF(K580&gt;=14,"خوب",IF(K580&gt;=10,"متوسط","ضعیف"))))))</f>
        <v/>
      </c>
      <c r="M580" s="306" t="n">
        <v>12</v>
      </c>
      <c r="N580" s="314">
        <f>IF(C580="","",COUNT(G580:J580)/4)</f>
        <v/>
      </c>
      <c r="O580" s="307" t="n"/>
    </row>
    <row r="581" ht="24" customHeight="1">
      <c r="A581" s="306" t="n">
        <v>577</v>
      </c>
      <c r="B581" s="306" t="inlineStr">
        <is>
          <t>تیر</t>
        </is>
      </c>
      <c r="C581" s="306">
        <f>IF('دانش‌آموزان'!E53="","",'دانش‌آموزان'!B53)</f>
        <v/>
      </c>
      <c r="D581" s="306">
        <f>IF('دانش‌آموزان'!C53="","",'دانش‌آموزان'!C53)</f>
        <v/>
      </c>
      <c r="E581" s="306">
        <f>IF('دانش‌آموزان'!E53="","",'دانش‌آموزان'!E53&amp;" "&amp;'دانش‌آموزان'!F53)</f>
        <v/>
      </c>
      <c r="F581" s="306">
        <f>IF('دانش‌آموزان'!I53="","",'دانش‌آموزان'!I53)</f>
        <v/>
      </c>
      <c r="G581" s="307" t="n"/>
      <c r="H581" s="307" t="n"/>
      <c r="I581" s="307" t="n"/>
      <c r="J581" s="307" t="n"/>
      <c r="K581" s="313">
        <f>IF(COUNT(G581:J581)=0,"",AVERAGE(G581:J581)*4)</f>
        <v/>
      </c>
      <c r="L581" s="306">
        <f>IF(C581="","",IF(COUNT(G581:J581)=0,"",IF(COUNT(G581:J581)&lt;4,"موقت - اطلاعات ناقص",IF(K581&gt;=17,"عالی",IF(K581&gt;=14,"خوب",IF(K581&gt;=10,"متوسط","ضعیف"))))))</f>
        <v/>
      </c>
      <c r="M581" s="306" t="n">
        <v>1</v>
      </c>
      <c r="N581" s="314">
        <f>IF(C581="","",COUNT(G581:J581)/4)</f>
        <v/>
      </c>
      <c r="O581" s="307" t="n"/>
    </row>
    <row r="582" ht="24" customHeight="1">
      <c r="A582" s="306" t="n">
        <v>578</v>
      </c>
      <c r="B582" s="306" t="inlineStr">
        <is>
          <t>مرداد</t>
        </is>
      </c>
      <c r="C582" s="306">
        <f>IF('دانش‌آموزان'!E53="","",'دانش‌آموزان'!B53)</f>
        <v/>
      </c>
      <c r="D582" s="306">
        <f>IF('دانش‌آموزان'!C53="","",'دانش‌آموزان'!C53)</f>
        <v/>
      </c>
      <c r="E582" s="306">
        <f>IF('دانش‌آموزان'!E53="","",'دانش‌آموزان'!E53&amp;" "&amp;'دانش‌آموزان'!F53)</f>
        <v/>
      </c>
      <c r="F582" s="306">
        <f>IF('دانش‌آموزان'!I53="","",'دانش‌آموزان'!I53)</f>
        <v/>
      </c>
      <c r="G582" s="307" t="n"/>
      <c r="H582" s="307" t="n"/>
      <c r="I582" s="307" t="n"/>
      <c r="J582" s="307" t="n"/>
      <c r="K582" s="313">
        <f>IF(COUNT(G582:J582)=0,"",AVERAGE(G582:J582)*4)</f>
        <v/>
      </c>
      <c r="L582" s="306">
        <f>IF(C582="","",IF(COUNT(G582:J582)=0,"",IF(COUNT(G582:J582)&lt;4,"موقت - اطلاعات ناقص",IF(K582&gt;=17,"عالی",IF(K582&gt;=14,"خوب",IF(K582&gt;=10,"متوسط","ضعیف"))))))</f>
        <v/>
      </c>
      <c r="M582" s="306" t="n">
        <v>2</v>
      </c>
      <c r="N582" s="314">
        <f>IF(C582="","",COUNT(G582:J582)/4)</f>
        <v/>
      </c>
      <c r="O582" s="307" t="n"/>
    </row>
    <row r="583" ht="24" customHeight="1">
      <c r="A583" s="306" t="n">
        <v>579</v>
      </c>
      <c r="B583" s="306" t="inlineStr">
        <is>
          <t>شهریور</t>
        </is>
      </c>
      <c r="C583" s="306">
        <f>IF('دانش‌آموزان'!E53="","",'دانش‌آموزان'!B53)</f>
        <v/>
      </c>
      <c r="D583" s="306">
        <f>IF('دانش‌آموزان'!C53="","",'دانش‌آموزان'!C53)</f>
        <v/>
      </c>
      <c r="E583" s="306">
        <f>IF('دانش‌آموزان'!E53="","",'دانش‌آموزان'!E53&amp;" "&amp;'دانش‌آموزان'!F53)</f>
        <v/>
      </c>
      <c r="F583" s="306">
        <f>IF('دانش‌آموزان'!I53="","",'دانش‌آموزان'!I53)</f>
        <v/>
      </c>
      <c r="G583" s="307" t="n"/>
      <c r="H583" s="307" t="n"/>
      <c r="I583" s="307" t="n"/>
      <c r="J583" s="307" t="n"/>
      <c r="K583" s="313">
        <f>IF(COUNT(G583:J583)=0,"",AVERAGE(G583:J583)*4)</f>
        <v/>
      </c>
      <c r="L583" s="306">
        <f>IF(C583="","",IF(COUNT(G583:J583)=0,"",IF(COUNT(G583:J583)&lt;4,"موقت - اطلاعات ناقص",IF(K583&gt;=17,"عالی",IF(K583&gt;=14,"خوب",IF(K583&gt;=10,"متوسط","ضعیف"))))))</f>
        <v/>
      </c>
      <c r="M583" s="306" t="n">
        <v>3</v>
      </c>
      <c r="N583" s="314">
        <f>IF(C583="","",COUNT(G583:J583)/4)</f>
        <v/>
      </c>
      <c r="O583" s="307" t="n"/>
    </row>
    <row r="584" ht="24" customHeight="1">
      <c r="A584" s="306" t="n">
        <v>580</v>
      </c>
      <c r="B584" s="306" t="inlineStr">
        <is>
          <t>مهر</t>
        </is>
      </c>
      <c r="C584" s="306">
        <f>IF('دانش‌آموزان'!E53="","",'دانش‌آموزان'!B53)</f>
        <v/>
      </c>
      <c r="D584" s="306">
        <f>IF('دانش‌آموزان'!C53="","",'دانش‌آموزان'!C53)</f>
        <v/>
      </c>
      <c r="E584" s="306">
        <f>IF('دانش‌آموزان'!E53="","",'دانش‌آموزان'!E53&amp;" "&amp;'دانش‌آموزان'!F53)</f>
        <v/>
      </c>
      <c r="F584" s="306">
        <f>IF('دانش‌آموزان'!I53="","",'دانش‌آموزان'!I53)</f>
        <v/>
      </c>
      <c r="G584" s="307" t="n"/>
      <c r="H584" s="307" t="n"/>
      <c r="I584" s="307" t="n"/>
      <c r="J584" s="307" t="n"/>
      <c r="K584" s="313">
        <f>IF(COUNT(G584:J584)=0,"",AVERAGE(G584:J584)*4)</f>
        <v/>
      </c>
      <c r="L584" s="306">
        <f>IF(C584="","",IF(COUNT(G584:J584)=0,"",IF(COUNT(G584:J584)&lt;4,"موقت - اطلاعات ناقص",IF(K584&gt;=17,"عالی",IF(K584&gt;=14,"خوب",IF(K584&gt;=10,"متوسط","ضعیف"))))))</f>
        <v/>
      </c>
      <c r="M584" s="306" t="n">
        <v>4</v>
      </c>
      <c r="N584" s="314">
        <f>IF(C584="","",COUNT(G584:J584)/4)</f>
        <v/>
      </c>
      <c r="O584" s="307" t="n"/>
    </row>
    <row r="585" ht="24" customHeight="1">
      <c r="A585" s="306" t="n">
        <v>581</v>
      </c>
      <c r="B585" s="306" t="inlineStr">
        <is>
          <t>آبان</t>
        </is>
      </c>
      <c r="C585" s="306">
        <f>IF('دانش‌آموزان'!E53="","",'دانش‌آموزان'!B53)</f>
        <v/>
      </c>
      <c r="D585" s="306">
        <f>IF('دانش‌آموزان'!C53="","",'دانش‌آموزان'!C53)</f>
        <v/>
      </c>
      <c r="E585" s="306">
        <f>IF('دانش‌آموزان'!E53="","",'دانش‌آموزان'!E53&amp;" "&amp;'دانش‌آموزان'!F53)</f>
        <v/>
      </c>
      <c r="F585" s="306">
        <f>IF('دانش‌آموزان'!I53="","",'دانش‌آموزان'!I53)</f>
        <v/>
      </c>
      <c r="G585" s="307" t="n"/>
      <c r="H585" s="307" t="n"/>
      <c r="I585" s="307" t="n"/>
      <c r="J585" s="307" t="n"/>
      <c r="K585" s="313">
        <f>IF(COUNT(G585:J585)=0,"",AVERAGE(G585:J585)*4)</f>
        <v/>
      </c>
      <c r="L585" s="306">
        <f>IF(C585="","",IF(COUNT(G585:J585)=0,"",IF(COUNT(G585:J585)&lt;4,"موقت - اطلاعات ناقص",IF(K585&gt;=17,"عالی",IF(K585&gt;=14,"خوب",IF(K585&gt;=10,"متوسط","ضعیف"))))))</f>
        <v/>
      </c>
      <c r="M585" s="306" t="n">
        <v>5</v>
      </c>
      <c r="N585" s="314">
        <f>IF(C585="","",COUNT(G585:J585)/4)</f>
        <v/>
      </c>
      <c r="O585" s="307" t="n"/>
    </row>
    <row r="586" ht="24" customHeight="1">
      <c r="A586" s="306" t="n">
        <v>582</v>
      </c>
      <c r="B586" s="306" t="inlineStr">
        <is>
          <t>آذر</t>
        </is>
      </c>
      <c r="C586" s="306">
        <f>IF('دانش‌آموزان'!E53="","",'دانش‌آموزان'!B53)</f>
        <v/>
      </c>
      <c r="D586" s="306">
        <f>IF('دانش‌آموزان'!C53="","",'دانش‌آموزان'!C53)</f>
        <v/>
      </c>
      <c r="E586" s="306">
        <f>IF('دانش‌آموزان'!E53="","",'دانش‌آموزان'!E53&amp;" "&amp;'دانش‌آموزان'!F53)</f>
        <v/>
      </c>
      <c r="F586" s="306">
        <f>IF('دانش‌آموزان'!I53="","",'دانش‌آموزان'!I53)</f>
        <v/>
      </c>
      <c r="G586" s="307" t="n"/>
      <c r="H586" s="307" t="n"/>
      <c r="I586" s="307" t="n"/>
      <c r="J586" s="307" t="n"/>
      <c r="K586" s="313">
        <f>IF(COUNT(G586:J586)=0,"",AVERAGE(G586:J586)*4)</f>
        <v/>
      </c>
      <c r="L586" s="306">
        <f>IF(C586="","",IF(COUNT(G586:J586)=0,"",IF(COUNT(G586:J586)&lt;4,"موقت - اطلاعات ناقص",IF(K586&gt;=17,"عالی",IF(K586&gt;=14,"خوب",IF(K586&gt;=10,"متوسط","ضعیف"))))))</f>
        <v/>
      </c>
      <c r="M586" s="306" t="n">
        <v>6</v>
      </c>
      <c r="N586" s="314">
        <f>IF(C586="","",COUNT(G586:J586)/4)</f>
        <v/>
      </c>
      <c r="O586" s="307" t="n"/>
    </row>
    <row r="587" ht="24" customHeight="1">
      <c r="A587" s="306" t="n">
        <v>583</v>
      </c>
      <c r="B587" s="306" t="inlineStr">
        <is>
          <t>دی</t>
        </is>
      </c>
      <c r="C587" s="306">
        <f>IF('دانش‌آموزان'!E53="","",'دانش‌آموزان'!B53)</f>
        <v/>
      </c>
      <c r="D587" s="306">
        <f>IF('دانش‌آموزان'!C53="","",'دانش‌آموزان'!C53)</f>
        <v/>
      </c>
      <c r="E587" s="306">
        <f>IF('دانش‌آموزان'!E53="","",'دانش‌آموزان'!E53&amp;" "&amp;'دانش‌آموزان'!F53)</f>
        <v/>
      </c>
      <c r="F587" s="306">
        <f>IF('دانش‌آموزان'!I53="","",'دانش‌آموزان'!I53)</f>
        <v/>
      </c>
      <c r="G587" s="307" t="n"/>
      <c r="H587" s="307" t="n"/>
      <c r="I587" s="307" t="n"/>
      <c r="J587" s="307" t="n"/>
      <c r="K587" s="313">
        <f>IF(COUNT(G587:J587)=0,"",AVERAGE(G587:J587)*4)</f>
        <v/>
      </c>
      <c r="L587" s="306">
        <f>IF(C587="","",IF(COUNT(G587:J587)=0,"",IF(COUNT(G587:J587)&lt;4,"موقت - اطلاعات ناقص",IF(K587&gt;=17,"عالی",IF(K587&gt;=14,"خوب",IF(K587&gt;=10,"متوسط","ضعیف"))))))</f>
        <v/>
      </c>
      <c r="M587" s="306" t="n">
        <v>7</v>
      </c>
      <c r="N587" s="314">
        <f>IF(C587="","",COUNT(G587:J587)/4)</f>
        <v/>
      </c>
      <c r="O587" s="307" t="n"/>
    </row>
    <row r="588" ht="24" customHeight="1">
      <c r="A588" s="306" t="n">
        <v>584</v>
      </c>
      <c r="B588" s="306" t="inlineStr">
        <is>
          <t>بهمن</t>
        </is>
      </c>
      <c r="C588" s="306">
        <f>IF('دانش‌آموزان'!E53="","",'دانش‌آموزان'!B53)</f>
        <v/>
      </c>
      <c r="D588" s="306">
        <f>IF('دانش‌آموزان'!C53="","",'دانش‌آموزان'!C53)</f>
        <v/>
      </c>
      <c r="E588" s="306">
        <f>IF('دانش‌آموزان'!E53="","",'دانش‌آموزان'!E53&amp;" "&amp;'دانش‌آموزان'!F53)</f>
        <v/>
      </c>
      <c r="F588" s="306">
        <f>IF('دانش‌آموزان'!I53="","",'دانش‌آموزان'!I53)</f>
        <v/>
      </c>
      <c r="G588" s="307" t="n"/>
      <c r="H588" s="307" t="n"/>
      <c r="I588" s="307" t="n"/>
      <c r="J588" s="307" t="n"/>
      <c r="K588" s="313">
        <f>IF(COUNT(G588:J588)=0,"",AVERAGE(G588:J588)*4)</f>
        <v/>
      </c>
      <c r="L588" s="306">
        <f>IF(C588="","",IF(COUNT(G588:J588)=0,"",IF(COUNT(G588:J588)&lt;4,"موقت - اطلاعات ناقص",IF(K588&gt;=17,"عالی",IF(K588&gt;=14,"خوب",IF(K588&gt;=10,"متوسط","ضعیف"))))))</f>
        <v/>
      </c>
      <c r="M588" s="306" t="n">
        <v>8</v>
      </c>
      <c r="N588" s="314">
        <f>IF(C588="","",COUNT(G588:J588)/4)</f>
        <v/>
      </c>
      <c r="O588" s="307" t="n"/>
    </row>
    <row r="589" ht="24" customHeight="1">
      <c r="A589" s="306" t="n">
        <v>585</v>
      </c>
      <c r="B589" s="306" t="inlineStr">
        <is>
          <t>اسفند</t>
        </is>
      </c>
      <c r="C589" s="306">
        <f>IF('دانش‌آموزان'!E53="","",'دانش‌آموزان'!B53)</f>
        <v/>
      </c>
      <c r="D589" s="306">
        <f>IF('دانش‌آموزان'!C53="","",'دانش‌آموزان'!C53)</f>
        <v/>
      </c>
      <c r="E589" s="306">
        <f>IF('دانش‌آموزان'!E53="","",'دانش‌آموزان'!E53&amp;" "&amp;'دانش‌آموزان'!F53)</f>
        <v/>
      </c>
      <c r="F589" s="306">
        <f>IF('دانش‌آموزان'!I53="","",'دانش‌آموزان'!I53)</f>
        <v/>
      </c>
      <c r="G589" s="307" t="n"/>
      <c r="H589" s="307" t="n"/>
      <c r="I589" s="307" t="n"/>
      <c r="J589" s="307" t="n"/>
      <c r="K589" s="313">
        <f>IF(COUNT(G589:J589)=0,"",AVERAGE(G589:J589)*4)</f>
        <v/>
      </c>
      <c r="L589" s="306">
        <f>IF(C589="","",IF(COUNT(G589:J589)=0,"",IF(COUNT(G589:J589)&lt;4,"موقت - اطلاعات ناقص",IF(K589&gt;=17,"عالی",IF(K589&gt;=14,"خوب",IF(K589&gt;=10,"متوسط","ضعیف"))))))</f>
        <v/>
      </c>
      <c r="M589" s="306" t="n">
        <v>9</v>
      </c>
      <c r="N589" s="314">
        <f>IF(C589="","",COUNT(G589:J589)/4)</f>
        <v/>
      </c>
      <c r="O589" s="307" t="n"/>
    </row>
    <row r="590" ht="24" customHeight="1">
      <c r="A590" s="306" t="n">
        <v>586</v>
      </c>
      <c r="B590" s="306" t="inlineStr">
        <is>
          <t>فروردین</t>
        </is>
      </c>
      <c r="C590" s="306">
        <f>IF('دانش‌آموزان'!E53="","",'دانش‌آموزان'!B53)</f>
        <v/>
      </c>
      <c r="D590" s="306">
        <f>IF('دانش‌آموزان'!C53="","",'دانش‌آموزان'!C53)</f>
        <v/>
      </c>
      <c r="E590" s="306">
        <f>IF('دانش‌آموزان'!E53="","",'دانش‌آموزان'!E53&amp;" "&amp;'دانش‌آموزان'!F53)</f>
        <v/>
      </c>
      <c r="F590" s="306">
        <f>IF('دانش‌آموزان'!I53="","",'دانش‌آموزان'!I53)</f>
        <v/>
      </c>
      <c r="G590" s="307" t="n"/>
      <c r="H590" s="307" t="n"/>
      <c r="I590" s="307" t="n"/>
      <c r="J590" s="307" t="n"/>
      <c r="K590" s="313">
        <f>IF(COUNT(G590:J590)=0,"",AVERAGE(G590:J590)*4)</f>
        <v/>
      </c>
      <c r="L590" s="306">
        <f>IF(C590="","",IF(COUNT(G590:J590)=0,"",IF(COUNT(G590:J590)&lt;4,"موقت - اطلاعات ناقص",IF(K590&gt;=17,"عالی",IF(K590&gt;=14,"خوب",IF(K590&gt;=10,"متوسط","ضعیف"))))))</f>
        <v/>
      </c>
      <c r="M590" s="306" t="n">
        <v>10</v>
      </c>
      <c r="N590" s="314">
        <f>IF(C590="","",COUNT(G590:J590)/4)</f>
        <v/>
      </c>
      <c r="O590" s="307" t="n"/>
    </row>
    <row r="591" ht="24" customHeight="1">
      <c r="A591" s="306" t="n">
        <v>587</v>
      </c>
      <c r="B591" s="306" t="inlineStr">
        <is>
          <t>اردیبهشت</t>
        </is>
      </c>
      <c r="C591" s="306">
        <f>IF('دانش‌آموزان'!E53="","",'دانش‌آموزان'!B53)</f>
        <v/>
      </c>
      <c r="D591" s="306">
        <f>IF('دانش‌آموزان'!C53="","",'دانش‌آموزان'!C53)</f>
        <v/>
      </c>
      <c r="E591" s="306">
        <f>IF('دانش‌آموزان'!E53="","",'دانش‌آموزان'!E53&amp;" "&amp;'دانش‌آموزان'!F53)</f>
        <v/>
      </c>
      <c r="F591" s="306">
        <f>IF('دانش‌آموزان'!I53="","",'دانش‌آموزان'!I53)</f>
        <v/>
      </c>
      <c r="G591" s="307" t="n"/>
      <c r="H591" s="307" t="n"/>
      <c r="I591" s="307" t="n"/>
      <c r="J591" s="307" t="n"/>
      <c r="K591" s="313">
        <f>IF(COUNT(G591:J591)=0,"",AVERAGE(G591:J591)*4)</f>
        <v/>
      </c>
      <c r="L591" s="306">
        <f>IF(C591="","",IF(COUNT(G591:J591)=0,"",IF(COUNT(G591:J591)&lt;4,"موقت - اطلاعات ناقص",IF(K591&gt;=17,"عالی",IF(K591&gt;=14,"خوب",IF(K591&gt;=10,"متوسط","ضعیف"))))))</f>
        <v/>
      </c>
      <c r="M591" s="306" t="n">
        <v>11</v>
      </c>
      <c r="N591" s="314">
        <f>IF(C591="","",COUNT(G591:J591)/4)</f>
        <v/>
      </c>
      <c r="O591" s="307" t="n"/>
    </row>
    <row r="592" ht="24" customHeight="1">
      <c r="A592" s="306" t="n">
        <v>588</v>
      </c>
      <c r="B592" s="306" t="inlineStr">
        <is>
          <t>خرداد</t>
        </is>
      </c>
      <c r="C592" s="306">
        <f>IF('دانش‌آموزان'!E53="","",'دانش‌آموزان'!B53)</f>
        <v/>
      </c>
      <c r="D592" s="306">
        <f>IF('دانش‌آموزان'!C53="","",'دانش‌آموزان'!C53)</f>
        <v/>
      </c>
      <c r="E592" s="306">
        <f>IF('دانش‌آموزان'!E53="","",'دانش‌آموزان'!E53&amp;" "&amp;'دانش‌آموزان'!F53)</f>
        <v/>
      </c>
      <c r="F592" s="306">
        <f>IF('دانش‌آموزان'!I53="","",'دانش‌آموزان'!I53)</f>
        <v/>
      </c>
      <c r="G592" s="307" t="n"/>
      <c r="H592" s="307" t="n"/>
      <c r="I592" s="307" t="n"/>
      <c r="J592" s="307" t="n"/>
      <c r="K592" s="313">
        <f>IF(COUNT(G592:J592)=0,"",AVERAGE(G592:J592)*4)</f>
        <v/>
      </c>
      <c r="L592" s="306">
        <f>IF(C592="","",IF(COUNT(G592:J592)=0,"",IF(COUNT(G592:J592)&lt;4,"موقت - اطلاعات ناقص",IF(K592&gt;=17,"عالی",IF(K592&gt;=14,"خوب",IF(K592&gt;=10,"متوسط","ضعیف"))))))</f>
        <v/>
      </c>
      <c r="M592" s="306" t="n">
        <v>12</v>
      </c>
      <c r="N592" s="314">
        <f>IF(C592="","",COUNT(G592:J592)/4)</f>
        <v/>
      </c>
      <c r="O592" s="307" t="n"/>
    </row>
    <row r="593" ht="24" customHeight="1">
      <c r="A593" s="306" t="n">
        <v>589</v>
      </c>
      <c r="B593" s="306" t="inlineStr">
        <is>
          <t>تیر</t>
        </is>
      </c>
      <c r="C593" s="306">
        <f>IF('دانش‌آموزان'!E54="","",'دانش‌آموزان'!B54)</f>
        <v/>
      </c>
      <c r="D593" s="306">
        <f>IF('دانش‌آموزان'!C54="","",'دانش‌آموزان'!C54)</f>
        <v/>
      </c>
      <c r="E593" s="306">
        <f>IF('دانش‌آموزان'!E54="","",'دانش‌آموزان'!E54&amp;" "&amp;'دانش‌آموزان'!F54)</f>
        <v/>
      </c>
      <c r="F593" s="306">
        <f>IF('دانش‌آموزان'!I54="","",'دانش‌آموزان'!I54)</f>
        <v/>
      </c>
      <c r="G593" s="307" t="n"/>
      <c r="H593" s="307" t="n"/>
      <c r="I593" s="307" t="n"/>
      <c r="J593" s="307" t="n"/>
      <c r="K593" s="313">
        <f>IF(COUNT(G593:J593)=0,"",AVERAGE(G593:J593)*4)</f>
        <v/>
      </c>
      <c r="L593" s="306">
        <f>IF(C593="","",IF(COUNT(G593:J593)=0,"",IF(COUNT(G593:J593)&lt;4,"موقت - اطلاعات ناقص",IF(K593&gt;=17,"عالی",IF(K593&gt;=14,"خوب",IF(K593&gt;=10,"متوسط","ضعیف"))))))</f>
        <v/>
      </c>
      <c r="M593" s="306" t="n">
        <v>1</v>
      </c>
      <c r="N593" s="314">
        <f>IF(C593="","",COUNT(G593:J593)/4)</f>
        <v/>
      </c>
      <c r="O593" s="307" t="n"/>
    </row>
    <row r="594" ht="24" customHeight="1">
      <c r="A594" s="306" t="n">
        <v>590</v>
      </c>
      <c r="B594" s="306" t="inlineStr">
        <is>
          <t>مرداد</t>
        </is>
      </c>
      <c r="C594" s="306">
        <f>IF('دانش‌آموزان'!E54="","",'دانش‌آموزان'!B54)</f>
        <v/>
      </c>
      <c r="D594" s="306">
        <f>IF('دانش‌آموزان'!C54="","",'دانش‌آموزان'!C54)</f>
        <v/>
      </c>
      <c r="E594" s="306">
        <f>IF('دانش‌آموزان'!E54="","",'دانش‌آموزان'!E54&amp;" "&amp;'دانش‌آموزان'!F54)</f>
        <v/>
      </c>
      <c r="F594" s="306">
        <f>IF('دانش‌آموزان'!I54="","",'دانش‌آموزان'!I54)</f>
        <v/>
      </c>
      <c r="G594" s="307" t="n"/>
      <c r="H594" s="307" t="n"/>
      <c r="I594" s="307" t="n"/>
      <c r="J594" s="307" t="n"/>
      <c r="K594" s="313">
        <f>IF(COUNT(G594:J594)=0,"",AVERAGE(G594:J594)*4)</f>
        <v/>
      </c>
      <c r="L594" s="306">
        <f>IF(C594="","",IF(COUNT(G594:J594)=0,"",IF(COUNT(G594:J594)&lt;4,"موقت - اطلاعات ناقص",IF(K594&gt;=17,"عالی",IF(K594&gt;=14,"خوب",IF(K594&gt;=10,"متوسط","ضعیف"))))))</f>
        <v/>
      </c>
      <c r="M594" s="306" t="n">
        <v>2</v>
      </c>
      <c r="N594" s="314">
        <f>IF(C594="","",COUNT(G594:J594)/4)</f>
        <v/>
      </c>
      <c r="O594" s="307" t="n"/>
    </row>
    <row r="595" ht="24" customHeight="1">
      <c r="A595" s="306" t="n">
        <v>591</v>
      </c>
      <c r="B595" s="306" t="inlineStr">
        <is>
          <t>شهریور</t>
        </is>
      </c>
      <c r="C595" s="306">
        <f>IF('دانش‌آموزان'!E54="","",'دانش‌آموزان'!B54)</f>
        <v/>
      </c>
      <c r="D595" s="306">
        <f>IF('دانش‌آموزان'!C54="","",'دانش‌آموزان'!C54)</f>
        <v/>
      </c>
      <c r="E595" s="306">
        <f>IF('دانش‌آموزان'!E54="","",'دانش‌آموزان'!E54&amp;" "&amp;'دانش‌آموزان'!F54)</f>
        <v/>
      </c>
      <c r="F595" s="306">
        <f>IF('دانش‌آموزان'!I54="","",'دانش‌آموزان'!I54)</f>
        <v/>
      </c>
      <c r="G595" s="307" t="n"/>
      <c r="H595" s="307" t="n"/>
      <c r="I595" s="307" t="n"/>
      <c r="J595" s="307" t="n"/>
      <c r="K595" s="313">
        <f>IF(COUNT(G595:J595)=0,"",AVERAGE(G595:J595)*4)</f>
        <v/>
      </c>
      <c r="L595" s="306">
        <f>IF(C595="","",IF(COUNT(G595:J595)=0,"",IF(COUNT(G595:J595)&lt;4,"موقت - اطلاعات ناقص",IF(K595&gt;=17,"عالی",IF(K595&gt;=14,"خوب",IF(K595&gt;=10,"متوسط","ضعیف"))))))</f>
        <v/>
      </c>
      <c r="M595" s="306" t="n">
        <v>3</v>
      </c>
      <c r="N595" s="314">
        <f>IF(C595="","",COUNT(G595:J595)/4)</f>
        <v/>
      </c>
      <c r="O595" s="307" t="n"/>
    </row>
    <row r="596" ht="24" customHeight="1">
      <c r="A596" s="306" t="n">
        <v>592</v>
      </c>
      <c r="B596" s="306" t="inlineStr">
        <is>
          <t>مهر</t>
        </is>
      </c>
      <c r="C596" s="306">
        <f>IF('دانش‌آموزان'!E54="","",'دانش‌آموزان'!B54)</f>
        <v/>
      </c>
      <c r="D596" s="306">
        <f>IF('دانش‌آموزان'!C54="","",'دانش‌آموزان'!C54)</f>
        <v/>
      </c>
      <c r="E596" s="306">
        <f>IF('دانش‌آموزان'!E54="","",'دانش‌آموزان'!E54&amp;" "&amp;'دانش‌آموزان'!F54)</f>
        <v/>
      </c>
      <c r="F596" s="306">
        <f>IF('دانش‌آموزان'!I54="","",'دانش‌آموزان'!I54)</f>
        <v/>
      </c>
      <c r="G596" s="307" t="n"/>
      <c r="H596" s="307" t="n"/>
      <c r="I596" s="307" t="n"/>
      <c r="J596" s="307" t="n"/>
      <c r="K596" s="313">
        <f>IF(COUNT(G596:J596)=0,"",AVERAGE(G596:J596)*4)</f>
        <v/>
      </c>
      <c r="L596" s="306">
        <f>IF(C596="","",IF(COUNT(G596:J596)=0,"",IF(COUNT(G596:J596)&lt;4,"موقت - اطلاعات ناقص",IF(K596&gt;=17,"عالی",IF(K596&gt;=14,"خوب",IF(K596&gt;=10,"متوسط","ضعیف"))))))</f>
        <v/>
      </c>
      <c r="M596" s="306" t="n">
        <v>4</v>
      </c>
      <c r="N596" s="314">
        <f>IF(C596="","",COUNT(G596:J596)/4)</f>
        <v/>
      </c>
      <c r="O596" s="307" t="n"/>
    </row>
    <row r="597" ht="24" customHeight="1">
      <c r="A597" s="306" t="n">
        <v>593</v>
      </c>
      <c r="B597" s="306" t="inlineStr">
        <is>
          <t>آبان</t>
        </is>
      </c>
      <c r="C597" s="306">
        <f>IF('دانش‌آموزان'!E54="","",'دانش‌آموزان'!B54)</f>
        <v/>
      </c>
      <c r="D597" s="306">
        <f>IF('دانش‌آموزان'!C54="","",'دانش‌آموزان'!C54)</f>
        <v/>
      </c>
      <c r="E597" s="306">
        <f>IF('دانش‌آموزان'!E54="","",'دانش‌آموزان'!E54&amp;" "&amp;'دانش‌آموزان'!F54)</f>
        <v/>
      </c>
      <c r="F597" s="306">
        <f>IF('دانش‌آموزان'!I54="","",'دانش‌آموزان'!I54)</f>
        <v/>
      </c>
      <c r="G597" s="307" t="n"/>
      <c r="H597" s="307" t="n"/>
      <c r="I597" s="307" t="n"/>
      <c r="J597" s="307" t="n"/>
      <c r="K597" s="313">
        <f>IF(COUNT(G597:J597)=0,"",AVERAGE(G597:J597)*4)</f>
        <v/>
      </c>
      <c r="L597" s="306">
        <f>IF(C597="","",IF(COUNT(G597:J597)=0,"",IF(COUNT(G597:J597)&lt;4,"موقت - اطلاعات ناقص",IF(K597&gt;=17,"عالی",IF(K597&gt;=14,"خوب",IF(K597&gt;=10,"متوسط","ضعیف"))))))</f>
        <v/>
      </c>
      <c r="M597" s="306" t="n">
        <v>5</v>
      </c>
      <c r="N597" s="314">
        <f>IF(C597="","",COUNT(G597:J597)/4)</f>
        <v/>
      </c>
      <c r="O597" s="307" t="n"/>
    </row>
    <row r="598" ht="24" customHeight="1">
      <c r="A598" s="306" t="n">
        <v>594</v>
      </c>
      <c r="B598" s="306" t="inlineStr">
        <is>
          <t>آذر</t>
        </is>
      </c>
      <c r="C598" s="306">
        <f>IF('دانش‌آموزان'!E54="","",'دانش‌آموزان'!B54)</f>
        <v/>
      </c>
      <c r="D598" s="306">
        <f>IF('دانش‌آموزان'!C54="","",'دانش‌آموزان'!C54)</f>
        <v/>
      </c>
      <c r="E598" s="306">
        <f>IF('دانش‌آموزان'!E54="","",'دانش‌آموزان'!E54&amp;" "&amp;'دانش‌آموزان'!F54)</f>
        <v/>
      </c>
      <c r="F598" s="306">
        <f>IF('دانش‌آموزان'!I54="","",'دانش‌آموزان'!I54)</f>
        <v/>
      </c>
      <c r="G598" s="307" t="n"/>
      <c r="H598" s="307" t="n"/>
      <c r="I598" s="307" t="n"/>
      <c r="J598" s="307" t="n"/>
      <c r="K598" s="313">
        <f>IF(COUNT(G598:J598)=0,"",AVERAGE(G598:J598)*4)</f>
        <v/>
      </c>
      <c r="L598" s="306">
        <f>IF(C598="","",IF(COUNT(G598:J598)=0,"",IF(COUNT(G598:J598)&lt;4,"موقت - اطلاعات ناقص",IF(K598&gt;=17,"عالی",IF(K598&gt;=14,"خوب",IF(K598&gt;=10,"متوسط","ضعیف"))))))</f>
        <v/>
      </c>
      <c r="M598" s="306" t="n">
        <v>6</v>
      </c>
      <c r="N598" s="314">
        <f>IF(C598="","",COUNT(G598:J598)/4)</f>
        <v/>
      </c>
      <c r="O598" s="307" t="n"/>
    </row>
    <row r="599" ht="24" customHeight="1">
      <c r="A599" s="306" t="n">
        <v>595</v>
      </c>
      <c r="B599" s="306" t="inlineStr">
        <is>
          <t>دی</t>
        </is>
      </c>
      <c r="C599" s="306">
        <f>IF('دانش‌آموزان'!E54="","",'دانش‌آموزان'!B54)</f>
        <v/>
      </c>
      <c r="D599" s="306">
        <f>IF('دانش‌آموزان'!C54="","",'دانش‌آموزان'!C54)</f>
        <v/>
      </c>
      <c r="E599" s="306">
        <f>IF('دانش‌آموزان'!E54="","",'دانش‌آموزان'!E54&amp;" "&amp;'دانش‌آموزان'!F54)</f>
        <v/>
      </c>
      <c r="F599" s="306">
        <f>IF('دانش‌آموزان'!I54="","",'دانش‌آموزان'!I54)</f>
        <v/>
      </c>
      <c r="G599" s="307" t="n"/>
      <c r="H599" s="307" t="n"/>
      <c r="I599" s="307" t="n"/>
      <c r="J599" s="307" t="n"/>
      <c r="K599" s="313">
        <f>IF(COUNT(G599:J599)=0,"",AVERAGE(G599:J599)*4)</f>
        <v/>
      </c>
      <c r="L599" s="306">
        <f>IF(C599="","",IF(COUNT(G599:J599)=0,"",IF(COUNT(G599:J599)&lt;4,"موقت - اطلاعات ناقص",IF(K599&gt;=17,"عالی",IF(K599&gt;=14,"خوب",IF(K599&gt;=10,"متوسط","ضعیف"))))))</f>
        <v/>
      </c>
      <c r="M599" s="306" t="n">
        <v>7</v>
      </c>
      <c r="N599" s="314">
        <f>IF(C599="","",COUNT(G599:J599)/4)</f>
        <v/>
      </c>
      <c r="O599" s="307" t="n"/>
    </row>
    <row r="600" ht="24" customHeight="1">
      <c r="A600" s="306" t="n">
        <v>596</v>
      </c>
      <c r="B600" s="306" t="inlineStr">
        <is>
          <t>بهمن</t>
        </is>
      </c>
      <c r="C600" s="306">
        <f>IF('دانش‌آموزان'!E54="","",'دانش‌آموزان'!B54)</f>
        <v/>
      </c>
      <c r="D600" s="306">
        <f>IF('دانش‌آموزان'!C54="","",'دانش‌آموزان'!C54)</f>
        <v/>
      </c>
      <c r="E600" s="306">
        <f>IF('دانش‌آموزان'!E54="","",'دانش‌آموزان'!E54&amp;" "&amp;'دانش‌آموزان'!F54)</f>
        <v/>
      </c>
      <c r="F600" s="306">
        <f>IF('دانش‌آموزان'!I54="","",'دانش‌آموزان'!I54)</f>
        <v/>
      </c>
      <c r="G600" s="307" t="n"/>
      <c r="H600" s="307" t="n"/>
      <c r="I600" s="307" t="n"/>
      <c r="J600" s="307" t="n"/>
      <c r="K600" s="313">
        <f>IF(COUNT(G600:J600)=0,"",AVERAGE(G600:J600)*4)</f>
        <v/>
      </c>
      <c r="L600" s="306">
        <f>IF(C600="","",IF(COUNT(G600:J600)=0,"",IF(COUNT(G600:J600)&lt;4,"موقت - اطلاعات ناقص",IF(K600&gt;=17,"عالی",IF(K600&gt;=14,"خوب",IF(K600&gt;=10,"متوسط","ضعیف"))))))</f>
        <v/>
      </c>
      <c r="M600" s="306" t="n">
        <v>8</v>
      </c>
      <c r="N600" s="314">
        <f>IF(C600="","",COUNT(G600:J600)/4)</f>
        <v/>
      </c>
      <c r="O600" s="307" t="n"/>
    </row>
    <row r="601" ht="24" customHeight="1">
      <c r="A601" s="306" t="n">
        <v>597</v>
      </c>
      <c r="B601" s="306" t="inlineStr">
        <is>
          <t>اسفند</t>
        </is>
      </c>
      <c r="C601" s="306">
        <f>IF('دانش‌آموزان'!E54="","",'دانش‌آموزان'!B54)</f>
        <v/>
      </c>
      <c r="D601" s="306">
        <f>IF('دانش‌آموزان'!C54="","",'دانش‌آموزان'!C54)</f>
        <v/>
      </c>
      <c r="E601" s="306">
        <f>IF('دانش‌آموزان'!E54="","",'دانش‌آموزان'!E54&amp;" "&amp;'دانش‌آموزان'!F54)</f>
        <v/>
      </c>
      <c r="F601" s="306">
        <f>IF('دانش‌آموزان'!I54="","",'دانش‌آموزان'!I54)</f>
        <v/>
      </c>
      <c r="G601" s="307" t="n"/>
      <c r="H601" s="307" t="n"/>
      <c r="I601" s="307" t="n"/>
      <c r="J601" s="307" t="n"/>
      <c r="K601" s="313">
        <f>IF(COUNT(G601:J601)=0,"",AVERAGE(G601:J601)*4)</f>
        <v/>
      </c>
      <c r="L601" s="306">
        <f>IF(C601="","",IF(COUNT(G601:J601)=0,"",IF(COUNT(G601:J601)&lt;4,"موقت - اطلاعات ناقص",IF(K601&gt;=17,"عالی",IF(K601&gt;=14,"خوب",IF(K601&gt;=10,"متوسط","ضعیف"))))))</f>
        <v/>
      </c>
      <c r="M601" s="306" t="n">
        <v>9</v>
      </c>
      <c r="N601" s="314">
        <f>IF(C601="","",COUNT(G601:J601)/4)</f>
        <v/>
      </c>
      <c r="O601" s="307" t="n"/>
    </row>
    <row r="602" ht="24" customHeight="1">
      <c r="A602" s="306" t="n">
        <v>598</v>
      </c>
      <c r="B602" s="306" t="inlineStr">
        <is>
          <t>فروردین</t>
        </is>
      </c>
      <c r="C602" s="306">
        <f>IF('دانش‌آموزان'!E54="","",'دانش‌آموزان'!B54)</f>
        <v/>
      </c>
      <c r="D602" s="306">
        <f>IF('دانش‌آموزان'!C54="","",'دانش‌آموزان'!C54)</f>
        <v/>
      </c>
      <c r="E602" s="306">
        <f>IF('دانش‌آموزان'!E54="","",'دانش‌آموزان'!E54&amp;" "&amp;'دانش‌آموزان'!F54)</f>
        <v/>
      </c>
      <c r="F602" s="306">
        <f>IF('دانش‌آموزان'!I54="","",'دانش‌آموزان'!I54)</f>
        <v/>
      </c>
      <c r="G602" s="307" t="n"/>
      <c r="H602" s="307" t="n"/>
      <c r="I602" s="307" t="n"/>
      <c r="J602" s="307" t="n"/>
      <c r="K602" s="313">
        <f>IF(COUNT(G602:J602)=0,"",AVERAGE(G602:J602)*4)</f>
        <v/>
      </c>
      <c r="L602" s="306">
        <f>IF(C602="","",IF(COUNT(G602:J602)=0,"",IF(COUNT(G602:J602)&lt;4,"موقت - اطلاعات ناقص",IF(K602&gt;=17,"عالی",IF(K602&gt;=14,"خوب",IF(K602&gt;=10,"متوسط","ضعیف"))))))</f>
        <v/>
      </c>
      <c r="M602" s="306" t="n">
        <v>10</v>
      </c>
      <c r="N602" s="314">
        <f>IF(C602="","",COUNT(G602:J602)/4)</f>
        <v/>
      </c>
      <c r="O602" s="307" t="n"/>
    </row>
    <row r="603" ht="24" customHeight="1">
      <c r="A603" s="306" t="n">
        <v>599</v>
      </c>
      <c r="B603" s="306" t="inlineStr">
        <is>
          <t>اردیبهشت</t>
        </is>
      </c>
      <c r="C603" s="306">
        <f>IF('دانش‌آموزان'!E54="","",'دانش‌آموزان'!B54)</f>
        <v/>
      </c>
      <c r="D603" s="306">
        <f>IF('دانش‌آموزان'!C54="","",'دانش‌آموزان'!C54)</f>
        <v/>
      </c>
      <c r="E603" s="306">
        <f>IF('دانش‌آموزان'!E54="","",'دانش‌آموزان'!E54&amp;" "&amp;'دانش‌آموزان'!F54)</f>
        <v/>
      </c>
      <c r="F603" s="306">
        <f>IF('دانش‌آموزان'!I54="","",'دانش‌آموزان'!I54)</f>
        <v/>
      </c>
      <c r="G603" s="307" t="n"/>
      <c r="H603" s="307" t="n"/>
      <c r="I603" s="307" t="n"/>
      <c r="J603" s="307" t="n"/>
      <c r="K603" s="313">
        <f>IF(COUNT(G603:J603)=0,"",AVERAGE(G603:J603)*4)</f>
        <v/>
      </c>
      <c r="L603" s="306">
        <f>IF(C603="","",IF(COUNT(G603:J603)=0,"",IF(COUNT(G603:J603)&lt;4,"موقت - اطلاعات ناقص",IF(K603&gt;=17,"عالی",IF(K603&gt;=14,"خوب",IF(K603&gt;=10,"متوسط","ضعیف"))))))</f>
        <v/>
      </c>
      <c r="M603" s="306" t="n">
        <v>11</v>
      </c>
      <c r="N603" s="314">
        <f>IF(C603="","",COUNT(G603:J603)/4)</f>
        <v/>
      </c>
      <c r="O603" s="307" t="n"/>
    </row>
    <row r="604" ht="24" customHeight="1">
      <c r="A604" s="306" t="n">
        <v>600</v>
      </c>
      <c r="B604" s="306" t="inlineStr">
        <is>
          <t>خرداد</t>
        </is>
      </c>
      <c r="C604" s="306">
        <f>IF('دانش‌آموزان'!E54="","",'دانش‌آموزان'!B54)</f>
        <v/>
      </c>
      <c r="D604" s="306">
        <f>IF('دانش‌آموزان'!C54="","",'دانش‌آموزان'!C54)</f>
        <v/>
      </c>
      <c r="E604" s="306">
        <f>IF('دانش‌آموزان'!E54="","",'دانش‌آموزان'!E54&amp;" "&amp;'دانش‌آموزان'!F54)</f>
        <v/>
      </c>
      <c r="F604" s="306">
        <f>IF('دانش‌آموزان'!I54="","",'دانش‌آموزان'!I54)</f>
        <v/>
      </c>
      <c r="G604" s="307" t="n"/>
      <c r="H604" s="307" t="n"/>
      <c r="I604" s="307" t="n"/>
      <c r="J604" s="307" t="n"/>
      <c r="K604" s="313">
        <f>IF(COUNT(G604:J604)=0,"",AVERAGE(G604:J604)*4)</f>
        <v/>
      </c>
      <c r="L604" s="306">
        <f>IF(C604="","",IF(COUNT(G604:J604)=0,"",IF(COUNT(G604:J604)&lt;4,"موقت - اطلاعات ناقص",IF(K604&gt;=17,"عالی",IF(K604&gt;=14,"خوب",IF(K604&gt;=10,"متوسط","ضعیف"))))))</f>
        <v/>
      </c>
      <c r="M604" s="306" t="n">
        <v>12</v>
      </c>
      <c r="N604" s="314">
        <f>IF(C604="","",COUNT(G604:J604)/4)</f>
        <v/>
      </c>
      <c r="O604" s="307" t="n"/>
    </row>
    <row r="605" ht="24" customHeight="1">
      <c r="A605" s="306" t="n">
        <v>601</v>
      </c>
      <c r="B605" s="306" t="inlineStr">
        <is>
          <t>تیر</t>
        </is>
      </c>
      <c r="C605" s="306">
        <f>IF('دانش‌آموزان'!E55="","",'دانش‌آموزان'!B55)</f>
        <v/>
      </c>
      <c r="D605" s="306">
        <f>IF('دانش‌آموزان'!C55="","",'دانش‌آموزان'!C55)</f>
        <v/>
      </c>
      <c r="E605" s="306">
        <f>IF('دانش‌آموزان'!E55="","",'دانش‌آموزان'!E55&amp;" "&amp;'دانش‌آموزان'!F55)</f>
        <v/>
      </c>
      <c r="F605" s="306">
        <f>IF('دانش‌آموزان'!I55="","",'دانش‌آموزان'!I55)</f>
        <v/>
      </c>
      <c r="G605" s="307" t="n"/>
      <c r="H605" s="307" t="n"/>
      <c r="I605" s="307" t="n"/>
      <c r="J605" s="307" t="n"/>
      <c r="K605" s="313">
        <f>IF(COUNT(G605:J605)=0,"",AVERAGE(G605:J605)*4)</f>
        <v/>
      </c>
      <c r="L605" s="306">
        <f>IF(C605="","",IF(COUNT(G605:J605)=0,"",IF(COUNT(G605:J605)&lt;4,"موقت - اطلاعات ناقص",IF(K605&gt;=17,"عالی",IF(K605&gt;=14,"خوب",IF(K605&gt;=10,"متوسط","ضعیف"))))))</f>
        <v/>
      </c>
      <c r="M605" s="306" t="n">
        <v>1</v>
      </c>
      <c r="N605" s="314">
        <f>IF(C605="","",COUNT(G605:J605)/4)</f>
        <v/>
      </c>
      <c r="O605" s="307" t="n"/>
    </row>
    <row r="606" ht="24" customHeight="1">
      <c r="A606" s="306" t="n">
        <v>602</v>
      </c>
      <c r="B606" s="306" t="inlineStr">
        <is>
          <t>مرداد</t>
        </is>
      </c>
      <c r="C606" s="306">
        <f>IF('دانش‌آموزان'!E55="","",'دانش‌آموزان'!B55)</f>
        <v/>
      </c>
      <c r="D606" s="306">
        <f>IF('دانش‌آموزان'!C55="","",'دانش‌آموزان'!C55)</f>
        <v/>
      </c>
      <c r="E606" s="306">
        <f>IF('دانش‌آموزان'!E55="","",'دانش‌آموزان'!E55&amp;" "&amp;'دانش‌آموزان'!F55)</f>
        <v/>
      </c>
      <c r="F606" s="306">
        <f>IF('دانش‌آموزان'!I55="","",'دانش‌آموزان'!I55)</f>
        <v/>
      </c>
      <c r="G606" s="307" t="n"/>
      <c r="H606" s="307" t="n"/>
      <c r="I606" s="307" t="n"/>
      <c r="J606" s="307" t="n"/>
      <c r="K606" s="313">
        <f>IF(COUNT(G606:J606)=0,"",AVERAGE(G606:J606)*4)</f>
        <v/>
      </c>
      <c r="L606" s="306">
        <f>IF(C606="","",IF(COUNT(G606:J606)=0,"",IF(COUNT(G606:J606)&lt;4,"موقت - اطلاعات ناقص",IF(K606&gt;=17,"عالی",IF(K606&gt;=14,"خوب",IF(K606&gt;=10,"متوسط","ضعیف"))))))</f>
        <v/>
      </c>
      <c r="M606" s="306" t="n">
        <v>2</v>
      </c>
      <c r="N606" s="314">
        <f>IF(C606="","",COUNT(G606:J606)/4)</f>
        <v/>
      </c>
      <c r="O606" s="307" t="n"/>
    </row>
    <row r="607" ht="24" customHeight="1">
      <c r="A607" s="306" t="n">
        <v>603</v>
      </c>
      <c r="B607" s="306" t="inlineStr">
        <is>
          <t>شهریور</t>
        </is>
      </c>
      <c r="C607" s="306">
        <f>IF('دانش‌آموزان'!E55="","",'دانش‌آموزان'!B55)</f>
        <v/>
      </c>
      <c r="D607" s="306">
        <f>IF('دانش‌آموزان'!C55="","",'دانش‌آموزان'!C55)</f>
        <v/>
      </c>
      <c r="E607" s="306">
        <f>IF('دانش‌آموزان'!E55="","",'دانش‌آموزان'!E55&amp;" "&amp;'دانش‌آموزان'!F55)</f>
        <v/>
      </c>
      <c r="F607" s="306">
        <f>IF('دانش‌آموزان'!I55="","",'دانش‌آموزان'!I55)</f>
        <v/>
      </c>
      <c r="G607" s="307" t="n"/>
      <c r="H607" s="307" t="n"/>
      <c r="I607" s="307" t="n"/>
      <c r="J607" s="307" t="n"/>
      <c r="K607" s="313">
        <f>IF(COUNT(G607:J607)=0,"",AVERAGE(G607:J607)*4)</f>
        <v/>
      </c>
      <c r="L607" s="306">
        <f>IF(C607="","",IF(COUNT(G607:J607)=0,"",IF(COUNT(G607:J607)&lt;4,"موقت - اطلاعات ناقص",IF(K607&gt;=17,"عالی",IF(K607&gt;=14,"خوب",IF(K607&gt;=10,"متوسط","ضعیف"))))))</f>
        <v/>
      </c>
      <c r="M607" s="306" t="n">
        <v>3</v>
      </c>
      <c r="N607" s="314">
        <f>IF(C607="","",COUNT(G607:J607)/4)</f>
        <v/>
      </c>
      <c r="O607" s="307" t="n"/>
    </row>
    <row r="608" ht="24" customHeight="1">
      <c r="A608" s="306" t="n">
        <v>604</v>
      </c>
      <c r="B608" s="306" t="inlineStr">
        <is>
          <t>مهر</t>
        </is>
      </c>
      <c r="C608" s="306">
        <f>IF('دانش‌آموزان'!E55="","",'دانش‌آموزان'!B55)</f>
        <v/>
      </c>
      <c r="D608" s="306">
        <f>IF('دانش‌آموزان'!C55="","",'دانش‌آموزان'!C55)</f>
        <v/>
      </c>
      <c r="E608" s="306">
        <f>IF('دانش‌آموزان'!E55="","",'دانش‌آموزان'!E55&amp;" "&amp;'دانش‌آموزان'!F55)</f>
        <v/>
      </c>
      <c r="F608" s="306">
        <f>IF('دانش‌آموزان'!I55="","",'دانش‌آموزان'!I55)</f>
        <v/>
      </c>
      <c r="G608" s="307" t="n"/>
      <c r="H608" s="307" t="n"/>
      <c r="I608" s="307" t="n"/>
      <c r="J608" s="307" t="n"/>
      <c r="K608" s="313">
        <f>IF(COUNT(G608:J608)=0,"",AVERAGE(G608:J608)*4)</f>
        <v/>
      </c>
      <c r="L608" s="306">
        <f>IF(C608="","",IF(COUNT(G608:J608)=0,"",IF(COUNT(G608:J608)&lt;4,"موقت - اطلاعات ناقص",IF(K608&gt;=17,"عالی",IF(K608&gt;=14,"خوب",IF(K608&gt;=10,"متوسط","ضعیف"))))))</f>
        <v/>
      </c>
      <c r="M608" s="306" t="n">
        <v>4</v>
      </c>
      <c r="N608" s="314">
        <f>IF(C608="","",COUNT(G608:J608)/4)</f>
        <v/>
      </c>
      <c r="O608" s="307" t="n"/>
    </row>
    <row r="609" ht="24" customHeight="1">
      <c r="A609" s="306" t="n">
        <v>605</v>
      </c>
      <c r="B609" s="306" t="inlineStr">
        <is>
          <t>آبان</t>
        </is>
      </c>
      <c r="C609" s="306">
        <f>IF('دانش‌آموزان'!E55="","",'دانش‌آموزان'!B55)</f>
        <v/>
      </c>
      <c r="D609" s="306">
        <f>IF('دانش‌آموزان'!C55="","",'دانش‌آموزان'!C55)</f>
        <v/>
      </c>
      <c r="E609" s="306">
        <f>IF('دانش‌آموزان'!E55="","",'دانش‌آموزان'!E55&amp;" "&amp;'دانش‌آموزان'!F55)</f>
        <v/>
      </c>
      <c r="F609" s="306">
        <f>IF('دانش‌آموزان'!I55="","",'دانش‌آموزان'!I55)</f>
        <v/>
      </c>
      <c r="G609" s="307" t="n"/>
      <c r="H609" s="307" t="n"/>
      <c r="I609" s="307" t="n"/>
      <c r="J609" s="307" t="n"/>
      <c r="K609" s="313">
        <f>IF(COUNT(G609:J609)=0,"",AVERAGE(G609:J609)*4)</f>
        <v/>
      </c>
      <c r="L609" s="306">
        <f>IF(C609="","",IF(COUNT(G609:J609)=0,"",IF(COUNT(G609:J609)&lt;4,"موقت - اطلاعات ناقص",IF(K609&gt;=17,"عالی",IF(K609&gt;=14,"خوب",IF(K609&gt;=10,"متوسط","ضعیف"))))))</f>
        <v/>
      </c>
      <c r="M609" s="306" t="n">
        <v>5</v>
      </c>
      <c r="N609" s="314">
        <f>IF(C609="","",COUNT(G609:J609)/4)</f>
        <v/>
      </c>
      <c r="O609" s="307" t="n"/>
    </row>
    <row r="610" ht="24" customHeight="1">
      <c r="A610" s="306" t="n">
        <v>606</v>
      </c>
      <c r="B610" s="306" t="inlineStr">
        <is>
          <t>آذر</t>
        </is>
      </c>
      <c r="C610" s="306">
        <f>IF('دانش‌آموزان'!E55="","",'دانش‌آموزان'!B55)</f>
        <v/>
      </c>
      <c r="D610" s="306">
        <f>IF('دانش‌آموزان'!C55="","",'دانش‌آموزان'!C55)</f>
        <v/>
      </c>
      <c r="E610" s="306">
        <f>IF('دانش‌آموزان'!E55="","",'دانش‌آموزان'!E55&amp;" "&amp;'دانش‌آموزان'!F55)</f>
        <v/>
      </c>
      <c r="F610" s="306">
        <f>IF('دانش‌آموزان'!I55="","",'دانش‌آموزان'!I55)</f>
        <v/>
      </c>
      <c r="G610" s="307" t="n"/>
      <c r="H610" s="307" t="n"/>
      <c r="I610" s="307" t="n"/>
      <c r="J610" s="307" t="n"/>
      <c r="K610" s="313">
        <f>IF(COUNT(G610:J610)=0,"",AVERAGE(G610:J610)*4)</f>
        <v/>
      </c>
      <c r="L610" s="306">
        <f>IF(C610="","",IF(COUNT(G610:J610)=0,"",IF(COUNT(G610:J610)&lt;4,"موقت - اطلاعات ناقص",IF(K610&gt;=17,"عالی",IF(K610&gt;=14,"خوب",IF(K610&gt;=10,"متوسط","ضعیف"))))))</f>
        <v/>
      </c>
      <c r="M610" s="306" t="n">
        <v>6</v>
      </c>
      <c r="N610" s="314">
        <f>IF(C610="","",COUNT(G610:J610)/4)</f>
        <v/>
      </c>
      <c r="O610" s="307" t="n"/>
    </row>
    <row r="611" ht="24" customHeight="1">
      <c r="A611" s="306" t="n">
        <v>607</v>
      </c>
      <c r="B611" s="306" t="inlineStr">
        <is>
          <t>دی</t>
        </is>
      </c>
      <c r="C611" s="306">
        <f>IF('دانش‌آموزان'!E55="","",'دانش‌آموزان'!B55)</f>
        <v/>
      </c>
      <c r="D611" s="306">
        <f>IF('دانش‌آموزان'!C55="","",'دانش‌آموزان'!C55)</f>
        <v/>
      </c>
      <c r="E611" s="306">
        <f>IF('دانش‌آموزان'!E55="","",'دانش‌آموزان'!E55&amp;" "&amp;'دانش‌آموزان'!F55)</f>
        <v/>
      </c>
      <c r="F611" s="306">
        <f>IF('دانش‌آموزان'!I55="","",'دانش‌آموزان'!I55)</f>
        <v/>
      </c>
      <c r="G611" s="307" t="n"/>
      <c r="H611" s="307" t="n"/>
      <c r="I611" s="307" t="n"/>
      <c r="J611" s="307" t="n"/>
      <c r="K611" s="313">
        <f>IF(COUNT(G611:J611)=0,"",AVERAGE(G611:J611)*4)</f>
        <v/>
      </c>
      <c r="L611" s="306">
        <f>IF(C611="","",IF(COUNT(G611:J611)=0,"",IF(COUNT(G611:J611)&lt;4,"موقت - اطلاعات ناقص",IF(K611&gt;=17,"عالی",IF(K611&gt;=14,"خوب",IF(K611&gt;=10,"متوسط","ضعیف"))))))</f>
        <v/>
      </c>
      <c r="M611" s="306" t="n">
        <v>7</v>
      </c>
      <c r="N611" s="314">
        <f>IF(C611="","",COUNT(G611:J611)/4)</f>
        <v/>
      </c>
      <c r="O611" s="307" t="n"/>
    </row>
    <row r="612" ht="24" customHeight="1">
      <c r="A612" s="306" t="n">
        <v>608</v>
      </c>
      <c r="B612" s="306" t="inlineStr">
        <is>
          <t>بهمن</t>
        </is>
      </c>
      <c r="C612" s="306">
        <f>IF('دانش‌آموزان'!E55="","",'دانش‌آموزان'!B55)</f>
        <v/>
      </c>
      <c r="D612" s="306">
        <f>IF('دانش‌آموزان'!C55="","",'دانش‌آموزان'!C55)</f>
        <v/>
      </c>
      <c r="E612" s="306">
        <f>IF('دانش‌آموزان'!E55="","",'دانش‌آموزان'!E55&amp;" "&amp;'دانش‌آموزان'!F55)</f>
        <v/>
      </c>
      <c r="F612" s="306">
        <f>IF('دانش‌آموزان'!I55="","",'دانش‌آموزان'!I55)</f>
        <v/>
      </c>
      <c r="G612" s="307" t="n"/>
      <c r="H612" s="307" t="n"/>
      <c r="I612" s="307" t="n"/>
      <c r="J612" s="307" t="n"/>
      <c r="K612" s="313">
        <f>IF(COUNT(G612:J612)=0,"",AVERAGE(G612:J612)*4)</f>
        <v/>
      </c>
      <c r="L612" s="306">
        <f>IF(C612="","",IF(COUNT(G612:J612)=0,"",IF(COUNT(G612:J612)&lt;4,"موقت - اطلاعات ناقص",IF(K612&gt;=17,"عالی",IF(K612&gt;=14,"خوب",IF(K612&gt;=10,"متوسط","ضعیف"))))))</f>
        <v/>
      </c>
      <c r="M612" s="306" t="n">
        <v>8</v>
      </c>
      <c r="N612" s="314">
        <f>IF(C612="","",COUNT(G612:J612)/4)</f>
        <v/>
      </c>
      <c r="O612" s="307" t="n"/>
    </row>
    <row r="613" ht="24" customHeight="1">
      <c r="A613" s="306" t="n">
        <v>609</v>
      </c>
      <c r="B613" s="306" t="inlineStr">
        <is>
          <t>اسفند</t>
        </is>
      </c>
      <c r="C613" s="306">
        <f>IF('دانش‌آموزان'!E55="","",'دانش‌آموزان'!B55)</f>
        <v/>
      </c>
      <c r="D613" s="306">
        <f>IF('دانش‌آموزان'!C55="","",'دانش‌آموزان'!C55)</f>
        <v/>
      </c>
      <c r="E613" s="306">
        <f>IF('دانش‌آموزان'!E55="","",'دانش‌آموزان'!E55&amp;" "&amp;'دانش‌آموزان'!F55)</f>
        <v/>
      </c>
      <c r="F613" s="306">
        <f>IF('دانش‌آموزان'!I55="","",'دانش‌آموزان'!I55)</f>
        <v/>
      </c>
      <c r="G613" s="307" t="n"/>
      <c r="H613" s="307" t="n"/>
      <c r="I613" s="307" t="n"/>
      <c r="J613" s="307" t="n"/>
      <c r="K613" s="313">
        <f>IF(COUNT(G613:J613)=0,"",AVERAGE(G613:J613)*4)</f>
        <v/>
      </c>
      <c r="L613" s="306">
        <f>IF(C613="","",IF(COUNT(G613:J613)=0,"",IF(COUNT(G613:J613)&lt;4,"موقت - اطلاعات ناقص",IF(K613&gt;=17,"عالی",IF(K613&gt;=14,"خوب",IF(K613&gt;=10,"متوسط","ضعیف"))))))</f>
        <v/>
      </c>
      <c r="M613" s="306" t="n">
        <v>9</v>
      </c>
      <c r="N613" s="314">
        <f>IF(C613="","",COUNT(G613:J613)/4)</f>
        <v/>
      </c>
      <c r="O613" s="307" t="n"/>
    </row>
    <row r="614" ht="24" customHeight="1">
      <c r="A614" s="306" t="n">
        <v>610</v>
      </c>
      <c r="B614" s="306" t="inlineStr">
        <is>
          <t>فروردین</t>
        </is>
      </c>
      <c r="C614" s="306">
        <f>IF('دانش‌آموزان'!E55="","",'دانش‌آموزان'!B55)</f>
        <v/>
      </c>
      <c r="D614" s="306">
        <f>IF('دانش‌آموزان'!C55="","",'دانش‌آموزان'!C55)</f>
        <v/>
      </c>
      <c r="E614" s="306">
        <f>IF('دانش‌آموزان'!E55="","",'دانش‌آموزان'!E55&amp;" "&amp;'دانش‌آموزان'!F55)</f>
        <v/>
      </c>
      <c r="F614" s="306">
        <f>IF('دانش‌آموزان'!I55="","",'دانش‌آموزان'!I55)</f>
        <v/>
      </c>
      <c r="G614" s="307" t="n"/>
      <c r="H614" s="307" t="n"/>
      <c r="I614" s="307" t="n"/>
      <c r="J614" s="307" t="n"/>
      <c r="K614" s="313">
        <f>IF(COUNT(G614:J614)=0,"",AVERAGE(G614:J614)*4)</f>
        <v/>
      </c>
      <c r="L614" s="306">
        <f>IF(C614="","",IF(COUNT(G614:J614)=0,"",IF(COUNT(G614:J614)&lt;4,"موقت - اطلاعات ناقص",IF(K614&gt;=17,"عالی",IF(K614&gt;=14,"خوب",IF(K614&gt;=10,"متوسط","ضعیف"))))))</f>
        <v/>
      </c>
      <c r="M614" s="306" t="n">
        <v>10</v>
      </c>
      <c r="N614" s="314">
        <f>IF(C614="","",COUNT(G614:J614)/4)</f>
        <v/>
      </c>
      <c r="O614" s="307" t="n"/>
    </row>
    <row r="615" ht="24" customHeight="1">
      <c r="A615" s="306" t="n">
        <v>611</v>
      </c>
      <c r="B615" s="306" t="inlineStr">
        <is>
          <t>اردیبهشت</t>
        </is>
      </c>
      <c r="C615" s="306">
        <f>IF('دانش‌آموزان'!E55="","",'دانش‌آموزان'!B55)</f>
        <v/>
      </c>
      <c r="D615" s="306">
        <f>IF('دانش‌آموزان'!C55="","",'دانش‌آموزان'!C55)</f>
        <v/>
      </c>
      <c r="E615" s="306">
        <f>IF('دانش‌آموزان'!E55="","",'دانش‌آموزان'!E55&amp;" "&amp;'دانش‌آموزان'!F55)</f>
        <v/>
      </c>
      <c r="F615" s="306">
        <f>IF('دانش‌آموزان'!I55="","",'دانش‌آموزان'!I55)</f>
        <v/>
      </c>
      <c r="G615" s="307" t="n"/>
      <c r="H615" s="307" t="n"/>
      <c r="I615" s="307" t="n"/>
      <c r="J615" s="307" t="n"/>
      <c r="K615" s="313">
        <f>IF(COUNT(G615:J615)=0,"",AVERAGE(G615:J615)*4)</f>
        <v/>
      </c>
      <c r="L615" s="306">
        <f>IF(C615="","",IF(COUNT(G615:J615)=0,"",IF(COUNT(G615:J615)&lt;4,"موقت - اطلاعات ناقص",IF(K615&gt;=17,"عالی",IF(K615&gt;=14,"خوب",IF(K615&gt;=10,"متوسط","ضعیف"))))))</f>
        <v/>
      </c>
      <c r="M615" s="306" t="n">
        <v>11</v>
      </c>
      <c r="N615" s="314">
        <f>IF(C615="","",COUNT(G615:J615)/4)</f>
        <v/>
      </c>
      <c r="O615" s="307" t="n"/>
    </row>
    <row r="616" ht="24" customHeight="1">
      <c r="A616" s="306" t="n">
        <v>612</v>
      </c>
      <c r="B616" s="306" t="inlineStr">
        <is>
          <t>خرداد</t>
        </is>
      </c>
      <c r="C616" s="306">
        <f>IF('دانش‌آموزان'!E55="","",'دانش‌آموزان'!B55)</f>
        <v/>
      </c>
      <c r="D616" s="306">
        <f>IF('دانش‌آموزان'!C55="","",'دانش‌آموزان'!C55)</f>
        <v/>
      </c>
      <c r="E616" s="306">
        <f>IF('دانش‌آموزان'!E55="","",'دانش‌آموزان'!E55&amp;" "&amp;'دانش‌آموزان'!F55)</f>
        <v/>
      </c>
      <c r="F616" s="306">
        <f>IF('دانش‌آموزان'!I55="","",'دانش‌آموزان'!I55)</f>
        <v/>
      </c>
      <c r="G616" s="307" t="n"/>
      <c r="H616" s="307" t="n"/>
      <c r="I616" s="307" t="n"/>
      <c r="J616" s="307" t="n"/>
      <c r="K616" s="313">
        <f>IF(COUNT(G616:J616)=0,"",AVERAGE(G616:J616)*4)</f>
        <v/>
      </c>
      <c r="L616" s="306">
        <f>IF(C616="","",IF(COUNT(G616:J616)=0,"",IF(COUNT(G616:J616)&lt;4,"موقت - اطلاعات ناقص",IF(K616&gt;=17,"عالی",IF(K616&gt;=14,"خوب",IF(K616&gt;=10,"متوسط","ضعیف"))))))</f>
        <v/>
      </c>
      <c r="M616" s="306" t="n">
        <v>12</v>
      </c>
      <c r="N616" s="314">
        <f>IF(C616="","",COUNT(G616:J616)/4)</f>
        <v/>
      </c>
      <c r="O616" s="307" t="n"/>
    </row>
    <row r="617" ht="24" customHeight="1">
      <c r="A617" s="306" t="n">
        <v>613</v>
      </c>
      <c r="B617" s="306" t="inlineStr">
        <is>
          <t>تیر</t>
        </is>
      </c>
      <c r="C617" s="306">
        <f>IF('دانش‌آموزان'!E56="","",'دانش‌آموزان'!B56)</f>
        <v/>
      </c>
      <c r="D617" s="306">
        <f>IF('دانش‌آموزان'!C56="","",'دانش‌آموزان'!C56)</f>
        <v/>
      </c>
      <c r="E617" s="306">
        <f>IF('دانش‌آموزان'!E56="","",'دانش‌آموزان'!E56&amp;" "&amp;'دانش‌آموزان'!F56)</f>
        <v/>
      </c>
      <c r="F617" s="306">
        <f>IF('دانش‌آموزان'!I56="","",'دانش‌آموزان'!I56)</f>
        <v/>
      </c>
      <c r="G617" s="307" t="n"/>
      <c r="H617" s="307" t="n"/>
      <c r="I617" s="307" t="n"/>
      <c r="J617" s="307" t="n"/>
      <c r="K617" s="313">
        <f>IF(COUNT(G617:J617)=0,"",AVERAGE(G617:J617)*4)</f>
        <v/>
      </c>
      <c r="L617" s="306">
        <f>IF(C617="","",IF(COUNT(G617:J617)=0,"",IF(COUNT(G617:J617)&lt;4,"موقت - اطلاعات ناقص",IF(K617&gt;=17,"عالی",IF(K617&gt;=14,"خوب",IF(K617&gt;=10,"متوسط","ضعیف"))))))</f>
        <v/>
      </c>
      <c r="M617" s="306" t="n">
        <v>1</v>
      </c>
      <c r="N617" s="314">
        <f>IF(C617="","",COUNT(G617:J617)/4)</f>
        <v/>
      </c>
      <c r="O617" s="307" t="n"/>
    </row>
    <row r="618" ht="24" customHeight="1">
      <c r="A618" s="306" t="n">
        <v>614</v>
      </c>
      <c r="B618" s="306" t="inlineStr">
        <is>
          <t>مرداد</t>
        </is>
      </c>
      <c r="C618" s="306">
        <f>IF('دانش‌آموزان'!E56="","",'دانش‌آموزان'!B56)</f>
        <v/>
      </c>
      <c r="D618" s="306">
        <f>IF('دانش‌آموزان'!C56="","",'دانش‌آموزان'!C56)</f>
        <v/>
      </c>
      <c r="E618" s="306">
        <f>IF('دانش‌آموزان'!E56="","",'دانش‌آموزان'!E56&amp;" "&amp;'دانش‌آموزان'!F56)</f>
        <v/>
      </c>
      <c r="F618" s="306">
        <f>IF('دانش‌آموزان'!I56="","",'دانش‌آموزان'!I56)</f>
        <v/>
      </c>
      <c r="G618" s="307" t="n"/>
      <c r="H618" s="307" t="n"/>
      <c r="I618" s="307" t="n"/>
      <c r="J618" s="307" t="n"/>
      <c r="K618" s="313">
        <f>IF(COUNT(G618:J618)=0,"",AVERAGE(G618:J618)*4)</f>
        <v/>
      </c>
      <c r="L618" s="306">
        <f>IF(C618="","",IF(COUNT(G618:J618)=0,"",IF(COUNT(G618:J618)&lt;4,"موقت - اطلاعات ناقص",IF(K618&gt;=17,"عالی",IF(K618&gt;=14,"خوب",IF(K618&gt;=10,"متوسط","ضعیف"))))))</f>
        <v/>
      </c>
      <c r="M618" s="306" t="n">
        <v>2</v>
      </c>
      <c r="N618" s="314">
        <f>IF(C618="","",COUNT(G618:J618)/4)</f>
        <v/>
      </c>
      <c r="O618" s="307" t="n"/>
    </row>
    <row r="619" ht="24" customHeight="1">
      <c r="A619" s="306" t="n">
        <v>615</v>
      </c>
      <c r="B619" s="306" t="inlineStr">
        <is>
          <t>شهریور</t>
        </is>
      </c>
      <c r="C619" s="306">
        <f>IF('دانش‌آموزان'!E56="","",'دانش‌آموزان'!B56)</f>
        <v/>
      </c>
      <c r="D619" s="306">
        <f>IF('دانش‌آموزان'!C56="","",'دانش‌آموزان'!C56)</f>
        <v/>
      </c>
      <c r="E619" s="306">
        <f>IF('دانش‌آموزان'!E56="","",'دانش‌آموزان'!E56&amp;" "&amp;'دانش‌آموزان'!F56)</f>
        <v/>
      </c>
      <c r="F619" s="306">
        <f>IF('دانش‌آموزان'!I56="","",'دانش‌آموزان'!I56)</f>
        <v/>
      </c>
      <c r="G619" s="307" t="n"/>
      <c r="H619" s="307" t="n"/>
      <c r="I619" s="307" t="n"/>
      <c r="J619" s="307" t="n"/>
      <c r="K619" s="313">
        <f>IF(COUNT(G619:J619)=0,"",AVERAGE(G619:J619)*4)</f>
        <v/>
      </c>
      <c r="L619" s="306">
        <f>IF(C619="","",IF(COUNT(G619:J619)=0,"",IF(COUNT(G619:J619)&lt;4,"موقت - اطلاعات ناقص",IF(K619&gt;=17,"عالی",IF(K619&gt;=14,"خوب",IF(K619&gt;=10,"متوسط","ضعیف"))))))</f>
        <v/>
      </c>
      <c r="M619" s="306" t="n">
        <v>3</v>
      </c>
      <c r="N619" s="314">
        <f>IF(C619="","",COUNT(G619:J619)/4)</f>
        <v/>
      </c>
      <c r="O619" s="307" t="n"/>
    </row>
    <row r="620" ht="24" customHeight="1">
      <c r="A620" s="306" t="n">
        <v>616</v>
      </c>
      <c r="B620" s="306" t="inlineStr">
        <is>
          <t>مهر</t>
        </is>
      </c>
      <c r="C620" s="306">
        <f>IF('دانش‌آموزان'!E56="","",'دانش‌آموزان'!B56)</f>
        <v/>
      </c>
      <c r="D620" s="306">
        <f>IF('دانش‌آموزان'!C56="","",'دانش‌آموزان'!C56)</f>
        <v/>
      </c>
      <c r="E620" s="306">
        <f>IF('دانش‌آموزان'!E56="","",'دانش‌آموزان'!E56&amp;" "&amp;'دانش‌آموزان'!F56)</f>
        <v/>
      </c>
      <c r="F620" s="306">
        <f>IF('دانش‌آموزان'!I56="","",'دانش‌آموزان'!I56)</f>
        <v/>
      </c>
      <c r="G620" s="307" t="n"/>
      <c r="H620" s="307" t="n"/>
      <c r="I620" s="307" t="n"/>
      <c r="J620" s="307" t="n"/>
      <c r="K620" s="313">
        <f>IF(COUNT(G620:J620)=0,"",AVERAGE(G620:J620)*4)</f>
        <v/>
      </c>
      <c r="L620" s="306">
        <f>IF(C620="","",IF(COUNT(G620:J620)=0,"",IF(COUNT(G620:J620)&lt;4,"موقت - اطلاعات ناقص",IF(K620&gt;=17,"عالی",IF(K620&gt;=14,"خوب",IF(K620&gt;=10,"متوسط","ضعیف"))))))</f>
        <v/>
      </c>
      <c r="M620" s="306" t="n">
        <v>4</v>
      </c>
      <c r="N620" s="314">
        <f>IF(C620="","",COUNT(G620:J620)/4)</f>
        <v/>
      </c>
      <c r="O620" s="307" t="n"/>
    </row>
    <row r="621" ht="24" customHeight="1">
      <c r="A621" s="306" t="n">
        <v>617</v>
      </c>
      <c r="B621" s="306" t="inlineStr">
        <is>
          <t>آبان</t>
        </is>
      </c>
      <c r="C621" s="306">
        <f>IF('دانش‌آموزان'!E56="","",'دانش‌آموزان'!B56)</f>
        <v/>
      </c>
      <c r="D621" s="306">
        <f>IF('دانش‌آموزان'!C56="","",'دانش‌آموزان'!C56)</f>
        <v/>
      </c>
      <c r="E621" s="306">
        <f>IF('دانش‌آموزان'!E56="","",'دانش‌آموزان'!E56&amp;" "&amp;'دانش‌آموزان'!F56)</f>
        <v/>
      </c>
      <c r="F621" s="306">
        <f>IF('دانش‌آموزان'!I56="","",'دانش‌آموزان'!I56)</f>
        <v/>
      </c>
      <c r="G621" s="307" t="n"/>
      <c r="H621" s="307" t="n"/>
      <c r="I621" s="307" t="n"/>
      <c r="J621" s="307" t="n"/>
      <c r="K621" s="313">
        <f>IF(COUNT(G621:J621)=0,"",AVERAGE(G621:J621)*4)</f>
        <v/>
      </c>
      <c r="L621" s="306">
        <f>IF(C621="","",IF(COUNT(G621:J621)=0,"",IF(COUNT(G621:J621)&lt;4,"موقت - اطلاعات ناقص",IF(K621&gt;=17,"عالی",IF(K621&gt;=14,"خوب",IF(K621&gt;=10,"متوسط","ضعیف"))))))</f>
        <v/>
      </c>
      <c r="M621" s="306" t="n">
        <v>5</v>
      </c>
      <c r="N621" s="314">
        <f>IF(C621="","",COUNT(G621:J621)/4)</f>
        <v/>
      </c>
      <c r="O621" s="307" t="n"/>
    </row>
    <row r="622" ht="24" customHeight="1">
      <c r="A622" s="306" t="n">
        <v>618</v>
      </c>
      <c r="B622" s="306" t="inlineStr">
        <is>
          <t>آذر</t>
        </is>
      </c>
      <c r="C622" s="306">
        <f>IF('دانش‌آموزان'!E56="","",'دانش‌آموزان'!B56)</f>
        <v/>
      </c>
      <c r="D622" s="306">
        <f>IF('دانش‌آموزان'!C56="","",'دانش‌آموزان'!C56)</f>
        <v/>
      </c>
      <c r="E622" s="306">
        <f>IF('دانش‌آموزان'!E56="","",'دانش‌آموزان'!E56&amp;" "&amp;'دانش‌آموزان'!F56)</f>
        <v/>
      </c>
      <c r="F622" s="306">
        <f>IF('دانش‌آموزان'!I56="","",'دانش‌آموزان'!I56)</f>
        <v/>
      </c>
      <c r="G622" s="307" t="n"/>
      <c r="H622" s="307" t="n"/>
      <c r="I622" s="307" t="n"/>
      <c r="J622" s="307" t="n"/>
      <c r="K622" s="313">
        <f>IF(COUNT(G622:J622)=0,"",AVERAGE(G622:J622)*4)</f>
        <v/>
      </c>
      <c r="L622" s="306">
        <f>IF(C622="","",IF(COUNT(G622:J622)=0,"",IF(COUNT(G622:J622)&lt;4,"موقت - اطلاعات ناقص",IF(K622&gt;=17,"عالی",IF(K622&gt;=14,"خوب",IF(K622&gt;=10,"متوسط","ضعیف"))))))</f>
        <v/>
      </c>
      <c r="M622" s="306" t="n">
        <v>6</v>
      </c>
      <c r="N622" s="314">
        <f>IF(C622="","",COUNT(G622:J622)/4)</f>
        <v/>
      </c>
      <c r="O622" s="307" t="n"/>
    </row>
    <row r="623" ht="24" customHeight="1">
      <c r="A623" s="306" t="n">
        <v>619</v>
      </c>
      <c r="B623" s="306" t="inlineStr">
        <is>
          <t>دی</t>
        </is>
      </c>
      <c r="C623" s="306">
        <f>IF('دانش‌آموزان'!E56="","",'دانش‌آموزان'!B56)</f>
        <v/>
      </c>
      <c r="D623" s="306">
        <f>IF('دانش‌آموزان'!C56="","",'دانش‌آموزان'!C56)</f>
        <v/>
      </c>
      <c r="E623" s="306">
        <f>IF('دانش‌آموزان'!E56="","",'دانش‌آموزان'!E56&amp;" "&amp;'دانش‌آموزان'!F56)</f>
        <v/>
      </c>
      <c r="F623" s="306">
        <f>IF('دانش‌آموزان'!I56="","",'دانش‌آموزان'!I56)</f>
        <v/>
      </c>
      <c r="G623" s="307" t="n"/>
      <c r="H623" s="307" t="n"/>
      <c r="I623" s="307" t="n"/>
      <c r="J623" s="307" t="n"/>
      <c r="K623" s="313">
        <f>IF(COUNT(G623:J623)=0,"",AVERAGE(G623:J623)*4)</f>
        <v/>
      </c>
      <c r="L623" s="306">
        <f>IF(C623="","",IF(COUNT(G623:J623)=0,"",IF(COUNT(G623:J623)&lt;4,"موقت - اطلاعات ناقص",IF(K623&gt;=17,"عالی",IF(K623&gt;=14,"خوب",IF(K623&gt;=10,"متوسط","ضعیف"))))))</f>
        <v/>
      </c>
      <c r="M623" s="306" t="n">
        <v>7</v>
      </c>
      <c r="N623" s="314">
        <f>IF(C623="","",COUNT(G623:J623)/4)</f>
        <v/>
      </c>
      <c r="O623" s="307" t="n"/>
    </row>
    <row r="624" ht="24" customHeight="1">
      <c r="A624" s="306" t="n">
        <v>620</v>
      </c>
      <c r="B624" s="306" t="inlineStr">
        <is>
          <t>بهمن</t>
        </is>
      </c>
      <c r="C624" s="306">
        <f>IF('دانش‌آموزان'!E56="","",'دانش‌آموزان'!B56)</f>
        <v/>
      </c>
      <c r="D624" s="306">
        <f>IF('دانش‌آموزان'!C56="","",'دانش‌آموزان'!C56)</f>
        <v/>
      </c>
      <c r="E624" s="306">
        <f>IF('دانش‌آموزان'!E56="","",'دانش‌آموزان'!E56&amp;" "&amp;'دانش‌آموزان'!F56)</f>
        <v/>
      </c>
      <c r="F624" s="306">
        <f>IF('دانش‌آموزان'!I56="","",'دانش‌آموزان'!I56)</f>
        <v/>
      </c>
      <c r="G624" s="307" t="n"/>
      <c r="H624" s="307" t="n"/>
      <c r="I624" s="307" t="n"/>
      <c r="J624" s="307" t="n"/>
      <c r="K624" s="313">
        <f>IF(COUNT(G624:J624)=0,"",AVERAGE(G624:J624)*4)</f>
        <v/>
      </c>
      <c r="L624" s="306">
        <f>IF(C624="","",IF(COUNT(G624:J624)=0,"",IF(COUNT(G624:J624)&lt;4,"موقت - اطلاعات ناقص",IF(K624&gt;=17,"عالی",IF(K624&gt;=14,"خوب",IF(K624&gt;=10,"متوسط","ضعیف"))))))</f>
        <v/>
      </c>
      <c r="M624" s="306" t="n">
        <v>8</v>
      </c>
      <c r="N624" s="314">
        <f>IF(C624="","",COUNT(G624:J624)/4)</f>
        <v/>
      </c>
      <c r="O624" s="307" t="n"/>
    </row>
    <row r="625" ht="24" customHeight="1">
      <c r="A625" s="306" t="n">
        <v>621</v>
      </c>
      <c r="B625" s="306" t="inlineStr">
        <is>
          <t>اسفند</t>
        </is>
      </c>
      <c r="C625" s="306">
        <f>IF('دانش‌آموزان'!E56="","",'دانش‌آموزان'!B56)</f>
        <v/>
      </c>
      <c r="D625" s="306">
        <f>IF('دانش‌آموزان'!C56="","",'دانش‌آموزان'!C56)</f>
        <v/>
      </c>
      <c r="E625" s="306">
        <f>IF('دانش‌آموزان'!E56="","",'دانش‌آموزان'!E56&amp;" "&amp;'دانش‌آموزان'!F56)</f>
        <v/>
      </c>
      <c r="F625" s="306">
        <f>IF('دانش‌آموزان'!I56="","",'دانش‌آموزان'!I56)</f>
        <v/>
      </c>
      <c r="G625" s="307" t="n"/>
      <c r="H625" s="307" t="n"/>
      <c r="I625" s="307" t="n"/>
      <c r="J625" s="307" t="n"/>
      <c r="K625" s="313">
        <f>IF(COUNT(G625:J625)=0,"",AVERAGE(G625:J625)*4)</f>
        <v/>
      </c>
      <c r="L625" s="306">
        <f>IF(C625="","",IF(COUNT(G625:J625)=0,"",IF(COUNT(G625:J625)&lt;4,"موقت - اطلاعات ناقص",IF(K625&gt;=17,"عالی",IF(K625&gt;=14,"خوب",IF(K625&gt;=10,"متوسط","ضعیف"))))))</f>
        <v/>
      </c>
      <c r="M625" s="306" t="n">
        <v>9</v>
      </c>
      <c r="N625" s="314">
        <f>IF(C625="","",COUNT(G625:J625)/4)</f>
        <v/>
      </c>
      <c r="O625" s="307" t="n"/>
    </row>
    <row r="626" ht="24" customHeight="1">
      <c r="A626" s="306" t="n">
        <v>622</v>
      </c>
      <c r="B626" s="306" t="inlineStr">
        <is>
          <t>فروردین</t>
        </is>
      </c>
      <c r="C626" s="306">
        <f>IF('دانش‌آموزان'!E56="","",'دانش‌آموزان'!B56)</f>
        <v/>
      </c>
      <c r="D626" s="306">
        <f>IF('دانش‌آموزان'!C56="","",'دانش‌آموزان'!C56)</f>
        <v/>
      </c>
      <c r="E626" s="306">
        <f>IF('دانش‌آموزان'!E56="","",'دانش‌آموزان'!E56&amp;" "&amp;'دانش‌آموزان'!F56)</f>
        <v/>
      </c>
      <c r="F626" s="306">
        <f>IF('دانش‌آموزان'!I56="","",'دانش‌آموزان'!I56)</f>
        <v/>
      </c>
      <c r="G626" s="307" t="n"/>
      <c r="H626" s="307" t="n"/>
      <c r="I626" s="307" t="n"/>
      <c r="J626" s="307" t="n"/>
      <c r="K626" s="313">
        <f>IF(COUNT(G626:J626)=0,"",AVERAGE(G626:J626)*4)</f>
        <v/>
      </c>
      <c r="L626" s="306">
        <f>IF(C626="","",IF(COUNT(G626:J626)=0,"",IF(COUNT(G626:J626)&lt;4,"موقت - اطلاعات ناقص",IF(K626&gt;=17,"عالی",IF(K626&gt;=14,"خوب",IF(K626&gt;=10,"متوسط","ضعیف"))))))</f>
        <v/>
      </c>
      <c r="M626" s="306" t="n">
        <v>10</v>
      </c>
      <c r="N626" s="314">
        <f>IF(C626="","",COUNT(G626:J626)/4)</f>
        <v/>
      </c>
      <c r="O626" s="307" t="n"/>
    </row>
    <row r="627" ht="24" customHeight="1">
      <c r="A627" s="306" t="n">
        <v>623</v>
      </c>
      <c r="B627" s="306" t="inlineStr">
        <is>
          <t>اردیبهشت</t>
        </is>
      </c>
      <c r="C627" s="306">
        <f>IF('دانش‌آموزان'!E56="","",'دانش‌آموزان'!B56)</f>
        <v/>
      </c>
      <c r="D627" s="306">
        <f>IF('دانش‌آموزان'!C56="","",'دانش‌آموزان'!C56)</f>
        <v/>
      </c>
      <c r="E627" s="306">
        <f>IF('دانش‌آموزان'!E56="","",'دانش‌آموزان'!E56&amp;" "&amp;'دانش‌آموزان'!F56)</f>
        <v/>
      </c>
      <c r="F627" s="306">
        <f>IF('دانش‌آموزان'!I56="","",'دانش‌آموزان'!I56)</f>
        <v/>
      </c>
      <c r="G627" s="307" t="n"/>
      <c r="H627" s="307" t="n"/>
      <c r="I627" s="307" t="n"/>
      <c r="J627" s="307" t="n"/>
      <c r="K627" s="313">
        <f>IF(COUNT(G627:J627)=0,"",AVERAGE(G627:J627)*4)</f>
        <v/>
      </c>
      <c r="L627" s="306">
        <f>IF(C627="","",IF(COUNT(G627:J627)=0,"",IF(COUNT(G627:J627)&lt;4,"موقت - اطلاعات ناقص",IF(K627&gt;=17,"عالی",IF(K627&gt;=14,"خوب",IF(K627&gt;=10,"متوسط","ضعیف"))))))</f>
        <v/>
      </c>
      <c r="M627" s="306" t="n">
        <v>11</v>
      </c>
      <c r="N627" s="314">
        <f>IF(C627="","",COUNT(G627:J627)/4)</f>
        <v/>
      </c>
      <c r="O627" s="307" t="n"/>
    </row>
    <row r="628" ht="24" customHeight="1">
      <c r="A628" s="306" t="n">
        <v>624</v>
      </c>
      <c r="B628" s="306" t="inlineStr">
        <is>
          <t>خرداد</t>
        </is>
      </c>
      <c r="C628" s="306">
        <f>IF('دانش‌آموزان'!E56="","",'دانش‌آموزان'!B56)</f>
        <v/>
      </c>
      <c r="D628" s="306">
        <f>IF('دانش‌آموزان'!C56="","",'دانش‌آموزان'!C56)</f>
        <v/>
      </c>
      <c r="E628" s="306">
        <f>IF('دانش‌آموزان'!E56="","",'دانش‌آموزان'!E56&amp;" "&amp;'دانش‌آموزان'!F56)</f>
        <v/>
      </c>
      <c r="F628" s="306">
        <f>IF('دانش‌آموزان'!I56="","",'دانش‌آموزان'!I56)</f>
        <v/>
      </c>
      <c r="G628" s="307" t="n"/>
      <c r="H628" s="307" t="n"/>
      <c r="I628" s="307" t="n"/>
      <c r="J628" s="307" t="n"/>
      <c r="K628" s="313">
        <f>IF(COUNT(G628:J628)=0,"",AVERAGE(G628:J628)*4)</f>
        <v/>
      </c>
      <c r="L628" s="306">
        <f>IF(C628="","",IF(COUNT(G628:J628)=0,"",IF(COUNT(G628:J628)&lt;4,"موقت - اطلاعات ناقص",IF(K628&gt;=17,"عالی",IF(K628&gt;=14,"خوب",IF(K628&gt;=10,"متوسط","ضعیف"))))))</f>
        <v/>
      </c>
      <c r="M628" s="306" t="n">
        <v>12</v>
      </c>
      <c r="N628" s="314">
        <f>IF(C628="","",COUNT(G628:J628)/4)</f>
        <v/>
      </c>
      <c r="O628" s="307" t="n"/>
    </row>
    <row r="629" ht="24" customHeight="1">
      <c r="A629" s="306" t="n">
        <v>625</v>
      </c>
      <c r="B629" s="306" t="inlineStr">
        <is>
          <t>تیر</t>
        </is>
      </c>
      <c r="C629" s="306">
        <f>IF('دانش‌آموزان'!E57="","",'دانش‌آموزان'!B57)</f>
        <v/>
      </c>
      <c r="D629" s="306">
        <f>IF('دانش‌آموزان'!C57="","",'دانش‌آموزان'!C57)</f>
        <v/>
      </c>
      <c r="E629" s="306">
        <f>IF('دانش‌آموزان'!E57="","",'دانش‌آموزان'!E57&amp;" "&amp;'دانش‌آموزان'!F57)</f>
        <v/>
      </c>
      <c r="F629" s="306">
        <f>IF('دانش‌آموزان'!I57="","",'دانش‌آموزان'!I57)</f>
        <v/>
      </c>
      <c r="G629" s="307" t="n"/>
      <c r="H629" s="307" t="n"/>
      <c r="I629" s="307" t="n"/>
      <c r="J629" s="307" t="n"/>
      <c r="K629" s="313">
        <f>IF(COUNT(G629:J629)=0,"",AVERAGE(G629:J629)*4)</f>
        <v/>
      </c>
      <c r="L629" s="306">
        <f>IF(C629="","",IF(COUNT(G629:J629)=0,"",IF(COUNT(G629:J629)&lt;4,"موقت - اطلاعات ناقص",IF(K629&gt;=17,"عالی",IF(K629&gt;=14,"خوب",IF(K629&gt;=10,"متوسط","ضعیف"))))))</f>
        <v/>
      </c>
      <c r="M629" s="306" t="n">
        <v>1</v>
      </c>
      <c r="N629" s="314">
        <f>IF(C629="","",COUNT(G629:J629)/4)</f>
        <v/>
      </c>
      <c r="O629" s="307" t="n"/>
    </row>
    <row r="630" ht="24" customHeight="1">
      <c r="A630" s="306" t="n">
        <v>626</v>
      </c>
      <c r="B630" s="306" t="inlineStr">
        <is>
          <t>مرداد</t>
        </is>
      </c>
      <c r="C630" s="306">
        <f>IF('دانش‌آموزان'!E57="","",'دانش‌آموزان'!B57)</f>
        <v/>
      </c>
      <c r="D630" s="306">
        <f>IF('دانش‌آموزان'!C57="","",'دانش‌آموزان'!C57)</f>
        <v/>
      </c>
      <c r="E630" s="306">
        <f>IF('دانش‌آموزان'!E57="","",'دانش‌آموزان'!E57&amp;" "&amp;'دانش‌آموزان'!F57)</f>
        <v/>
      </c>
      <c r="F630" s="306">
        <f>IF('دانش‌آموزان'!I57="","",'دانش‌آموزان'!I57)</f>
        <v/>
      </c>
      <c r="G630" s="307" t="n"/>
      <c r="H630" s="307" t="n"/>
      <c r="I630" s="307" t="n"/>
      <c r="J630" s="307" t="n"/>
      <c r="K630" s="313">
        <f>IF(COUNT(G630:J630)=0,"",AVERAGE(G630:J630)*4)</f>
        <v/>
      </c>
      <c r="L630" s="306">
        <f>IF(C630="","",IF(COUNT(G630:J630)=0,"",IF(COUNT(G630:J630)&lt;4,"موقت - اطلاعات ناقص",IF(K630&gt;=17,"عالی",IF(K630&gt;=14,"خوب",IF(K630&gt;=10,"متوسط","ضعیف"))))))</f>
        <v/>
      </c>
      <c r="M630" s="306" t="n">
        <v>2</v>
      </c>
      <c r="N630" s="314">
        <f>IF(C630="","",COUNT(G630:J630)/4)</f>
        <v/>
      </c>
      <c r="O630" s="307" t="n"/>
    </row>
    <row r="631" ht="24" customHeight="1">
      <c r="A631" s="306" t="n">
        <v>627</v>
      </c>
      <c r="B631" s="306" t="inlineStr">
        <is>
          <t>شهریور</t>
        </is>
      </c>
      <c r="C631" s="306">
        <f>IF('دانش‌آموزان'!E57="","",'دانش‌آموزان'!B57)</f>
        <v/>
      </c>
      <c r="D631" s="306">
        <f>IF('دانش‌آموزان'!C57="","",'دانش‌آموزان'!C57)</f>
        <v/>
      </c>
      <c r="E631" s="306">
        <f>IF('دانش‌آموزان'!E57="","",'دانش‌آموزان'!E57&amp;" "&amp;'دانش‌آموزان'!F57)</f>
        <v/>
      </c>
      <c r="F631" s="306">
        <f>IF('دانش‌آموزان'!I57="","",'دانش‌آموزان'!I57)</f>
        <v/>
      </c>
      <c r="G631" s="307" t="n"/>
      <c r="H631" s="307" t="n"/>
      <c r="I631" s="307" t="n"/>
      <c r="J631" s="307" t="n"/>
      <c r="K631" s="313">
        <f>IF(COUNT(G631:J631)=0,"",AVERAGE(G631:J631)*4)</f>
        <v/>
      </c>
      <c r="L631" s="306">
        <f>IF(C631="","",IF(COUNT(G631:J631)=0,"",IF(COUNT(G631:J631)&lt;4,"موقت - اطلاعات ناقص",IF(K631&gt;=17,"عالی",IF(K631&gt;=14,"خوب",IF(K631&gt;=10,"متوسط","ضعیف"))))))</f>
        <v/>
      </c>
      <c r="M631" s="306" t="n">
        <v>3</v>
      </c>
      <c r="N631" s="314">
        <f>IF(C631="","",COUNT(G631:J631)/4)</f>
        <v/>
      </c>
      <c r="O631" s="307" t="n"/>
    </row>
    <row r="632" ht="24" customHeight="1">
      <c r="A632" s="306" t="n">
        <v>628</v>
      </c>
      <c r="B632" s="306" t="inlineStr">
        <is>
          <t>مهر</t>
        </is>
      </c>
      <c r="C632" s="306">
        <f>IF('دانش‌آموزان'!E57="","",'دانش‌آموزان'!B57)</f>
        <v/>
      </c>
      <c r="D632" s="306">
        <f>IF('دانش‌آموزان'!C57="","",'دانش‌آموزان'!C57)</f>
        <v/>
      </c>
      <c r="E632" s="306">
        <f>IF('دانش‌آموزان'!E57="","",'دانش‌آموزان'!E57&amp;" "&amp;'دانش‌آموزان'!F57)</f>
        <v/>
      </c>
      <c r="F632" s="306">
        <f>IF('دانش‌آموزان'!I57="","",'دانش‌آموزان'!I57)</f>
        <v/>
      </c>
      <c r="G632" s="307" t="n"/>
      <c r="H632" s="307" t="n"/>
      <c r="I632" s="307" t="n"/>
      <c r="J632" s="307" t="n"/>
      <c r="K632" s="313">
        <f>IF(COUNT(G632:J632)=0,"",AVERAGE(G632:J632)*4)</f>
        <v/>
      </c>
      <c r="L632" s="306">
        <f>IF(C632="","",IF(COUNT(G632:J632)=0,"",IF(COUNT(G632:J632)&lt;4,"موقت - اطلاعات ناقص",IF(K632&gt;=17,"عالی",IF(K632&gt;=14,"خوب",IF(K632&gt;=10,"متوسط","ضعیف"))))))</f>
        <v/>
      </c>
      <c r="M632" s="306" t="n">
        <v>4</v>
      </c>
      <c r="N632" s="314">
        <f>IF(C632="","",COUNT(G632:J632)/4)</f>
        <v/>
      </c>
      <c r="O632" s="307" t="n"/>
    </row>
    <row r="633" ht="24" customHeight="1">
      <c r="A633" s="306" t="n">
        <v>629</v>
      </c>
      <c r="B633" s="306" t="inlineStr">
        <is>
          <t>آبان</t>
        </is>
      </c>
      <c r="C633" s="306">
        <f>IF('دانش‌آموزان'!E57="","",'دانش‌آموزان'!B57)</f>
        <v/>
      </c>
      <c r="D633" s="306">
        <f>IF('دانش‌آموزان'!C57="","",'دانش‌آموزان'!C57)</f>
        <v/>
      </c>
      <c r="E633" s="306">
        <f>IF('دانش‌آموزان'!E57="","",'دانش‌آموزان'!E57&amp;" "&amp;'دانش‌آموزان'!F57)</f>
        <v/>
      </c>
      <c r="F633" s="306">
        <f>IF('دانش‌آموزان'!I57="","",'دانش‌آموزان'!I57)</f>
        <v/>
      </c>
      <c r="G633" s="307" t="n"/>
      <c r="H633" s="307" t="n"/>
      <c r="I633" s="307" t="n"/>
      <c r="J633" s="307" t="n"/>
      <c r="K633" s="313">
        <f>IF(COUNT(G633:J633)=0,"",AVERAGE(G633:J633)*4)</f>
        <v/>
      </c>
      <c r="L633" s="306">
        <f>IF(C633="","",IF(COUNT(G633:J633)=0,"",IF(COUNT(G633:J633)&lt;4,"موقت - اطلاعات ناقص",IF(K633&gt;=17,"عالی",IF(K633&gt;=14,"خوب",IF(K633&gt;=10,"متوسط","ضعیف"))))))</f>
        <v/>
      </c>
      <c r="M633" s="306" t="n">
        <v>5</v>
      </c>
      <c r="N633" s="314">
        <f>IF(C633="","",COUNT(G633:J633)/4)</f>
        <v/>
      </c>
      <c r="O633" s="307" t="n"/>
    </row>
    <row r="634" ht="24" customHeight="1">
      <c r="A634" s="306" t="n">
        <v>630</v>
      </c>
      <c r="B634" s="306" t="inlineStr">
        <is>
          <t>آذر</t>
        </is>
      </c>
      <c r="C634" s="306">
        <f>IF('دانش‌آموزان'!E57="","",'دانش‌آموزان'!B57)</f>
        <v/>
      </c>
      <c r="D634" s="306">
        <f>IF('دانش‌آموزان'!C57="","",'دانش‌آموزان'!C57)</f>
        <v/>
      </c>
      <c r="E634" s="306">
        <f>IF('دانش‌آموزان'!E57="","",'دانش‌آموزان'!E57&amp;" "&amp;'دانش‌آموزان'!F57)</f>
        <v/>
      </c>
      <c r="F634" s="306">
        <f>IF('دانش‌آموزان'!I57="","",'دانش‌آموزان'!I57)</f>
        <v/>
      </c>
      <c r="G634" s="307" t="n"/>
      <c r="H634" s="307" t="n"/>
      <c r="I634" s="307" t="n"/>
      <c r="J634" s="307" t="n"/>
      <c r="K634" s="313">
        <f>IF(COUNT(G634:J634)=0,"",AVERAGE(G634:J634)*4)</f>
        <v/>
      </c>
      <c r="L634" s="306">
        <f>IF(C634="","",IF(COUNT(G634:J634)=0,"",IF(COUNT(G634:J634)&lt;4,"موقت - اطلاعات ناقص",IF(K634&gt;=17,"عالی",IF(K634&gt;=14,"خوب",IF(K634&gt;=10,"متوسط","ضعیف"))))))</f>
        <v/>
      </c>
      <c r="M634" s="306" t="n">
        <v>6</v>
      </c>
      <c r="N634" s="314">
        <f>IF(C634="","",COUNT(G634:J634)/4)</f>
        <v/>
      </c>
      <c r="O634" s="307" t="n"/>
    </row>
    <row r="635" ht="24" customHeight="1">
      <c r="A635" s="306" t="n">
        <v>631</v>
      </c>
      <c r="B635" s="306" t="inlineStr">
        <is>
          <t>دی</t>
        </is>
      </c>
      <c r="C635" s="306">
        <f>IF('دانش‌آموزان'!E57="","",'دانش‌آموزان'!B57)</f>
        <v/>
      </c>
      <c r="D635" s="306">
        <f>IF('دانش‌آموزان'!C57="","",'دانش‌آموزان'!C57)</f>
        <v/>
      </c>
      <c r="E635" s="306">
        <f>IF('دانش‌آموزان'!E57="","",'دانش‌آموزان'!E57&amp;" "&amp;'دانش‌آموزان'!F57)</f>
        <v/>
      </c>
      <c r="F635" s="306">
        <f>IF('دانش‌آموزان'!I57="","",'دانش‌آموزان'!I57)</f>
        <v/>
      </c>
      <c r="G635" s="307" t="n"/>
      <c r="H635" s="307" t="n"/>
      <c r="I635" s="307" t="n"/>
      <c r="J635" s="307" t="n"/>
      <c r="K635" s="313">
        <f>IF(COUNT(G635:J635)=0,"",AVERAGE(G635:J635)*4)</f>
        <v/>
      </c>
      <c r="L635" s="306">
        <f>IF(C635="","",IF(COUNT(G635:J635)=0,"",IF(COUNT(G635:J635)&lt;4,"موقت - اطلاعات ناقص",IF(K635&gt;=17,"عالی",IF(K635&gt;=14,"خوب",IF(K635&gt;=10,"متوسط","ضعیف"))))))</f>
        <v/>
      </c>
      <c r="M635" s="306" t="n">
        <v>7</v>
      </c>
      <c r="N635" s="314">
        <f>IF(C635="","",COUNT(G635:J635)/4)</f>
        <v/>
      </c>
      <c r="O635" s="307" t="n"/>
    </row>
    <row r="636" ht="24" customHeight="1">
      <c r="A636" s="306" t="n">
        <v>632</v>
      </c>
      <c r="B636" s="306" t="inlineStr">
        <is>
          <t>بهمن</t>
        </is>
      </c>
      <c r="C636" s="306">
        <f>IF('دانش‌آموزان'!E57="","",'دانش‌آموزان'!B57)</f>
        <v/>
      </c>
      <c r="D636" s="306">
        <f>IF('دانش‌آموزان'!C57="","",'دانش‌آموزان'!C57)</f>
        <v/>
      </c>
      <c r="E636" s="306">
        <f>IF('دانش‌آموزان'!E57="","",'دانش‌آموزان'!E57&amp;" "&amp;'دانش‌آموزان'!F57)</f>
        <v/>
      </c>
      <c r="F636" s="306">
        <f>IF('دانش‌آموزان'!I57="","",'دانش‌آموزان'!I57)</f>
        <v/>
      </c>
      <c r="G636" s="307" t="n"/>
      <c r="H636" s="307" t="n"/>
      <c r="I636" s="307" t="n"/>
      <c r="J636" s="307" t="n"/>
      <c r="K636" s="313">
        <f>IF(COUNT(G636:J636)=0,"",AVERAGE(G636:J636)*4)</f>
        <v/>
      </c>
      <c r="L636" s="306">
        <f>IF(C636="","",IF(COUNT(G636:J636)=0,"",IF(COUNT(G636:J636)&lt;4,"موقت - اطلاعات ناقص",IF(K636&gt;=17,"عالی",IF(K636&gt;=14,"خوب",IF(K636&gt;=10,"متوسط","ضعیف"))))))</f>
        <v/>
      </c>
      <c r="M636" s="306" t="n">
        <v>8</v>
      </c>
      <c r="N636" s="314">
        <f>IF(C636="","",COUNT(G636:J636)/4)</f>
        <v/>
      </c>
      <c r="O636" s="307" t="n"/>
    </row>
    <row r="637" ht="24" customHeight="1">
      <c r="A637" s="306" t="n">
        <v>633</v>
      </c>
      <c r="B637" s="306" t="inlineStr">
        <is>
          <t>اسفند</t>
        </is>
      </c>
      <c r="C637" s="306">
        <f>IF('دانش‌آموزان'!E57="","",'دانش‌آموزان'!B57)</f>
        <v/>
      </c>
      <c r="D637" s="306">
        <f>IF('دانش‌آموزان'!C57="","",'دانش‌آموزان'!C57)</f>
        <v/>
      </c>
      <c r="E637" s="306">
        <f>IF('دانش‌آموزان'!E57="","",'دانش‌آموزان'!E57&amp;" "&amp;'دانش‌آموزان'!F57)</f>
        <v/>
      </c>
      <c r="F637" s="306">
        <f>IF('دانش‌آموزان'!I57="","",'دانش‌آموزان'!I57)</f>
        <v/>
      </c>
      <c r="G637" s="307" t="n"/>
      <c r="H637" s="307" t="n"/>
      <c r="I637" s="307" t="n"/>
      <c r="J637" s="307" t="n"/>
      <c r="K637" s="313">
        <f>IF(COUNT(G637:J637)=0,"",AVERAGE(G637:J637)*4)</f>
        <v/>
      </c>
      <c r="L637" s="306">
        <f>IF(C637="","",IF(COUNT(G637:J637)=0,"",IF(COUNT(G637:J637)&lt;4,"موقت - اطلاعات ناقص",IF(K637&gt;=17,"عالی",IF(K637&gt;=14,"خوب",IF(K637&gt;=10,"متوسط","ضعیف"))))))</f>
        <v/>
      </c>
      <c r="M637" s="306" t="n">
        <v>9</v>
      </c>
      <c r="N637" s="314">
        <f>IF(C637="","",COUNT(G637:J637)/4)</f>
        <v/>
      </c>
      <c r="O637" s="307" t="n"/>
    </row>
    <row r="638" ht="24" customHeight="1">
      <c r="A638" s="306" t="n">
        <v>634</v>
      </c>
      <c r="B638" s="306" t="inlineStr">
        <is>
          <t>فروردین</t>
        </is>
      </c>
      <c r="C638" s="306">
        <f>IF('دانش‌آموزان'!E57="","",'دانش‌آموزان'!B57)</f>
        <v/>
      </c>
      <c r="D638" s="306">
        <f>IF('دانش‌آموزان'!C57="","",'دانش‌آموزان'!C57)</f>
        <v/>
      </c>
      <c r="E638" s="306">
        <f>IF('دانش‌آموزان'!E57="","",'دانش‌آموزان'!E57&amp;" "&amp;'دانش‌آموزان'!F57)</f>
        <v/>
      </c>
      <c r="F638" s="306">
        <f>IF('دانش‌آموزان'!I57="","",'دانش‌آموزان'!I57)</f>
        <v/>
      </c>
      <c r="G638" s="307" t="n"/>
      <c r="H638" s="307" t="n"/>
      <c r="I638" s="307" t="n"/>
      <c r="J638" s="307" t="n"/>
      <c r="K638" s="313">
        <f>IF(COUNT(G638:J638)=0,"",AVERAGE(G638:J638)*4)</f>
        <v/>
      </c>
      <c r="L638" s="306">
        <f>IF(C638="","",IF(COUNT(G638:J638)=0,"",IF(COUNT(G638:J638)&lt;4,"موقت - اطلاعات ناقص",IF(K638&gt;=17,"عالی",IF(K638&gt;=14,"خوب",IF(K638&gt;=10,"متوسط","ضعیف"))))))</f>
        <v/>
      </c>
      <c r="M638" s="306" t="n">
        <v>10</v>
      </c>
      <c r="N638" s="314">
        <f>IF(C638="","",COUNT(G638:J638)/4)</f>
        <v/>
      </c>
      <c r="O638" s="307" t="n"/>
    </row>
    <row r="639" ht="24" customHeight="1">
      <c r="A639" s="306" t="n">
        <v>635</v>
      </c>
      <c r="B639" s="306" t="inlineStr">
        <is>
          <t>اردیبهشت</t>
        </is>
      </c>
      <c r="C639" s="306">
        <f>IF('دانش‌آموزان'!E57="","",'دانش‌آموزان'!B57)</f>
        <v/>
      </c>
      <c r="D639" s="306">
        <f>IF('دانش‌آموزان'!C57="","",'دانش‌آموزان'!C57)</f>
        <v/>
      </c>
      <c r="E639" s="306">
        <f>IF('دانش‌آموزان'!E57="","",'دانش‌آموزان'!E57&amp;" "&amp;'دانش‌آموزان'!F57)</f>
        <v/>
      </c>
      <c r="F639" s="306">
        <f>IF('دانش‌آموزان'!I57="","",'دانش‌آموزان'!I57)</f>
        <v/>
      </c>
      <c r="G639" s="307" t="n"/>
      <c r="H639" s="307" t="n"/>
      <c r="I639" s="307" t="n"/>
      <c r="J639" s="307" t="n"/>
      <c r="K639" s="313">
        <f>IF(COUNT(G639:J639)=0,"",AVERAGE(G639:J639)*4)</f>
        <v/>
      </c>
      <c r="L639" s="306">
        <f>IF(C639="","",IF(COUNT(G639:J639)=0,"",IF(COUNT(G639:J639)&lt;4,"موقت - اطلاعات ناقص",IF(K639&gt;=17,"عالی",IF(K639&gt;=14,"خوب",IF(K639&gt;=10,"متوسط","ضعیف"))))))</f>
        <v/>
      </c>
      <c r="M639" s="306" t="n">
        <v>11</v>
      </c>
      <c r="N639" s="314">
        <f>IF(C639="","",COUNT(G639:J639)/4)</f>
        <v/>
      </c>
      <c r="O639" s="307" t="n"/>
    </row>
    <row r="640" ht="24" customHeight="1">
      <c r="A640" s="306" t="n">
        <v>636</v>
      </c>
      <c r="B640" s="306" t="inlineStr">
        <is>
          <t>خرداد</t>
        </is>
      </c>
      <c r="C640" s="306">
        <f>IF('دانش‌آموزان'!E57="","",'دانش‌آموزان'!B57)</f>
        <v/>
      </c>
      <c r="D640" s="306">
        <f>IF('دانش‌آموزان'!C57="","",'دانش‌آموزان'!C57)</f>
        <v/>
      </c>
      <c r="E640" s="306">
        <f>IF('دانش‌آموزان'!E57="","",'دانش‌آموزان'!E57&amp;" "&amp;'دانش‌آموزان'!F57)</f>
        <v/>
      </c>
      <c r="F640" s="306">
        <f>IF('دانش‌آموزان'!I57="","",'دانش‌آموزان'!I57)</f>
        <v/>
      </c>
      <c r="G640" s="307" t="n"/>
      <c r="H640" s="307" t="n"/>
      <c r="I640" s="307" t="n"/>
      <c r="J640" s="307" t="n"/>
      <c r="K640" s="313">
        <f>IF(COUNT(G640:J640)=0,"",AVERAGE(G640:J640)*4)</f>
        <v/>
      </c>
      <c r="L640" s="306">
        <f>IF(C640="","",IF(COUNT(G640:J640)=0,"",IF(COUNT(G640:J640)&lt;4,"موقت - اطلاعات ناقص",IF(K640&gt;=17,"عالی",IF(K640&gt;=14,"خوب",IF(K640&gt;=10,"متوسط","ضعیف"))))))</f>
        <v/>
      </c>
      <c r="M640" s="306" t="n">
        <v>12</v>
      </c>
      <c r="N640" s="314">
        <f>IF(C640="","",COUNT(G640:J640)/4)</f>
        <v/>
      </c>
      <c r="O640" s="307" t="n"/>
    </row>
    <row r="641" ht="24" customHeight="1">
      <c r="A641" s="306" t="n">
        <v>637</v>
      </c>
      <c r="B641" s="306" t="inlineStr">
        <is>
          <t>تیر</t>
        </is>
      </c>
      <c r="C641" s="306">
        <f>IF('دانش‌آموزان'!E58="","",'دانش‌آموزان'!B58)</f>
        <v/>
      </c>
      <c r="D641" s="306">
        <f>IF('دانش‌آموزان'!C58="","",'دانش‌آموزان'!C58)</f>
        <v/>
      </c>
      <c r="E641" s="306">
        <f>IF('دانش‌آموزان'!E58="","",'دانش‌آموزان'!E58&amp;" "&amp;'دانش‌آموزان'!F58)</f>
        <v/>
      </c>
      <c r="F641" s="306">
        <f>IF('دانش‌آموزان'!I58="","",'دانش‌آموزان'!I58)</f>
        <v/>
      </c>
      <c r="G641" s="307" t="n"/>
      <c r="H641" s="307" t="n"/>
      <c r="I641" s="307" t="n"/>
      <c r="J641" s="307" t="n"/>
      <c r="K641" s="313">
        <f>IF(COUNT(G641:J641)=0,"",AVERAGE(G641:J641)*4)</f>
        <v/>
      </c>
      <c r="L641" s="306">
        <f>IF(C641="","",IF(COUNT(G641:J641)=0,"",IF(COUNT(G641:J641)&lt;4,"موقت - اطلاعات ناقص",IF(K641&gt;=17,"عالی",IF(K641&gt;=14,"خوب",IF(K641&gt;=10,"متوسط","ضعیف"))))))</f>
        <v/>
      </c>
      <c r="M641" s="306" t="n">
        <v>1</v>
      </c>
      <c r="N641" s="314">
        <f>IF(C641="","",COUNT(G641:J641)/4)</f>
        <v/>
      </c>
      <c r="O641" s="307" t="n"/>
    </row>
    <row r="642" ht="24" customHeight="1">
      <c r="A642" s="306" t="n">
        <v>638</v>
      </c>
      <c r="B642" s="306" t="inlineStr">
        <is>
          <t>مرداد</t>
        </is>
      </c>
      <c r="C642" s="306">
        <f>IF('دانش‌آموزان'!E58="","",'دانش‌آموزان'!B58)</f>
        <v/>
      </c>
      <c r="D642" s="306">
        <f>IF('دانش‌آموزان'!C58="","",'دانش‌آموزان'!C58)</f>
        <v/>
      </c>
      <c r="E642" s="306">
        <f>IF('دانش‌آموزان'!E58="","",'دانش‌آموزان'!E58&amp;" "&amp;'دانش‌آموزان'!F58)</f>
        <v/>
      </c>
      <c r="F642" s="306">
        <f>IF('دانش‌آموزان'!I58="","",'دانش‌آموزان'!I58)</f>
        <v/>
      </c>
      <c r="G642" s="307" t="n"/>
      <c r="H642" s="307" t="n"/>
      <c r="I642" s="307" t="n"/>
      <c r="J642" s="307" t="n"/>
      <c r="K642" s="313">
        <f>IF(COUNT(G642:J642)=0,"",AVERAGE(G642:J642)*4)</f>
        <v/>
      </c>
      <c r="L642" s="306">
        <f>IF(C642="","",IF(COUNT(G642:J642)=0,"",IF(COUNT(G642:J642)&lt;4,"موقت - اطلاعات ناقص",IF(K642&gt;=17,"عالی",IF(K642&gt;=14,"خوب",IF(K642&gt;=10,"متوسط","ضعیف"))))))</f>
        <v/>
      </c>
      <c r="M642" s="306" t="n">
        <v>2</v>
      </c>
      <c r="N642" s="314">
        <f>IF(C642="","",COUNT(G642:J642)/4)</f>
        <v/>
      </c>
      <c r="O642" s="307" t="n"/>
    </row>
    <row r="643" ht="24" customHeight="1">
      <c r="A643" s="306" t="n">
        <v>639</v>
      </c>
      <c r="B643" s="306" t="inlineStr">
        <is>
          <t>شهریور</t>
        </is>
      </c>
      <c r="C643" s="306">
        <f>IF('دانش‌آموزان'!E58="","",'دانش‌آموزان'!B58)</f>
        <v/>
      </c>
      <c r="D643" s="306">
        <f>IF('دانش‌آموزان'!C58="","",'دانش‌آموزان'!C58)</f>
        <v/>
      </c>
      <c r="E643" s="306">
        <f>IF('دانش‌آموزان'!E58="","",'دانش‌آموزان'!E58&amp;" "&amp;'دانش‌آموزان'!F58)</f>
        <v/>
      </c>
      <c r="F643" s="306">
        <f>IF('دانش‌آموزان'!I58="","",'دانش‌آموزان'!I58)</f>
        <v/>
      </c>
      <c r="G643" s="307" t="n"/>
      <c r="H643" s="307" t="n"/>
      <c r="I643" s="307" t="n"/>
      <c r="J643" s="307" t="n"/>
      <c r="K643" s="313">
        <f>IF(COUNT(G643:J643)=0,"",AVERAGE(G643:J643)*4)</f>
        <v/>
      </c>
      <c r="L643" s="306">
        <f>IF(C643="","",IF(COUNT(G643:J643)=0,"",IF(COUNT(G643:J643)&lt;4,"موقت - اطلاعات ناقص",IF(K643&gt;=17,"عالی",IF(K643&gt;=14,"خوب",IF(K643&gt;=10,"متوسط","ضعیف"))))))</f>
        <v/>
      </c>
      <c r="M643" s="306" t="n">
        <v>3</v>
      </c>
      <c r="N643" s="314">
        <f>IF(C643="","",COUNT(G643:J643)/4)</f>
        <v/>
      </c>
      <c r="O643" s="307" t="n"/>
    </row>
    <row r="644" ht="24" customHeight="1">
      <c r="A644" s="306" t="n">
        <v>640</v>
      </c>
      <c r="B644" s="306" t="inlineStr">
        <is>
          <t>مهر</t>
        </is>
      </c>
      <c r="C644" s="306">
        <f>IF('دانش‌آموزان'!E58="","",'دانش‌آموزان'!B58)</f>
        <v/>
      </c>
      <c r="D644" s="306">
        <f>IF('دانش‌آموزان'!C58="","",'دانش‌آموزان'!C58)</f>
        <v/>
      </c>
      <c r="E644" s="306">
        <f>IF('دانش‌آموزان'!E58="","",'دانش‌آموزان'!E58&amp;" "&amp;'دانش‌آموزان'!F58)</f>
        <v/>
      </c>
      <c r="F644" s="306">
        <f>IF('دانش‌آموزان'!I58="","",'دانش‌آموزان'!I58)</f>
        <v/>
      </c>
      <c r="G644" s="307" t="n"/>
      <c r="H644" s="307" t="n"/>
      <c r="I644" s="307" t="n"/>
      <c r="J644" s="307" t="n"/>
      <c r="K644" s="313">
        <f>IF(COUNT(G644:J644)=0,"",AVERAGE(G644:J644)*4)</f>
        <v/>
      </c>
      <c r="L644" s="306">
        <f>IF(C644="","",IF(COUNT(G644:J644)=0,"",IF(COUNT(G644:J644)&lt;4,"موقت - اطلاعات ناقص",IF(K644&gt;=17,"عالی",IF(K644&gt;=14,"خوب",IF(K644&gt;=10,"متوسط","ضعیف"))))))</f>
        <v/>
      </c>
      <c r="M644" s="306" t="n">
        <v>4</v>
      </c>
      <c r="N644" s="314">
        <f>IF(C644="","",COUNT(G644:J644)/4)</f>
        <v/>
      </c>
      <c r="O644" s="307" t="n"/>
    </row>
    <row r="645" ht="24" customHeight="1">
      <c r="A645" s="306" t="n">
        <v>641</v>
      </c>
      <c r="B645" s="306" t="inlineStr">
        <is>
          <t>آبان</t>
        </is>
      </c>
      <c r="C645" s="306">
        <f>IF('دانش‌آموزان'!E58="","",'دانش‌آموزان'!B58)</f>
        <v/>
      </c>
      <c r="D645" s="306">
        <f>IF('دانش‌آموزان'!C58="","",'دانش‌آموزان'!C58)</f>
        <v/>
      </c>
      <c r="E645" s="306">
        <f>IF('دانش‌آموزان'!E58="","",'دانش‌آموزان'!E58&amp;" "&amp;'دانش‌آموزان'!F58)</f>
        <v/>
      </c>
      <c r="F645" s="306">
        <f>IF('دانش‌آموزان'!I58="","",'دانش‌آموزان'!I58)</f>
        <v/>
      </c>
      <c r="G645" s="307" t="n"/>
      <c r="H645" s="307" t="n"/>
      <c r="I645" s="307" t="n"/>
      <c r="J645" s="307" t="n"/>
      <c r="K645" s="313">
        <f>IF(COUNT(G645:J645)=0,"",AVERAGE(G645:J645)*4)</f>
        <v/>
      </c>
      <c r="L645" s="306">
        <f>IF(C645="","",IF(COUNT(G645:J645)=0,"",IF(COUNT(G645:J645)&lt;4,"موقت - اطلاعات ناقص",IF(K645&gt;=17,"عالی",IF(K645&gt;=14,"خوب",IF(K645&gt;=10,"متوسط","ضعیف"))))))</f>
        <v/>
      </c>
      <c r="M645" s="306" t="n">
        <v>5</v>
      </c>
      <c r="N645" s="314">
        <f>IF(C645="","",COUNT(G645:J645)/4)</f>
        <v/>
      </c>
      <c r="O645" s="307" t="n"/>
    </row>
    <row r="646" ht="24" customHeight="1">
      <c r="A646" s="306" t="n">
        <v>642</v>
      </c>
      <c r="B646" s="306" t="inlineStr">
        <is>
          <t>آذر</t>
        </is>
      </c>
      <c r="C646" s="306">
        <f>IF('دانش‌آموزان'!E58="","",'دانش‌آموزان'!B58)</f>
        <v/>
      </c>
      <c r="D646" s="306">
        <f>IF('دانش‌آموزان'!C58="","",'دانش‌آموزان'!C58)</f>
        <v/>
      </c>
      <c r="E646" s="306">
        <f>IF('دانش‌آموزان'!E58="","",'دانش‌آموزان'!E58&amp;" "&amp;'دانش‌آموزان'!F58)</f>
        <v/>
      </c>
      <c r="F646" s="306">
        <f>IF('دانش‌آموزان'!I58="","",'دانش‌آموزان'!I58)</f>
        <v/>
      </c>
      <c r="G646" s="307" t="n"/>
      <c r="H646" s="307" t="n"/>
      <c r="I646" s="307" t="n"/>
      <c r="J646" s="307" t="n"/>
      <c r="K646" s="313">
        <f>IF(COUNT(G646:J646)=0,"",AVERAGE(G646:J646)*4)</f>
        <v/>
      </c>
      <c r="L646" s="306">
        <f>IF(C646="","",IF(COUNT(G646:J646)=0,"",IF(COUNT(G646:J646)&lt;4,"موقت - اطلاعات ناقص",IF(K646&gt;=17,"عالی",IF(K646&gt;=14,"خوب",IF(K646&gt;=10,"متوسط","ضعیف"))))))</f>
        <v/>
      </c>
      <c r="M646" s="306" t="n">
        <v>6</v>
      </c>
      <c r="N646" s="314">
        <f>IF(C646="","",COUNT(G646:J646)/4)</f>
        <v/>
      </c>
      <c r="O646" s="307" t="n"/>
    </row>
    <row r="647" ht="24" customHeight="1">
      <c r="A647" s="306" t="n">
        <v>643</v>
      </c>
      <c r="B647" s="306" t="inlineStr">
        <is>
          <t>دی</t>
        </is>
      </c>
      <c r="C647" s="306">
        <f>IF('دانش‌آموزان'!E58="","",'دانش‌آموزان'!B58)</f>
        <v/>
      </c>
      <c r="D647" s="306">
        <f>IF('دانش‌آموزان'!C58="","",'دانش‌آموزان'!C58)</f>
        <v/>
      </c>
      <c r="E647" s="306">
        <f>IF('دانش‌آموزان'!E58="","",'دانش‌آموزان'!E58&amp;" "&amp;'دانش‌آموزان'!F58)</f>
        <v/>
      </c>
      <c r="F647" s="306">
        <f>IF('دانش‌آموزان'!I58="","",'دانش‌آموزان'!I58)</f>
        <v/>
      </c>
      <c r="G647" s="307" t="n"/>
      <c r="H647" s="307" t="n"/>
      <c r="I647" s="307" t="n"/>
      <c r="J647" s="307" t="n"/>
      <c r="K647" s="313">
        <f>IF(COUNT(G647:J647)=0,"",AVERAGE(G647:J647)*4)</f>
        <v/>
      </c>
      <c r="L647" s="306">
        <f>IF(C647="","",IF(COUNT(G647:J647)=0,"",IF(COUNT(G647:J647)&lt;4,"موقت - اطلاعات ناقص",IF(K647&gt;=17,"عالی",IF(K647&gt;=14,"خوب",IF(K647&gt;=10,"متوسط","ضعیف"))))))</f>
        <v/>
      </c>
      <c r="M647" s="306" t="n">
        <v>7</v>
      </c>
      <c r="N647" s="314">
        <f>IF(C647="","",COUNT(G647:J647)/4)</f>
        <v/>
      </c>
      <c r="O647" s="307" t="n"/>
    </row>
    <row r="648" ht="24" customHeight="1">
      <c r="A648" s="306" t="n">
        <v>644</v>
      </c>
      <c r="B648" s="306" t="inlineStr">
        <is>
          <t>بهمن</t>
        </is>
      </c>
      <c r="C648" s="306">
        <f>IF('دانش‌آموزان'!E58="","",'دانش‌آموزان'!B58)</f>
        <v/>
      </c>
      <c r="D648" s="306">
        <f>IF('دانش‌آموزان'!C58="","",'دانش‌آموزان'!C58)</f>
        <v/>
      </c>
      <c r="E648" s="306">
        <f>IF('دانش‌آموزان'!E58="","",'دانش‌آموزان'!E58&amp;" "&amp;'دانش‌آموزان'!F58)</f>
        <v/>
      </c>
      <c r="F648" s="306">
        <f>IF('دانش‌آموزان'!I58="","",'دانش‌آموزان'!I58)</f>
        <v/>
      </c>
      <c r="G648" s="307" t="n"/>
      <c r="H648" s="307" t="n"/>
      <c r="I648" s="307" t="n"/>
      <c r="J648" s="307" t="n"/>
      <c r="K648" s="313">
        <f>IF(COUNT(G648:J648)=0,"",AVERAGE(G648:J648)*4)</f>
        <v/>
      </c>
      <c r="L648" s="306">
        <f>IF(C648="","",IF(COUNT(G648:J648)=0,"",IF(COUNT(G648:J648)&lt;4,"موقت - اطلاعات ناقص",IF(K648&gt;=17,"عالی",IF(K648&gt;=14,"خوب",IF(K648&gt;=10,"متوسط","ضعیف"))))))</f>
        <v/>
      </c>
      <c r="M648" s="306" t="n">
        <v>8</v>
      </c>
      <c r="N648" s="314">
        <f>IF(C648="","",COUNT(G648:J648)/4)</f>
        <v/>
      </c>
      <c r="O648" s="307" t="n"/>
    </row>
    <row r="649" ht="24" customHeight="1">
      <c r="A649" s="306" t="n">
        <v>645</v>
      </c>
      <c r="B649" s="306" t="inlineStr">
        <is>
          <t>اسفند</t>
        </is>
      </c>
      <c r="C649" s="306">
        <f>IF('دانش‌آموزان'!E58="","",'دانش‌آموزان'!B58)</f>
        <v/>
      </c>
      <c r="D649" s="306">
        <f>IF('دانش‌آموزان'!C58="","",'دانش‌آموزان'!C58)</f>
        <v/>
      </c>
      <c r="E649" s="306">
        <f>IF('دانش‌آموزان'!E58="","",'دانش‌آموزان'!E58&amp;" "&amp;'دانش‌آموزان'!F58)</f>
        <v/>
      </c>
      <c r="F649" s="306">
        <f>IF('دانش‌آموزان'!I58="","",'دانش‌آموزان'!I58)</f>
        <v/>
      </c>
      <c r="G649" s="307" t="n"/>
      <c r="H649" s="307" t="n"/>
      <c r="I649" s="307" t="n"/>
      <c r="J649" s="307" t="n"/>
      <c r="K649" s="313">
        <f>IF(COUNT(G649:J649)=0,"",AVERAGE(G649:J649)*4)</f>
        <v/>
      </c>
      <c r="L649" s="306">
        <f>IF(C649="","",IF(COUNT(G649:J649)=0,"",IF(COUNT(G649:J649)&lt;4,"موقت - اطلاعات ناقص",IF(K649&gt;=17,"عالی",IF(K649&gt;=14,"خوب",IF(K649&gt;=10,"متوسط","ضعیف"))))))</f>
        <v/>
      </c>
      <c r="M649" s="306" t="n">
        <v>9</v>
      </c>
      <c r="N649" s="314">
        <f>IF(C649="","",COUNT(G649:J649)/4)</f>
        <v/>
      </c>
      <c r="O649" s="307" t="n"/>
    </row>
    <row r="650" ht="24" customHeight="1">
      <c r="A650" s="306" t="n">
        <v>646</v>
      </c>
      <c r="B650" s="306" t="inlineStr">
        <is>
          <t>فروردین</t>
        </is>
      </c>
      <c r="C650" s="306">
        <f>IF('دانش‌آموزان'!E58="","",'دانش‌آموزان'!B58)</f>
        <v/>
      </c>
      <c r="D650" s="306">
        <f>IF('دانش‌آموزان'!C58="","",'دانش‌آموزان'!C58)</f>
        <v/>
      </c>
      <c r="E650" s="306">
        <f>IF('دانش‌آموزان'!E58="","",'دانش‌آموزان'!E58&amp;" "&amp;'دانش‌آموزان'!F58)</f>
        <v/>
      </c>
      <c r="F650" s="306">
        <f>IF('دانش‌آموزان'!I58="","",'دانش‌آموزان'!I58)</f>
        <v/>
      </c>
      <c r="G650" s="307" t="n"/>
      <c r="H650" s="307" t="n"/>
      <c r="I650" s="307" t="n"/>
      <c r="J650" s="307" t="n"/>
      <c r="K650" s="313">
        <f>IF(COUNT(G650:J650)=0,"",AVERAGE(G650:J650)*4)</f>
        <v/>
      </c>
      <c r="L650" s="306">
        <f>IF(C650="","",IF(COUNT(G650:J650)=0,"",IF(COUNT(G650:J650)&lt;4,"موقت - اطلاعات ناقص",IF(K650&gt;=17,"عالی",IF(K650&gt;=14,"خوب",IF(K650&gt;=10,"متوسط","ضعیف"))))))</f>
        <v/>
      </c>
      <c r="M650" s="306" t="n">
        <v>10</v>
      </c>
      <c r="N650" s="314">
        <f>IF(C650="","",COUNT(G650:J650)/4)</f>
        <v/>
      </c>
      <c r="O650" s="307" t="n"/>
    </row>
    <row r="651" ht="24" customHeight="1">
      <c r="A651" s="306" t="n">
        <v>647</v>
      </c>
      <c r="B651" s="306" t="inlineStr">
        <is>
          <t>اردیبهشت</t>
        </is>
      </c>
      <c r="C651" s="306">
        <f>IF('دانش‌آموزان'!E58="","",'دانش‌آموزان'!B58)</f>
        <v/>
      </c>
      <c r="D651" s="306">
        <f>IF('دانش‌آموزان'!C58="","",'دانش‌آموزان'!C58)</f>
        <v/>
      </c>
      <c r="E651" s="306">
        <f>IF('دانش‌آموزان'!E58="","",'دانش‌آموزان'!E58&amp;" "&amp;'دانش‌آموزان'!F58)</f>
        <v/>
      </c>
      <c r="F651" s="306">
        <f>IF('دانش‌آموزان'!I58="","",'دانش‌آموزان'!I58)</f>
        <v/>
      </c>
      <c r="G651" s="307" t="n"/>
      <c r="H651" s="307" t="n"/>
      <c r="I651" s="307" t="n"/>
      <c r="J651" s="307" t="n"/>
      <c r="K651" s="313">
        <f>IF(COUNT(G651:J651)=0,"",AVERAGE(G651:J651)*4)</f>
        <v/>
      </c>
      <c r="L651" s="306">
        <f>IF(C651="","",IF(COUNT(G651:J651)=0,"",IF(COUNT(G651:J651)&lt;4,"موقت - اطلاعات ناقص",IF(K651&gt;=17,"عالی",IF(K651&gt;=14,"خوب",IF(K651&gt;=10,"متوسط","ضعیف"))))))</f>
        <v/>
      </c>
      <c r="M651" s="306" t="n">
        <v>11</v>
      </c>
      <c r="N651" s="314">
        <f>IF(C651="","",COUNT(G651:J651)/4)</f>
        <v/>
      </c>
      <c r="O651" s="307" t="n"/>
    </row>
    <row r="652" ht="24" customHeight="1">
      <c r="A652" s="306" t="n">
        <v>648</v>
      </c>
      <c r="B652" s="306" t="inlineStr">
        <is>
          <t>خرداد</t>
        </is>
      </c>
      <c r="C652" s="306">
        <f>IF('دانش‌آموزان'!E58="","",'دانش‌آموزان'!B58)</f>
        <v/>
      </c>
      <c r="D652" s="306">
        <f>IF('دانش‌آموزان'!C58="","",'دانش‌آموزان'!C58)</f>
        <v/>
      </c>
      <c r="E652" s="306">
        <f>IF('دانش‌آموزان'!E58="","",'دانش‌آموزان'!E58&amp;" "&amp;'دانش‌آموزان'!F58)</f>
        <v/>
      </c>
      <c r="F652" s="306">
        <f>IF('دانش‌آموزان'!I58="","",'دانش‌آموزان'!I58)</f>
        <v/>
      </c>
      <c r="G652" s="307" t="n"/>
      <c r="H652" s="307" t="n"/>
      <c r="I652" s="307" t="n"/>
      <c r="J652" s="307" t="n"/>
      <c r="K652" s="313">
        <f>IF(COUNT(G652:J652)=0,"",AVERAGE(G652:J652)*4)</f>
        <v/>
      </c>
      <c r="L652" s="306">
        <f>IF(C652="","",IF(COUNT(G652:J652)=0,"",IF(COUNT(G652:J652)&lt;4,"موقت - اطلاعات ناقص",IF(K652&gt;=17,"عالی",IF(K652&gt;=14,"خوب",IF(K652&gt;=10,"متوسط","ضعیف"))))))</f>
        <v/>
      </c>
      <c r="M652" s="306" t="n">
        <v>12</v>
      </c>
      <c r="N652" s="314">
        <f>IF(C652="","",COUNT(G652:J652)/4)</f>
        <v/>
      </c>
      <c r="O652" s="307" t="n"/>
    </row>
    <row r="653" ht="24" customHeight="1">
      <c r="A653" s="306" t="n">
        <v>649</v>
      </c>
      <c r="B653" s="306" t="inlineStr">
        <is>
          <t>تیر</t>
        </is>
      </c>
      <c r="C653" s="306">
        <f>IF('دانش‌آموزان'!E59="","",'دانش‌آموزان'!B59)</f>
        <v/>
      </c>
      <c r="D653" s="306">
        <f>IF('دانش‌آموزان'!C59="","",'دانش‌آموزان'!C59)</f>
        <v/>
      </c>
      <c r="E653" s="306">
        <f>IF('دانش‌آموزان'!E59="","",'دانش‌آموزان'!E59&amp;" "&amp;'دانش‌آموزان'!F59)</f>
        <v/>
      </c>
      <c r="F653" s="306">
        <f>IF('دانش‌آموزان'!I59="","",'دانش‌آموزان'!I59)</f>
        <v/>
      </c>
      <c r="G653" s="307" t="n"/>
      <c r="H653" s="307" t="n"/>
      <c r="I653" s="307" t="n"/>
      <c r="J653" s="307" t="n"/>
      <c r="K653" s="313">
        <f>IF(COUNT(G653:J653)=0,"",AVERAGE(G653:J653)*4)</f>
        <v/>
      </c>
      <c r="L653" s="306">
        <f>IF(C653="","",IF(COUNT(G653:J653)=0,"",IF(COUNT(G653:J653)&lt;4,"موقت - اطلاعات ناقص",IF(K653&gt;=17,"عالی",IF(K653&gt;=14,"خوب",IF(K653&gt;=10,"متوسط","ضعیف"))))))</f>
        <v/>
      </c>
      <c r="M653" s="306" t="n">
        <v>1</v>
      </c>
      <c r="N653" s="314">
        <f>IF(C653="","",COUNT(G653:J653)/4)</f>
        <v/>
      </c>
      <c r="O653" s="307" t="n"/>
    </row>
    <row r="654" ht="24" customHeight="1">
      <c r="A654" s="306" t="n">
        <v>650</v>
      </c>
      <c r="B654" s="306" t="inlineStr">
        <is>
          <t>مرداد</t>
        </is>
      </c>
      <c r="C654" s="306">
        <f>IF('دانش‌آموزان'!E59="","",'دانش‌آموزان'!B59)</f>
        <v/>
      </c>
      <c r="D654" s="306">
        <f>IF('دانش‌آموزان'!C59="","",'دانش‌آموزان'!C59)</f>
        <v/>
      </c>
      <c r="E654" s="306">
        <f>IF('دانش‌آموزان'!E59="","",'دانش‌آموزان'!E59&amp;" "&amp;'دانش‌آموزان'!F59)</f>
        <v/>
      </c>
      <c r="F654" s="306">
        <f>IF('دانش‌آموزان'!I59="","",'دانش‌آموزان'!I59)</f>
        <v/>
      </c>
      <c r="G654" s="307" t="n"/>
      <c r="H654" s="307" t="n"/>
      <c r="I654" s="307" t="n"/>
      <c r="J654" s="307" t="n"/>
      <c r="K654" s="313">
        <f>IF(COUNT(G654:J654)=0,"",AVERAGE(G654:J654)*4)</f>
        <v/>
      </c>
      <c r="L654" s="306">
        <f>IF(C654="","",IF(COUNT(G654:J654)=0,"",IF(COUNT(G654:J654)&lt;4,"موقت - اطلاعات ناقص",IF(K654&gt;=17,"عالی",IF(K654&gt;=14,"خوب",IF(K654&gt;=10,"متوسط","ضعیف"))))))</f>
        <v/>
      </c>
      <c r="M654" s="306" t="n">
        <v>2</v>
      </c>
      <c r="N654" s="314">
        <f>IF(C654="","",COUNT(G654:J654)/4)</f>
        <v/>
      </c>
      <c r="O654" s="307" t="n"/>
    </row>
    <row r="655" ht="24" customHeight="1">
      <c r="A655" s="306" t="n">
        <v>651</v>
      </c>
      <c r="B655" s="306" t="inlineStr">
        <is>
          <t>شهریور</t>
        </is>
      </c>
      <c r="C655" s="306">
        <f>IF('دانش‌آموزان'!E59="","",'دانش‌آموزان'!B59)</f>
        <v/>
      </c>
      <c r="D655" s="306">
        <f>IF('دانش‌آموزان'!C59="","",'دانش‌آموزان'!C59)</f>
        <v/>
      </c>
      <c r="E655" s="306">
        <f>IF('دانش‌آموزان'!E59="","",'دانش‌آموزان'!E59&amp;" "&amp;'دانش‌آموزان'!F59)</f>
        <v/>
      </c>
      <c r="F655" s="306">
        <f>IF('دانش‌آموزان'!I59="","",'دانش‌آموزان'!I59)</f>
        <v/>
      </c>
      <c r="G655" s="307" t="n"/>
      <c r="H655" s="307" t="n"/>
      <c r="I655" s="307" t="n"/>
      <c r="J655" s="307" t="n"/>
      <c r="K655" s="313">
        <f>IF(COUNT(G655:J655)=0,"",AVERAGE(G655:J655)*4)</f>
        <v/>
      </c>
      <c r="L655" s="306">
        <f>IF(C655="","",IF(COUNT(G655:J655)=0,"",IF(COUNT(G655:J655)&lt;4,"موقت - اطلاعات ناقص",IF(K655&gt;=17,"عالی",IF(K655&gt;=14,"خوب",IF(K655&gt;=10,"متوسط","ضعیف"))))))</f>
        <v/>
      </c>
      <c r="M655" s="306" t="n">
        <v>3</v>
      </c>
      <c r="N655" s="314">
        <f>IF(C655="","",COUNT(G655:J655)/4)</f>
        <v/>
      </c>
      <c r="O655" s="307" t="n"/>
    </row>
    <row r="656" ht="24" customHeight="1">
      <c r="A656" s="306" t="n">
        <v>652</v>
      </c>
      <c r="B656" s="306" t="inlineStr">
        <is>
          <t>مهر</t>
        </is>
      </c>
      <c r="C656" s="306">
        <f>IF('دانش‌آموزان'!E59="","",'دانش‌آموزان'!B59)</f>
        <v/>
      </c>
      <c r="D656" s="306">
        <f>IF('دانش‌آموزان'!C59="","",'دانش‌آموزان'!C59)</f>
        <v/>
      </c>
      <c r="E656" s="306">
        <f>IF('دانش‌آموزان'!E59="","",'دانش‌آموزان'!E59&amp;" "&amp;'دانش‌آموزان'!F59)</f>
        <v/>
      </c>
      <c r="F656" s="306">
        <f>IF('دانش‌آموزان'!I59="","",'دانش‌آموزان'!I59)</f>
        <v/>
      </c>
      <c r="G656" s="307" t="n"/>
      <c r="H656" s="307" t="n"/>
      <c r="I656" s="307" t="n"/>
      <c r="J656" s="307" t="n"/>
      <c r="K656" s="313">
        <f>IF(COUNT(G656:J656)=0,"",AVERAGE(G656:J656)*4)</f>
        <v/>
      </c>
      <c r="L656" s="306">
        <f>IF(C656="","",IF(COUNT(G656:J656)=0,"",IF(COUNT(G656:J656)&lt;4,"موقت - اطلاعات ناقص",IF(K656&gt;=17,"عالی",IF(K656&gt;=14,"خوب",IF(K656&gt;=10,"متوسط","ضعیف"))))))</f>
        <v/>
      </c>
      <c r="M656" s="306" t="n">
        <v>4</v>
      </c>
      <c r="N656" s="314">
        <f>IF(C656="","",COUNT(G656:J656)/4)</f>
        <v/>
      </c>
      <c r="O656" s="307" t="n"/>
    </row>
    <row r="657" ht="24" customHeight="1">
      <c r="A657" s="306" t="n">
        <v>653</v>
      </c>
      <c r="B657" s="306" t="inlineStr">
        <is>
          <t>آبان</t>
        </is>
      </c>
      <c r="C657" s="306">
        <f>IF('دانش‌آموزان'!E59="","",'دانش‌آموزان'!B59)</f>
        <v/>
      </c>
      <c r="D657" s="306">
        <f>IF('دانش‌آموزان'!C59="","",'دانش‌آموزان'!C59)</f>
        <v/>
      </c>
      <c r="E657" s="306">
        <f>IF('دانش‌آموزان'!E59="","",'دانش‌آموزان'!E59&amp;" "&amp;'دانش‌آموزان'!F59)</f>
        <v/>
      </c>
      <c r="F657" s="306">
        <f>IF('دانش‌آموزان'!I59="","",'دانش‌آموزان'!I59)</f>
        <v/>
      </c>
      <c r="G657" s="307" t="n"/>
      <c r="H657" s="307" t="n"/>
      <c r="I657" s="307" t="n"/>
      <c r="J657" s="307" t="n"/>
      <c r="K657" s="313">
        <f>IF(COUNT(G657:J657)=0,"",AVERAGE(G657:J657)*4)</f>
        <v/>
      </c>
      <c r="L657" s="306">
        <f>IF(C657="","",IF(COUNT(G657:J657)=0,"",IF(COUNT(G657:J657)&lt;4,"موقت - اطلاعات ناقص",IF(K657&gt;=17,"عالی",IF(K657&gt;=14,"خوب",IF(K657&gt;=10,"متوسط","ضعیف"))))))</f>
        <v/>
      </c>
      <c r="M657" s="306" t="n">
        <v>5</v>
      </c>
      <c r="N657" s="314">
        <f>IF(C657="","",COUNT(G657:J657)/4)</f>
        <v/>
      </c>
      <c r="O657" s="307" t="n"/>
    </row>
    <row r="658" ht="24" customHeight="1">
      <c r="A658" s="306" t="n">
        <v>654</v>
      </c>
      <c r="B658" s="306" t="inlineStr">
        <is>
          <t>آذر</t>
        </is>
      </c>
      <c r="C658" s="306">
        <f>IF('دانش‌آموزان'!E59="","",'دانش‌آموزان'!B59)</f>
        <v/>
      </c>
      <c r="D658" s="306">
        <f>IF('دانش‌آموزان'!C59="","",'دانش‌آموزان'!C59)</f>
        <v/>
      </c>
      <c r="E658" s="306">
        <f>IF('دانش‌آموزان'!E59="","",'دانش‌آموزان'!E59&amp;" "&amp;'دانش‌آموزان'!F59)</f>
        <v/>
      </c>
      <c r="F658" s="306">
        <f>IF('دانش‌آموزان'!I59="","",'دانش‌آموزان'!I59)</f>
        <v/>
      </c>
      <c r="G658" s="307" t="n"/>
      <c r="H658" s="307" t="n"/>
      <c r="I658" s="307" t="n"/>
      <c r="J658" s="307" t="n"/>
      <c r="K658" s="313">
        <f>IF(COUNT(G658:J658)=0,"",AVERAGE(G658:J658)*4)</f>
        <v/>
      </c>
      <c r="L658" s="306">
        <f>IF(C658="","",IF(COUNT(G658:J658)=0,"",IF(COUNT(G658:J658)&lt;4,"موقت - اطلاعات ناقص",IF(K658&gt;=17,"عالی",IF(K658&gt;=14,"خوب",IF(K658&gt;=10,"متوسط","ضعیف"))))))</f>
        <v/>
      </c>
      <c r="M658" s="306" t="n">
        <v>6</v>
      </c>
      <c r="N658" s="314">
        <f>IF(C658="","",COUNT(G658:J658)/4)</f>
        <v/>
      </c>
      <c r="O658" s="307" t="n"/>
    </row>
    <row r="659" ht="24" customHeight="1">
      <c r="A659" s="306" t="n">
        <v>655</v>
      </c>
      <c r="B659" s="306" t="inlineStr">
        <is>
          <t>دی</t>
        </is>
      </c>
      <c r="C659" s="306">
        <f>IF('دانش‌آموزان'!E59="","",'دانش‌آموزان'!B59)</f>
        <v/>
      </c>
      <c r="D659" s="306">
        <f>IF('دانش‌آموزان'!C59="","",'دانش‌آموزان'!C59)</f>
        <v/>
      </c>
      <c r="E659" s="306">
        <f>IF('دانش‌آموزان'!E59="","",'دانش‌آموزان'!E59&amp;" "&amp;'دانش‌آموزان'!F59)</f>
        <v/>
      </c>
      <c r="F659" s="306">
        <f>IF('دانش‌آموزان'!I59="","",'دانش‌آموزان'!I59)</f>
        <v/>
      </c>
      <c r="G659" s="307" t="n"/>
      <c r="H659" s="307" t="n"/>
      <c r="I659" s="307" t="n"/>
      <c r="J659" s="307" t="n"/>
      <c r="K659" s="313">
        <f>IF(COUNT(G659:J659)=0,"",AVERAGE(G659:J659)*4)</f>
        <v/>
      </c>
      <c r="L659" s="306">
        <f>IF(C659="","",IF(COUNT(G659:J659)=0,"",IF(COUNT(G659:J659)&lt;4,"موقت - اطلاعات ناقص",IF(K659&gt;=17,"عالی",IF(K659&gt;=14,"خوب",IF(K659&gt;=10,"متوسط","ضعیف"))))))</f>
        <v/>
      </c>
      <c r="M659" s="306" t="n">
        <v>7</v>
      </c>
      <c r="N659" s="314">
        <f>IF(C659="","",COUNT(G659:J659)/4)</f>
        <v/>
      </c>
      <c r="O659" s="307" t="n"/>
    </row>
    <row r="660" ht="24" customHeight="1">
      <c r="A660" s="306" t="n">
        <v>656</v>
      </c>
      <c r="B660" s="306" t="inlineStr">
        <is>
          <t>بهمن</t>
        </is>
      </c>
      <c r="C660" s="306">
        <f>IF('دانش‌آموزان'!E59="","",'دانش‌آموزان'!B59)</f>
        <v/>
      </c>
      <c r="D660" s="306">
        <f>IF('دانش‌آموزان'!C59="","",'دانش‌آموزان'!C59)</f>
        <v/>
      </c>
      <c r="E660" s="306">
        <f>IF('دانش‌آموزان'!E59="","",'دانش‌آموزان'!E59&amp;" "&amp;'دانش‌آموزان'!F59)</f>
        <v/>
      </c>
      <c r="F660" s="306">
        <f>IF('دانش‌آموزان'!I59="","",'دانش‌آموزان'!I59)</f>
        <v/>
      </c>
      <c r="G660" s="307" t="n"/>
      <c r="H660" s="307" t="n"/>
      <c r="I660" s="307" t="n"/>
      <c r="J660" s="307" t="n"/>
      <c r="K660" s="313">
        <f>IF(COUNT(G660:J660)=0,"",AVERAGE(G660:J660)*4)</f>
        <v/>
      </c>
      <c r="L660" s="306">
        <f>IF(C660="","",IF(COUNT(G660:J660)=0,"",IF(COUNT(G660:J660)&lt;4,"موقت - اطلاعات ناقص",IF(K660&gt;=17,"عالی",IF(K660&gt;=14,"خوب",IF(K660&gt;=10,"متوسط","ضعیف"))))))</f>
        <v/>
      </c>
      <c r="M660" s="306" t="n">
        <v>8</v>
      </c>
      <c r="N660" s="314">
        <f>IF(C660="","",COUNT(G660:J660)/4)</f>
        <v/>
      </c>
      <c r="O660" s="307" t="n"/>
    </row>
    <row r="661" ht="24" customHeight="1">
      <c r="A661" s="306" t="n">
        <v>657</v>
      </c>
      <c r="B661" s="306" t="inlineStr">
        <is>
          <t>اسفند</t>
        </is>
      </c>
      <c r="C661" s="306">
        <f>IF('دانش‌آموزان'!E59="","",'دانش‌آموزان'!B59)</f>
        <v/>
      </c>
      <c r="D661" s="306">
        <f>IF('دانش‌آموزان'!C59="","",'دانش‌آموزان'!C59)</f>
        <v/>
      </c>
      <c r="E661" s="306">
        <f>IF('دانش‌آموزان'!E59="","",'دانش‌آموزان'!E59&amp;" "&amp;'دانش‌آموزان'!F59)</f>
        <v/>
      </c>
      <c r="F661" s="306">
        <f>IF('دانش‌آموزان'!I59="","",'دانش‌آموزان'!I59)</f>
        <v/>
      </c>
      <c r="G661" s="307" t="n"/>
      <c r="H661" s="307" t="n"/>
      <c r="I661" s="307" t="n"/>
      <c r="J661" s="307" t="n"/>
      <c r="K661" s="313">
        <f>IF(COUNT(G661:J661)=0,"",AVERAGE(G661:J661)*4)</f>
        <v/>
      </c>
      <c r="L661" s="306">
        <f>IF(C661="","",IF(COUNT(G661:J661)=0,"",IF(COUNT(G661:J661)&lt;4,"موقت - اطلاعات ناقص",IF(K661&gt;=17,"عالی",IF(K661&gt;=14,"خوب",IF(K661&gt;=10,"متوسط","ضعیف"))))))</f>
        <v/>
      </c>
      <c r="M661" s="306" t="n">
        <v>9</v>
      </c>
      <c r="N661" s="314">
        <f>IF(C661="","",COUNT(G661:J661)/4)</f>
        <v/>
      </c>
      <c r="O661" s="307" t="n"/>
    </row>
    <row r="662" ht="24" customHeight="1">
      <c r="A662" s="306" t="n">
        <v>658</v>
      </c>
      <c r="B662" s="306" t="inlineStr">
        <is>
          <t>فروردین</t>
        </is>
      </c>
      <c r="C662" s="306">
        <f>IF('دانش‌آموزان'!E59="","",'دانش‌آموزان'!B59)</f>
        <v/>
      </c>
      <c r="D662" s="306">
        <f>IF('دانش‌آموزان'!C59="","",'دانش‌آموزان'!C59)</f>
        <v/>
      </c>
      <c r="E662" s="306">
        <f>IF('دانش‌آموزان'!E59="","",'دانش‌آموزان'!E59&amp;" "&amp;'دانش‌آموزان'!F59)</f>
        <v/>
      </c>
      <c r="F662" s="306">
        <f>IF('دانش‌آموزان'!I59="","",'دانش‌آموزان'!I59)</f>
        <v/>
      </c>
      <c r="G662" s="307" t="n"/>
      <c r="H662" s="307" t="n"/>
      <c r="I662" s="307" t="n"/>
      <c r="J662" s="307" t="n"/>
      <c r="K662" s="313">
        <f>IF(COUNT(G662:J662)=0,"",AVERAGE(G662:J662)*4)</f>
        <v/>
      </c>
      <c r="L662" s="306">
        <f>IF(C662="","",IF(COUNT(G662:J662)=0,"",IF(COUNT(G662:J662)&lt;4,"موقت - اطلاعات ناقص",IF(K662&gt;=17,"عالی",IF(K662&gt;=14,"خوب",IF(K662&gt;=10,"متوسط","ضعیف"))))))</f>
        <v/>
      </c>
      <c r="M662" s="306" t="n">
        <v>10</v>
      </c>
      <c r="N662" s="314">
        <f>IF(C662="","",COUNT(G662:J662)/4)</f>
        <v/>
      </c>
      <c r="O662" s="307" t="n"/>
    </row>
    <row r="663" ht="24" customHeight="1">
      <c r="A663" s="306" t="n">
        <v>659</v>
      </c>
      <c r="B663" s="306" t="inlineStr">
        <is>
          <t>اردیبهشت</t>
        </is>
      </c>
      <c r="C663" s="306">
        <f>IF('دانش‌آموزان'!E59="","",'دانش‌آموزان'!B59)</f>
        <v/>
      </c>
      <c r="D663" s="306">
        <f>IF('دانش‌آموزان'!C59="","",'دانش‌آموزان'!C59)</f>
        <v/>
      </c>
      <c r="E663" s="306">
        <f>IF('دانش‌آموزان'!E59="","",'دانش‌آموزان'!E59&amp;" "&amp;'دانش‌آموزان'!F59)</f>
        <v/>
      </c>
      <c r="F663" s="306">
        <f>IF('دانش‌آموزان'!I59="","",'دانش‌آموزان'!I59)</f>
        <v/>
      </c>
      <c r="G663" s="307" t="n"/>
      <c r="H663" s="307" t="n"/>
      <c r="I663" s="307" t="n"/>
      <c r="J663" s="307" t="n"/>
      <c r="K663" s="313">
        <f>IF(COUNT(G663:J663)=0,"",AVERAGE(G663:J663)*4)</f>
        <v/>
      </c>
      <c r="L663" s="306">
        <f>IF(C663="","",IF(COUNT(G663:J663)=0,"",IF(COUNT(G663:J663)&lt;4,"موقت - اطلاعات ناقص",IF(K663&gt;=17,"عالی",IF(K663&gt;=14,"خوب",IF(K663&gt;=10,"متوسط","ضعیف"))))))</f>
        <v/>
      </c>
      <c r="M663" s="306" t="n">
        <v>11</v>
      </c>
      <c r="N663" s="314">
        <f>IF(C663="","",COUNT(G663:J663)/4)</f>
        <v/>
      </c>
      <c r="O663" s="307" t="n"/>
    </row>
    <row r="664" ht="24" customHeight="1">
      <c r="A664" s="306" t="n">
        <v>660</v>
      </c>
      <c r="B664" s="306" t="inlineStr">
        <is>
          <t>خرداد</t>
        </is>
      </c>
      <c r="C664" s="306">
        <f>IF('دانش‌آموزان'!E59="","",'دانش‌آموزان'!B59)</f>
        <v/>
      </c>
      <c r="D664" s="306">
        <f>IF('دانش‌آموزان'!C59="","",'دانش‌آموزان'!C59)</f>
        <v/>
      </c>
      <c r="E664" s="306">
        <f>IF('دانش‌آموزان'!E59="","",'دانش‌آموزان'!E59&amp;" "&amp;'دانش‌آموزان'!F59)</f>
        <v/>
      </c>
      <c r="F664" s="306">
        <f>IF('دانش‌آموزان'!I59="","",'دانش‌آموزان'!I59)</f>
        <v/>
      </c>
      <c r="G664" s="307" t="n"/>
      <c r="H664" s="307" t="n"/>
      <c r="I664" s="307" t="n"/>
      <c r="J664" s="307" t="n"/>
      <c r="K664" s="313">
        <f>IF(COUNT(G664:J664)=0,"",AVERAGE(G664:J664)*4)</f>
        <v/>
      </c>
      <c r="L664" s="306">
        <f>IF(C664="","",IF(COUNT(G664:J664)=0,"",IF(COUNT(G664:J664)&lt;4,"موقت - اطلاعات ناقص",IF(K664&gt;=17,"عالی",IF(K664&gt;=14,"خوب",IF(K664&gt;=10,"متوسط","ضعیف"))))))</f>
        <v/>
      </c>
      <c r="M664" s="306" t="n">
        <v>12</v>
      </c>
      <c r="N664" s="314">
        <f>IF(C664="","",COUNT(G664:J664)/4)</f>
        <v/>
      </c>
      <c r="O664" s="307" t="n"/>
    </row>
    <row r="665" ht="24" customHeight="1">
      <c r="A665" s="306" t="n">
        <v>661</v>
      </c>
      <c r="B665" s="306" t="inlineStr">
        <is>
          <t>تیر</t>
        </is>
      </c>
      <c r="C665" s="306">
        <f>IF('دانش‌آموزان'!E60="","",'دانش‌آموزان'!B60)</f>
        <v/>
      </c>
      <c r="D665" s="306">
        <f>IF('دانش‌آموزان'!C60="","",'دانش‌آموزان'!C60)</f>
        <v/>
      </c>
      <c r="E665" s="306">
        <f>IF('دانش‌آموزان'!E60="","",'دانش‌آموزان'!E60&amp;" "&amp;'دانش‌آموزان'!F60)</f>
        <v/>
      </c>
      <c r="F665" s="306">
        <f>IF('دانش‌آموزان'!I60="","",'دانش‌آموزان'!I60)</f>
        <v/>
      </c>
      <c r="G665" s="307" t="n"/>
      <c r="H665" s="307" t="n"/>
      <c r="I665" s="307" t="n"/>
      <c r="J665" s="307" t="n"/>
      <c r="K665" s="313">
        <f>IF(COUNT(G665:J665)=0,"",AVERAGE(G665:J665)*4)</f>
        <v/>
      </c>
      <c r="L665" s="306">
        <f>IF(C665="","",IF(COUNT(G665:J665)=0,"",IF(COUNT(G665:J665)&lt;4,"موقت - اطلاعات ناقص",IF(K665&gt;=17,"عالی",IF(K665&gt;=14,"خوب",IF(K665&gt;=10,"متوسط","ضعیف"))))))</f>
        <v/>
      </c>
      <c r="M665" s="306" t="n">
        <v>1</v>
      </c>
      <c r="N665" s="314">
        <f>IF(C665="","",COUNT(G665:J665)/4)</f>
        <v/>
      </c>
      <c r="O665" s="307" t="n"/>
    </row>
    <row r="666" ht="24" customHeight="1">
      <c r="A666" s="306" t="n">
        <v>662</v>
      </c>
      <c r="B666" s="306" t="inlineStr">
        <is>
          <t>مرداد</t>
        </is>
      </c>
      <c r="C666" s="306">
        <f>IF('دانش‌آموزان'!E60="","",'دانش‌آموزان'!B60)</f>
        <v/>
      </c>
      <c r="D666" s="306">
        <f>IF('دانش‌آموزان'!C60="","",'دانش‌آموزان'!C60)</f>
        <v/>
      </c>
      <c r="E666" s="306">
        <f>IF('دانش‌آموزان'!E60="","",'دانش‌آموزان'!E60&amp;" "&amp;'دانش‌آموزان'!F60)</f>
        <v/>
      </c>
      <c r="F666" s="306">
        <f>IF('دانش‌آموزان'!I60="","",'دانش‌آموزان'!I60)</f>
        <v/>
      </c>
      <c r="G666" s="307" t="n"/>
      <c r="H666" s="307" t="n"/>
      <c r="I666" s="307" t="n"/>
      <c r="J666" s="307" t="n"/>
      <c r="K666" s="313">
        <f>IF(COUNT(G666:J666)=0,"",AVERAGE(G666:J666)*4)</f>
        <v/>
      </c>
      <c r="L666" s="306">
        <f>IF(C666="","",IF(COUNT(G666:J666)=0,"",IF(COUNT(G666:J666)&lt;4,"موقت - اطلاعات ناقص",IF(K666&gt;=17,"عالی",IF(K666&gt;=14,"خوب",IF(K666&gt;=10,"متوسط","ضعیف"))))))</f>
        <v/>
      </c>
      <c r="M666" s="306" t="n">
        <v>2</v>
      </c>
      <c r="N666" s="314">
        <f>IF(C666="","",COUNT(G666:J666)/4)</f>
        <v/>
      </c>
      <c r="O666" s="307" t="n"/>
    </row>
    <row r="667" ht="24" customHeight="1">
      <c r="A667" s="306" t="n">
        <v>663</v>
      </c>
      <c r="B667" s="306" t="inlineStr">
        <is>
          <t>شهریور</t>
        </is>
      </c>
      <c r="C667" s="306">
        <f>IF('دانش‌آموزان'!E60="","",'دانش‌آموزان'!B60)</f>
        <v/>
      </c>
      <c r="D667" s="306">
        <f>IF('دانش‌آموزان'!C60="","",'دانش‌آموزان'!C60)</f>
        <v/>
      </c>
      <c r="E667" s="306">
        <f>IF('دانش‌آموزان'!E60="","",'دانش‌آموزان'!E60&amp;" "&amp;'دانش‌آموزان'!F60)</f>
        <v/>
      </c>
      <c r="F667" s="306">
        <f>IF('دانش‌آموزان'!I60="","",'دانش‌آموزان'!I60)</f>
        <v/>
      </c>
      <c r="G667" s="307" t="n"/>
      <c r="H667" s="307" t="n"/>
      <c r="I667" s="307" t="n"/>
      <c r="J667" s="307" t="n"/>
      <c r="K667" s="313">
        <f>IF(COUNT(G667:J667)=0,"",AVERAGE(G667:J667)*4)</f>
        <v/>
      </c>
      <c r="L667" s="306">
        <f>IF(C667="","",IF(COUNT(G667:J667)=0,"",IF(COUNT(G667:J667)&lt;4,"موقت - اطلاعات ناقص",IF(K667&gt;=17,"عالی",IF(K667&gt;=14,"خوب",IF(K667&gt;=10,"متوسط","ضعیف"))))))</f>
        <v/>
      </c>
      <c r="M667" s="306" t="n">
        <v>3</v>
      </c>
      <c r="N667" s="314">
        <f>IF(C667="","",COUNT(G667:J667)/4)</f>
        <v/>
      </c>
      <c r="O667" s="307" t="n"/>
    </row>
    <row r="668" ht="24" customHeight="1">
      <c r="A668" s="306" t="n">
        <v>664</v>
      </c>
      <c r="B668" s="306" t="inlineStr">
        <is>
          <t>مهر</t>
        </is>
      </c>
      <c r="C668" s="306">
        <f>IF('دانش‌آموزان'!E60="","",'دانش‌آموزان'!B60)</f>
        <v/>
      </c>
      <c r="D668" s="306">
        <f>IF('دانش‌آموزان'!C60="","",'دانش‌آموزان'!C60)</f>
        <v/>
      </c>
      <c r="E668" s="306">
        <f>IF('دانش‌آموزان'!E60="","",'دانش‌آموزان'!E60&amp;" "&amp;'دانش‌آموزان'!F60)</f>
        <v/>
      </c>
      <c r="F668" s="306">
        <f>IF('دانش‌آموزان'!I60="","",'دانش‌آموزان'!I60)</f>
        <v/>
      </c>
      <c r="G668" s="307" t="n"/>
      <c r="H668" s="307" t="n"/>
      <c r="I668" s="307" t="n"/>
      <c r="J668" s="307" t="n"/>
      <c r="K668" s="313">
        <f>IF(COUNT(G668:J668)=0,"",AVERAGE(G668:J668)*4)</f>
        <v/>
      </c>
      <c r="L668" s="306">
        <f>IF(C668="","",IF(COUNT(G668:J668)=0,"",IF(COUNT(G668:J668)&lt;4,"موقت - اطلاعات ناقص",IF(K668&gt;=17,"عالی",IF(K668&gt;=14,"خوب",IF(K668&gt;=10,"متوسط","ضعیف"))))))</f>
        <v/>
      </c>
      <c r="M668" s="306" t="n">
        <v>4</v>
      </c>
      <c r="N668" s="314">
        <f>IF(C668="","",COUNT(G668:J668)/4)</f>
        <v/>
      </c>
      <c r="O668" s="307" t="n"/>
    </row>
    <row r="669" ht="24" customHeight="1">
      <c r="A669" s="306" t="n">
        <v>665</v>
      </c>
      <c r="B669" s="306" t="inlineStr">
        <is>
          <t>آبان</t>
        </is>
      </c>
      <c r="C669" s="306">
        <f>IF('دانش‌آموزان'!E60="","",'دانش‌آموزان'!B60)</f>
        <v/>
      </c>
      <c r="D669" s="306">
        <f>IF('دانش‌آموزان'!C60="","",'دانش‌آموزان'!C60)</f>
        <v/>
      </c>
      <c r="E669" s="306">
        <f>IF('دانش‌آموزان'!E60="","",'دانش‌آموزان'!E60&amp;" "&amp;'دانش‌آموزان'!F60)</f>
        <v/>
      </c>
      <c r="F669" s="306">
        <f>IF('دانش‌آموزان'!I60="","",'دانش‌آموزان'!I60)</f>
        <v/>
      </c>
      <c r="G669" s="307" t="n"/>
      <c r="H669" s="307" t="n"/>
      <c r="I669" s="307" t="n"/>
      <c r="J669" s="307" t="n"/>
      <c r="K669" s="313">
        <f>IF(COUNT(G669:J669)=0,"",AVERAGE(G669:J669)*4)</f>
        <v/>
      </c>
      <c r="L669" s="306">
        <f>IF(C669="","",IF(COUNT(G669:J669)=0,"",IF(COUNT(G669:J669)&lt;4,"موقت - اطلاعات ناقص",IF(K669&gt;=17,"عالی",IF(K669&gt;=14,"خوب",IF(K669&gt;=10,"متوسط","ضعیف"))))))</f>
        <v/>
      </c>
      <c r="M669" s="306" t="n">
        <v>5</v>
      </c>
      <c r="N669" s="314">
        <f>IF(C669="","",COUNT(G669:J669)/4)</f>
        <v/>
      </c>
      <c r="O669" s="307" t="n"/>
    </row>
    <row r="670" ht="24" customHeight="1">
      <c r="A670" s="306" t="n">
        <v>666</v>
      </c>
      <c r="B670" s="306" t="inlineStr">
        <is>
          <t>آذر</t>
        </is>
      </c>
      <c r="C670" s="306">
        <f>IF('دانش‌آموزان'!E60="","",'دانش‌آموزان'!B60)</f>
        <v/>
      </c>
      <c r="D670" s="306">
        <f>IF('دانش‌آموزان'!C60="","",'دانش‌آموزان'!C60)</f>
        <v/>
      </c>
      <c r="E670" s="306">
        <f>IF('دانش‌آموزان'!E60="","",'دانش‌آموزان'!E60&amp;" "&amp;'دانش‌آموزان'!F60)</f>
        <v/>
      </c>
      <c r="F670" s="306">
        <f>IF('دانش‌آموزان'!I60="","",'دانش‌آموزان'!I60)</f>
        <v/>
      </c>
      <c r="G670" s="307" t="n"/>
      <c r="H670" s="307" t="n"/>
      <c r="I670" s="307" t="n"/>
      <c r="J670" s="307" t="n"/>
      <c r="K670" s="313">
        <f>IF(COUNT(G670:J670)=0,"",AVERAGE(G670:J670)*4)</f>
        <v/>
      </c>
      <c r="L670" s="306">
        <f>IF(C670="","",IF(COUNT(G670:J670)=0,"",IF(COUNT(G670:J670)&lt;4,"موقت - اطلاعات ناقص",IF(K670&gt;=17,"عالی",IF(K670&gt;=14,"خوب",IF(K670&gt;=10,"متوسط","ضعیف"))))))</f>
        <v/>
      </c>
      <c r="M670" s="306" t="n">
        <v>6</v>
      </c>
      <c r="N670" s="314">
        <f>IF(C670="","",COUNT(G670:J670)/4)</f>
        <v/>
      </c>
      <c r="O670" s="307" t="n"/>
    </row>
    <row r="671" ht="24" customHeight="1">
      <c r="A671" s="306" t="n">
        <v>667</v>
      </c>
      <c r="B671" s="306" t="inlineStr">
        <is>
          <t>دی</t>
        </is>
      </c>
      <c r="C671" s="306">
        <f>IF('دانش‌آموزان'!E60="","",'دانش‌آموزان'!B60)</f>
        <v/>
      </c>
      <c r="D671" s="306">
        <f>IF('دانش‌آموزان'!C60="","",'دانش‌آموزان'!C60)</f>
        <v/>
      </c>
      <c r="E671" s="306">
        <f>IF('دانش‌آموزان'!E60="","",'دانش‌آموزان'!E60&amp;" "&amp;'دانش‌آموزان'!F60)</f>
        <v/>
      </c>
      <c r="F671" s="306">
        <f>IF('دانش‌آموزان'!I60="","",'دانش‌آموزان'!I60)</f>
        <v/>
      </c>
      <c r="G671" s="307" t="n"/>
      <c r="H671" s="307" t="n"/>
      <c r="I671" s="307" t="n"/>
      <c r="J671" s="307" t="n"/>
      <c r="K671" s="313">
        <f>IF(COUNT(G671:J671)=0,"",AVERAGE(G671:J671)*4)</f>
        <v/>
      </c>
      <c r="L671" s="306">
        <f>IF(C671="","",IF(COUNT(G671:J671)=0,"",IF(COUNT(G671:J671)&lt;4,"موقت - اطلاعات ناقص",IF(K671&gt;=17,"عالی",IF(K671&gt;=14,"خوب",IF(K671&gt;=10,"متوسط","ضعیف"))))))</f>
        <v/>
      </c>
      <c r="M671" s="306" t="n">
        <v>7</v>
      </c>
      <c r="N671" s="314">
        <f>IF(C671="","",COUNT(G671:J671)/4)</f>
        <v/>
      </c>
      <c r="O671" s="307" t="n"/>
    </row>
    <row r="672" ht="24" customHeight="1">
      <c r="A672" s="306" t="n">
        <v>668</v>
      </c>
      <c r="B672" s="306" t="inlineStr">
        <is>
          <t>بهمن</t>
        </is>
      </c>
      <c r="C672" s="306">
        <f>IF('دانش‌آموزان'!E60="","",'دانش‌آموزان'!B60)</f>
        <v/>
      </c>
      <c r="D672" s="306">
        <f>IF('دانش‌آموزان'!C60="","",'دانش‌آموزان'!C60)</f>
        <v/>
      </c>
      <c r="E672" s="306">
        <f>IF('دانش‌آموزان'!E60="","",'دانش‌آموزان'!E60&amp;" "&amp;'دانش‌آموزان'!F60)</f>
        <v/>
      </c>
      <c r="F672" s="306">
        <f>IF('دانش‌آموزان'!I60="","",'دانش‌آموزان'!I60)</f>
        <v/>
      </c>
      <c r="G672" s="307" t="n"/>
      <c r="H672" s="307" t="n"/>
      <c r="I672" s="307" t="n"/>
      <c r="J672" s="307" t="n"/>
      <c r="K672" s="313">
        <f>IF(COUNT(G672:J672)=0,"",AVERAGE(G672:J672)*4)</f>
        <v/>
      </c>
      <c r="L672" s="306">
        <f>IF(C672="","",IF(COUNT(G672:J672)=0,"",IF(COUNT(G672:J672)&lt;4,"موقت - اطلاعات ناقص",IF(K672&gt;=17,"عالی",IF(K672&gt;=14,"خوب",IF(K672&gt;=10,"متوسط","ضعیف"))))))</f>
        <v/>
      </c>
      <c r="M672" s="306" t="n">
        <v>8</v>
      </c>
      <c r="N672" s="314">
        <f>IF(C672="","",COUNT(G672:J672)/4)</f>
        <v/>
      </c>
      <c r="O672" s="307" t="n"/>
    </row>
    <row r="673" ht="24" customHeight="1">
      <c r="A673" s="306" t="n">
        <v>669</v>
      </c>
      <c r="B673" s="306" t="inlineStr">
        <is>
          <t>اسفند</t>
        </is>
      </c>
      <c r="C673" s="306">
        <f>IF('دانش‌آموزان'!E60="","",'دانش‌آموزان'!B60)</f>
        <v/>
      </c>
      <c r="D673" s="306">
        <f>IF('دانش‌آموزان'!C60="","",'دانش‌آموزان'!C60)</f>
        <v/>
      </c>
      <c r="E673" s="306">
        <f>IF('دانش‌آموزان'!E60="","",'دانش‌آموزان'!E60&amp;" "&amp;'دانش‌آموزان'!F60)</f>
        <v/>
      </c>
      <c r="F673" s="306">
        <f>IF('دانش‌آموزان'!I60="","",'دانش‌آموزان'!I60)</f>
        <v/>
      </c>
      <c r="G673" s="307" t="n"/>
      <c r="H673" s="307" t="n"/>
      <c r="I673" s="307" t="n"/>
      <c r="J673" s="307" t="n"/>
      <c r="K673" s="313">
        <f>IF(COUNT(G673:J673)=0,"",AVERAGE(G673:J673)*4)</f>
        <v/>
      </c>
      <c r="L673" s="306">
        <f>IF(C673="","",IF(COUNT(G673:J673)=0,"",IF(COUNT(G673:J673)&lt;4,"موقت - اطلاعات ناقص",IF(K673&gt;=17,"عالی",IF(K673&gt;=14,"خوب",IF(K673&gt;=10,"متوسط","ضعیف"))))))</f>
        <v/>
      </c>
      <c r="M673" s="306" t="n">
        <v>9</v>
      </c>
      <c r="N673" s="314">
        <f>IF(C673="","",COUNT(G673:J673)/4)</f>
        <v/>
      </c>
      <c r="O673" s="307" t="n"/>
    </row>
    <row r="674" ht="24" customHeight="1">
      <c r="A674" s="306" t="n">
        <v>670</v>
      </c>
      <c r="B674" s="306" t="inlineStr">
        <is>
          <t>فروردین</t>
        </is>
      </c>
      <c r="C674" s="306">
        <f>IF('دانش‌آموزان'!E60="","",'دانش‌آموزان'!B60)</f>
        <v/>
      </c>
      <c r="D674" s="306">
        <f>IF('دانش‌آموزان'!C60="","",'دانش‌آموزان'!C60)</f>
        <v/>
      </c>
      <c r="E674" s="306">
        <f>IF('دانش‌آموزان'!E60="","",'دانش‌آموزان'!E60&amp;" "&amp;'دانش‌آموزان'!F60)</f>
        <v/>
      </c>
      <c r="F674" s="306">
        <f>IF('دانش‌آموزان'!I60="","",'دانش‌آموزان'!I60)</f>
        <v/>
      </c>
      <c r="G674" s="307" t="n"/>
      <c r="H674" s="307" t="n"/>
      <c r="I674" s="307" t="n"/>
      <c r="J674" s="307" t="n"/>
      <c r="K674" s="313">
        <f>IF(COUNT(G674:J674)=0,"",AVERAGE(G674:J674)*4)</f>
        <v/>
      </c>
      <c r="L674" s="306">
        <f>IF(C674="","",IF(COUNT(G674:J674)=0,"",IF(COUNT(G674:J674)&lt;4,"موقت - اطلاعات ناقص",IF(K674&gt;=17,"عالی",IF(K674&gt;=14,"خوب",IF(K674&gt;=10,"متوسط","ضعیف"))))))</f>
        <v/>
      </c>
      <c r="M674" s="306" t="n">
        <v>10</v>
      </c>
      <c r="N674" s="314">
        <f>IF(C674="","",COUNT(G674:J674)/4)</f>
        <v/>
      </c>
      <c r="O674" s="307" t="n"/>
    </row>
    <row r="675" ht="24" customHeight="1">
      <c r="A675" s="306" t="n">
        <v>671</v>
      </c>
      <c r="B675" s="306" t="inlineStr">
        <is>
          <t>اردیبهشت</t>
        </is>
      </c>
      <c r="C675" s="306">
        <f>IF('دانش‌آموزان'!E60="","",'دانش‌آموزان'!B60)</f>
        <v/>
      </c>
      <c r="D675" s="306">
        <f>IF('دانش‌آموزان'!C60="","",'دانش‌آموزان'!C60)</f>
        <v/>
      </c>
      <c r="E675" s="306">
        <f>IF('دانش‌آموزان'!E60="","",'دانش‌آموزان'!E60&amp;" "&amp;'دانش‌آموزان'!F60)</f>
        <v/>
      </c>
      <c r="F675" s="306">
        <f>IF('دانش‌آموزان'!I60="","",'دانش‌آموزان'!I60)</f>
        <v/>
      </c>
      <c r="G675" s="307" t="n"/>
      <c r="H675" s="307" t="n"/>
      <c r="I675" s="307" t="n"/>
      <c r="J675" s="307" t="n"/>
      <c r="K675" s="313">
        <f>IF(COUNT(G675:J675)=0,"",AVERAGE(G675:J675)*4)</f>
        <v/>
      </c>
      <c r="L675" s="306">
        <f>IF(C675="","",IF(COUNT(G675:J675)=0,"",IF(COUNT(G675:J675)&lt;4,"موقت - اطلاعات ناقص",IF(K675&gt;=17,"عالی",IF(K675&gt;=14,"خوب",IF(K675&gt;=10,"متوسط","ضعیف"))))))</f>
        <v/>
      </c>
      <c r="M675" s="306" t="n">
        <v>11</v>
      </c>
      <c r="N675" s="314">
        <f>IF(C675="","",COUNT(G675:J675)/4)</f>
        <v/>
      </c>
      <c r="O675" s="307" t="n"/>
    </row>
    <row r="676" ht="24" customHeight="1">
      <c r="A676" s="306" t="n">
        <v>672</v>
      </c>
      <c r="B676" s="306" t="inlineStr">
        <is>
          <t>خرداد</t>
        </is>
      </c>
      <c r="C676" s="306">
        <f>IF('دانش‌آموزان'!E60="","",'دانش‌آموزان'!B60)</f>
        <v/>
      </c>
      <c r="D676" s="306">
        <f>IF('دانش‌آموزان'!C60="","",'دانش‌آموزان'!C60)</f>
        <v/>
      </c>
      <c r="E676" s="306">
        <f>IF('دانش‌آموزان'!E60="","",'دانش‌آموزان'!E60&amp;" "&amp;'دانش‌آموزان'!F60)</f>
        <v/>
      </c>
      <c r="F676" s="306">
        <f>IF('دانش‌آموزان'!I60="","",'دانش‌آموزان'!I60)</f>
        <v/>
      </c>
      <c r="G676" s="307" t="n"/>
      <c r="H676" s="307" t="n"/>
      <c r="I676" s="307" t="n"/>
      <c r="J676" s="307" t="n"/>
      <c r="K676" s="313">
        <f>IF(COUNT(G676:J676)=0,"",AVERAGE(G676:J676)*4)</f>
        <v/>
      </c>
      <c r="L676" s="306">
        <f>IF(C676="","",IF(COUNT(G676:J676)=0,"",IF(COUNT(G676:J676)&lt;4,"موقت - اطلاعات ناقص",IF(K676&gt;=17,"عالی",IF(K676&gt;=14,"خوب",IF(K676&gt;=10,"متوسط","ضعیف"))))))</f>
        <v/>
      </c>
      <c r="M676" s="306" t="n">
        <v>12</v>
      </c>
      <c r="N676" s="314">
        <f>IF(C676="","",COUNT(G676:J676)/4)</f>
        <v/>
      </c>
      <c r="O676" s="307" t="n"/>
    </row>
    <row r="677" ht="24" customHeight="1">
      <c r="A677" s="306" t="n">
        <v>673</v>
      </c>
      <c r="B677" s="306" t="inlineStr">
        <is>
          <t>تیر</t>
        </is>
      </c>
      <c r="C677" s="306">
        <f>IF('دانش‌آموزان'!E61="","",'دانش‌آموزان'!B61)</f>
        <v/>
      </c>
      <c r="D677" s="306">
        <f>IF('دانش‌آموزان'!C61="","",'دانش‌آموزان'!C61)</f>
        <v/>
      </c>
      <c r="E677" s="306">
        <f>IF('دانش‌آموزان'!E61="","",'دانش‌آموزان'!E61&amp;" "&amp;'دانش‌آموزان'!F61)</f>
        <v/>
      </c>
      <c r="F677" s="306">
        <f>IF('دانش‌آموزان'!I61="","",'دانش‌آموزان'!I61)</f>
        <v/>
      </c>
      <c r="G677" s="307" t="n"/>
      <c r="H677" s="307" t="n"/>
      <c r="I677" s="307" t="n"/>
      <c r="J677" s="307" t="n"/>
      <c r="K677" s="313">
        <f>IF(COUNT(G677:J677)=0,"",AVERAGE(G677:J677)*4)</f>
        <v/>
      </c>
      <c r="L677" s="306">
        <f>IF(C677="","",IF(COUNT(G677:J677)=0,"",IF(COUNT(G677:J677)&lt;4,"موقت - اطلاعات ناقص",IF(K677&gt;=17,"عالی",IF(K677&gt;=14,"خوب",IF(K677&gt;=10,"متوسط","ضعیف"))))))</f>
        <v/>
      </c>
      <c r="M677" s="306" t="n">
        <v>1</v>
      </c>
      <c r="N677" s="314">
        <f>IF(C677="","",COUNT(G677:J677)/4)</f>
        <v/>
      </c>
      <c r="O677" s="307" t="n"/>
    </row>
    <row r="678" ht="24" customHeight="1">
      <c r="A678" s="306" t="n">
        <v>674</v>
      </c>
      <c r="B678" s="306" t="inlineStr">
        <is>
          <t>مرداد</t>
        </is>
      </c>
      <c r="C678" s="306">
        <f>IF('دانش‌آموزان'!E61="","",'دانش‌آموزان'!B61)</f>
        <v/>
      </c>
      <c r="D678" s="306">
        <f>IF('دانش‌آموزان'!C61="","",'دانش‌آموزان'!C61)</f>
        <v/>
      </c>
      <c r="E678" s="306">
        <f>IF('دانش‌آموزان'!E61="","",'دانش‌آموزان'!E61&amp;" "&amp;'دانش‌آموزان'!F61)</f>
        <v/>
      </c>
      <c r="F678" s="306">
        <f>IF('دانش‌آموزان'!I61="","",'دانش‌آموزان'!I61)</f>
        <v/>
      </c>
      <c r="G678" s="307" t="n"/>
      <c r="H678" s="307" t="n"/>
      <c r="I678" s="307" t="n"/>
      <c r="J678" s="307" t="n"/>
      <c r="K678" s="313">
        <f>IF(COUNT(G678:J678)=0,"",AVERAGE(G678:J678)*4)</f>
        <v/>
      </c>
      <c r="L678" s="306">
        <f>IF(C678="","",IF(COUNT(G678:J678)=0,"",IF(COUNT(G678:J678)&lt;4,"موقت - اطلاعات ناقص",IF(K678&gt;=17,"عالی",IF(K678&gt;=14,"خوب",IF(K678&gt;=10,"متوسط","ضعیف"))))))</f>
        <v/>
      </c>
      <c r="M678" s="306" t="n">
        <v>2</v>
      </c>
      <c r="N678" s="314">
        <f>IF(C678="","",COUNT(G678:J678)/4)</f>
        <v/>
      </c>
      <c r="O678" s="307" t="n"/>
    </row>
    <row r="679" ht="24" customHeight="1">
      <c r="A679" s="306" t="n">
        <v>675</v>
      </c>
      <c r="B679" s="306" t="inlineStr">
        <is>
          <t>شهریور</t>
        </is>
      </c>
      <c r="C679" s="306">
        <f>IF('دانش‌آموزان'!E61="","",'دانش‌آموزان'!B61)</f>
        <v/>
      </c>
      <c r="D679" s="306">
        <f>IF('دانش‌آموزان'!C61="","",'دانش‌آموزان'!C61)</f>
        <v/>
      </c>
      <c r="E679" s="306">
        <f>IF('دانش‌آموزان'!E61="","",'دانش‌آموزان'!E61&amp;" "&amp;'دانش‌آموزان'!F61)</f>
        <v/>
      </c>
      <c r="F679" s="306">
        <f>IF('دانش‌آموزان'!I61="","",'دانش‌آموزان'!I61)</f>
        <v/>
      </c>
      <c r="G679" s="307" t="n"/>
      <c r="H679" s="307" t="n"/>
      <c r="I679" s="307" t="n"/>
      <c r="J679" s="307" t="n"/>
      <c r="K679" s="313">
        <f>IF(COUNT(G679:J679)=0,"",AVERAGE(G679:J679)*4)</f>
        <v/>
      </c>
      <c r="L679" s="306">
        <f>IF(C679="","",IF(COUNT(G679:J679)=0,"",IF(COUNT(G679:J679)&lt;4,"موقت - اطلاعات ناقص",IF(K679&gt;=17,"عالی",IF(K679&gt;=14,"خوب",IF(K679&gt;=10,"متوسط","ضعیف"))))))</f>
        <v/>
      </c>
      <c r="M679" s="306" t="n">
        <v>3</v>
      </c>
      <c r="N679" s="314">
        <f>IF(C679="","",COUNT(G679:J679)/4)</f>
        <v/>
      </c>
      <c r="O679" s="307" t="n"/>
    </row>
    <row r="680" ht="24" customHeight="1">
      <c r="A680" s="306" t="n">
        <v>676</v>
      </c>
      <c r="B680" s="306" t="inlineStr">
        <is>
          <t>مهر</t>
        </is>
      </c>
      <c r="C680" s="306">
        <f>IF('دانش‌آموزان'!E61="","",'دانش‌آموزان'!B61)</f>
        <v/>
      </c>
      <c r="D680" s="306">
        <f>IF('دانش‌آموزان'!C61="","",'دانش‌آموزان'!C61)</f>
        <v/>
      </c>
      <c r="E680" s="306">
        <f>IF('دانش‌آموزان'!E61="","",'دانش‌آموزان'!E61&amp;" "&amp;'دانش‌آموزان'!F61)</f>
        <v/>
      </c>
      <c r="F680" s="306">
        <f>IF('دانش‌آموزان'!I61="","",'دانش‌آموزان'!I61)</f>
        <v/>
      </c>
      <c r="G680" s="307" t="n"/>
      <c r="H680" s="307" t="n"/>
      <c r="I680" s="307" t="n"/>
      <c r="J680" s="307" t="n"/>
      <c r="K680" s="313">
        <f>IF(COUNT(G680:J680)=0,"",AVERAGE(G680:J680)*4)</f>
        <v/>
      </c>
      <c r="L680" s="306">
        <f>IF(C680="","",IF(COUNT(G680:J680)=0,"",IF(COUNT(G680:J680)&lt;4,"موقت - اطلاعات ناقص",IF(K680&gt;=17,"عالی",IF(K680&gt;=14,"خوب",IF(K680&gt;=10,"متوسط","ضعیف"))))))</f>
        <v/>
      </c>
      <c r="M680" s="306" t="n">
        <v>4</v>
      </c>
      <c r="N680" s="314">
        <f>IF(C680="","",COUNT(G680:J680)/4)</f>
        <v/>
      </c>
      <c r="O680" s="307" t="n"/>
    </row>
    <row r="681" ht="24" customHeight="1">
      <c r="A681" s="306" t="n">
        <v>677</v>
      </c>
      <c r="B681" s="306" t="inlineStr">
        <is>
          <t>آبان</t>
        </is>
      </c>
      <c r="C681" s="306">
        <f>IF('دانش‌آموزان'!E61="","",'دانش‌آموزان'!B61)</f>
        <v/>
      </c>
      <c r="D681" s="306">
        <f>IF('دانش‌آموزان'!C61="","",'دانش‌آموزان'!C61)</f>
        <v/>
      </c>
      <c r="E681" s="306">
        <f>IF('دانش‌آموزان'!E61="","",'دانش‌آموزان'!E61&amp;" "&amp;'دانش‌آموزان'!F61)</f>
        <v/>
      </c>
      <c r="F681" s="306">
        <f>IF('دانش‌آموزان'!I61="","",'دانش‌آموزان'!I61)</f>
        <v/>
      </c>
      <c r="G681" s="307" t="n"/>
      <c r="H681" s="307" t="n"/>
      <c r="I681" s="307" t="n"/>
      <c r="J681" s="307" t="n"/>
      <c r="K681" s="313">
        <f>IF(COUNT(G681:J681)=0,"",AVERAGE(G681:J681)*4)</f>
        <v/>
      </c>
      <c r="L681" s="306">
        <f>IF(C681="","",IF(COUNT(G681:J681)=0,"",IF(COUNT(G681:J681)&lt;4,"موقت - اطلاعات ناقص",IF(K681&gt;=17,"عالی",IF(K681&gt;=14,"خوب",IF(K681&gt;=10,"متوسط","ضعیف"))))))</f>
        <v/>
      </c>
      <c r="M681" s="306" t="n">
        <v>5</v>
      </c>
      <c r="N681" s="314">
        <f>IF(C681="","",COUNT(G681:J681)/4)</f>
        <v/>
      </c>
      <c r="O681" s="307" t="n"/>
    </row>
    <row r="682" ht="24" customHeight="1">
      <c r="A682" s="306" t="n">
        <v>678</v>
      </c>
      <c r="B682" s="306" t="inlineStr">
        <is>
          <t>آذر</t>
        </is>
      </c>
      <c r="C682" s="306">
        <f>IF('دانش‌آموزان'!E61="","",'دانش‌آموزان'!B61)</f>
        <v/>
      </c>
      <c r="D682" s="306">
        <f>IF('دانش‌آموزان'!C61="","",'دانش‌آموزان'!C61)</f>
        <v/>
      </c>
      <c r="E682" s="306">
        <f>IF('دانش‌آموزان'!E61="","",'دانش‌آموزان'!E61&amp;" "&amp;'دانش‌آموزان'!F61)</f>
        <v/>
      </c>
      <c r="F682" s="306">
        <f>IF('دانش‌آموزان'!I61="","",'دانش‌آموزان'!I61)</f>
        <v/>
      </c>
      <c r="G682" s="307" t="n"/>
      <c r="H682" s="307" t="n"/>
      <c r="I682" s="307" t="n"/>
      <c r="J682" s="307" t="n"/>
      <c r="K682" s="313">
        <f>IF(COUNT(G682:J682)=0,"",AVERAGE(G682:J682)*4)</f>
        <v/>
      </c>
      <c r="L682" s="306">
        <f>IF(C682="","",IF(COUNT(G682:J682)=0,"",IF(COUNT(G682:J682)&lt;4,"موقت - اطلاعات ناقص",IF(K682&gt;=17,"عالی",IF(K682&gt;=14,"خوب",IF(K682&gt;=10,"متوسط","ضعیف"))))))</f>
        <v/>
      </c>
      <c r="M682" s="306" t="n">
        <v>6</v>
      </c>
      <c r="N682" s="314">
        <f>IF(C682="","",COUNT(G682:J682)/4)</f>
        <v/>
      </c>
      <c r="O682" s="307" t="n"/>
    </row>
    <row r="683" ht="24" customHeight="1">
      <c r="A683" s="306" t="n">
        <v>679</v>
      </c>
      <c r="B683" s="306" t="inlineStr">
        <is>
          <t>دی</t>
        </is>
      </c>
      <c r="C683" s="306">
        <f>IF('دانش‌آموزان'!E61="","",'دانش‌آموزان'!B61)</f>
        <v/>
      </c>
      <c r="D683" s="306">
        <f>IF('دانش‌آموزان'!C61="","",'دانش‌آموزان'!C61)</f>
        <v/>
      </c>
      <c r="E683" s="306">
        <f>IF('دانش‌آموزان'!E61="","",'دانش‌آموزان'!E61&amp;" "&amp;'دانش‌آموزان'!F61)</f>
        <v/>
      </c>
      <c r="F683" s="306">
        <f>IF('دانش‌آموزان'!I61="","",'دانش‌آموزان'!I61)</f>
        <v/>
      </c>
      <c r="G683" s="307" t="n"/>
      <c r="H683" s="307" t="n"/>
      <c r="I683" s="307" t="n"/>
      <c r="J683" s="307" t="n"/>
      <c r="K683" s="313">
        <f>IF(COUNT(G683:J683)=0,"",AVERAGE(G683:J683)*4)</f>
        <v/>
      </c>
      <c r="L683" s="306">
        <f>IF(C683="","",IF(COUNT(G683:J683)=0,"",IF(COUNT(G683:J683)&lt;4,"موقت - اطلاعات ناقص",IF(K683&gt;=17,"عالی",IF(K683&gt;=14,"خوب",IF(K683&gt;=10,"متوسط","ضعیف"))))))</f>
        <v/>
      </c>
      <c r="M683" s="306" t="n">
        <v>7</v>
      </c>
      <c r="N683" s="314">
        <f>IF(C683="","",COUNT(G683:J683)/4)</f>
        <v/>
      </c>
      <c r="O683" s="307" t="n"/>
    </row>
    <row r="684" ht="24" customHeight="1">
      <c r="A684" s="306" t="n">
        <v>680</v>
      </c>
      <c r="B684" s="306" t="inlineStr">
        <is>
          <t>بهمن</t>
        </is>
      </c>
      <c r="C684" s="306">
        <f>IF('دانش‌آموزان'!E61="","",'دانش‌آموزان'!B61)</f>
        <v/>
      </c>
      <c r="D684" s="306">
        <f>IF('دانش‌آموزان'!C61="","",'دانش‌آموزان'!C61)</f>
        <v/>
      </c>
      <c r="E684" s="306">
        <f>IF('دانش‌آموزان'!E61="","",'دانش‌آموزان'!E61&amp;" "&amp;'دانش‌آموزان'!F61)</f>
        <v/>
      </c>
      <c r="F684" s="306">
        <f>IF('دانش‌آموزان'!I61="","",'دانش‌آموزان'!I61)</f>
        <v/>
      </c>
      <c r="G684" s="307" t="n"/>
      <c r="H684" s="307" t="n"/>
      <c r="I684" s="307" t="n"/>
      <c r="J684" s="307" t="n"/>
      <c r="K684" s="313">
        <f>IF(COUNT(G684:J684)=0,"",AVERAGE(G684:J684)*4)</f>
        <v/>
      </c>
      <c r="L684" s="306">
        <f>IF(C684="","",IF(COUNT(G684:J684)=0,"",IF(COUNT(G684:J684)&lt;4,"موقت - اطلاعات ناقص",IF(K684&gt;=17,"عالی",IF(K684&gt;=14,"خوب",IF(K684&gt;=10,"متوسط","ضعیف"))))))</f>
        <v/>
      </c>
      <c r="M684" s="306" t="n">
        <v>8</v>
      </c>
      <c r="N684" s="314">
        <f>IF(C684="","",COUNT(G684:J684)/4)</f>
        <v/>
      </c>
      <c r="O684" s="307" t="n"/>
    </row>
    <row r="685" ht="24" customHeight="1">
      <c r="A685" s="306" t="n">
        <v>681</v>
      </c>
      <c r="B685" s="306" t="inlineStr">
        <is>
          <t>اسفند</t>
        </is>
      </c>
      <c r="C685" s="306">
        <f>IF('دانش‌آموزان'!E61="","",'دانش‌آموزان'!B61)</f>
        <v/>
      </c>
      <c r="D685" s="306">
        <f>IF('دانش‌آموزان'!C61="","",'دانش‌آموزان'!C61)</f>
        <v/>
      </c>
      <c r="E685" s="306">
        <f>IF('دانش‌آموزان'!E61="","",'دانش‌آموزان'!E61&amp;" "&amp;'دانش‌آموزان'!F61)</f>
        <v/>
      </c>
      <c r="F685" s="306">
        <f>IF('دانش‌آموزان'!I61="","",'دانش‌آموزان'!I61)</f>
        <v/>
      </c>
      <c r="G685" s="307" t="n"/>
      <c r="H685" s="307" t="n"/>
      <c r="I685" s="307" t="n"/>
      <c r="J685" s="307" t="n"/>
      <c r="K685" s="313">
        <f>IF(COUNT(G685:J685)=0,"",AVERAGE(G685:J685)*4)</f>
        <v/>
      </c>
      <c r="L685" s="306">
        <f>IF(C685="","",IF(COUNT(G685:J685)=0,"",IF(COUNT(G685:J685)&lt;4,"موقت - اطلاعات ناقص",IF(K685&gt;=17,"عالی",IF(K685&gt;=14,"خوب",IF(K685&gt;=10,"متوسط","ضعیف"))))))</f>
        <v/>
      </c>
      <c r="M685" s="306" t="n">
        <v>9</v>
      </c>
      <c r="N685" s="314">
        <f>IF(C685="","",COUNT(G685:J685)/4)</f>
        <v/>
      </c>
      <c r="O685" s="307" t="n"/>
    </row>
    <row r="686" ht="24" customHeight="1">
      <c r="A686" s="306" t="n">
        <v>682</v>
      </c>
      <c r="B686" s="306" t="inlineStr">
        <is>
          <t>فروردین</t>
        </is>
      </c>
      <c r="C686" s="306">
        <f>IF('دانش‌آموزان'!E61="","",'دانش‌آموزان'!B61)</f>
        <v/>
      </c>
      <c r="D686" s="306">
        <f>IF('دانش‌آموزان'!C61="","",'دانش‌آموزان'!C61)</f>
        <v/>
      </c>
      <c r="E686" s="306">
        <f>IF('دانش‌آموزان'!E61="","",'دانش‌آموزان'!E61&amp;" "&amp;'دانش‌آموزان'!F61)</f>
        <v/>
      </c>
      <c r="F686" s="306">
        <f>IF('دانش‌آموزان'!I61="","",'دانش‌آموزان'!I61)</f>
        <v/>
      </c>
      <c r="G686" s="307" t="n"/>
      <c r="H686" s="307" t="n"/>
      <c r="I686" s="307" t="n"/>
      <c r="J686" s="307" t="n"/>
      <c r="K686" s="313">
        <f>IF(COUNT(G686:J686)=0,"",AVERAGE(G686:J686)*4)</f>
        <v/>
      </c>
      <c r="L686" s="306">
        <f>IF(C686="","",IF(COUNT(G686:J686)=0,"",IF(COUNT(G686:J686)&lt;4,"موقت - اطلاعات ناقص",IF(K686&gt;=17,"عالی",IF(K686&gt;=14,"خوب",IF(K686&gt;=10,"متوسط","ضعیف"))))))</f>
        <v/>
      </c>
      <c r="M686" s="306" t="n">
        <v>10</v>
      </c>
      <c r="N686" s="314">
        <f>IF(C686="","",COUNT(G686:J686)/4)</f>
        <v/>
      </c>
      <c r="O686" s="307" t="n"/>
    </row>
    <row r="687" ht="24" customHeight="1">
      <c r="A687" s="306" t="n">
        <v>683</v>
      </c>
      <c r="B687" s="306" t="inlineStr">
        <is>
          <t>اردیبهشت</t>
        </is>
      </c>
      <c r="C687" s="306">
        <f>IF('دانش‌آموزان'!E61="","",'دانش‌آموزان'!B61)</f>
        <v/>
      </c>
      <c r="D687" s="306">
        <f>IF('دانش‌آموزان'!C61="","",'دانش‌آموزان'!C61)</f>
        <v/>
      </c>
      <c r="E687" s="306">
        <f>IF('دانش‌آموزان'!E61="","",'دانش‌آموزان'!E61&amp;" "&amp;'دانش‌آموزان'!F61)</f>
        <v/>
      </c>
      <c r="F687" s="306">
        <f>IF('دانش‌آموزان'!I61="","",'دانش‌آموزان'!I61)</f>
        <v/>
      </c>
      <c r="G687" s="307" t="n"/>
      <c r="H687" s="307" t="n"/>
      <c r="I687" s="307" t="n"/>
      <c r="J687" s="307" t="n"/>
      <c r="K687" s="313">
        <f>IF(COUNT(G687:J687)=0,"",AVERAGE(G687:J687)*4)</f>
        <v/>
      </c>
      <c r="L687" s="306">
        <f>IF(C687="","",IF(COUNT(G687:J687)=0,"",IF(COUNT(G687:J687)&lt;4,"موقت - اطلاعات ناقص",IF(K687&gt;=17,"عالی",IF(K687&gt;=14,"خوب",IF(K687&gt;=10,"متوسط","ضعیف"))))))</f>
        <v/>
      </c>
      <c r="M687" s="306" t="n">
        <v>11</v>
      </c>
      <c r="N687" s="314">
        <f>IF(C687="","",COUNT(G687:J687)/4)</f>
        <v/>
      </c>
      <c r="O687" s="307" t="n"/>
    </row>
    <row r="688" ht="24" customHeight="1">
      <c r="A688" s="306" t="n">
        <v>684</v>
      </c>
      <c r="B688" s="306" t="inlineStr">
        <is>
          <t>خرداد</t>
        </is>
      </c>
      <c r="C688" s="306">
        <f>IF('دانش‌آموزان'!E61="","",'دانش‌آموزان'!B61)</f>
        <v/>
      </c>
      <c r="D688" s="306">
        <f>IF('دانش‌آموزان'!C61="","",'دانش‌آموزان'!C61)</f>
        <v/>
      </c>
      <c r="E688" s="306">
        <f>IF('دانش‌آموزان'!E61="","",'دانش‌آموزان'!E61&amp;" "&amp;'دانش‌آموزان'!F61)</f>
        <v/>
      </c>
      <c r="F688" s="306">
        <f>IF('دانش‌آموزان'!I61="","",'دانش‌آموزان'!I61)</f>
        <v/>
      </c>
      <c r="G688" s="307" t="n"/>
      <c r="H688" s="307" t="n"/>
      <c r="I688" s="307" t="n"/>
      <c r="J688" s="307" t="n"/>
      <c r="K688" s="313">
        <f>IF(COUNT(G688:J688)=0,"",AVERAGE(G688:J688)*4)</f>
        <v/>
      </c>
      <c r="L688" s="306">
        <f>IF(C688="","",IF(COUNT(G688:J688)=0,"",IF(COUNT(G688:J688)&lt;4,"موقت - اطلاعات ناقص",IF(K688&gt;=17,"عالی",IF(K688&gt;=14,"خوب",IF(K688&gt;=10,"متوسط","ضعیف"))))))</f>
        <v/>
      </c>
      <c r="M688" s="306" t="n">
        <v>12</v>
      </c>
      <c r="N688" s="314">
        <f>IF(C688="","",COUNT(G688:J688)/4)</f>
        <v/>
      </c>
      <c r="O688" s="307" t="n"/>
    </row>
    <row r="689" ht="24" customHeight="1">
      <c r="A689" s="306" t="n">
        <v>685</v>
      </c>
      <c r="B689" s="306" t="inlineStr">
        <is>
          <t>تیر</t>
        </is>
      </c>
      <c r="C689" s="306">
        <f>IF('دانش‌آموزان'!E62="","",'دانش‌آموزان'!B62)</f>
        <v/>
      </c>
      <c r="D689" s="306">
        <f>IF('دانش‌آموزان'!C62="","",'دانش‌آموزان'!C62)</f>
        <v/>
      </c>
      <c r="E689" s="306">
        <f>IF('دانش‌آموزان'!E62="","",'دانش‌آموزان'!E62&amp;" "&amp;'دانش‌آموزان'!F62)</f>
        <v/>
      </c>
      <c r="F689" s="306">
        <f>IF('دانش‌آموزان'!I62="","",'دانش‌آموزان'!I62)</f>
        <v/>
      </c>
      <c r="G689" s="307" t="n"/>
      <c r="H689" s="307" t="n"/>
      <c r="I689" s="307" t="n"/>
      <c r="J689" s="307" t="n"/>
      <c r="K689" s="313">
        <f>IF(COUNT(G689:J689)=0,"",AVERAGE(G689:J689)*4)</f>
        <v/>
      </c>
      <c r="L689" s="306">
        <f>IF(C689="","",IF(COUNT(G689:J689)=0,"",IF(COUNT(G689:J689)&lt;4,"موقت - اطلاعات ناقص",IF(K689&gt;=17,"عالی",IF(K689&gt;=14,"خوب",IF(K689&gt;=10,"متوسط","ضعیف"))))))</f>
        <v/>
      </c>
      <c r="M689" s="306" t="n">
        <v>1</v>
      </c>
      <c r="N689" s="314">
        <f>IF(C689="","",COUNT(G689:J689)/4)</f>
        <v/>
      </c>
      <c r="O689" s="307" t="n"/>
    </row>
    <row r="690" ht="24" customHeight="1">
      <c r="A690" s="306" t="n">
        <v>686</v>
      </c>
      <c r="B690" s="306" t="inlineStr">
        <is>
          <t>مرداد</t>
        </is>
      </c>
      <c r="C690" s="306">
        <f>IF('دانش‌آموزان'!E62="","",'دانش‌آموزان'!B62)</f>
        <v/>
      </c>
      <c r="D690" s="306">
        <f>IF('دانش‌آموزان'!C62="","",'دانش‌آموزان'!C62)</f>
        <v/>
      </c>
      <c r="E690" s="306">
        <f>IF('دانش‌آموزان'!E62="","",'دانش‌آموزان'!E62&amp;" "&amp;'دانش‌آموزان'!F62)</f>
        <v/>
      </c>
      <c r="F690" s="306">
        <f>IF('دانش‌آموزان'!I62="","",'دانش‌آموزان'!I62)</f>
        <v/>
      </c>
      <c r="G690" s="307" t="n"/>
      <c r="H690" s="307" t="n"/>
      <c r="I690" s="307" t="n"/>
      <c r="J690" s="307" t="n"/>
      <c r="K690" s="313">
        <f>IF(COUNT(G690:J690)=0,"",AVERAGE(G690:J690)*4)</f>
        <v/>
      </c>
      <c r="L690" s="306">
        <f>IF(C690="","",IF(COUNT(G690:J690)=0,"",IF(COUNT(G690:J690)&lt;4,"موقت - اطلاعات ناقص",IF(K690&gt;=17,"عالی",IF(K690&gt;=14,"خوب",IF(K690&gt;=10,"متوسط","ضعیف"))))))</f>
        <v/>
      </c>
      <c r="M690" s="306" t="n">
        <v>2</v>
      </c>
      <c r="N690" s="314">
        <f>IF(C690="","",COUNT(G690:J690)/4)</f>
        <v/>
      </c>
      <c r="O690" s="307" t="n"/>
    </row>
    <row r="691" ht="24" customHeight="1">
      <c r="A691" s="306" t="n">
        <v>687</v>
      </c>
      <c r="B691" s="306" t="inlineStr">
        <is>
          <t>شهریور</t>
        </is>
      </c>
      <c r="C691" s="306">
        <f>IF('دانش‌آموزان'!E62="","",'دانش‌آموزان'!B62)</f>
        <v/>
      </c>
      <c r="D691" s="306">
        <f>IF('دانش‌آموزان'!C62="","",'دانش‌آموزان'!C62)</f>
        <v/>
      </c>
      <c r="E691" s="306">
        <f>IF('دانش‌آموزان'!E62="","",'دانش‌آموزان'!E62&amp;" "&amp;'دانش‌آموزان'!F62)</f>
        <v/>
      </c>
      <c r="F691" s="306">
        <f>IF('دانش‌آموزان'!I62="","",'دانش‌آموزان'!I62)</f>
        <v/>
      </c>
      <c r="G691" s="307" t="n"/>
      <c r="H691" s="307" t="n"/>
      <c r="I691" s="307" t="n"/>
      <c r="J691" s="307" t="n"/>
      <c r="K691" s="313">
        <f>IF(COUNT(G691:J691)=0,"",AVERAGE(G691:J691)*4)</f>
        <v/>
      </c>
      <c r="L691" s="306">
        <f>IF(C691="","",IF(COUNT(G691:J691)=0,"",IF(COUNT(G691:J691)&lt;4,"موقت - اطلاعات ناقص",IF(K691&gt;=17,"عالی",IF(K691&gt;=14,"خوب",IF(K691&gt;=10,"متوسط","ضعیف"))))))</f>
        <v/>
      </c>
      <c r="M691" s="306" t="n">
        <v>3</v>
      </c>
      <c r="N691" s="314">
        <f>IF(C691="","",COUNT(G691:J691)/4)</f>
        <v/>
      </c>
      <c r="O691" s="307" t="n"/>
    </row>
    <row r="692" ht="24" customHeight="1">
      <c r="A692" s="306" t="n">
        <v>688</v>
      </c>
      <c r="B692" s="306" t="inlineStr">
        <is>
          <t>مهر</t>
        </is>
      </c>
      <c r="C692" s="306">
        <f>IF('دانش‌آموزان'!E62="","",'دانش‌آموزان'!B62)</f>
        <v/>
      </c>
      <c r="D692" s="306">
        <f>IF('دانش‌آموزان'!C62="","",'دانش‌آموزان'!C62)</f>
        <v/>
      </c>
      <c r="E692" s="306">
        <f>IF('دانش‌آموزان'!E62="","",'دانش‌آموزان'!E62&amp;" "&amp;'دانش‌آموزان'!F62)</f>
        <v/>
      </c>
      <c r="F692" s="306">
        <f>IF('دانش‌آموزان'!I62="","",'دانش‌آموزان'!I62)</f>
        <v/>
      </c>
      <c r="G692" s="307" t="n"/>
      <c r="H692" s="307" t="n"/>
      <c r="I692" s="307" t="n"/>
      <c r="J692" s="307" t="n"/>
      <c r="K692" s="313">
        <f>IF(COUNT(G692:J692)=0,"",AVERAGE(G692:J692)*4)</f>
        <v/>
      </c>
      <c r="L692" s="306">
        <f>IF(C692="","",IF(COUNT(G692:J692)=0,"",IF(COUNT(G692:J692)&lt;4,"موقت - اطلاعات ناقص",IF(K692&gt;=17,"عالی",IF(K692&gt;=14,"خوب",IF(K692&gt;=10,"متوسط","ضعیف"))))))</f>
        <v/>
      </c>
      <c r="M692" s="306" t="n">
        <v>4</v>
      </c>
      <c r="N692" s="314">
        <f>IF(C692="","",COUNT(G692:J692)/4)</f>
        <v/>
      </c>
      <c r="O692" s="307" t="n"/>
    </row>
    <row r="693" ht="24" customHeight="1">
      <c r="A693" s="306" t="n">
        <v>689</v>
      </c>
      <c r="B693" s="306" t="inlineStr">
        <is>
          <t>آبان</t>
        </is>
      </c>
      <c r="C693" s="306">
        <f>IF('دانش‌آموزان'!E62="","",'دانش‌آموزان'!B62)</f>
        <v/>
      </c>
      <c r="D693" s="306">
        <f>IF('دانش‌آموزان'!C62="","",'دانش‌آموزان'!C62)</f>
        <v/>
      </c>
      <c r="E693" s="306">
        <f>IF('دانش‌آموزان'!E62="","",'دانش‌آموزان'!E62&amp;" "&amp;'دانش‌آموزان'!F62)</f>
        <v/>
      </c>
      <c r="F693" s="306">
        <f>IF('دانش‌آموزان'!I62="","",'دانش‌آموزان'!I62)</f>
        <v/>
      </c>
      <c r="G693" s="307" t="n"/>
      <c r="H693" s="307" t="n"/>
      <c r="I693" s="307" t="n"/>
      <c r="J693" s="307" t="n"/>
      <c r="K693" s="313">
        <f>IF(COUNT(G693:J693)=0,"",AVERAGE(G693:J693)*4)</f>
        <v/>
      </c>
      <c r="L693" s="306">
        <f>IF(C693="","",IF(COUNT(G693:J693)=0,"",IF(COUNT(G693:J693)&lt;4,"موقت - اطلاعات ناقص",IF(K693&gt;=17,"عالی",IF(K693&gt;=14,"خوب",IF(K693&gt;=10,"متوسط","ضعیف"))))))</f>
        <v/>
      </c>
      <c r="M693" s="306" t="n">
        <v>5</v>
      </c>
      <c r="N693" s="314">
        <f>IF(C693="","",COUNT(G693:J693)/4)</f>
        <v/>
      </c>
      <c r="O693" s="307" t="n"/>
    </row>
    <row r="694" ht="24" customHeight="1">
      <c r="A694" s="306" t="n">
        <v>690</v>
      </c>
      <c r="B694" s="306" t="inlineStr">
        <is>
          <t>آذر</t>
        </is>
      </c>
      <c r="C694" s="306">
        <f>IF('دانش‌آموزان'!E62="","",'دانش‌آموزان'!B62)</f>
        <v/>
      </c>
      <c r="D694" s="306">
        <f>IF('دانش‌آموزان'!C62="","",'دانش‌آموزان'!C62)</f>
        <v/>
      </c>
      <c r="E694" s="306">
        <f>IF('دانش‌آموزان'!E62="","",'دانش‌آموزان'!E62&amp;" "&amp;'دانش‌آموزان'!F62)</f>
        <v/>
      </c>
      <c r="F694" s="306">
        <f>IF('دانش‌آموزان'!I62="","",'دانش‌آموزان'!I62)</f>
        <v/>
      </c>
      <c r="G694" s="307" t="n"/>
      <c r="H694" s="307" t="n"/>
      <c r="I694" s="307" t="n"/>
      <c r="J694" s="307" t="n"/>
      <c r="K694" s="313">
        <f>IF(COUNT(G694:J694)=0,"",AVERAGE(G694:J694)*4)</f>
        <v/>
      </c>
      <c r="L694" s="306">
        <f>IF(C694="","",IF(COUNT(G694:J694)=0,"",IF(COUNT(G694:J694)&lt;4,"موقت - اطلاعات ناقص",IF(K694&gt;=17,"عالی",IF(K694&gt;=14,"خوب",IF(K694&gt;=10,"متوسط","ضعیف"))))))</f>
        <v/>
      </c>
      <c r="M694" s="306" t="n">
        <v>6</v>
      </c>
      <c r="N694" s="314">
        <f>IF(C694="","",COUNT(G694:J694)/4)</f>
        <v/>
      </c>
      <c r="O694" s="307" t="n"/>
    </row>
    <row r="695" ht="24" customHeight="1">
      <c r="A695" s="306" t="n">
        <v>691</v>
      </c>
      <c r="B695" s="306" t="inlineStr">
        <is>
          <t>دی</t>
        </is>
      </c>
      <c r="C695" s="306">
        <f>IF('دانش‌آموزان'!E62="","",'دانش‌آموزان'!B62)</f>
        <v/>
      </c>
      <c r="D695" s="306">
        <f>IF('دانش‌آموزان'!C62="","",'دانش‌آموزان'!C62)</f>
        <v/>
      </c>
      <c r="E695" s="306">
        <f>IF('دانش‌آموزان'!E62="","",'دانش‌آموزان'!E62&amp;" "&amp;'دانش‌آموزان'!F62)</f>
        <v/>
      </c>
      <c r="F695" s="306">
        <f>IF('دانش‌آموزان'!I62="","",'دانش‌آموزان'!I62)</f>
        <v/>
      </c>
      <c r="G695" s="307" t="n"/>
      <c r="H695" s="307" t="n"/>
      <c r="I695" s="307" t="n"/>
      <c r="J695" s="307" t="n"/>
      <c r="K695" s="313">
        <f>IF(COUNT(G695:J695)=0,"",AVERAGE(G695:J695)*4)</f>
        <v/>
      </c>
      <c r="L695" s="306">
        <f>IF(C695="","",IF(COUNT(G695:J695)=0,"",IF(COUNT(G695:J695)&lt;4,"موقت - اطلاعات ناقص",IF(K695&gt;=17,"عالی",IF(K695&gt;=14,"خوب",IF(K695&gt;=10,"متوسط","ضعیف"))))))</f>
        <v/>
      </c>
      <c r="M695" s="306" t="n">
        <v>7</v>
      </c>
      <c r="N695" s="314">
        <f>IF(C695="","",COUNT(G695:J695)/4)</f>
        <v/>
      </c>
      <c r="O695" s="307" t="n"/>
    </row>
    <row r="696" ht="24" customHeight="1">
      <c r="A696" s="306" t="n">
        <v>692</v>
      </c>
      <c r="B696" s="306" t="inlineStr">
        <is>
          <t>بهمن</t>
        </is>
      </c>
      <c r="C696" s="306">
        <f>IF('دانش‌آموزان'!E62="","",'دانش‌آموزان'!B62)</f>
        <v/>
      </c>
      <c r="D696" s="306">
        <f>IF('دانش‌آموزان'!C62="","",'دانش‌آموزان'!C62)</f>
        <v/>
      </c>
      <c r="E696" s="306">
        <f>IF('دانش‌آموزان'!E62="","",'دانش‌آموزان'!E62&amp;" "&amp;'دانش‌آموزان'!F62)</f>
        <v/>
      </c>
      <c r="F696" s="306">
        <f>IF('دانش‌آموزان'!I62="","",'دانش‌آموزان'!I62)</f>
        <v/>
      </c>
      <c r="G696" s="307" t="n"/>
      <c r="H696" s="307" t="n"/>
      <c r="I696" s="307" t="n"/>
      <c r="J696" s="307" t="n"/>
      <c r="K696" s="313">
        <f>IF(COUNT(G696:J696)=0,"",AVERAGE(G696:J696)*4)</f>
        <v/>
      </c>
      <c r="L696" s="306">
        <f>IF(C696="","",IF(COUNT(G696:J696)=0,"",IF(COUNT(G696:J696)&lt;4,"موقت - اطلاعات ناقص",IF(K696&gt;=17,"عالی",IF(K696&gt;=14,"خوب",IF(K696&gt;=10,"متوسط","ضعیف"))))))</f>
        <v/>
      </c>
      <c r="M696" s="306" t="n">
        <v>8</v>
      </c>
      <c r="N696" s="314">
        <f>IF(C696="","",COUNT(G696:J696)/4)</f>
        <v/>
      </c>
      <c r="O696" s="307" t="n"/>
    </row>
    <row r="697" ht="24" customHeight="1">
      <c r="A697" s="306" t="n">
        <v>693</v>
      </c>
      <c r="B697" s="306" t="inlineStr">
        <is>
          <t>اسفند</t>
        </is>
      </c>
      <c r="C697" s="306">
        <f>IF('دانش‌آموزان'!E62="","",'دانش‌آموزان'!B62)</f>
        <v/>
      </c>
      <c r="D697" s="306">
        <f>IF('دانش‌آموزان'!C62="","",'دانش‌آموزان'!C62)</f>
        <v/>
      </c>
      <c r="E697" s="306">
        <f>IF('دانش‌آموزان'!E62="","",'دانش‌آموزان'!E62&amp;" "&amp;'دانش‌آموزان'!F62)</f>
        <v/>
      </c>
      <c r="F697" s="306">
        <f>IF('دانش‌آموزان'!I62="","",'دانش‌آموزان'!I62)</f>
        <v/>
      </c>
      <c r="G697" s="307" t="n"/>
      <c r="H697" s="307" t="n"/>
      <c r="I697" s="307" t="n"/>
      <c r="J697" s="307" t="n"/>
      <c r="K697" s="313">
        <f>IF(COUNT(G697:J697)=0,"",AVERAGE(G697:J697)*4)</f>
        <v/>
      </c>
      <c r="L697" s="306">
        <f>IF(C697="","",IF(COUNT(G697:J697)=0,"",IF(COUNT(G697:J697)&lt;4,"موقت - اطلاعات ناقص",IF(K697&gt;=17,"عالی",IF(K697&gt;=14,"خوب",IF(K697&gt;=10,"متوسط","ضعیف"))))))</f>
        <v/>
      </c>
      <c r="M697" s="306" t="n">
        <v>9</v>
      </c>
      <c r="N697" s="314">
        <f>IF(C697="","",COUNT(G697:J697)/4)</f>
        <v/>
      </c>
      <c r="O697" s="307" t="n"/>
    </row>
    <row r="698" ht="24" customHeight="1">
      <c r="A698" s="306" t="n">
        <v>694</v>
      </c>
      <c r="B698" s="306" t="inlineStr">
        <is>
          <t>فروردین</t>
        </is>
      </c>
      <c r="C698" s="306">
        <f>IF('دانش‌آموزان'!E62="","",'دانش‌آموزان'!B62)</f>
        <v/>
      </c>
      <c r="D698" s="306">
        <f>IF('دانش‌آموزان'!C62="","",'دانش‌آموزان'!C62)</f>
        <v/>
      </c>
      <c r="E698" s="306">
        <f>IF('دانش‌آموزان'!E62="","",'دانش‌آموزان'!E62&amp;" "&amp;'دانش‌آموزان'!F62)</f>
        <v/>
      </c>
      <c r="F698" s="306">
        <f>IF('دانش‌آموزان'!I62="","",'دانش‌آموزان'!I62)</f>
        <v/>
      </c>
      <c r="G698" s="307" t="n"/>
      <c r="H698" s="307" t="n"/>
      <c r="I698" s="307" t="n"/>
      <c r="J698" s="307" t="n"/>
      <c r="K698" s="313">
        <f>IF(COUNT(G698:J698)=0,"",AVERAGE(G698:J698)*4)</f>
        <v/>
      </c>
      <c r="L698" s="306">
        <f>IF(C698="","",IF(COUNT(G698:J698)=0,"",IF(COUNT(G698:J698)&lt;4,"موقت - اطلاعات ناقص",IF(K698&gt;=17,"عالی",IF(K698&gt;=14,"خوب",IF(K698&gt;=10,"متوسط","ضعیف"))))))</f>
        <v/>
      </c>
      <c r="M698" s="306" t="n">
        <v>10</v>
      </c>
      <c r="N698" s="314">
        <f>IF(C698="","",COUNT(G698:J698)/4)</f>
        <v/>
      </c>
      <c r="O698" s="307" t="n"/>
    </row>
    <row r="699" ht="24" customHeight="1">
      <c r="A699" s="306" t="n">
        <v>695</v>
      </c>
      <c r="B699" s="306" t="inlineStr">
        <is>
          <t>اردیبهشت</t>
        </is>
      </c>
      <c r="C699" s="306">
        <f>IF('دانش‌آموزان'!E62="","",'دانش‌آموزان'!B62)</f>
        <v/>
      </c>
      <c r="D699" s="306">
        <f>IF('دانش‌آموزان'!C62="","",'دانش‌آموزان'!C62)</f>
        <v/>
      </c>
      <c r="E699" s="306">
        <f>IF('دانش‌آموزان'!E62="","",'دانش‌آموزان'!E62&amp;" "&amp;'دانش‌آموزان'!F62)</f>
        <v/>
      </c>
      <c r="F699" s="306">
        <f>IF('دانش‌آموزان'!I62="","",'دانش‌آموزان'!I62)</f>
        <v/>
      </c>
      <c r="G699" s="307" t="n"/>
      <c r="H699" s="307" t="n"/>
      <c r="I699" s="307" t="n"/>
      <c r="J699" s="307" t="n"/>
      <c r="K699" s="313">
        <f>IF(COUNT(G699:J699)=0,"",AVERAGE(G699:J699)*4)</f>
        <v/>
      </c>
      <c r="L699" s="306">
        <f>IF(C699="","",IF(COUNT(G699:J699)=0,"",IF(COUNT(G699:J699)&lt;4,"موقت - اطلاعات ناقص",IF(K699&gt;=17,"عالی",IF(K699&gt;=14,"خوب",IF(K699&gt;=10,"متوسط","ضعیف"))))))</f>
        <v/>
      </c>
      <c r="M699" s="306" t="n">
        <v>11</v>
      </c>
      <c r="N699" s="314">
        <f>IF(C699="","",COUNT(G699:J699)/4)</f>
        <v/>
      </c>
      <c r="O699" s="307" t="n"/>
    </row>
    <row r="700" ht="24" customHeight="1">
      <c r="A700" s="306" t="n">
        <v>696</v>
      </c>
      <c r="B700" s="306" t="inlineStr">
        <is>
          <t>خرداد</t>
        </is>
      </c>
      <c r="C700" s="306">
        <f>IF('دانش‌آموزان'!E62="","",'دانش‌آموزان'!B62)</f>
        <v/>
      </c>
      <c r="D700" s="306">
        <f>IF('دانش‌آموزان'!C62="","",'دانش‌آموزان'!C62)</f>
        <v/>
      </c>
      <c r="E700" s="306">
        <f>IF('دانش‌آموزان'!E62="","",'دانش‌آموزان'!E62&amp;" "&amp;'دانش‌آموزان'!F62)</f>
        <v/>
      </c>
      <c r="F700" s="306">
        <f>IF('دانش‌آموزان'!I62="","",'دانش‌آموزان'!I62)</f>
        <v/>
      </c>
      <c r="G700" s="307" t="n"/>
      <c r="H700" s="307" t="n"/>
      <c r="I700" s="307" t="n"/>
      <c r="J700" s="307" t="n"/>
      <c r="K700" s="313">
        <f>IF(COUNT(G700:J700)=0,"",AVERAGE(G700:J700)*4)</f>
        <v/>
      </c>
      <c r="L700" s="306">
        <f>IF(C700="","",IF(COUNT(G700:J700)=0,"",IF(COUNT(G700:J700)&lt;4,"موقت - اطلاعات ناقص",IF(K700&gt;=17,"عالی",IF(K700&gt;=14,"خوب",IF(K700&gt;=10,"متوسط","ضعیف"))))))</f>
        <v/>
      </c>
      <c r="M700" s="306" t="n">
        <v>12</v>
      </c>
      <c r="N700" s="314">
        <f>IF(C700="","",COUNT(G700:J700)/4)</f>
        <v/>
      </c>
      <c r="O700" s="307" t="n"/>
    </row>
    <row r="701" ht="24" customHeight="1">
      <c r="A701" s="306" t="n">
        <v>697</v>
      </c>
      <c r="B701" s="306" t="inlineStr">
        <is>
          <t>تیر</t>
        </is>
      </c>
      <c r="C701" s="306">
        <f>IF('دانش‌آموزان'!E63="","",'دانش‌آموزان'!B63)</f>
        <v/>
      </c>
      <c r="D701" s="306">
        <f>IF('دانش‌آموزان'!C63="","",'دانش‌آموزان'!C63)</f>
        <v/>
      </c>
      <c r="E701" s="306">
        <f>IF('دانش‌آموزان'!E63="","",'دانش‌آموزان'!E63&amp;" "&amp;'دانش‌آموزان'!F63)</f>
        <v/>
      </c>
      <c r="F701" s="306">
        <f>IF('دانش‌آموزان'!I63="","",'دانش‌آموزان'!I63)</f>
        <v/>
      </c>
      <c r="G701" s="307" t="n"/>
      <c r="H701" s="307" t="n"/>
      <c r="I701" s="307" t="n"/>
      <c r="J701" s="307" t="n"/>
      <c r="K701" s="313">
        <f>IF(COUNT(G701:J701)=0,"",AVERAGE(G701:J701)*4)</f>
        <v/>
      </c>
      <c r="L701" s="306">
        <f>IF(C701="","",IF(COUNT(G701:J701)=0,"",IF(COUNT(G701:J701)&lt;4,"موقت - اطلاعات ناقص",IF(K701&gt;=17,"عالی",IF(K701&gt;=14,"خوب",IF(K701&gt;=10,"متوسط","ضعیف"))))))</f>
        <v/>
      </c>
      <c r="M701" s="306" t="n">
        <v>1</v>
      </c>
      <c r="N701" s="314">
        <f>IF(C701="","",COUNT(G701:J701)/4)</f>
        <v/>
      </c>
      <c r="O701" s="307" t="n"/>
    </row>
    <row r="702" ht="24" customHeight="1">
      <c r="A702" s="306" t="n">
        <v>698</v>
      </c>
      <c r="B702" s="306" t="inlineStr">
        <is>
          <t>مرداد</t>
        </is>
      </c>
      <c r="C702" s="306">
        <f>IF('دانش‌آموزان'!E63="","",'دانش‌آموزان'!B63)</f>
        <v/>
      </c>
      <c r="D702" s="306">
        <f>IF('دانش‌آموزان'!C63="","",'دانش‌آموزان'!C63)</f>
        <v/>
      </c>
      <c r="E702" s="306">
        <f>IF('دانش‌آموزان'!E63="","",'دانش‌آموزان'!E63&amp;" "&amp;'دانش‌آموزان'!F63)</f>
        <v/>
      </c>
      <c r="F702" s="306">
        <f>IF('دانش‌آموزان'!I63="","",'دانش‌آموزان'!I63)</f>
        <v/>
      </c>
      <c r="G702" s="307" t="n"/>
      <c r="H702" s="307" t="n"/>
      <c r="I702" s="307" t="n"/>
      <c r="J702" s="307" t="n"/>
      <c r="K702" s="313">
        <f>IF(COUNT(G702:J702)=0,"",AVERAGE(G702:J702)*4)</f>
        <v/>
      </c>
      <c r="L702" s="306">
        <f>IF(C702="","",IF(COUNT(G702:J702)=0,"",IF(COUNT(G702:J702)&lt;4,"موقت - اطلاعات ناقص",IF(K702&gt;=17,"عالی",IF(K702&gt;=14,"خوب",IF(K702&gt;=10,"متوسط","ضعیف"))))))</f>
        <v/>
      </c>
      <c r="M702" s="306" t="n">
        <v>2</v>
      </c>
      <c r="N702" s="314">
        <f>IF(C702="","",COUNT(G702:J702)/4)</f>
        <v/>
      </c>
      <c r="O702" s="307" t="n"/>
    </row>
    <row r="703" ht="24" customHeight="1">
      <c r="A703" s="306" t="n">
        <v>699</v>
      </c>
      <c r="B703" s="306" t="inlineStr">
        <is>
          <t>شهریور</t>
        </is>
      </c>
      <c r="C703" s="306">
        <f>IF('دانش‌آموزان'!E63="","",'دانش‌آموزان'!B63)</f>
        <v/>
      </c>
      <c r="D703" s="306">
        <f>IF('دانش‌آموزان'!C63="","",'دانش‌آموزان'!C63)</f>
        <v/>
      </c>
      <c r="E703" s="306">
        <f>IF('دانش‌آموزان'!E63="","",'دانش‌آموزان'!E63&amp;" "&amp;'دانش‌آموزان'!F63)</f>
        <v/>
      </c>
      <c r="F703" s="306">
        <f>IF('دانش‌آموزان'!I63="","",'دانش‌آموزان'!I63)</f>
        <v/>
      </c>
      <c r="G703" s="307" t="n"/>
      <c r="H703" s="307" t="n"/>
      <c r="I703" s="307" t="n"/>
      <c r="J703" s="307" t="n"/>
      <c r="K703" s="313">
        <f>IF(COUNT(G703:J703)=0,"",AVERAGE(G703:J703)*4)</f>
        <v/>
      </c>
      <c r="L703" s="306">
        <f>IF(C703="","",IF(COUNT(G703:J703)=0,"",IF(COUNT(G703:J703)&lt;4,"موقت - اطلاعات ناقص",IF(K703&gt;=17,"عالی",IF(K703&gt;=14,"خوب",IF(K703&gt;=10,"متوسط","ضعیف"))))))</f>
        <v/>
      </c>
      <c r="M703" s="306" t="n">
        <v>3</v>
      </c>
      <c r="N703" s="314">
        <f>IF(C703="","",COUNT(G703:J703)/4)</f>
        <v/>
      </c>
      <c r="O703" s="307" t="n"/>
    </row>
    <row r="704" ht="24" customHeight="1">
      <c r="A704" s="306" t="n">
        <v>700</v>
      </c>
      <c r="B704" s="306" t="inlineStr">
        <is>
          <t>مهر</t>
        </is>
      </c>
      <c r="C704" s="306">
        <f>IF('دانش‌آموزان'!E63="","",'دانش‌آموزان'!B63)</f>
        <v/>
      </c>
      <c r="D704" s="306">
        <f>IF('دانش‌آموزان'!C63="","",'دانش‌آموزان'!C63)</f>
        <v/>
      </c>
      <c r="E704" s="306">
        <f>IF('دانش‌آموزان'!E63="","",'دانش‌آموزان'!E63&amp;" "&amp;'دانش‌آموزان'!F63)</f>
        <v/>
      </c>
      <c r="F704" s="306">
        <f>IF('دانش‌آموزان'!I63="","",'دانش‌آموزان'!I63)</f>
        <v/>
      </c>
      <c r="G704" s="307" t="n"/>
      <c r="H704" s="307" t="n"/>
      <c r="I704" s="307" t="n"/>
      <c r="J704" s="307" t="n"/>
      <c r="K704" s="313">
        <f>IF(COUNT(G704:J704)=0,"",AVERAGE(G704:J704)*4)</f>
        <v/>
      </c>
      <c r="L704" s="306">
        <f>IF(C704="","",IF(COUNT(G704:J704)=0,"",IF(COUNT(G704:J704)&lt;4,"موقت - اطلاعات ناقص",IF(K704&gt;=17,"عالی",IF(K704&gt;=14,"خوب",IF(K704&gt;=10,"متوسط","ضعیف"))))))</f>
        <v/>
      </c>
      <c r="M704" s="306" t="n">
        <v>4</v>
      </c>
      <c r="N704" s="314">
        <f>IF(C704="","",COUNT(G704:J704)/4)</f>
        <v/>
      </c>
      <c r="O704" s="307" t="n"/>
    </row>
    <row r="705" ht="24" customHeight="1">
      <c r="A705" s="306" t="n">
        <v>701</v>
      </c>
      <c r="B705" s="306" t="inlineStr">
        <is>
          <t>آبان</t>
        </is>
      </c>
      <c r="C705" s="306">
        <f>IF('دانش‌آموزان'!E63="","",'دانش‌آموزان'!B63)</f>
        <v/>
      </c>
      <c r="D705" s="306">
        <f>IF('دانش‌آموزان'!C63="","",'دانش‌آموزان'!C63)</f>
        <v/>
      </c>
      <c r="E705" s="306">
        <f>IF('دانش‌آموزان'!E63="","",'دانش‌آموزان'!E63&amp;" "&amp;'دانش‌آموزان'!F63)</f>
        <v/>
      </c>
      <c r="F705" s="306">
        <f>IF('دانش‌آموزان'!I63="","",'دانش‌آموزان'!I63)</f>
        <v/>
      </c>
      <c r="G705" s="307" t="n"/>
      <c r="H705" s="307" t="n"/>
      <c r="I705" s="307" t="n"/>
      <c r="J705" s="307" t="n"/>
      <c r="K705" s="313">
        <f>IF(COUNT(G705:J705)=0,"",AVERAGE(G705:J705)*4)</f>
        <v/>
      </c>
      <c r="L705" s="306">
        <f>IF(C705="","",IF(COUNT(G705:J705)=0,"",IF(COUNT(G705:J705)&lt;4,"موقت - اطلاعات ناقص",IF(K705&gt;=17,"عالی",IF(K705&gt;=14,"خوب",IF(K705&gt;=10,"متوسط","ضعیف"))))))</f>
        <v/>
      </c>
      <c r="M705" s="306" t="n">
        <v>5</v>
      </c>
      <c r="N705" s="314">
        <f>IF(C705="","",COUNT(G705:J705)/4)</f>
        <v/>
      </c>
      <c r="O705" s="307" t="n"/>
    </row>
    <row r="706" ht="24" customHeight="1">
      <c r="A706" s="306" t="n">
        <v>702</v>
      </c>
      <c r="B706" s="306" t="inlineStr">
        <is>
          <t>آذر</t>
        </is>
      </c>
      <c r="C706" s="306">
        <f>IF('دانش‌آموزان'!E63="","",'دانش‌آموزان'!B63)</f>
        <v/>
      </c>
      <c r="D706" s="306">
        <f>IF('دانش‌آموزان'!C63="","",'دانش‌آموزان'!C63)</f>
        <v/>
      </c>
      <c r="E706" s="306">
        <f>IF('دانش‌آموزان'!E63="","",'دانش‌آموزان'!E63&amp;" "&amp;'دانش‌آموزان'!F63)</f>
        <v/>
      </c>
      <c r="F706" s="306">
        <f>IF('دانش‌آموزان'!I63="","",'دانش‌آموزان'!I63)</f>
        <v/>
      </c>
      <c r="G706" s="307" t="n"/>
      <c r="H706" s="307" t="n"/>
      <c r="I706" s="307" t="n"/>
      <c r="J706" s="307" t="n"/>
      <c r="K706" s="313">
        <f>IF(COUNT(G706:J706)=0,"",AVERAGE(G706:J706)*4)</f>
        <v/>
      </c>
      <c r="L706" s="306">
        <f>IF(C706="","",IF(COUNT(G706:J706)=0,"",IF(COUNT(G706:J706)&lt;4,"موقت - اطلاعات ناقص",IF(K706&gt;=17,"عالی",IF(K706&gt;=14,"خوب",IF(K706&gt;=10,"متوسط","ضعیف"))))))</f>
        <v/>
      </c>
      <c r="M706" s="306" t="n">
        <v>6</v>
      </c>
      <c r="N706" s="314">
        <f>IF(C706="","",COUNT(G706:J706)/4)</f>
        <v/>
      </c>
      <c r="O706" s="307" t="n"/>
    </row>
    <row r="707" ht="24" customHeight="1">
      <c r="A707" s="306" t="n">
        <v>703</v>
      </c>
      <c r="B707" s="306" t="inlineStr">
        <is>
          <t>دی</t>
        </is>
      </c>
      <c r="C707" s="306">
        <f>IF('دانش‌آموزان'!E63="","",'دانش‌آموزان'!B63)</f>
        <v/>
      </c>
      <c r="D707" s="306">
        <f>IF('دانش‌آموزان'!C63="","",'دانش‌آموزان'!C63)</f>
        <v/>
      </c>
      <c r="E707" s="306">
        <f>IF('دانش‌آموزان'!E63="","",'دانش‌آموزان'!E63&amp;" "&amp;'دانش‌آموزان'!F63)</f>
        <v/>
      </c>
      <c r="F707" s="306">
        <f>IF('دانش‌آموزان'!I63="","",'دانش‌آموزان'!I63)</f>
        <v/>
      </c>
      <c r="G707" s="307" t="n"/>
      <c r="H707" s="307" t="n"/>
      <c r="I707" s="307" t="n"/>
      <c r="J707" s="307" t="n"/>
      <c r="K707" s="313">
        <f>IF(COUNT(G707:J707)=0,"",AVERAGE(G707:J707)*4)</f>
        <v/>
      </c>
      <c r="L707" s="306">
        <f>IF(C707="","",IF(COUNT(G707:J707)=0,"",IF(COUNT(G707:J707)&lt;4,"موقت - اطلاعات ناقص",IF(K707&gt;=17,"عالی",IF(K707&gt;=14,"خوب",IF(K707&gt;=10,"متوسط","ضعیف"))))))</f>
        <v/>
      </c>
      <c r="M707" s="306" t="n">
        <v>7</v>
      </c>
      <c r="N707" s="314">
        <f>IF(C707="","",COUNT(G707:J707)/4)</f>
        <v/>
      </c>
      <c r="O707" s="307" t="n"/>
    </row>
    <row r="708" ht="24" customHeight="1">
      <c r="A708" s="306" t="n">
        <v>704</v>
      </c>
      <c r="B708" s="306" t="inlineStr">
        <is>
          <t>بهمن</t>
        </is>
      </c>
      <c r="C708" s="306">
        <f>IF('دانش‌آموزان'!E63="","",'دانش‌آموزان'!B63)</f>
        <v/>
      </c>
      <c r="D708" s="306">
        <f>IF('دانش‌آموزان'!C63="","",'دانش‌آموزان'!C63)</f>
        <v/>
      </c>
      <c r="E708" s="306">
        <f>IF('دانش‌آموزان'!E63="","",'دانش‌آموزان'!E63&amp;" "&amp;'دانش‌آموزان'!F63)</f>
        <v/>
      </c>
      <c r="F708" s="306">
        <f>IF('دانش‌آموزان'!I63="","",'دانش‌آموزان'!I63)</f>
        <v/>
      </c>
      <c r="G708" s="307" t="n"/>
      <c r="H708" s="307" t="n"/>
      <c r="I708" s="307" t="n"/>
      <c r="J708" s="307" t="n"/>
      <c r="K708" s="313">
        <f>IF(COUNT(G708:J708)=0,"",AVERAGE(G708:J708)*4)</f>
        <v/>
      </c>
      <c r="L708" s="306">
        <f>IF(C708="","",IF(COUNT(G708:J708)=0,"",IF(COUNT(G708:J708)&lt;4,"موقت - اطلاعات ناقص",IF(K708&gt;=17,"عالی",IF(K708&gt;=14,"خوب",IF(K708&gt;=10,"متوسط","ضعیف"))))))</f>
        <v/>
      </c>
      <c r="M708" s="306" t="n">
        <v>8</v>
      </c>
      <c r="N708" s="314">
        <f>IF(C708="","",COUNT(G708:J708)/4)</f>
        <v/>
      </c>
      <c r="O708" s="307" t="n"/>
    </row>
    <row r="709" ht="24" customHeight="1">
      <c r="A709" s="306" t="n">
        <v>705</v>
      </c>
      <c r="B709" s="306" t="inlineStr">
        <is>
          <t>اسفند</t>
        </is>
      </c>
      <c r="C709" s="306">
        <f>IF('دانش‌آموزان'!E63="","",'دانش‌آموزان'!B63)</f>
        <v/>
      </c>
      <c r="D709" s="306">
        <f>IF('دانش‌آموزان'!C63="","",'دانش‌آموزان'!C63)</f>
        <v/>
      </c>
      <c r="E709" s="306">
        <f>IF('دانش‌آموزان'!E63="","",'دانش‌آموزان'!E63&amp;" "&amp;'دانش‌آموزان'!F63)</f>
        <v/>
      </c>
      <c r="F709" s="306">
        <f>IF('دانش‌آموزان'!I63="","",'دانش‌آموزان'!I63)</f>
        <v/>
      </c>
      <c r="G709" s="307" t="n"/>
      <c r="H709" s="307" t="n"/>
      <c r="I709" s="307" t="n"/>
      <c r="J709" s="307" t="n"/>
      <c r="K709" s="313">
        <f>IF(COUNT(G709:J709)=0,"",AVERAGE(G709:J709)*4)</f>
        <v/>
      </c>
      <c r="L709" s="306">
        <f>IF(C709="","",IF(COUNT(G709:J709)=0,"",IF(COUNT(G709:J709)&lt;4,"موقت - اطلاعات ناقص",IF(K709&gt;=17,"عالی",IF(K709&gt;=14,"خوب",IF(K709&gt;=10,"متوسط","ضعیف"))))))</f>
        <v/>
      </c>
      <c r="M709" s="306" t="n">
        <v>9</v>
      </c>
      <c r="N709" s="314">
        <f>IF(C709="","",COUNT(G709:J709)/4)</f>
        <v/>
      </c>
      <c r="O709" s="307" t="n"/>
    </row>
    <row r="710" ht="24" customHeight="1">
      <c r="A710" s="306" t="n">
        <v>706</v>
      </c>
      <c r="B710" s="306" t="inlineStr">
        <is>
          <t>فروردین</t>
        </is>
      </c>
      <c r="C710" s="306">
        <f>IF('دانش‌آموزان'!E63="","",'دانش‌آموزان'!B63)</f>
        <v/>
      </c>
      <c r="D710" s="306">
        <f>IF('دانش‌آموزان'!C63="","",'دانش‌آموزان'!C63)</f>
        <v/>
      </c>
      <c r="E710" s="306">
        <f>IF('دانش‌آموزان'!E63="","",'دانش‌آموزان'!E63&amp;" "&amp;'دانش‌آموزان'!F63)</f>
        <v/>
      </c>
      <c r="F710" s="306">
        <f>IF('دانش‌آموزان'!I63="","",'دانش‌آموزان'!I63)</f>
        <v/>
      </c>
      <c r="G710" s="307" t="n"/>
      <c r="H710" s="307" t="n"/>
      <c r="I710" s="307" t="n"/>
      <c r="J710" s="307" t="n"/>
      <c r="K710" s="313">
        <f>IF(COUNT(G710:J710)=0,"",AVERAGE(G710:J710)*4)</f>
        <v/>
      </c>
      <c r="L710" s="306">
        <f>IF(C710="","",IF(COUNT(G710:J710)=0,"",IF(COUNT(G710:J710)&lt;4,"موقت - اطلاعات ناقص",IF(K710&gt;=17,"عالی",IF(K710&gt;=14,"خوب",IF(K710&gt;=10,"متوسط","ضعیف"))))))</f>
        <v/>
      </c>
      <c r="M710" s="306" t="n">
        <v>10</v>
      </c>
      <c r="N710" s="314">
        <f>IF(C710="","",COUNT(G710:J710)/4)</f>
        <v/>
      </c>
      <c r="O710" s="307" t="n"/>
    </row>
    <row r="711" ht="24" customHeight="1">
      <c r="A711" s="306" t="n">
        <v>707</v>
      </c>
      <c r="B711" s="306" t="inlineStr">
        <is>
          <t>اردیبهشت</t>
        </is>
      </c>
      <c r="C711" s="306">
        <f>IF('دانش‌آموزان'!E63="","",'دانش‌آموزان'!B63)</f>
        <v/>
      </c>
      <c r="D711" s="306">
        <f>IF('دانش‌آموزان'!C63="","",'دانش‌آموزان'!C63)</f>
        <v/>
      </c>
      <c r="E711" s="306">
        <f>IF('دانش‌آموزان'!E63="","",'دانش‌آموزان'!E63&amp;" "&amp;'دانش‌آموزان'!F63)</f>
        <v/>
      </c>
      <c r="F711" s="306">
        <f>IF('دانش‌آموزان'!I63="","",'دانش‌آموزان'!I63)</f>
        <v/>
      </c>
      <c r="G711" s="307" t="n"/>
      <c r="H711" s="307" t="n"/>
      <c r="I711" s="307" t="n"/>
      <c r="J711" s="307" t="n"/>
      <c r="K711" s="313">
        <f>IF(COUNT(G711:J711)=0,"",AVERAGE(G711:J711)*4)</f>
        <v/>
      </c>
      <c r="L711" s="306">
        <f>IF(C711="","",IF(COUNT(G711:J711)=0,"",IF(COUNT(G711:J711)&lt;4,"موقت - اطلاعات ناقص",IF(K711&gt;=17,"عالی",IF(K711&gt;=14,"خوب",IF(K711&gt;=10,"متوسط","ضعیف"))))))</f>
        <v/>
      </c>
      <c r="M711" s="306" t="n">
        <v>11</v>
      </c>
      <c r="N711" s="314">
        <f>IF(C711="","",COUNT(G711:J711)/4)</f>
        <v/>
      </c>
      <c r="O711" s="307" t="n"/>
    </row>
    <row r="712" ht="24" customHeight="1">
      <c r="A712" s="306" t="n">
        <v>708</v>
      </c>
      <c r="B712" s="306" t="inlineStr">
        <is>
          <t>خرداد</t>
        </is>
      </c>
      <c r="C712" s="306">
        <f>IF('دانش‌آموزان'!E63="","",'دانش‌آموزان'!B63)</f>
        <v/>
      </c>
      <c r="D712" s="306">
        <f>IF('دانش‌آموزان'!C63="","",'دانش‌آموزان'!C63)</f>
        <v/>
      </c>
      <c r="E712" s="306">
        <f>IF('دانش‌آموزان'!E63="","",'دانش‌آموزان'!E63&amp;" "&amp;'دانش‌آموزان'!F63)</f>
        <v/>
      </c>
      <c r="F712" s="306">
        <f>IF('دانش‌آموزان'!I63="","",'دانش‌آموزان'!I63)</f>
        <v/>
      </c>
      <c r="G712" s="307" t="n"/>
      <c r="H712" s="307" t="n"/>
      <c r="I712" s="307" t="n"/>
      <c r="J712" s="307" t="n"/>
      <c r="K712" s="313">
        <f>IF(COUNT(G712:J712)=0,"",AVERAGE(G712:J712)*4)</f>
        <v/>
      </c>
      <c r="L712" s="306">
        <f>IF(C712="","",IF(COUNT(G712:J712)=0,"",IF(COUNT(G712:J712)&lt;4,"موقت - اطلاعات ناقص",IF(K712&gt;=17,"عالی",IF(K712&gt;=14,"خوب",IF(K712&gt;=10,"متوسط","ضعیف"))))))</f>
        <v/>
      </c>
      <c r="M712" s="306" t="n">
        <v>12</v>
      </c>
      <c r="N712" s="314">
        <f>IF(C712="","",COUNT(G712:J712)/4)</f>
        <v/>
      </c>
      <c r="O712" s="307" t="n"/>
    </row>
    <row r="713" ht="24" customHeight="1">
      <c r="A713" s="306" t="n">
        <v>709</v>
      </c>
      <c r="B713" s="306" t="inlineStr">
        <is>
          <t>تیر</t>
        </is>
      </c>
      <c r="C713" s="306">
        <f>IF('دانش‌آموزان'!E64="","",'دانش‌آموزان'!B64)</f>
        <v/>
      </c>
      <c r="D713" s="306">
        <f>IF('دانش‌آموزان'!C64="","",'دانش‌آموزان'!C64)</f>
        <v/>
      </c>
      <c r="E713" s="306">
        <f>IF('دانش‌آموزان'!E64="","",'دانش‌آموزان'!E64&amp;" "&amp;'دانش‌آموزان'!F64)</f>
        <v/>
      </c>
      <c r="F713" s="306">
        <f>IF('دانش‌آموزان'!I64="","",'دانش‌آموزان'!I64)</f>
        <v/>
      </c>
      <c r="G713" s="307" t="n"/>
      <c r="H713" s="307" t="n"/>
      <c r="I713" s="307" t="n"/>
      <c r="J713" s="307" t="n"/>
      <c r="K713" s="313">
        <f>IF(COUNT(G713:J713)=0,"",AVERAGE(G713:J713)*4)</f>
        <v/>
      </c>
      <c r="L713" s="306">
        <f>IF(C713="","",IF(COUNT(G713:J713)=0,"",IF(COUNT(G713:J713)&lt;4,"موقت - اطلاعات ناقص",IF(K713&gt;=17,"عالی",IF(K713&gt;=14,"خوب",IF(K713&gt;=10,"متوسط","ضعیف"))))))</f>
        <v/>
      </c>
      <c r="M713" s="306" t="n">
        <v>1</v>
      </c>
      <c r="N713" s="314">
        <f>IF(C713="","",COUNT(G713:J713)/4)</f>
        <v/>
      </c>
      <c r="O713" s="307" t="n"/>
    </row>
    <row r="714" ht="24" customHeight="1">
      <c r="A714" s="306" t="n">
        <v>710</v>
      </c>
      <c r="B714" s="306" t="inlineStr">
        <is>
          <t>مرداد</t>
        </is>
      </c>
      <c r="C714" s="306">
        <f>IF('دانش‌آموزان'!E64="","",'دانش‌آموزان'!B64)</f>
        <v/>
      </c>
      <c r="D714" s="306">
        <f>IF('دانش‌آموزان'!C64="","",'دانش‌آموزان'!C64)</f>
        <v/>
      </c>
      <c r="E714" s="306">
        <f>IF('دانش‌آموزان'!E64="","",'دانش‌آموزان'!E64&amp;" "&amp;'دانش‌آموزان'!F64)</f>
        <v/>
      </c>
      <c r="F714" s="306">
        <f>IF('دانش‌آموزان'!I64="","",'دانش‌آموزان'!I64)</f>
        <v/>
      </c>
      <c r="G714" s="307" t="n"/>
      <c r="H714" s="307" t="n"/>
      <c r="I714" s="307" t="n"/>
      <c r="J714" s="307" t="n"/>
      <c r="K714" s="313">
        <f>IF(COUNT(G714:J714)=0,"",AVERAGE(G714:J714)*4)</f>
        <v/>
      </c>
      <c r="L714" s="306">
        <f>IF(C714="","",IF(COUNT(G714:J714)=0,"",IF(COUNT(G714:J714)&lt;4,"موقت - اطلاعات ناقص",IF(K714&gt;=17,"عالی",IF(K714&gt;=14,"خوب",IF(K714&gt;=10,"متوسط","ضعیف"))))))</f>
        <v/>
      </c>
      <c r="M714" s="306" t="n">
        <v>2</v>
      </c>
      <c r="N714" s="314">
        <f>IF(C714="","",COUNT(G714:J714)/4)</f>
        <v/>
      </c>
      <c r="O714" s="307" t="n"/>
    </row>
    <row r="715" ht="24" customHeight="1">
      <c r="A715" s="306" t="n">
        <v>711</v>
      </c>
      <c r="B715" s="306" t="inlineStr">
        <is>
          <t>شهریور</t>
        </is>
      </c>
      <c r="C715" s="306">
        <f>IF('دانش‌آموزان'!E64="","",'دانش‌آموزان'!B64)</f>
        <v/>
      </c>
      <c r="D715" s="306">
        <f>IF('دانش‌آموزان'!C64="","",'دانش‌آموزان'!C64)</f>
        <v/>
      </c>
      <c r="E715" s="306">
        <f>IF('دانش‌آموزان'!E64="","",'دانش‌آموزان'!E64&amp;" "&amp;'دانش‌آموزان'!F64)</f>
        <v/>
      </c>
      <c r="F715" s="306">
        <f>IF('دانش‌آموزان'!I64="","",'دانش‌آموزان'!I64)</f>
        <v/>
      </c>
      <c r="G715" s="307" t="n"/>
      <c r="H715" s="307" t="n"/>
      <c r="I715" s="307" t="n"/>
      <c r="J715" s="307" t="n"/>
      <c r="K715" s="313">
        <f>IF(COUNT(G715:J715)=0,"",AVERAGE(G715:J715)*4)</f>
        <v/>
      </c>
      <c r="L715" s="306">
        <f>IF(C715="","",IF(COUNT(G715:J715)=0,"",IF(COUNT(G715:J715)&lt;4,"موقت - اطلاعات ناقص",IF(K715&gt;=17,"عالی",IF(K715&gt;=14,"خوب",IF(K715&gt;=10,"متوسط","ضعیف"))))))</f>
        <v/>
      </c>
      <c r="M715" s="306" t="n">
        <v>3</v>
      </c>
      <c r="N715" s="314">
        <f>IF(C715="","",COUNT(G715:J715)/4)</f>
        <v/>
      </c>
      <c r="O715" s="307" t="n"/>
    </row>
    <row r="716" ht="24" customHeight="1">
      <c r="A716" s="306" t="n">
        <v>712</v>
      </c>
      <c r="B716" s="306" t="inlineStr">
        <is>
          <t>مهر</t>
        </is>
      </c>
      <c r="C716" s="306">
        <f>IF('دانش‌آموزان'!E64="","",'دانش‌آموزان'!B64)</f>
        <v/>
      </c>
      <c r="D716" s="306">
        <f>IF('دانش‌آموزان'!C64="","",'دانش‌آموزان'!C64)</f>
        <v/>
      </c>
      <c r="E716" s="306">
        <f>IF('دانش‌آموزان'!E64="","",'دانش‌آموزان'!E64&amp;" "&amp;'دانش‌آموزان'!F64)</f>
        <v/>
      </c>
      <c r="F716" s="306">
        <f>IF('دانش‌آموزان'!I64="","",'دانش‌آموزان'!I64)</f>
        <v/>
      </c>
      <c r="G716" s="307" t="n"/>
      <c r="H716" s="307" t="n"/>
      <c r="I716" s="307" t="n"/>
      <c r="J716" s="307" t="n"/>
      <c r="K716" s="313">
        <f>IF(COUNT(G716:J716)=0,"",AVERAGE(G716:J716)*4)</f>
        <v/>
      </c>
      <c r="L716" s="306">
        <f>IF(C716="","",IF(COUNT(G716:J716)=0,"",IF(COUNT(G716:J716)&lt;4,"موقت - اطلاعات ناقص",IF(K716&gt;=17,"عالی",IF(K716&gt;=14,"خوب",IF(K716&gt;=10,"متوسط","ضعیف"))))))</f>
        <v/>
      </c>
      <c r="M716" s="306" t="n">
        <v>4</v>
      </c>
      <c r="N716" s="314">
        <f>IF(C716="","",COUNT(G716:J716)/4)</f>
        <v/>
      </c>
      <c r="O716" s="307" t="n"/>
    </row>
    <row r="717" ht="24" customHeight="1">
      <c r="A717" s="306" t="n">
        <v>713</v>
      </c>
      <c r="B717" s="306" t="inlineStr">
        <is>
          <t>آبان</t>
        </is>
      </c>
      <c r="C717" s="306">
        <f>IF('دانش‌آموزان'!E64="","",'دانش‌آموزان'!B64)</f>
        <v/>
      </c>
      <c r="D717" s="306">
        <f>IF('دانش‌آموزان'!C64="","",'دانش‌آموزان'!C64)</f>
        <v/>
      </c>
      <c r="E717" s="306">
        <f>IF('دانش‌آموزان'!E64="","",'دانش‌آموزان'!E64&amp;" "&amp;'دانش‌آموزان'!F64)</f>
        <v/>
      </c>
      <c r="F717" s="306">
        <f>IF('دانش‌آموزان'!I64="","",'دانش‌آموزان'!I64)</f>
        <v/>
      </c>
      <c r="G717" s="307" t="n"/>
      <c r="H717" s="307" t="n"/>
      <c r="I717" s="307" t="n"/>
      <c r="J717" s="307" t="n"/>
      <c r="K717" s="313">
        <f>IF(COUNT(G717:J717)=0,"",AVERAGE(G717:J717)*4)</f>
        <v/>
      </c>
      <c r="L717" s="306">
        <f>IF(C717="","",IF(COUNT(G717:J717)=0,"",IF(COUNT(G717:J717)&lt;4,"موقت - اطلاعات ناقص",IF(K717&gt;=17,"عالی",IF(K717&gt;=14,"خوب",IF(K717&gt;=10,"متوسط","ضعیف"))))))</f>
        <v/>
      </c>
      <c r="M717" s="306" t="n">
        <v>5</v>
      </c>
      <c r="N717" s="314">
        <f>IF(C717="","",COUNT(G717:J717)/4)</f>
        <v/>
      </c>
      <c r="O717" s="307" t="n"/>
    </row>
    <row r="718" ht="24" customHeight="1">
      <c r="A718" s="306" t="n">
        <v>714</v>
      </c>
      <c r="B718" s="306" t="inlineStr">
        <is>
          <t>آذر</t>
        </is>
      </c>
      <c r="C718" s="306">
        <f>IF('دانش‌آموزان'!E64="","",'دانش‌آموزان'!B64)</f>
        <v/>
      </c>
      <c r="D718" s="306">
        <f>IF('دانش‌آموزان'!C64="","",'دانش‌آموزان'!C64)</f>
        <v/>
      </c>
      <c r="E718" s="306">
        <f>IF('دانش‌آموزان'!E64="","",'دانش‌آموزان'!E64&amp;" "&amp;'دانش‌آموزان'!F64)</f>
        <v/>
      </c>
      <c r="F718" s="306">
        <f>IF('دانش‌آموزان'!I64="","",'دانش‌آموزان'!I64)</f>
        <v/>
      </c>
      <c r="G718" s="307" t="n"/>
      <c r="H718" s="307" t="n"/>
      <c r="I718" s="307" t="n"/>
      <c r="J718" s="307" t="n"/>
      <c r="K718" s="313">
        <f>IF(COUNT(G718:J718)=0,"",AVERAGE(G718:J718)*4)</f>
        <v/>
      </c>
      <c r="L718" s="306">
        <f>IF(C718="","",IF(COUNT(G718:J718)=0,"",IF(COUNT(G718:J718)&lt;4,"موقت - اطلاعات ناقص",IF(K718&gt;=17,"عالی",IF(K718&gt;=14,"خوب",IF(K718&gt;=10,"متوسط","ضعیف"))))))</f>
        <v/>
      </c>
      <c r="M718" s="306" t="n">
        <v>6</v>
      </c>
      <c r="N718" s="314">
        <f>IF(C718="","",COUNT(G718:J718)/4)</f>
        <v/>
      </c>
      <c r="O718" s="307" t="n"/>
    </row>
    <row r="719" ht="24" customHeight="1">
      <c r="A719" s="306" t="n">
        <v>715</v>
      </c>
      <c r="B719" s="306" t="inlineStr">
        <is>
          <t>دی</t>
        </is>
      </c>
      <c r="C719" s="306">
        <f>IF('دانش‌آموزان'!E64="","",'دانش‌آموزان'!B64)</f>
        <v/>
      </c>
      <c r="D719" s="306">
        <f>IF('دانش‌آموزان'!C64="","",'دانش‌آموزان'!C64)</f>
        <v/>
      </c>
      <c r="E719" s="306">
        <f>IF('دانش‌آموزان'!E64="","",'دانش‌آموزان'!E64&amp;" "&amp;'دانش‌آموزان'!F64)</f>
        <v/>
      </c>
      <c r="F719" s="306">
        <f>IF('دانش‌آموزان'!I64="","",'دانش‌آموزان'!I64)</f>
        <v/>
      </c>
      <c r="G719" s="307" t="n"/>
      <c r="H719" s="307" t="n"/>
      <c r="I719" s="307" t="n"/>
      <c r="J719" s="307" t="n"/>
      <c r="K719" s="313">
        <f>IF(COUNT(G719:J719)=0,"",AVERAGE(G719:J719)*4)</f>
        <v/>
      </c>
      <c r="L719" s="306">
        <f>IF(C719="","",IF(COUNT(G719:J719)=0,"",IF(COUNT(G719:J719)&lt;4,"موقت - اطلاعات ناقص",IF(K719&gt;=17,"عالی",IF(K719&gt;=14,"خوب",IF(K719&gt;=10,"متوسط","ضعیف"))))))</f>
        <v/>
      </c>
      <c r="M719" s="306" t="n">
        <v>7</v>
      </c>
      <c r="N719" s="314">
        <f>IF(C719="","",COUNT(G719:J719)/4)</f>
        <v/>
      </c>
      <c r="O719" s="307" t="n"/>
    </row>
    <row r="720" ht="24" customHeight="1">
      <c r="A720" s="306" t="n">
        <v>716</v>
      </c>
      <c r="B720" s="306" t="inlineStr">
        <is>
          <t>بهمن</t>
        </is>
      </c>
      <c r="C720" s="306">
        <f>IF('دانش‌آموزان'!E64="","",'دانش‌آموزان'!B64)</f>
        <v/>
      </c>
      <c r="D720" s="306">
        <f>IF('دانش‌آموزان'!C64="","",'دانش‌آموزان'!C64)</f>
        <v/>
      </c>
      <c r="E720" s="306">
        <f>IF('دانش‌آموزان'!E64="","",'دانش‌آموزان'!E64&amp;" "&amp;'دانش‌آموزان'!F64)</f>
        <v/>
      </c>
      <c r="F720" s="306">
        <f>IF('دانش‌آموزان'!I64="","",'دانش‌آموزان'!I64)</f>
        <v/>
      </c>
      <c r="G720" s="307" t="n"/>
      <c r="H720" s="307" t="n"/>
      <c r="I720" s="307" t="n"/>
      <c r="J720" s="307" t="n"/>
      <c r="K720" s="313">
        <f>IF(COUNT(G720:J720)=0,"",AVERAGE(G720:J720)*4)</f>
        <v/>
      </c>
      <c r="L720" s="306">
        <f>IF(C720="","",IF(COUNT(G720:J720)=0,"",IF(COUNT(G720:J720)&lt;4,"موقت - اطلاعات ناقص",IF(K720&gt;=17,"عالی",IF(K720&gt;=14,"خوب",IF(K720&gt;=10,"متوسط","ضعیف"))))))</f>
        <v/>
      </c>
      <c r="M720" s="306" t="n">
        <v>8</v>
      </c>
      <c r="N720" s="314">
        <f>IF(C720="","",COUNT(G720:J720)/4)</f>
        <v/>
      </c>
      <c r="O720" s="307" t="n"/>
    </row>
    <row r="721" ht="24" customHeight="1">
      <c r="A721" s="306" t="n">
        <v>717</v>
      </c>
      <c r="B721" s="306" t="inlineStr">
        <is>
          <t>اسفند</t>
        </is>
      </c>
      <c r="C721" s="306">
        <f>IF('دانش‌آموزان'!E64="","",'دانش‌آموزان'!B64)</f>
        <v/>
      </c>
      <c r="D721" s="306">
        <f>IF('دانش‌آموزان'!C64="","",'دانش‌آموزان'!C64)</f>
        <v/>
      </c>
      <c r="E721" s="306">
        <f>IF('دانش‌آموزان'!E64="","",'دانش‌آموزان'!E64&amp;" "&amp;'دانش‌آموزان'!F64)</f>
        <v/>
      </c>
      <c r="F721" s="306">
        <f>IF('دانش‌آموزان'!I64="","",'دانش‌آموزان'!I64)</f>
        <v/>
      </c>
      <c r="G721" s="307" t="n"/>
      <c r="H721" s="307" t="n"/>
      <c r="I721" s="307" t="n"/>
      <c r="J721" s="307" t="n"/>
      <c r="K721" s="313">
        <f>IF(COUNT(G721:J721)=0,"",AVERAGE(G721:J721)*4)</f>
        <v/>
      </c>
      <c r="L721" s="306">
        <f>IF(C721="","",IF(COUNT(G721:J721)=0,"",IF(COUNT(G721:J721)&lt;4,"موقت - اطلاعات ناقص",IF(K721&gt;=17,"عالی",IF(K721&gt;=14,"خوب",IF(K721&gt;=10,"متوسط","ضعیف"))))))</f>
        <v/>
      </c>
      <c r="M721" s="306" t="n">
        <v>9</v>
      </c>
      <c r="N721" s="314">
        <f>IF(C721="","",COUNT(G721:J721)/4)</f>
        <v/>
      </c>
      <c r="O721" s="307" t="n"/>
    </row>
    <row r="722" ht="24" customHeight="1">
      <c r="A722" s="306" t="n">
        <v>718</v>
      </c>
      <c r="B722" s="306" t="inlineStr">
        <is>
          <t>فروردین</t>
        </is>
      </c>
      <c r="C722" s="306">
        <f>IF('دانش‌آموزان'!E64="","",'دانش‌آموزان'!B64)</f>
        <v/>
      </c>
      <c r="D722" s="306">
        <f>IF('دانش‌آموزان'!C64="","",'دانش‌آموزان'!C64)</f>
        <v/>
      </c>
      <c r="E722" s="306">
        <f>IF('دانش‌آموزان'!E64="","",'دانش‌آموزان'!E64&amp;" "&amp;'دانش‌آموزان'!F64)</f>
        <v/>
      </c>
      <c r="F722" s="306">
        <f>IF('دانش‌آموزان'!I64="","",'دانش‌آموزان'!I64)</f>
        <v/>
      </c>
      <c r="G722" s="307" t="n"/>
      <c r="H722" s="307" t="n"/>
      <c r="I722" s="307" t="n"/>
      <c r="J722" s="307" t="n"/>
      <c r="K722" s="313">
        <f>IF(COUNT(G722:J722)=0,"",AVERAGE(G722:J722)*4)</f>
        <v/>
      </c>
      <c r="L722" s="306">
        <f>IF(C722="","",IF(COUNT(G722:J722)=0,"",IF(COUNT(G722:J722)&lt;4,"موقت - اطلاعات ناقص",IF(K722&gt;=17,"عالی",IF(K722&gt;=14,"خوب",IF(K722&gt;=10,"متوسط","ضعیف"))))))</f>
        <v/>
      </c>
      <c r="M722" s="306" t="n">
        <v>10</v>
      </c>
      <c r="N722" s="314">
        <f>IF(C722="","",COUNT(G722:J722)/4)</f>
        <v/>
      </c>
      <c r="O722" s="307" t="n"/>
    </row>
    <row r="723" ht="24" customHeight="1">
      <c r="A723" s="306" t="n">
        <v>719</v>
      </c>
      <c r="B723" s="306" t="inlineStr">
        <is>
          <t>اردیبهشت</t>
        </is>
      </c>
      <c r="C723" s="306">
        <f>IF('دانش‌آموزان'!E64="","",'دانش‌آموزان'!B64)</f>
        <v/>
      </c>
      <c r="D723" s="306">
        <f>IF('دانش‌آموزان'!C64="","",'دانش‌آموزان'!C64)</f>
        <v/>
      </c>
      <c r="E723" s="306">
        <f>IF('دانش‌آموزان'!E64="","",'دانش‌آموزان'!E64&amp;" "&amp;'دانش‌آموزان'!F64)</f>
        <v/>
      </c>
      <c r="F723" s="306">
        <f>IF('دانش‌آموزان'!I64="","",'دانش‌آموزان'!I64)</f>
        <v/>
      </c>
      <c r="G723" s="307" t="n"/>
      <c r="H723" s="307" t="n"/>
      <c r="I723" s="307" t="n"/>
      <c r="J723" s="307" t="n"/>
      <c r="K723" s="313">
        <f>IF(COUNT(G723:J723)=0,"",AVERAGE(G723:J723)*4)</f>
        <v/>
      </c>
      <c r="L723" s="306">
        <f>IF(C723="","",IF(COUNT(G723:J723)=0,"",IF(COUNT(G723:J723)&lt;4,"موقت - اطلاعات ناقص",IF(K723&gt;=17,"عالی",IF(K723&gt;=14,"خوب",IF(K723&gt;=10,"متوسط","ضعیف"))))))</f>
        <v/>
      </c>
      <c r="M723" s="306" t="n">
        <v>11</v>
      </c>
      <c r="N723" s="314">
        <f>IF(C723="","",COUNT(G723:J723)/4)</f>
        <v/>
      </c>
      <c r="O723" s="307" t="n"/>
    </row>
    <row r="724" ht="24" customHeight="1">
      <c r="A724" s="306" t="n">
        <v>720</v>
      </c>
      <c r="B724" s="306" t="inlineStr">
        <is>
          <t>خرداد</t>
        </is>
      </c>
      <c r="C724" s="306">
        <f>IF('دانش‌آموزان'!E64="","",'دانش‌آموزان'!B64)</f>
        <v/>
      </c>
      <c r="D724" s="306">
        <f>IF('دانش‌آموزان'!C64="","",'دانش‌آموزان'!C64)</f>
        <v/>
      </c>
      <c r="E724" s="306">
        <f>IF('دانش‌آموزان'!E64="","",'دانش‌آموزان'!E64&amp;" "&amp;'دانش‌آموزان'!F64)</f>
        <v/>
      </c>
      <c r="F724" s="306">
        <f>IF('دانش‌آموزان'!I64="","",'دانش‌آموزان'!I64)</f>
        <v/>
      </c>
      <c r="G724" s="307" t="n"/>
      <c r="H724" s="307" t="n"/>
      <c r="I724" s="307" t="n"/>
      <c r="J724" s="307" t="n"/>
      <c r="K724" s="313">
        <f>IF(COUNT(G724:J724)=0,"",AVERAGE(G724:J724)*4)</f>
        <v/>
      </c>
      <c r="L724" s="306">
        <f>IF(C724="","",IF(COUNT(G724:J724)=0,"",IF(COUNT(G724:J724)&lt;4,"موقت - اطلاعات ناقص",IF(K724&gt;=17,"عالی",IF(K724&gt;=14,"خوب",IF(K724&gt;=10,"متوسط","ضعیف"))))))</f>
        <v/>
      </c>
      <c r="M724" s="306" t="n">
        <v>12</v>
      </c>
      <c r="N724" s="314">
        <f>IF(C724="","",COUNT(G724:J724)/4)</f>
        <v/>
      </c>
      <c r="O724" s="307" t="n"/>
    </row>
    <row r="725" ht="24" customHeight="1">
      <c r="A725" s="306" t="n">
        <v>721</v>
      </c>
      <c r="B725" s="306" t="inlineStr">
        <is>
          <t>تیر</t>
        </is>
      </c>
      <c r="C725" s="306">
        <f>IF('دانش‌آموزان'!E65="","",'دانش‌آموزان'!B65)</f>
        <v/>
      </c>
      <c r="D725" s="306">
        <f>IF('دانش‌آموزان'!C65="","",'دانش‌آموزان'!C65)</f>
        <v/>
      </c>
      <c r="E725" s="306">
        <f>IF('دانش‌آموزان'!E65="","",'دانش‌آموزان'!E65&amp;" "&amp;'دانش‌آموزان'!F65)</f>
        <v/>
      </c>
      <c r="F725" s="306">
        <f>IF('دانش‌آموزان'!I65="","",'دانش‌آموزان'!I65)</f>
        <v/>
      </c>
      <c r="G725" s="307" t="n"/>
      <c r="H725" s="307" t="n"/>
      <c r="I725" s="307" t="n"/>
      <c r="J725" s="307" t="n"/>
      <c r="K725" s="313">
        <f>IF(COUNT(G725:J725)=0,"",AVERAGE(G725:J725)*4)</f>
        <v/>
      </c>
      <c r="L725" s="306">
        <f>IF(C725="","",IF(COUNT(G725:J725)=0,"",IF(COUNT(G725:J725)&lt;4,"موقت - اطلاعات ناقص",IF(K725&gt;=17,"عالی",IF(K725&gt;=14,"خوب",IF(K725&gt;=10,"متوسط","ضعیف"))))))</f>
        <v/>
      </c>
      <c r="M725" s="306" t="n">
        <v>1</v>
      </c>
      <c r="N725" s="314">
        <f>IF(C725="","",COUNT(G725:J725)/4)</f>
        <v/>
      </c>
      <c r="O725" s="307" t="n"/>
    </row>
    <row r="726" ht="24" customHeight="1">
      <c r="A726" s="306" t="n">
        <v>722</v>
      </c>
      <c r="B726" s="306" t="inlineStr">
        <is>
          <t>مرداد</t>
        </is>
      </c>
      <c r="C726" s="306">
        <f>IF('دانش‌آموزان'!E65="","",'دانش‌آموزان'!B65)</f>
        <v/>
      </c>
      <c r="D726" s="306">
        <f>IF('دانش‌آموزان'!C65="","",'دانش‌آموزان'!C65)</f>
        <v/>
      </c>
      <c r="E726" s="306">
        <f>IF('دانش‌آموزان'!E65="","",'دانش‌آموزان'!E65&amp;" "&amp;'دانش‌آموزان'!F65)</f>
        <v/>
      </c>
      <c r="F726" s="306">
        <f>IF('دانش‌آموزان'!I65="","",'دانش‌آموزان'!I65)</f>
        <v/>
      </c>
      <c r="G726" s="307" t="n"/>
      <c r="H726" s="307" t="n"/>
      <c r="I726" s="307" t="n"/>
      <c r="J726" s="307" t="n"/>
      <c r="K726" s="313">
        <f>IF(COUNT(G726:J726)=0,"",AVERAGE(G726:J726)*4)</f>
        <v/>
      </c>
      <c r="L726" s="306">
        <f>IF(C726="","",IF(COUNT(G726:J726)=0,"",IF(COUNT(G726:J726)&lt;4,"موقت - اطلاعات ناقص",IF(K726&gt;=17,"عالی",IF(K726&gt;=14,"خوب",IF(K726&gt;=10,"متوسط","ضعیف"))))))</f>
        <v/>
      </c>
      <c r="M726" s="306" t="n">
        <v>2</v>
      </c>
      <c r="N726" s="314">
        <f>IF(C726="","",COUNT(G726:J726)/4)</f>
        <v/>
      </c>
      <c r="O726" s="307" t="n"/>
    </row>
    <row r="727" ht="24" customHeight="1">
      <c r="A727" s="306" t="n">
        <v>723</v>
      </c>
      <c r="B727" s="306" t="inlineStr">
        <is>
          <t>شهریور</t>
        </is>
      </c>
      <c r="C727" s="306">
        <f>IF('دانش‌آموزان'!E65="","",'دانش‌آموزان'!B65)</f>
        <v/>
      </c>
      <c r="D727" s="306">
        <f>IF('دانش‌آموزان'!C65="","",'دانش‌آموزان'!C65)</f>
        <v/>
      </c>
      <c r="E727" s="306">
        <f>IF('دانش‌آموزان'!E65="","",'دانش‌آموزان'!E65&amp;" "&amp;'دانش‌آموزان'!F65)</f>
        <v/>
      </c>
      <c r="F727" s="306">
        <f>IF('دانش‌آموزان'!I65="","",'دانش‌آموزان'!I65)</f>
        <v/>
      </c>
      <c r="G727" s="307" t="n"/>
      <c r="H727" s="307" t="n"/>
      <c r="I727" s="307" t="n"/>
      <c r="J727" s="307" t="n"/>
      <c r="K727" s="313">
        <f>IF(COUNT(G727:J727)=0,"",AVERAGE(G727:J727)*4)</f>
        <v/>
      </c>
      <c r="L727" s="306">
        <f>IF(C727="","",IF(COUNT(G727:J727)=0,"",IF(COUNT(G727:J727)&lt;4,"موقت - اطلاعات ناقص",IF(K727&gt;=17,"عالی",IF(K727&gt;=14,"خوب",IF(K727&gt;=10,"متوسط","ضعیف"))))))</f>
        <v/>
      </c>
      <c r="M727" s="306" t="n">
        <v>3</v>
      </c>
      <c r="N727" s="314">
        <f>IF(C727="","",COUNT(G727:J727)/4)</f>
        <v/>
      </c>
      <c r="O727" s="307" t="n"/>
    </row>
    <row r="728" ht="24" customHeight="1">
      <c r="A728" s="306" t="n">
        <v>724</v>
      </c>
      <c r="B728" s="306" t="inlineStr">
        <is>
          <t>مهر</t>
        </is>
      </c>
      <c r="C728" s="306">
        <f>IF('دانش‌آموزان'!E65="","",'دانش‌آموزان'!B65)</f>
        <v/>
      </c>
      <c r="D728" s="306">
        <f>IF('دانش‌آموزان'!C65="","",'دانش‌آموزان'!C65)</f>
        <v/>
      </c>
      <c r="E728" s="306">
        <f>IF('دانش‌آموزان'!E65="","",'دانش‌آموزان'!E65&amp;" "&amp;'دانش‌آموزان'!F65)</f>
        <v/>
      </c>
      <c r="F728" s="306">
        <f>IF('دانش‌آموزان'!I65="","",'دانش‌آموزان'!I65)</f>
        <v/>
      </c>
      <c r="G728" s="307" t="n"/>
      <c r="H728" s="307" t="n"/>
      <c r="I728" s="307" t="n"/>
      <c r="J728" s="307" t="n"/>
      <c r="K728" s="313">
        <f>IF(COUNT(G728:J728)=0,"",AVERAGE(G728:J728)*4)</f>
        <v/>
      </c>
      <c r="L728" s="306">
        <f>IF(C728="","",IF(COUNT(G728:J728)=0,"",IF(COUNT(G728:J728)&lt;4,"موقت - اطلاعات ناقص",IF(K728&gt;=17,"عالی",IF(K728&gt;=14,"خوب",IF(K728&gt;=10,"متوسط","ضعیف"))))))</f>
        <v/>
      </c>
      <c r="M728" s="306" t="n">
        <v>4</v>
      </c>
      <c r="N728" s="314">
        <f>IF(C728="","",COUNT(G728:J728)/4)</f>
        <v/>
      </c>
      <c r="O728" s="307" t="n"/>
    </row>
    <row r="729" ht="24" customHeight="1">
      <c r="A729" s="306" t="n">
        <v>725</v>
      </c>
      <c r="B729" s="306" t="inlineStr">
        <is>
          <t>آبان</t>
        </is>
      </c>
      <c r="C729" s="306">
        <f>IF('دانش‌آموزان'!E65="","",'دانش‌آموزان'!B65)</f>
        <v/>
      </c>
      <c r="D729" s="306">
        <f>IF('دانش‌آموزان'!C65="","",'دانش‌آموزان'!C65)</f>
        <v/>
      </c>
      <c r="E729" s="306">
        <f>IF('دانش‌آموزان'!E65="","",'دانش‌آموزان'!E65&amp;" "&amp;'دانش‌آموزان'!F65)</f>
        <v/>
      </c>
      <c r="F729" s="306">
        <f>IF('دانش‌آموزان'!I65="","",'دانش‌آموزان'!I65)</f>
        <v/>
      </c>
      <c r="G729" s="307" t="n"/>
      <c r="H729" s="307" t="n"/>
      <c r="I729" s="307" t="n"/>
      <c r="J729" s="307" t="n"/>
      <c r="K729" s="313">
        <f>IF(COUNT(G729:J729)=0,"",AVERAGE(G729:J729)*4)</f>
        <v/>
      </c>
      <c r="L729" s="306">
        <f>IF(C729="","",IF(COUNT(G729:J729)=0,"",IF(COUNT(G729:J729)&lt;4,"موقت - اطلاعات ناقص",IF(K729&gt;=17,"عالی",IF(K729&gt;=14,"خوب",IF(K729&gt;=10,"متوسط","ضعیف"))))))</f>
        <v/>
      </c>
      <c r="M729" s="306" t="n">
        <v>5</v>
      </c>
      <c r="N729" s="314">
        <f>IF(C729="","",COUNT(G729:J729)/4)</f>
        <v/>
      </c>
      <c r="O729" s="307" t="n"/>
    </row>
    <row r="730" ht="24" customHeight="1">
      <c r="A730" s="306" t="n">
        <v>726</v>
      </c>
      <c r="B730" s="306" t="inlineStr">
        <is>
          <t>آذر</t>
        </is>
      </c>
      <c r="C730" s="306">
        <f>IF('دانش‌آموزان'!E65="","",'دانش‌آموزان'!B65)</f>
        <v/>
      </c>
      <c r="D730" s="306">
        <f>IF('دانش‌آموزان'!C65="","",'دانش‌آموزان'!C65)</f>
        <v/>
      </c>
      <c r="E730" s="306">
        <f>IF('دانش‌آموزان'!E65="","",'دانش‌آموزان'!E65&amp;" "&amp;'دانش‌آموزان'!F65)</f>
        <v/>
      </c>
      <c r="F730" s="306">
        <f>IF('دانش‌آموزان'!I65="","",'دانش‌آموزان'!I65)</f>
        <v/>
      </c>
      <c r="G730" s="307" t="n"/>
      <c r="H730" s="307" t="n"/>
      <c r="I730" s="307" t="n"/>
      <c r="J730" s="307" t="n"/>
      <c r="K730" s="313">
        <f>IF(COUNT(G730:J730)=0,"",AVERAGE(G730:J730)*4)</f>
        <v/>
      </c>
      <c r="L730" s="306">
        <f>IF(C730="","",IF(COUNT(G730:J730)=0,"",IF(COUNT(G730:J730)&lt;4,"موقت - اطلاعات ناقص",IF(K730&gt;=17,"عالی",IF(K730&gt;=14,"خوب",IF(K730&gt;=10,"متوسط","ضعیف"))))))</f>
        <v/>
      </c>
      <c r="M730" s="306" t="n">
        <v>6</v>
      </c>
      <c r="N730" s="314">
        <f>IF(C730="","",COUNT(G730:J730)/4)</f>
        <v/>
      </c>
      <c r="O730" s="307" t="n"/>
    </row>
    <row r="731" ht="24" customHeight="1">
      <c r="A731" s="306" t="n">
        <v>727</v>
      </c>
      <c r="B731" s="306" t="inlineStr">
        <is>
          <t>دی</t>
        </is>
      </c>
      <c r="C731" s="306">
        <f>IF('دانش‌آموزان'!E65="","",'دانش‌آموزان'!B65)</f>
        <v/>
      </c>
      <c r="D731" s="306">
        <f>IF('دانش‌آموزان'!C65="","",'دانش‌آموزان'!C65)</f>
        <v/>
      </c>
      <c r="E731" s="306">
        <f>IF('دانش‌آموزان'!E65="","",'دانش‌آموزان'!E65&amp;" "&amp;'دانش‌آموزان'!F65)</f>
        <v/>
      </c>
      <c r="F731" s="306">
        <f>IF('دانش‌آموزان'!I65="","",'دانش‌آموزان'!I65)</f>
        <v/>
      </c>
      <c r="G731" s="307" t="n"/>
      <c r="H731" s="307" t="n"/>
      <c r="I731" s="307" t="n"/>
      <c r="J731" s="307" t="n"/>
      <c r="K731" s="313">
        <f>IF(COUNT(G731:J731)=0,"",AVERAGE(G731:J731)*4)</f>
        <v/>
      </c>
      <c r="L731" s="306">
        <f>IF(C731="","",IF(COUNT(G731:J731)=0,"",IF(COUNT(G731:J731)&lt;4,"موقت - اطلاعات ناقص",IF(K731&gt;=17,"عالی",IF(K731&gt;=14,"خوب",IF(K731&gt;=10,"متوسط","ضعیف"))))))</f>
        <v/>
      </c>
      <c r="M731" s="306" t="n">
        <v>7</v>
      </c>
      <c r="N731" s="314">
        <f>IF(C731="","",COUNT(G731:J731)/4)</f>
        <v/>
      </c>
      <c r="O731" s="307" t="n"/>
    </row>
    <row r="732" ht="24" customHeight="1">
      <c r="A732" s="306" t="n">
        <v>728</v>
      </c>
      <c r="B732" s="306" t="inlineStr">
        <is>
          <t>بهمن</t>
        </is>
      </c>
      <c r="C732" s="306">
        <f>IF('دانش‌آموزان'!E65="","",'دانش‌آموزان'!B65)</f>
        <v/>
      </c>
      <c r="D732" s="306">
        <f>IF('دانش‌آموزان'!C65="","",'دانش‌آموزان'!C65)</f>
        <v/>
      </c>
      <c r="E732" s="306">
        <f>IF('دانش‌آموزان'!E65="","",'دانش‌آموزان'!E65&amp;" "&amp;'دانش‌آموزان'!F65)</f>
        <v/>
      </c>
      <c r="F732" s="306">
        <f>IF('دانش‌آموزان'!I65="","",'دانش‌آموزان'!I65)</f>
        <v/>
      </c>
      <c r="G732" s="307" t="n"/>
      <c r="H732" s="307" t="n"/>
      <c r="I732" s="307" t="n"/>
      <c r="J732" s="307" t="n"/>
      <c r="K732" s="313">
        <f>IF(COUNT(G732:J732)=0,"",AVERAGE(G732:J732)*4)</f>
        <v/>
      </c>
      <c r="L732" s="306">
        <f>IF(C732="","",IF(COUNT(G732:J732)=0,"",IF(COUNT(G732:J732)&lt;4,"موقت - اطلاعات ناقص",IF(K732&gt;=17,"عالی",IF(K732&gt;=14,"خوب",IF(K732&gt;=10,"متوسط","ضعیف"))))))</f>
        <v/>
      </c>
      <c r="M732" s="306" t="n">
        <v>8</v>
      </c>
      <c r="N732" s="314">
        <f>IF(C732="","",COUNT(G732:J732)/4)</f>
        <v/>
      </c>
      <c r="O732" s="307" t="n"/>
    </row>
    <row r="733" ht="24" customHeight="1">
      <c r="A733" s="306" t="n">
        <v>729</v>
      </c>
      <c r="B733" s="306" t="inlineStr">
        <is>
          <t>اسفند</t>
        </is>
      </c>
      <c r="C733" s="306">
        <f>IF('دانش‌آموزان'!E65="","",'دانش‌آموزان'!B65)</f>
        <v/>
      </c>
      <c r="D733" s="306">
        <f>IF('دانش‌آموزان'!C65="","",'دانش‌آموزان'!C65)</f>
        <v/>
      </c>
      <c r="E733" s="306">
        <f>IF('دانش‌آموزان'!E65="","",'دانش‌آموزان'!E65&amp;" "&amp;'دانش‌آموزان'!F65)</f>
        <v/>
      </c>
      <c r="F733" s="306">
        <f>IF('دانش‌آموزان'!I65="","",'دانش‌آموزان'!I65)</f>
        <v/>
      </c>
      <c r="G733" s="307" t="n"/>
      <c r="H733" s="307" t="n"/>
      <c r="I733" s="307" t="n"/>
      <c r="J733" s="307" t="n"/>
      <c r="K733" s="313">
        <f>IF(COUNT(G733:J733)=0,"",AVERAGE(G733:J733)*4)</f>
        <v/>
      </c>
      <c r="L733" s="306">
        <f>IF(C733="","",IF(COUNT(G733:J733)=0,"",IF(COUNT(G733:J733)&lt;4,"موقت - اطلاعات ناقص",IF(K733&gt;=17,"عالی",IF(K733&gt;=14,"خوب",IF(K733&gt;=10,"متوسط","ضعیف"))))))</f>
        <v/>
      </c>
      <c r="M733" s="306" t="n">
        <v>9</v>
      </c>
      <c r="N733" s="314">
        <f>IF(C733="","",COUNT(G733:J733)/4)</f>
        <v/>
      </c>
      <c r="O733" s="307" t="n"/>
    </row>
    <row r="734" ht="24" customHeight="1">
      <c r="A734" s="306" t="n">
        <v>730</v>
      </c>
      <c r="B734" s="306" t="inlineStr">
        <is>
          <t>فروردین</t>
        </is>
      </c>
      <c r="C734" s="306">
        <f>IF('دانش‌آموزان'!E65="","",'دانش‌آموزان'!B65)</f>
        <v/>
      </c>
      <c r="D734" s="306">
        <f>IF('دانش‌آموزان'!C65="","",'دانش‌آموزان'!C65)</f>
        <v/>
      </c>
      <c r="E734" s="306">
        <f>IF('دانش‌آموزان'!E65="","",'دانش‌آموزان'!E65&amp;" "&amp;'دانش‌آموزان'!F65)</f>
        <v/>
      </c>
      <c r="F734" s="306">
        <f>IF('دانش‌آموزان'!I65="","",'دانش‌آموزان'!I65)</f>
        <v/>
      </c>
      <c r="G734" s="307" t="n"/>
      <c r="H734" s="307" t="n"/>
      <c r="I734" s="307" t="n"/>
      <c r="J734" s="307" t="n"/>
      <c r="K734" s="313">
        <f>IF(COUNT(G734:J734)=0,"",AVERAGE(G734:J734)*4)</f>
        <v/>
      </c>
      <c r="L734" s="306">
        <f>IF(C734="","",IF(COUNT(G734:J734)=0,"",IF(COUNT(G734:J734)&lt;4,"موقت - اطلاعات ناقص",IF(K734&gt;=17,"عالی",IF(K734&gt;=14,"خوب",IF(K734&gt;=10,"متوسط","ضعیف"))))))</f>
        <v/>
      </c>
      <c r="M734" s="306" t="n">
        <v>10</v>
      </c>
      <c r="N734" s="314">
        <f>IF(C734="","",COUNT(G734:J734)/4)</f>
        <v/>
      </c>
      <c r="O734" s="307" t="n"/>
    </row>
    <row r="735" ht="24" customHeight="1">
      <c r="A735" s="306" t="n">
        <v>731</v>
      </c>
      <c r="B735" s="306" t="inlineStr">
        <is>
          <t>اردیبهشت</t>
        </is>
      </c>
      <c r="C735" s="306">
        <f>IF('دانش‌آموزان'!E65="","",'دانش‌آموزان'!B65)</f>
        <v/>
      </c>
      <c r="D735" s="306">
        <f>IF('دانش‌آموزان'!C65="","",'دانش‌آموزان'!C65)</f>
        <v/>
      </c>
      <c r="E735" s="306">
        <f>IF('دانش‌آموزان'!E65="","",'دانش‌آموزان'!E65&amp;" "&amp;'دانش‌آموزان'!F65)</f>
        <v/>
      </c>
      <c r="F735" s="306">
        <f>IF('دانش‌آموزان'!I65="","",'دانش‌آموزان'!I65)</f>
        <v/>
      </c>
      <c r="G735" s="307" t="n"/>
      <c r="H735" s="307" t="n"/>
      <c r="I735" s="307" t="n"/>
      <c r="J735" s="307" t="n"/>
      <c r="K735" s="313">
        <f>IF(COUNT(G735:J735)=0,"",AVERAGE(G735:J735)*4)</f>
        <v/>
      </c>
      <c r="L735" s="306">
        <f>IF(C735="","",IF(COUNT(G735:J735)=0,"",IF(COUNT(G735:J735)&lt;4,"موقت - اطلاعات ناقص",IF(K735&gt;=17,"عالی",IF(K735&gt;=14,"خوب",IF(K735&gt;=10,"متوسط","ضعیف"))))))</f>
        <v/>
      </c>
      <c r="M735" s="306" t="n">
        <v>11</v>
      </c>
      <c r="N735" s="314">
        <f>IF(C735="","",COUNT(G735:J735)/4)</f>
        <v/>
      </c>
      <c r="O735" s="307" t="n"/>
    </row>
    <row r="736" ht="24" customHeight="1">
      <c r="A736" s="306" t="n">
        <v>732</v>
      </c>
      <c r="B736" s="306" t="inlineStr">
        <is>
          <t>خرداد</t>
        </is>
      </c>
      <c r="C736" s="306">
        <f>IF('دانش‌آموزان'!E65="","",'دانش‌آموزان'!B65)</f>
        <v/>
      </c>
      <c r="D736" s="306">
        <f>IF('دانش‌آموزان'!C65="","",'دانش‌آموزان'!C65)</f>
        <v/>
      </c>
      <c r="E736" s="306">
        <f>IF('دانش‌آموزان'!E65="","",'دانش‌آموزان'!E65&amp;" "&amp;'دانش‌آموزان'!F65)</f>
        <v/>
      </c>
      <c r="F736" s="306">
        <f>IF('دانش‌آموزان'!I65="","",'دانش‌آموزان'!I65)</f>
        <v/>
      </c>
      <c r="G736" s="307" t="n"/>
      <c r="H736" s="307" t="n"/>
      <c r="I736" s="307" t="n"/>
      <c r="J736" s="307" t="n"/>
      <c r="K736" s="313">
        <f>IF(COUNT(G736:J736)=0,"",AVERAGE(G736:J736)*4)</f>
        <v/>
      </c>
      <c r="L736" s="306">
        <f>IF(C736="","",IF(COUNT(G736:J736)=0,"",IF(COUNT(G736:J736)&lt;4,"موقت - اطلاعات ناقص",IF(K736&gt;=17,"عالی",IF(K736&gt;=14,"خوب",IF(K736&gt;=10,"متوسط","ضعیف"))))))</f>
        <v/>
      </c>
      <c r="M736" s="306" t="n">
        <v>12</v>
      </c>
      <c r="N736" s="314">
        <f>IF(C736="","",COUNT(G736:J736)/4)</f>
        <v/>
      </c>
      <c r="O736" s="307" t="n"/>
    </row>
    <row r="737" ht="24" customHeight="1">
      <c r="A737" s="306" t="n">
        <v>733</v>
      </c>
      <c r="B737" s="306" t="inlineStr">
        <is>
          <t>تیر</t>
        </is>
      </c>
      <c r="C737" s="306">
        <f>IF('دانش‌آموزان'!E66="","",'دانش‌آموزان'!B66)</f>
        <v/>
      </c>
      <c r="D737" s="306">
        <f>IF('دانش‌آموزان'!C66="","",'دانش‌آموزان'!C66)</f>
        <v/>
      </c>
      <c r="E737" s="306">
        <f>IF('دانش‌آموزان'!E66="","",'دانش‌آموزان'!E66&amp;" "&amp;'دانش‌آموزان'!F66)</f>
        <v/>
      </c>
      <c r="F737" s="306">
        <f>IF('دانش‌آموزان'!I66="","",'دانش‌آموزان'!I66)</f>
        <v/>
      </c>
      <c r="G737" s="307" t="n"/>
      <c r="H737" s="307" t="n"/>
      <c r="I737" s="307" t="n"/>
      <c r="J737" s="307" t="n"/>
      <c r="K737" s="313">
        <f>IF(COUNT(G737:J737)=0,"",AVERAGE(G737:J737)*4)</f>
        <v/>
      </c>
      <c r="L737" s="306">
        <f>IF(C737="","",IF(COUNT(G737:J737)=0,"",IF(COUNT(G737:J737)&lt;4,"موقت - اطلاعات ناقص",IF(K737&gt;=17,"عالی",IF(K737&gt;=14,"خوب",IF(K737&gt;=10,"متوسط","ضعیف"))))))</f>
        <v/>
      </c>
      <c r="M737" s="306" t="n">
        <v>1</v>
      </c>
      <c r="N737" s="314">
        <f>IF(C737="","",COUNT(G737:J737)/4)</f>
        <v/>
      </c>
      <c r="O737" s="307" t="n"/>
    </row>
    <row r="738" ht="24" customHeight="1">
      <c r="A738" s="306" t="n">
        <v>734</v>
      </c>
      <c r="B738" s="306" t="inlineStr">
        <is>
          <t>مرداد</t>
        </is>
      </c>
      <c r="C738" s="306">
        <f>IF('دانش‌آموزان'!E66="","",'دانش‌آموزان'!B66)</f>
        <v/>
      </c>
      <c r="D738" s="306">
        <f>IF('دانش‌آموزان'!C66="","",'دانش‌آموزان'!C66)</f>
        <v/>
      </c>
      <c r="E738" s="306">
        <f>IF('دانش‌آموزان'!E66="","",'دانش‌آموزان'!E66&amp;" "&amp;'دانش‌آموزان'!F66)</f>
        <v/>
      </c>
      <c r="F738" s="306">
        <f>IF('دانش‌آموزان'!I66="","",'دانش‌آموزان'!I66)</f>
        <v/>
      </c>
      <c r="G738" s="307" t="n"/>
      <c r="H738" s="307" t="n"/>
      <c r="I738" s="307" t="n"/>
      <c r="J738" s="307" t="n"/>
      <c r="K738" s="313">
        <f>IF(COUNT(G738:J738)=0,"",AVERAGE(G738:J738)*4)</f>
        <v/>
      </c>
      <c r="L738" s="306">
        <f>IF(C738="","",IF(COUNT(G738:J738)=0,"",IF(COUNT(G738:J738)&lt;4,"موقت - اطلاعات ناقص",IF(K738&gt;=17,"عالی",IF(K738&gt;=14,"خوب",IF(K738&gt;=10,"متوسط","ضعیف"))))))</f>
        <v/>
      </c>
      <c r="M738" s="306" t="n">
        <v>2</v>
      </c>
      <c r="N738" s="314">
        <f>IF(C738="","",COUNT(G738:J738)/4)</f>
        <v/>
      </c>
      <c r="O738" s="307" t="n"/>
    </row>
    <row r="739" ht="24" customHeight="1">
      <c r="A739" s="306" t="n">
        <v>735</v>
      </c>
      <c r="B739" s="306" t="inlineStr">
        <is>
          <t>شهریور</t>
        </is>
      </c>
      <c r="C739" s="306">
        <f>IF('دانش‌آموزان'!E66="","",'دانش‌آموزان'!B66)</f>
        <v/>
      </c>
      <c r="D739" s="306">
        <f>IF('دانش‌آموزان'!C66="","",'دانش‌آموزان'!C66)</f>
        <v/>
      </c>
      <c r="E739" s="306">
        <f>IF('دانش‌آموزان'!E66="","",'دانش‌آموزان'!E66&amp;" "&amp;'دانش‌آموزان'!F66)</f>
        <v/>
      </c>
      <c r="F739" s="306">
        <f>IF('دانش‌آموزان'!I66="","",'دانش‌آموزان'!I66)</f>
        <v/>
      </c>
      <c r="G739" s="307" t="n"/>
      <c r="H739" s="307" t="n"/>
      <c r="I739" s="307" t="n"/>
      <c r="J739" s="307" t="n"/>
      <c r="K739" s="313">
        <f>IF(COUNT(G739:J739)=0,"",AVERAGE(G739:J739)*4)</f>
        <v/>
      </c>
      <c r="L739" s="306">
        <f>IF(C739="","",IF(COUNT(G739:J739)=0,"",IF(COUNT(G739:J739)&lt;4,"موقت - اطلاعات ناقص",IF(K739&gt;=17,"عالی",IF(K739&gt;=14,"خوب",IF(K739&gt;=10,"متوسط","ضعیف"))))))</f>
        <v/>
      </c>
      <c r="M739" s="306" t="n">
        <v>3</v>
      </c>
      <c r="N739" s="314">
        <f>IF(C739="","",COUNT(G739:J739)/4)</f>
        <v/>
      </c>
      <c r="O739" s="307" t="n"/>
    </row>
    <row r="740" ht="24" customHeight="1">
      <c r="A740" s="306" t="n">
        <v>736</v>
      </c>
      <c r="B740" s="306" t="inlineStr">
        <is>
          <t>مهر</t>
        </is>
      </c>
      <c r="C740" s="306">
        <f>IF('دانش‌آموزان'!E66="","",'دانش‌آموزان'!B66)</f>
        <v/>
      </c>
      <c r="D740" s="306">
        <f>IF('دانش‌آموزان'!C66="","",'دانش‌آموزان'!C66)</f>
        <v/>
      </c>
      <c r="E740" s="306">
        <f>IF('دانش‌آموزان'!E66="","",'دانش‌آموزان'!E66&amp;" "&amp;'دانش‌آموزان'!F66)</f>
        <v/>
      </c>
      <c r="F740" s="306">
        <f>IF('دانش‌آموزان'!I66="","",'دانش‌آموزان'!I66)</f>
        <v/>
      </c>
      <c r="G740" s="307" t="n"/>
      <c r="H740" s="307" t="n"/>
      <c r="I740" s="307" t="n"/>
      <c r="J740" s="307" t="n"/>
      <c r="K740" s="313">
        <f>IF(COUNT(G740:J740)=0,"",AVERAGE(G740:J740)*4)</f>
        <v/>
      </c>
      <c r="L740" s="306">
        <f>IF(C740="","",IF(COUNT(G740:J740)=0,"",IF(COUNT(G740:J740)&lt;4,"موقت - اطلاعات ناقص",IF(K740&gt;=17,"عالی",IF(K740&gt;=14,"خوب",IF(K740&gt;=10,"متوسط","ضعیف"))))))</f>
        <v/>
      </c>
      <c r="M740" s="306" t="n">
        <v>4</v>
      </c>
      <c r="N740" s="314">
        <f>IF(C740="","",COUNT(G740:J740)/4)</f>
        <v/>
      </c>
      <c r="O740" s="307" t="n"/>
    </row>
    <row r="741" ht="24" customHeight="1">
      <c r="A741" s="306" t="n">
        <v>737</v>
      </c>
      <c r="B741" s="306" t="inlineStr">
        <is>
          <t>آبان</t>
        </is>
      </c>
      <c r="C741" s="306">
        <f>IF('دانش‌آموزان'!E66="","",'دانش‌آموزان'!B66)</f>
        <v/>
      </c>
      <c r="D741" s="306">
        <f>IF('دانش‌آموزان'!C66="","",'دانش‌آموزان'!C66)</f>
        <v/>
      </c>
      <c r="E741" s="306">
        <f>IF('دانش‌آموزان'!E66="","",'دانش‌آموزان'!E66&amp;" "&amp;'دانش‌آموزان'!F66)</f>
        <v/>
      </c>
      <c r="F741" s="306">
        <f>IF('دانش‌آموزان'!I66="","",'دانش‌آموزان'!I66)</f>
        <v/>
      </c>
      <c r="G741" s="307" t="n"/>
      <c r="H741" s="307" t="n"/>
      <c r="I741" s="307" t="n"/>
      <c r="J741" s="307" t="n"/>
      <c r="K741" s="313">
        <f>IF(COUNT(G741:J741)=0,"",AVERAGE(G741:J741)*4)</f>
        <v/>
      </c>
      <c r="L741" s="306">
        <f>IF(C741="","",IF(COUNT(G741:J741)=0,"",IF(COUNT(G741:J741)&lt;4,"موقت - اطلاعات ناقص",IF(K741&gt;=17,"عالی",IF(K741&gt;=14,"خوب",IF(K741&gt;=10,"متوسط","ضعیف"))))))</f>
        <v/>
      </c>
      <c r="M741" s="306" t="n">
        <v>5</v>
      </c>
      <c r="N741" s="314">
        <f>IF(C741="","",COUNT(G741:J741)/4)</f>
        <v/>
      </c>
      <c r="O741" s="307" t="n"/>
    </row>
    <row r="742" ht="24" customHeight="1">
      <c r="A742" s="306" t="n">
        <v>738</v>
      </c>
      <c r="B742" s="306" t="inlineStr">
        <is>
          <t>آذر</t>
        </is>
      </c>
      <c r="C742" s="306">
        <f>IF('دانش‌آموزان'!E66="","",'دانش‌آموزان'!B66)</f>
        <v/>
      </c>
      <c r="D742" s="306">
        <f>IF('دانش‌آموزان'!C66="","",'دانش‌آموزان'!C66)</f>
        <v/>
      </c>
      <c r="E742" s="306">
        <f>IF('دانش‌آموزان'!E66="","",'دانش‌آموزان'!E66&amp;" "&amp;'دانش‌آموزان'!F66)</f>
        <v/>
      </c>
      <c r="F742" s="306">
        <f>IF('دانش‌آموزان'!I66="","",'دانش‌آموزان'!I66)</f>
        <v/>
      </c>
      <c r="G742" s="307" t="n"/>
      <c r="H742" s="307" t="n"/>
      <c r="I742" s="307" t="n"/>
      <c r="J742" s="307" t="n"/>
      <c r="K742" s="313">
        <f>IF(COUNT(G742:J742)=0,"",AVERAGE(G742:J742)*4)</f>
        <v/>
      </c>
      <c r="L742" s="306">
        <f>IF(C742="","",IF(COUNT(G742:J742)=0,"",IF(COUNT(G742:J742)&lt;4,"موقت - اطلاعات ناقص",IF(K742&gt;=17,"عالی",IF(K742&gt;=14,"خوب",IF(K742&gt;=10,"متوسط","ضعیف"))))))</f>
        <v/>
      </c>
      <c r="M742" s="306" t="n">
        <v>6</v>
      </c>
      <c r="N742" s="314">
        <f>IF(C742="","",COUNT(G742:J742)/4)</f>
        <v/>
      </c>
      <c r="O742" s="307" t="n"/>
    </row>
    <row r="743" ht="24" customHeight="1">
      <c r="A743" s="306" t="n">
        <v>739</v>
      </c>
      <c r="B743" s="306" t="inlineStr">
        <is>
          <t>دی</t>
        </is>
      </c>
      <c r="C743" s="306">
        <f>IF('دانش‌آموزان'!E66="","",'دانش‌آموزان'!B66)</f>
        <v/>
      </c>
      <c r="D743" s="306">
        <f>IF('دانش‌آموزان'!C66="","",'دانش‌آموزان'!C66)</f>
        <v/>
      </c>
      <c r="E743" s="306">
        <f>IF('دانش‌آموزان'!E66="","",'دانش‌آموزان'!E66&amp;" "&amp;'دانش‌آموزان'!F66)</f>
        <v/>
      </c>
      <c r="F743" s="306">
        <f>IF('دانش‌آموزان'!I66="","",'دانش‌آموزان'!I66)</f>
        <v/>
      </c>
      <c r="G743" s="307" t="n"/>
      <c r="H743" s="307" t="n"/>
      <c r="I743" s="307" t="n"/>
      <c r="J743" s="307" t="n"/>
      <c r="K743" s="313">
        <f>IF(COUNT(G743:J743)=0,"",AVERAGE(G743:J743)*4)</f>
        <v/>
      </c>
      <c r="L743" s="306">
        <f>IF(C743="","",IF(COUNT(G743:J743)=0,"",IF(COUNT(G743:J743)&lt;4,"موقت - اطلاعات ناقص",IF(K743&gt;=17,"عالی",IF(K743&gt;=14,"خوب",IF(K743&gt;=10,"متوسط","ضعیف"))))))</f>
        <v/>
      </c>
      <c r="M743" s="306" t="n">
        <v>7</v>
      </c>
      <c r="N743" s="314">
        <f>IF(C743="","",COUNT(G743:J743)/4)</f>
        <v/>
      </c>
      <c r="O743" s="307" t="n"/>
    </row>
    <row r="744" ht="24" customHeight="1">
      <c r="A744" s="306" t="n">
        <v>740</v>
      </c>
      <c r="B744" s="306" t="inlineStr">
        <is>
          <t>بهمن</t>
        </is>
      </c>
      <c r="C744" s="306">
        <f>IF('دانش‌آموزان'!E66="","",'دانش‌آموزان'!B66)</f>
        <v/>
      </c>
      <c r="D744" s="306">
        <f>IF('دانش‌آموزان'!C66="","",'دانش‌آموزان'!C66)</f>
        <v/>
      </c>
      <c r="E744" s="306">
        <f>IF('دانش‌آموزان'!E66="","",'دانش‌آموزان'!E66&amp;" "&amp;'دانش‌آموزان'!F66)</f>
        <v/>
      </c>
      <c r="F744" s="306">
        <f>IF('دانش‌آموزان'!I66="","",'دانش‌آموزان'!I66)</f>
        <v/>
      </c>
      <c r="G744" s="307" t="n"/>
      <c r="H744" s="307" t="n"/>
      <c r="I744" s="307" t="n"/>
      <c r="J744" s="307" t="n"/>
      <c r="K744" s="313">
        <f>IF(COUNT(G744:J744)=0,"",AVERAGE(G744:J744)*4)</f>
        <v/>
      </c>
      <c r="L744" s="306">
        <f>IF(C744="","",IF(COUNT(G744:J744)=0,"",IF(COUNT(G744:J744)&lt;4,"موقت - اطلاعات ناقص",IF(K744&gt;=17,"عالی",IF(K744&gt;=14,"خوب",IF(K744&gt;=10,"متوسط","ضعیف"))))))</f>
        <v/>
      </c>
      <c r="M744" s="306" t="n">
        <v>8</v>
      </c>
      <c r="N744" s="314">
        <f>IF(C744="","",COUNT(G744:J744)/4)</f>
        <v/>
      </c>
      <c r="O744" s="307" t="n"/>
    </row>
    <row r="745" ht="24" customHeight="1">
      <c r="A745" s="306" t="n">
        <v>741</v>
      </c>
      <c r="B745" s="306" t="inlineStr">
        <is>
          <t>اسفند</t>
        </is>
      </c>
      <c r="C745" s="306">
        <f>IF('دانش‌آموزان'!E66="","",'دانش‌آموزان'!B66)</f>
        <v/>
      </c>
      <c r="D745" s="306">
        <f>IF('دانش‌آموزان'!C66="","",'دانش‌آموزان'!C66)</f>
        <v/>
      </c>
      <c r="E745" s="306">
        <f>IF('دانش‌آموزان'!E66="","",'دانش‌آموزان'!E66&amp;" "&amp;'دانش‌آموزان'!F66)</f>
        <v/>
      </c>
      <c r="F745" s="306">
        <f>IF('دانش‌آموزان'!I66="","",'دانش‌آموزان'!I66)</f>
        <v/>
      </c>
      <c r="G745" s="307" t="n"/>
      <c r="H745" s="307" t="n"/>
      <c r="I745" s="307" t="n"/>
      <c r="J745" s="307" t="n"/>
      <c r="K745" s="313">
        <f>IF(COUNT(G745:J745)=0,"",AVERAGE(G745:J745)*4)</f>
        <v/>
      </c>
      <c r="L745" s="306">
        <f>IF(C745="","",IF(COUNT(G745:J745)=0,"",IF(COUNT(G745:J745)&lt;4,"موقت - اطلاعات ناقص",IF(K745&gt;=17,"عالی",IF(K745&gt;=14,"خوب",IF(K745&gt;=10,"متوسط","ضعیف"))))))</f>
        <v/>
      </c>
      <c r="M745" s="306" t="n">
        <v>9</v>
      </c>
      <c r="N745" s="314">
        <f>IF(C745="","",COUNT(G745:J745)/4)</f>
        <v/>
      </c>
      <c r="O745" s="307" t="n"/>
    </row>
    <row r="746" ht="24" customHeight="1">
      <c r="A746" s="306" t="n">
        <v>742</v>
      </c>
      <c r="B746" s="306" t="inlineStr">
        <is>
          <t>فروردین</t>
        </is>
      </c>
      <c r="C746" s="306">
        <f>IF('دانش‌آموزان'!E66="","",'دانش‌آموزان'!B66)</f>
        <v/>
      </c>
      <c r="D746" s="306">
        <f>IF('دانش‌آموزان'!C66="","",'دانش‌آموزان'!C66)</f>
        <v/>
      </c>
      <c r="E746" s="306">
        <f>IF('دانش‌آموزان'!E66="","",'دانش‌آموزان'!E66&amp;" "&amp;'دانش‌آموزان'!F66)</f>
        <v/>
      </c>
      <c r="F746" s="306">
        <f>IF('دانش‌آموزان'!I66="","",'دانش‌آموزان'!I66)</f>
        <v/>
      </c>
      <c r="G746" s="307" t="n"/>
      <c r="H746" s="307" t="n"/>
      <c r="I746" s="307" t="n"/>
      <c r="J746" s="307" t="n"/>
      <c r="K746" s="313">
        <f>IF(COUNT(G746:J746)=0,"",AVERAGE(G746:J746)*4)</f>
        <v/>
      </c>
      <c r="L746" s="306">
        <f>IF(C746="","",IF(COUNT(G746:J746)=0,"",IF(COUNT(G746:J746)&lt;4,"موقت - اطلاعات ناقص",IF(K746&gt;=17,"عالی",IF(K746&gt;=14,"خوب",IF(K746&gt;=10,"متوسط","ضعیف"))))))</f>
        <v/>
      </c>
      <c r="M746" s="306" t="n">
        <v>10</v>
      </c>
      <c r="N746" s="314">
        <f>IF(C746="","",COUNT(G746:J746)/4)</f>
        <v/>
      </c>
      <c r="O746" s="307" t="n"/>
    </row>
    <row r="747" ht="24" customHeight="1">
      <c r="A747" s="306" t="n">
        <v>743</v>
      </c>
      <c r="B747" s="306" t="inlineStr">
        <is>
          <t>اردیبهشت</t>
        </is>
      </c>
      <c r="C747" s="306">
        <f>IF('دانش‌آموزان'!E66="","",'دانش‌آموزان'!B66)</f>
        <v/>
      </c>
      <c r="D747" s="306">
        <f>IF('دانش‌آموزان'!C66="","",'دانش‌آموزان'!C66)</f>
        <v/>
      </c>
      <c r="E747" s="306">
        <f>IF('دانش‌آموزان'!E66="","",'دانش‌آموزان'!E66&amp;" "&amp;'دانش‌آموزان'!F66)</f>
        <v/>
      </c>
      <c r="F747" s="306">
        <f>IF('دانش‌آموزان'!I66="","",'دانش‌آموزان'!I66)</f>
        <v/>
      </c>
      <c r="G747" s="307" t="n"/>
      <c r="H747" s="307" t="n"/>
      <c r="I747" s="307" t="n"/>
      <c r="J747" s="307" t="n"/>
      <c r="K747" s="313">
        <f>IF(COUNT(G747:J747)=0,"",AVERAGE(G747:J747)*4)</f>
        <v/>
      </c>
      <c r="L747" s="306">
        <f>IF(C747="","",IF(COUNT(G747:J747)=0,"",IF(COUNT(G747:J747)&lt;4,"موقت - اطلاعات ناقص",IF(K747&gt;=17,"عالی",IF(K747&gt;=14,"خوب",IF(K747&gt;=10,"متوسط","ضعیف"))))))</f>
        <v/>
      </c>
      <c r="M747" s="306" t="n">
        <v>11</v>
      </c>
      <c r="N747" s="314">
        <f>IF(C747="","",COUNT(G747:J747)/4)</f>
        <v/>
      </c>
      <c r="O747" s="307" t="n"/>
    </row>
    <row r="748" ht="24" customHeight="1">
      <c r="A748" s="306" t="n">
        <v>744</v>
      </c>
      <c r="B748" s="306" t="inlineStr">
        <is>
          <t>خرداد</t>
        </is>
      </c>
      <c r="C748" s="306">
        <f>IF('دانش‌آموزان'!E66="","",'دانش‌آموزان'!B66)</f>
        <v/>
      </c>
      <c r="D748" s="306">
        <f>IF('دانش‌آموزان'!C66="","",'دانش‌آموزان'!C66)</f>
        <v/>
      </c>
      <c r="E748" s="306">
        <f>IF('دانش‌آموزان'!E66="","",'دانش‌آموزان'!E66&amp;" "&amp;'دانش‌آموزان'!F66)</f>
        <v/>
      </c>
      <c r="F748" s="306">
        <f>IF('دانش‌آموزان'!I66="","",'دانش‌آموزان'!I66)</f>
        <v/>
      </c>
      <c r="G748" s="307" t="n"/>
      <c r="H748" s="307" t="n"/>
      <c r="I748" s="307" t="n"/>
      <c r="J748" s="307" t="n"/>
      <c r="K748" s="313">
        <f>IF(COUNT(G748:J748)=0,"",AVERAGE(G748:J748)*4)</f>
        <v/>
      </c>
      <c r="L748" s="306">
        <f>IF(C748="","",IF(COUNT(G748:J748)=0,"",IF(COUNT(G748:J748)&lt;4,"موقت - اطلاعات ناقص",IF(K748&gt;=17,"عالی",IF(K748&gt;=14,"خوب",IF(K748&gt;=10,"متوسط","ضعیف"))))))</f>
        <v/>
      </c>
      <c r="M748" s="306" t="n">
        <v>12</v>
      </c>
      <c r="N748" s="314">
        <f>IF(C748="","",COUNT(G748:J748)/4)</f>
        <v/>
      </c>
      <c r="O748" s="307" t="n"/>
    </row>
    <row r="749" ht="24" customHeight="1">
      <c r="A749" s="306" t="n">
        <v>745</v>
      </c>
      <c r="B749" s="306" t="inlineStr">
        <is>
          <t>تیر</t>
        </is>
      </c>
      <c r="C749" s="306">
        <f>IF('دانش‌آموزان'!E67="","",'دانش‌آموزان'!B67)</f>
        <v/>
      </c>
      <c r="D749" s="306">
        <f>IF('دانش‌آموزان'!C67="","",'دانش‌آموزان'!C67)</f>
        <v/>
      </c>
      <c r="E749" s="306">
        <f>IF('دانش‌آموزان'!E67="","",'دانش‌آموزان'!E67&amp;" "&amp;'دانش‌آموزان'!F67)</f>
        <v/>
      </c>
      <c r="F749" s="306">
        <f>IF('دانش‌آموزان'!I67="","",'دانش‌آموزان'!I67)</f>
        <v/>
      </c>
      <c r="G749" s="307" t="n"/>
      <c r="H749" s="307" t="n"/>
      <c r="I749" s="307" t="n"/>
      <c r="J749" s="307" t="n"/>
      <c r="K749" s="313">
        <f>IF(COUNT(G749:J749)=0,"",AVERAGE(G749:J749)*4)</f>
        <v/>
      </c>
      <c r="L749" s="306">
        <f>IF(C749="","",IF(COUNT(G749:J749)=0,"",IF(COUNT(G749:J749)&lt;4,"موقت - اطلاعات ناقص",IF(K749&gt;=17,"عالی",IF(K749&gt;=14,"خوب",IF(K749&gt;=10,"متوسط","ضعیف"))))))</f>
        <v/>
      </c>
      <c r="M749" s="306" t="n">
        <v>1</v>
      </c>
      <c r="N749" s="314">
        <f>IF(C749="","",COUNT(G749:J749)/4)</f>
        <v/>
      </c>
      <c r="O749" s="307" t="n"/>
    </row>
    <row r="750" ht="24" customHeight="1">
      <c r="A750" s="306" t="n">
        <v>746</v>
      </c>
      <c r="B750" s="306" t="inlineStr">
        <is>
          <t>مرداد</t>
        </is>
      </c>
      <c r="C750" s="306">
        <f>IF('دانش‌آموزان'!E67="","",'دانش‌آموزان'!B67)</f>
        <v/>
      </c>
      <c r="D750" s="306">
        <f>IF('دانش‌آموزان'!C67="","",'دانش‌آموزان'!C67)</f>
        <v/>
      </c>
      <c r="E750" s="306">
        <f>IF('دانش‌آموزان'!E67="","",'دانش‌آموزان'!E67&amp;" "&amp;'دانش‌آموزان'!F67)</f>
        <v/>
      </c>
      <c r="F750" s="306">
        <f>IF('دانش‌آموزان'!I67="","",'دانش‌آموزان'!I67)</f>
        <v/>
      </c>
      <c r="G750" s="307" t="n"/>
      <c r="H750" s="307" t="n"/>
      <c r="I750" s="307" t="n"/>
      <c r="J750" s="307" t="n"/>
      <c r="K750" s="313">
        <f>IF(COUNT(G750:J750)=0,"",AVERAGE(G750:J750)*4)</f>
        <v/>
      </c>
      <c r="L750" s="306">
        <f>IF(C750="","",IF(COUNT(G750:J750)=0,"",IF(COUNT(G750:J750)&lt;4,"موقت - اطلاعات ناقص",IF(K750&gt;=17,"عالی",IF(K750&gt;=14,"خوب",IF(K750&gt;=10,"متوسط","ضعیف"))))))</f>
        <v/>
      </c>
      <c r="M750" s="306" t="n">
        <v>2</v>
      </c>
      <c r="N750" s="314">
        <f>IF(C750="","",COUNT(G750:J750)/4)</f>
        <v/>
      </c>
      <c r="O750" s="307" t="n"/>
    </row>
    <row r="751" ht="24" customHeight="1">
      <c r="A751" s="306" t="n">
        <v>747</v>
      </c>
      <c r="B751" s="306" t="inlineStr">
        <is>
          <t>شهریور</t>
        </is>
      </c>
      <c r="C751" s="306">
        <f>IF('دانش‌آموزان'!E67="","",'دانش‌آموزان'!B67)</f>
        <v/>
      </c>
      <c r="D751" s="306">
        <f>IF('دانش‌آموزان'!C67="","",'دانش‌آموزان'!C67)</f>
        <v/>
      </c>
      <c r="E751" s="306">
        <f>IF('دانش‌آموزان'!E67="","",'دانش‌آموزان'!E67&amp;" "&amp;'دانش‌آموزان'!F67)</f>
        <v/>
      </c>
      <c r="F751" s="306">
        <f>IF('دانش‌آموزان'!I67="","",'دانش‌آموزان'!I67)</f>
        <v/>
      </c>
      <c r="G751" s="307" t="n"/>
      <c r="H751" s="307" t="n"/>
      <c r="I751" s="307" t="n"/>
      <c r="J751" s="307" t="n"/>
      <c r="K751" s="313">
        <f>IF(COUNT(G751:J751)=0,"",AVERAGE(G751:J751)*4)</f>
        <v/>
      </c>
      <c r="L751" s="306">
        <f>IF(C751="","",IF(COUNT(G751:J751)=0,"",IF(COUNT(G751:J751)&lt;4,"موقت - اطلاعات ناقص",IF(K751&gt;=17,"عالی",IF(K751&gt;=14,"خوب",IF(K751&gt;=10,"متوسط","ضعیف"))))))</f>
        <v/>
      </c>
      <c r="M751" s="306" t="n">
        <v>3</v>
      </c>
      <c r="N751" s="314">
        <f>IF(C751="","",COUNT(G751:J751)/4)</f>
        <v/>
      </c>
      <c r="O751" s="307" t="n"/>
    </row>
    <row r="752" ht="24" customHeight="1">
      <c r="A752" s="306" t="n">
        <v>748</v>
      </c>
      <c r="B752" s="306" t="inlineStr">
        <is>
          <t>مهر</t>
        </is>
      </c>
      <c r="C752" s="306">
        <f>IF('دانش‌آموزان'!E67="","",'دانش‌آموزان'!B67)</f>
        <v/>
      </c>
      <c r="D752" s="306">
        <f>IF('دانش‌آموزان'!C67="","",'دانش‌آموزان'!C67)</f>
        <v/>
      </c>
      <c r="E752" s="306">
        <f>IF('دانش‌آموزان'!E67="","",'دانش‌آموزان'!E67&amp;" "&amp;'دانش‌آموزان'!F67)</f>
        <v/>
      </c>
      <c r="F752" s="306">
        <f>IF('دانش‌آموزان'!I67="","",'دانش‌آموزان'!I67)</f>
        <v/>
      </c>
      <c r="G752" s="307" t="n"/>
      <c r="H752" s="307" t="n"/>
      <c r="I752" s="307" t="n"/>
      <c r="J752" s="307" t="n"/>
      <c r="K752" s="313">
        <f>IF(COUNT(G752:J752)=0,"",AVERAGE(G752:J752)*4)</f>
        <v/>
      </c>
      <c r="L752" s="306">
        <f>IF(C752="","",IF(COUNT(G752:J752)=0,"",IF(COUNT(G752:J752)&lt;4,"موقت - اطلاعات ناقص",IF(K752&gt;=17,"عالی",IF(K752&gt;=14,"خوب",IF(K752&gt;=10,"متوسط","ضعیف"))))))</f>
        <v/>
      </c>
      <c r="M752" s="306" t="n">
        <v>4</v>
      </c>
      <c r="N752" s="314">
        <f>IF(C752="","",COUNT(G752:J752)/4)</f>
        <v/>
      </c>
      <c r="O752" s="307" t="n"/>
    </row>
    <row r="753" ht="24" customHeight="1">
      <c r="A753" s="306" t="n">
        <v>749</v>
      </c>
      <c r="B753" s="306" t="inlineStr">
        <is>
          <t>آبان</t>
        </is>
      </c>
      <c r="C753" s="306">
        <f>IF('دانش‌آموزان'!E67="","",'دانش‌آموزان'!B67)</f>
        <v/>
      </c>
      <c r="D753" s="306">
        <f>IF('دانش‌آموزان'!C67="","",'دانش‌آموزان'!C67)</f>
        <v/>
      </c>
      <c r="E753" s="306">
        <f>IF('دانش‌آموزان'!E67="","",'دانش‌آموزان'!E67&amp;" "&amp;'دانش‌آموزان'!F67)</f>
        <v/>
      </c>
      <c r="F753" s="306">
        <f>IF('دانش‌آموزان'!I67="","",'دانش‌آموزان'!I67)</f>
        <v/>
      </c>
      <c r="G753" s="307" t="n"/>
      <c r="H753" s="307" t="n"/>
      <c r="I753" s="307" t="n"/>
      <c r="J753" s="307" t="n"/>
      <c r="K753" s="313">
        <f>IF(COUNT(G753:J753)=0,"",AVERAGE(G753:J753)*4)</f>
        <v/>
      </c>
      <c r="L753" s="306">
        <f>IF(C753="","",IF(COUNT(G753:J753)=0,"",IF(COUNT(G753:J753)&lt;4,"موقت - اطلاعات ناقص",IF(K753&gt;=17,"عالی",IF(K753&gt;=14,"خوب",IF(K753&gt;=10,"متوسط","ضعیف"))))))</f>
        <v/>
      </c>
      <c r="M753" s="306" t="n">
        <v>5</v>
      </c>
      <c r="N753" s="314">
        <f>IF(C753="","",COUNT(G753:J753)/4)</f>
        <v/>
      </c>
      <c r="O753" s="307" t="n"/>
    </row>
    <row r="754" ht="24" customHeight="1">
      <c r="A754" s="306" t="n">
        <v>750</v>
      </c>
      <c r="B754" s="306" t="inlineStr">
        <is>
          <t>آذر</t>
        </is>
      </c>
      <c r="C754" s="306">
        <f>IF('دانش‌آموزان'!E67="","",'دانش‌آموزان'!B67)</f>
        <v/>
      </c>
      <c r="D754" s="306">
        <f>IF('دانش‌آموزان'!C67="","",'دانش‌آموزان'!C67)</f>
        <v/>
      </c>
      <c r="E754" s="306">
        <f>IF('دانش‌آموزان'!E67="","",'دانش‌آموزان'!E67&amp;" "&amp;'دانش‌آموزان'!F67)</f>
        <v/>
      </c>
      <c r="F754" s="306">
        <f>IF('دانش‌آموزان'!I67="","",'دانش‌آموزان'!I67)</f>
        <v/>
      </c>
      <c r="G754" s="307" t="n"/>
      <c r="H754" s="307" t="n"/>
      <c r="I754" s="307" t="n"/>
      <c r="J754" s="307" t="n"/>
      <c r="K754" s="313">
        <f>IF(COUNT(G754:J754)=0,"",AVERAGE(G754:J754)*4)</f>
        <v/>
      </c>
      <c r="L754" s="306">
        <f>IF(C754="","",IF(COUNT(G754:J754)=0,"",IF(COUNT(G754:J754)&lt;4,"موقت - اطلاعات ناقص",IF(K754&gt;=17,"عالی",IF(K754&gt;=14,"خوب",IF(K754&gt;=10,"متوسط","ضعیف"))))))</f>
        <v/>
      </c>
      <c r="M754" s="306" t="n">
        <v>6</v>
      </c>
      <c r="N754" s="314">
        <f>IF(C754="","",COUNT(G754:J754)/4)</f>
        <v/>
      </c>
      <c r="O754" s="307" t="n"/>
    </row>
    <row r="755" ht="24" customHeight="1">
      <c r="A755" s="306" t="n">
        <v>751</v>
      </c>
      <c r="B755" s="306" t="inlineStr">
        <is>
          <t>دی</t>
        </is>
      </c>
      <c r="C755" s="306">
        <f>IF('دانش‌آموزان'!E67="","",'دانش‌آموزان'!B67)</f>
        <v/>
      </c>
      <c r="D755" s="306">
        <f>IF('دانش‌آموزان'!C67="","",'دانش‌آموزان'!C67)</f>
        <v/>
      </c>
      <c r="E755" s="306">
        <f>IF('دانش‌آموزان'!E67="","",'دانش‌آموزان'!E67&amp;" "&amp;'دانش‌آموزان'!F67)</f>
        <v/>
      </c>
      <c r="F755" s="306">
        <f>IF('دانش‌آموزان'!I67="","",'دانش‌آموزان'!I67)</f>
        <v/>
      </c>
      <c r="G755" s="307" t="n"/>
      <c r="H755" s="307" t="n"/>
      <c r="I755" s="307" t="n"/>
      <c r="J755" s="307" t="n"/>
      <c r="K755" s="313">
        <f>IF(COUNT(G755:J755)=0,"",AVERAGE(G755:J755)*4)</f>
        <v/>
      </c>
      <c r="L755" s="306">
        <f>IF(C755="","",IF(COUNT(G755:J755)=0,"",IF(COUNT(G755:J755)&lt;4,"موقت - اطلاعات ناقص",IF(K755&gt;=17,"عالی",IF(K755&gt;=14,"خوب",IF(K755&gt;=10,"متوسط","ضعیف"))))))</f>
        <v/>
      </c>
      <c r="M755" s="306" t="n">
        <v>7</v>
      </c>
      <c r="N755" s="314">
        <f>IF(C755="","",COUNT(G755:J755)/4)</f>
        <v/>
      </c>
      <c r="O755" s="307" t="n"/>
    </row>
    <row r="756" ht="24" customHeight="1">
      <c r="A756" s="306" t="n">
        <v>752</v>
      </c>
      <c r="B756" s="306" t="inlineStr">
        <is>
          <t>بهمن</t>
        </is>
      </c>
      <c r="C756" s="306">
        <f>IF('دانش‌آموزان'!E67="","",'دانش‌آموزان'!B67)</f>
        <v/>
      </c>
      <c r="D756" s="306">
        <f>IF('دانش‌آموزان'!C67="","",'دانش‌آموزان'!C67)</f>
        <v/>
      </c>
      <c r="E756" s="306">
        <f>IF('دانش‌آموزان'!E67="","",'دانش‌آموزان'!E67&amp;" "&amp;'دانش‌آموزان'!F67)</f>
        <v/>
      </c>
      <c r="F756" s="306">
        <f>IF('دانش‌آموزان'!I67="","",'دانش‌آموزان'!I67)</f>
        <v/>
      </c>
      <c r="G756" s="307" t="n"/>
      <c r="H756" s="307" t="n"/>
      <c r="I756" s="307" t="n"/>
      <c r="J756" s="307" t="n"/>
      <c r="K756" s="313">
        <f>IF(COUNT(G756:J756)=0,"",AVERAGE(G756:J756)*4)</f>
        <v/>
      </c>
      <c r="L756" s="306">
        <f>IF(C756="","",IF(COUNT(G756:J756)=0,"",IF(COUNT(G756:J756)&lt;4,"موقت - اطلاعات ناقص",IF(K756&gt;=17,"عالی",IF(K756&gt;=14,"خوب",IF(K756&gt;=10,"متوسط","ضعیف"))))))</f>
        <v/>
      </c>
      <c r="M756" s="306" t="n">
        <v>8</v>
      </c>
      <c r="N756" s="314">
        <f>IF(C756="","",COUNT(G756:J756)/4)</f>
        <v/>
      </c>
      <c r="O756" s="307" t="n"/>
    </row>
    <row r="757" ht="24" customHeight="1">
      <c r="A757" s="306" t="n">
        <v>753</v>
      </c>
      <c r="B757" s="306" t="inlineStr">
        <is>
          <t>اسفند</t>
        </is>
      </c>
      <c r="C757" s="306">
        <f>IF('دانش‌آموزان'!E67="","",'دانش‌آموزان'!B67)</f>
        <v/>
      </c>
      <c r="D757" s="306">
        <f>IF('دانش‌آموزان'!C67="","",'دانش‌آموزان'!C67)</f>
        <v/>
      </c>
      <c r="E757" s="306">
        <f>IF('دانش‌آموزان'!E67="","",'دانش‌آموزان'!E67&amp;" "&amp;'دانش‌آموزان'!F67)</f>
        <v/>
      </c>
      <c r="F757" s="306">
        <f>IF('دانش‌آموزان'!I67="","",'دانش‌آموزان'!I67)</f>
        <v/>
      </c>
      <c r="G757" s="307" t="n"/>
      <c r="H757" s="307" t="n"/>
      <c r="I757" s="307" t="n"/>
      <c r="J757" s="307" t="n"/>
      <c r="K757" s="313">
        <f>IF(COUNT(G757:J757)=0,"",AVERAGE(G757:J757)*4)</f>
        <v/>
      </c>
      <c r="L757" s="306">
        <f>IF(C757="","",IF(COUNT(G757:J757)=0,"",IF(COUNT(G757:J757)&lt;4,"موقت - اطلاعات ناقص",IF(K757&gt;=17,"عالی",IF(K757&gt;=14,"خوب",IF(K757&gt;=10,"متوسط","ضعیف"))))))</f>
        <v/>
      </c>
      <c r="M757" s="306" t="n">
        <v>9</v>
      </c>
      <c r="N757" s="314">
        <f>IF(C757="","",COUNT(G757:J757)/4)</f>
        <v/>
      </c>
      <c r="O757" s="307" t="n"/>
    </row>
    <row r="758" ht="24" customHeight="1">
      <c r="A758" s="306" t="n">
        <v>754</v>
      </c>
      <c r="B758" s="306" t="inlineStr">
        <is>
          <t>فروردین</t>
        </is>
      </c>
      <c r="C758" s="306">
        <f>IF('دانش‌آموزان'!E67="","",'دانش‌آموزان'!B67)</f>
        <v/>
      </c>
      <c r="D758" s="306">
        <f>IF('دانش‌آموزان'!C67="","",'دانش‌آموزان'!C67)</f>
        <v/>
      </c>
      <c r="E758" s="306">
        <f>IF('دانش‌آموزان'!E67="","",'دانش‌آموزان'!E67&amp;" "&amp;'دانش‌آموزان'!F67)</f>
        <v/>
      </c>
      <c r="F758" s="306">
        <f>IF('دانش‌آموزان'!I67="","",'دانش‌آموزان'!I67)</f>
        <v/>
      </c>
      <c r="G758" s="307" t="n"/>
      <c r="H758" s="307" t="n"/>
      <c r="I758" s="307" t="n"/>
      <c r="J758" s="307" t="n"/>
      <c r="K758" s="313">
        <f>IF(COUNT(G758:J758)=0,"",AVERAGE(G758:J758)*4)</f>
        <v/>
      </c>
      <c r="L758" s="306">
        <f>IF(C758="","",IF(COUNT(G758:J758)=0,"",IF(COUNT(G758:J758)&lt;4,"موقت - اطلاعات ناقص",IF(K758&gt;=17,"عالی",IF(K758&gt;=14,"خوب",IF(K758&gt;=10,"متوسط","ضعیف"))))))</f>
        <v/>
      </c>
      <c r="M758" s="306" t="n">
        <v>10</v>
      </c>
      <c r="N758" s="314">
        <f>IF(C758="","",COUNT(G758:J758)/4)</f>
        <v/>
      </c>
      <c r="O758" s="307" t="n"/>
    </row>
    <row r="759" ht="24" customHeight="1">
      <c r="A759" s="306" t="n">
        <v>755</v>
      </c>
      <c r="B759" s="306" t="inlineStr">
        <is>
          <t>اردیبهشت</t>
        </is>
      </c>
      <c r="C759" s="306">
        <f>IF('دانش‌آموزان'!E67="","",'دانش‌آموزان'!B67)</f>
        <v/>
      </c>
      <c r="D759" s="306">
        <f>IF('دانش‌آموزان'!C67="","",'دانش‌آموزان'!C67)</f>
        <v/>
      </c>
      <c r="E759" s="306">
        <f>IF('دانش‌آموزان'!E67="","",'دانش‌آموزان'!E67&amp;" "&amp;'دانش‌آموزان'!F67)</f>
        <v/>
      </c>
      <c r="F759" s="306">
        <f>IF('دانش‌آموزان'!I67="","",'دانش‌آموزان'!I67)</f>
        <v/>
      </c>
      <c r="G759" s="307" t="n"/>
      <c r="H759" s="307" t="n"/>
      <c r="I759" s="307" t="n"/>
      <c r="J759" s="307" t="n"/>
      <c r="K759" s="313">
        <f>IF(COUNT(G759:J759)=0,"",AVERAGE(G759:J759)*4)</f>
        <v/>
      </c>
      <c r="L759" s="306">
        <f>IF(C759="","",IF(COUNT(G759:J759)=0,"",IF(COUNT(G759:J759)&lt;4,"موقت - اطلاعات ناقص",IF(K759&gt;=17,"عالی",IF(K759&gt;=14,"خوب",IF(K759&gt;=10,"متوسط","ضعیف"))))))</f>
        <v/>
      </c>
      <c r="M759" s="306" t="n">
        <v>11</v>
      </c>
      <c r="N759" s="314">
        <f>IF(C759="","",COUNT(G759:J759)/4)</f>
        <v/>
      </c>
      <c r="O759" s="307" t="n"/>
    </row>
    <row r="760" ht="24" customHeight="1">
      <c r="A760" s="306" t="n">
        <v>756</v>
      </c>
      <c r="B760" s="306" t="inlineStr">
        <is>
          <t>خرداد</t>
        </is>
      </c>
      <c r="C760" s="306">
        <f>IF('دانش‌آموزان'!E67="","",'دانش‌آموزان'!B67)</f>
        <v/>
      </c>
      <c r="D760" s="306">
        <f>IF('دانش‌آموزان'!C67="","",'دانش‌آموزان'!C67)</f>
        <v/>
      </c>
      <c r="E760" s="306">
        <f>IF('دانش‌آموزان'!E67="","",'دانش‌آموزان'!E67&amp;" "&amp;'دانش‌آموزان'!F67)</f>
        <v/>
      </c>
      <c r="F760" s="306">
        <f>IF('دانش‌آموزان'!I67="","",'دانش‌آموزان'!I67)</f>
        <v/>
      </c>
      <c r="G760" s="307" t="n"/>
      <c r="H760" s="307" t="n"/>
      <c r="I760" s="307" t="n"/>
      <c r="J760" s="307" t="n"/>
      <c r="K760" s="313">
        <f>IF(COUNT(G760:J760)=0,"",AVERAGE(G760:J760)*4)</f>
        <v/>
      </c>
      <c r="L760" s="306">
        <f>IF(C760="","",IF(COUNT(G760:J760)=0,"",IF(COUNT(G760:J760)&lt;4,"موقت - اطلاعات ناقص",IF(K760&gt;=17,"عالی",IF(K760&gt;=14,"خوب",IF(K760&gt;=10,"متوسط","ضعیف"))))))</f>
        <v/>
      </c>
      <c r="M760" s="306" t="n">
        <v>12</v>
      </c>
      <c r="N760" s="314">
        <f>IF(C760="","",COUNT(G760:J760)/4)</f>
        <v/>
      </c>
      <c r="O760" s="307" t="n"/>
    </row>
    <row r="761" ht="24" customHeight="1">
      <c r="A761" s="306" t="n">
        <v>757</v>
      </c>
      <c r="B761" s="306" t="inlineStr">
        <is>
          <t>تیر</t>
        </is>
      </c>
      <c r="C761" s="306">
        <f>IF('دانش‌آموزان'!E68="","",'دانش‌آموزان'!B68)</f>
        <v/>
      </c>
      <c r="D761" s="306">
        <f>IF('دانش‌آموزان'!C68="","",'دانش‌آموزان'!C68)</f>
        <v/>
      </c>
      <c r="E761" s="306">
        <f>IF('دانش‌آموزان'!E68="","",'دانش‌آموزان'!E68&amp;" "&amp;'دانش‌آموزان'!F68)</f>
        <v/>
      </c>
      <c r="F761" s="306">
        <f>IF('دانش‌آموزان'!I68="","",'دانش‌آموزان'!I68)</f>
        <v/>
      </c>
      <c r="G761" s="307" t="n"/>
      <c r="H761" s="307" t="n"/>
      <c r="I761" s="307" t="n"/>
      <c r="J761" s="307" t="n"/>
      <c r="K761" s="313">
        <f>IF(COUNT(G761:J761)=0,"",AVERAGE(G761:J761)*4)</f>
        <v/>
      </c>
      <c r="L761" s="306">
        <f>IF(C761="","",IF(COUNT(G761:J761)=0,"",IF(COUNT(G761:J761)&lt;4,"موقت - اطلاعات ناقص",IF(K761&gt;=17,"عالی",IF(K761&gt;=14,"خوب",IF(K761&gt;=10,"متوسط","ضعیف"))))))</f>
        <v/>
      </c>
      <c r="M761" s="306" t="n">
        <v>1</v>
      </c>
      <c r="N761" s="314">
        <f>IF(C761="","",COUNT(G761:J761)/4)</f>
        <v/>
      </c>
      <c r="O761" s="307" t="n"/>
    </row>
    <row r="762" ht="24" customHeight="1">
      <c r="A762" s="306" t="n">
        <v>758</v>
      </c>
      <c r="B762" s="306" t="inlineStr">
        <is>
          <t>مرداد</t>
        </is>
      </c>
      <c r="C762" s="306">
        <f>IF('دانش‌آموزان'!E68="","",'دانش‌آموزان'!B68)</f>
        <v/>
      </c>
      <c r="D762" s="306">
        <f>IF('دانش‌آموزان'!C68="","",'دانش‌آموزان'!C68)</f>
        <v/>
      </c>
      <c r="E762" s="306">
        <f>IF('دانش‌آموزان'!E68="","",'دانش‌آموزان'!E68&amp;" "&amp;'دانش‌آموزان'!F68)</f>
        <v/>
      </c>
      <c r="F762" s="306">
        <f>IF('دانش‌آموزان'!I68="","",'دانش‌آموزان'!I68)</f>
        <v/>
      </c>
      <c r="G762" s="307" t="n"/>
      <c r="H762" s="307" t="n"/>
      <c r="I762" s="307" t="n"/>
      <c r="J762" s="307" t="n"/>
      <c r="K762" s="313">
        <f>IF(COUNT(G762:J762)=0,"",AVERAGE(G762:J762)*4)</f>
        <v/>
      </c>
      <c r="L762" s="306">
        <f>IF(C762="","",IF(COUNT(G762:J762)=0,"",IF(COUNT(G762:J762)&lt;4,"موقت - اطلاعات ناقص",IF(K762&gt;=17,"عالی",IF(K762&gt;=14,"خوب",IF(K762&gt;=10,"متوسط","ضعیف"))))))</f>
        <v/>
      </c>
      <c r="M762" s="306" t="n">
        <v>2</v>
      </c>
      <c r="N762" s="314">
        <f>IF(C762="","",COUNT(G762:J762)/4)</f>
        <v/>
      </c>
      <c r="O762" s="307" t="n"/>
    </row>
    <row r="763" ht="24" customHeight="1">
      <c r="A763" s="306" t="n">
        <v>759</v>
      </c>
      <c r="B763" s="306" t="inlineStr">
        <is>
          <t>شهریور</t>
        </is>
      </c>
      <c r="C763" s="306">
        <f>IF('دانش‌آموزان'!E68="","",'دانش‌آموزان'!B68)</f>
        <v/>
      </c>
      <c r="D763" s="306">
        <f>IF('دانش‌آموزان'!C68="","",'دانش‌آموزان'!C68)</f>
        <v/>
      </c>
      <c r="E763" s="306">
        <f>IF('دانش‌آموزان'!E68="","",'دانش‌آموزان'!E68&amp;" "&amp;'دانش‌آموزان'!F68)</f>
        <v/>
      </c>
      <c r="F763" s="306">
        <f>IF('دانش‌آموزان'!I68="","",'دانش‌آموزان'!I68)</f>
        <v/>
      </c>
      <c r="G763" s="307" t="n"/>
      <c r="H763" s="307" t="n"/>
      <c r="I763" s="307" t="n"/>
      <c r="J763" s="307" t="n"/>
      <c r="K763" s="313">
        <f>IF(COUNT(G763:J763)=0,"",AVERAGE(G763:J763)*4)</f>
        <v/>
      </c>
      <c r="L763" s="306">
        <f>IF(C763="","",IF(COUNT(G763:J763)=0,"",IF(COUNT(G763:J763)&lt;4,"موقت - اطلاعات ناقص",IF(K763&gt;=17,"عالی",IF(K763&gt;=14,"خوب",IF(K763&gt;=10,"متوسط","ضعیف"))))))</f>
        <v/>
      </c>
      <c r="M763" s="306" t="n">
        <v>3</v>
      </c>
      <c r="N763" s="314">
        <f>IF(C763="","",COUNT(G763:J763)/4)</f>
        <v/>
      </c>
      <c r="O763" s="307" t="n"/>
    </row>
    <row r="764" ht="24" customHeight="1">
      <c r="A764" s="306" t="n">
        <v>760</v>
      </c>
      <c r="B764" s="306" t="inlineStr">
        <is>
          <t>مهر</t>
        </is>
      </c>
      <c r="C764" s="306">
        <f>IF('دانش‌آموزان'!E68="","",'دانش‌آموزان'!B68)</f>
        <v/>
      </c>
      <c r="D764" s="306">
        <f>IF('دانش‌آموزان'!C68="","",'دانش‌آموزان'!C68)</f>
        <v/>
      </c>
      <c r="E764" s="306">
        <f>IF('دانش‌آموزان'!E68="","",'دانش‌آموزان'!E68&amp;" "&amp;'دانش‌آموزان'!F68)</f>
        <v/>
      </c>
      <c r="F764" s="306">
        <f>IF('دانش‌آموزان'!I68="","",'دانش‌آموزان'!I68)</f>
        <v/>
      </c>
      <c r="G764" s="307" t="n"/>
      <c r="H764" s="307" t="n"/>
      <c r="I764" s="307" t="n"/>
      <c r="J764" s="307" t="n"/>
      <c r="K764" s="313">
        <f>IF(COUNT(G764:J764)=0,"",AVERAGE(G764:J764)*4)</f>
        <v/>
      </c>
      <c r="L764" s="306">
        <f>IF(C764="","",IF(COUNT(G764:J764)=0,"",IF(COUNT(G764:J764)&lt;4,"موقت - اطلاعات ناقص",IF(K764&gt;=17,"عالی",IF(K764&gt;=14,"خوب",IF(K764&gt;=10,"متوسط","ضعیف"))))))</f>
        <v/>
      </c>
      <c r="M764" s="306" t="n">
        <v>4</v>
      </c>
      <c r="N764" s="314">
        <f>IF(C764="","",COUNT(G764:J764)/4)</f>
        <v/>
      </c>
      <c r="O764" s="307" t="n"/>
    </row>
    <row r="765" ht="24" customHeight="1">
      <c r="A765" s="306" t="n">
        <v>761</v>
      </c>
      <c r="B765" s="306" t="inlineStr">
        <is>
          <t>آبان</t>
        </is>
      </c>
      <c r="C765" s="306">
        <f>IF('دانش‌آموزان'!E68="","",'دانش‌آموزان'!B68)</f>
        <v/>
      </c>
      <c r="D765" s="306">
        <f>IF('دانش‌آموزان'!C68="","",'دانش‌آموزان'!C68)</f>
        <v/>
      </c>
      <c r="E765" s="306">
        <f>IF('دانش‌آموزان'!E68="","",'دانش‌آموزان'!E68&amp;" "&amp;'دانش‌آموزان'!F68)</f>
        <v/>
      </c>
      <c r="F765" s="306">
        <f>IF('دانش‌آموزان'!I68="","",'دانش‌آموزان'!I68)</f>
        <v/>
      </c>
      <c r="G765" s="307" t="n"/>
      <c r="H765" s="307" t="n"/>
      <c r="I765" s="307" t="n"/>
      <c r="J765" s="307" t="n"/>
      <c r="K765" s="313">
        <f>IF(COUNT(G765:J765)=0,"",AVERAGE(G765:J765)*4)</f>
        <v/>
      </c>
      <c r="L765" s="306">
        <f>IF(C765="","",IF(COUNT(G765:J765)=0,"",IF(COUNT(G765:J765)&lt;4,"موقت - اطلاعات ناقص",IF(K765&gt;=17,"عالی",IF(K765&gt;=14,"خوب",IF(K765&gt;=10,"متوسط","ضعیف"))))))</f>
        <v/>
      </c>
      <c r="M765" s="306" t="n">
        <v>5</v>
      </c>
      <c r="N765" s="314">
        <f>IF(C765="","",COUNT(G765:J765)/4)</f>
        <v/>
      </c>
      <c r="O765" s="307" t="n"/>
    </row>
    <row r="766" ht="24" customHeight="1">
      <c r="A766" s="306" t="n">
        <v>762</v>
      </c>
      <c r="B766" s="306" t="inlineStr">
        <is>
          <t>آذر</t>
        </is>
      </c>
      <c r="C766" s="306">
        <f>IF('دانش‌آموزان'!E68="","",'دانش‌آموزان'!B68)</f>
        <v/>
      </c>
      <c r="D766" s="306">
        <f>IF('دانش‌آموزان'!C68="","",'دانش‌آموزان'!C68)</f>
        <v/>
      </c>
      <c r="E766" s="306">
        <f>IF('دانش‌آموزان'!E68="","",'دانش‌آموزان'!E68&amp;" "&amp;'دانش‌آموزان'!F68)</f>
        <v/>
      </c>
      <c r="F766" s="306">
        <f>IF('دانش‌آموزان'!I68="","",'دانش‌آموزان'!I68)</f>
        <v/>
      </c>
      <c r="G766" s="307" t="n"/>
      <c r="H766" s="307" t="n"/>
      <c r="I766" s="307" t="n"/>
      <c r="J766" s="307" t="n"/>
      <c r="K766" s="313">
        <f>IF(COUNT(G766:J766)=0,"",AVERAGE(G766:J766)*4)</f>
        <v/>
      </c>
      <c r="L766" s="306">
        <f>IF(C766="","",IF(COUNT(G766:J766)=0,"",IF(COUNT(G766:J766)&lt;4,"موقت - اطلاعات ناقص",IF(K766&gt;=17,"عالی",IF(K766&gt;=14,"خوب",IF(K766&gt;=10,"متوسط","ضعیف"))))))</f>
        <v/>
      </c>
      <c r="M766" s="306" t="n">
        <v>6</v>
      </c>
      <c r="N766" s="314">
        <f>IF(C766="","",COUNT(G766:J766)/4)</f>
        <v/>
      </c>
      <c r="O766" s="307" t="n"/>
    </row>
    <row r="767" ht="24" customHeight="1">
      <c r="A767" s="306" t="n">
        <v>763</v>
      </c>
      <c r="B767" s="306" t="inlineStr">
        <is>
          <t>دی</t>
        </is>
      </c>
      <c r="C767" s="306">
        <f>IF('دانش‌آموزان'!E68="","",'دانش‌آموزان'!B68)</f>
        <v/>
      </c>
      <c r="D767" s="306">
        <f>IF('دانش‌آموزان'!C68="","",'دانش‌آموزان'!C68)</f>
        <v/>
      </c>
      <c r="E767" s="306">
        <f>IF('دانش‌آموزان'!E68="","",'دانش‌آموزان'!E68&amp;" "&amp;'دانش‌آموزان'!F68)</f>
        <v/>
      </c>
      <c r="F767" s="306">
        <f>IF('دانش‌آموزان'!I68="","",'دانش‌آموزان'!I68)</f>
        <v/>
      </c>
      <c r="G767" s="307" t="n"/>
      <c r="H767" s="307" t="n"/>
      <c r="I767" s="307" t="n"/>
      <c r="J767" s="307" t="n"/>
      <c r="K767" s="313">
        <f>IF(COUNT(G767:J767)=0,"",AVERAGE(G767:J767)*4)</f>
        <v/>
      </c>
      <c r="L767" s="306">
        <f>IF(C767="","",IF(COUNT(G767:J767)=0,"",IF(COUNT(G767:J767)&lt;4,"موقت - اطلاعات ناقص",IF(K767&gt;=17,"عالی",IF(K767&gt;=14,"خوب",IF(K767&gt;=10,"متوسط","ضعیف"))))))</f>
        <v/>
      </c>
      <c r="M767" s="306" t="n">
        <v>7</v>
      </c>
      <c r="N767" s="314">
        <f>IF(C767="","",COUNT(G767:J767)/4)</f>
        <v/>
      </c>
      <c r="O767" s="307" t="n"/>
    </row>
    <row r="768" ht="24" customHeight="1">
      <c r="A768" s="306" t="n">
        <v>764</v>
      </c>
      <c r="B768" s="306" t="inlineStr">
        <is>
          <t>بهمن</t>
        </is>
      </c>
      <c r="C768" s="306">
        <f>IF('دانش‌آموزان'!E68="","",'دانش‌آموزان'!B68)</f>
        <v/>
      </c>
      <c r="D768" s="306">
        <f>IF('دانش‌آموزان'!C68="","",'دانش‌آموزان'!C68)</f>
        <v/>
      </c>
      <c r="E768" s="306">
        <f>IF('دانش‌آموزان'!E68="","",'دانش‌آموزان'!E68&amp;" "&amp;'دانش‌آموزان'!F68)</f>
        <v/>
      </c>
      <c r="F768" s="306">
        <f>IF('دانش‌آموزان'!I68="","",'دانش‌آموزان'!I68)</f>
        <v/>
      </c>
      <c r="G768" s="307" t="n"/>
      <c r="H768" s="307" t="n"/>
      <c r="I768" s="307" t="n"/>
      <c r="J768" s="307" t="n"/>
      <c r="K768" s="313">
        <f>IF(COUNT(G768:J768)=0,"",AVERAGE(G768:J768)*4)</f>
        <v/>
      </c>
      <c r="L768" s="306">
        <f>IF(C768="","",IF(COUNT(G768:J768)=0,"",IF(COUNT(G768:J768)&lt;4,"موقت - اطلاعات ناقص",IF(K768&gt;=17,"عالی",IF(K768&gt;=14,"خوب",IF(K768&gt;=10,"متوسط","ضعیف"))))))</f>
        <v/>
      </c>
      <c r="M768" s="306" t="n">
        <v>8</v>
      </c>
      <c r="N768" s="314">
        <f>IF(C768="","",COUNT(G768:J768)/4)</f>
        <v/>
      </c>
      <c r="O768" s="307" t="n"/>
    </row>
    <row r="769" ht="24" customHeight="1">
      <c r="A769" s="306" t="n">
        <v>765</v>
      </c>
      <c r="B769" s="306" t="inlineStr">
        <is>
          <t>اسفند</t>
        </is>
      </c>
      <c r="C769" s="306">
        <f>IF('دانش‌آموزان'!E68="","",'دانش‌آموزان'!B68)</f>
        <v/>
      </c>
      <c r="D769" s="306">
        <f>IF('دانش‌آموزان'!C68="","",'دانش‌آموزان'!C68)</f>
        <v/>
      </c>
      <c r="E769" s="306">
        <f>IF('دانش‌آموزان'!E68="","",'دانش‌آموزان'!E68&amp;" "&amp;'دانش‌آموزان'!F68)</f>
        <v/>
      </c>
      <c r="F769" s="306">
        <f>IF('دانش‌آموزان'!I68="","",'دانش‌آموزان'!I68)</f>
        <v/>
      </c>
      <c r="G769" s="307" t="n"/>
      <c r="H769" s="307" t="n"/>
      <c r="I769" s="307" t="n"/>
      <c r="J769" s="307" t="n"/>
      <c r="K769" s="313">
        <f>IF(COUNT(G769:J769)=0,"",AVERAGE(G769:J769)*4)</f>
        <v/>
      </c>
      <c r="L769" s="306">
        <f>IF(C769="","",IF(COUNT(G769:J769)=0,"",IF(COUNT(G769:J769)&lt;4,"موقت - اطلاعات ناقص",IF(K769&gt;=17,"عالی",IF(K769&gt;=14,"خوب",IF(K769&gt;=10,"متوسط","ضعیف"))))))</f>
        <v/>
      </c>
      <c r="M769" s="306" t="n">
        <v>9</v>
      </c>
      <c r="N769" s="314">
        <f>IF(C769="","",COUNT(G769:J769)/4)</f>
        <v/>
      </c>
      <c r="O769" s="307" t="n"/>
    </row>
    <row r="770" ht="24" customHeight="1">
      <c r="A770" s="306" t="n">
        <v>766</v>
      </c>
      <c r="B770" s="306" t="inlineStr">
        <is>
          <t>فروردین</t>
        </is>
      </c>
      <c r="C770" s="306">
        <f>IF('دانش‌آموزان'!E68="","",'دانش‌آموزان'!B68)</f>
        <v/>
      </c>
      <c r="D770" s="306">
        <f>IF('دانش‌آموزان'!C68="","",'دانش‌آموزان'!C68)</f>
        <v/>
      </c>
      <c r="E770" s="306">
        <f>IF('دانش‌آموزان'!E68="","",'دانش‌آموزان'!E68&amp;" "&amp;'دانش‌آموزان'!F68)</f>
        <v/>
      </c>
      <c r="F770" s="306">
        <f>IF('دانش‌آموزان'!I68="","",'دانش‌آموزان'!I68)</f>
        <v/>
      </c>
      <c r="G770" s="307" t="n"/>
      <c r="H770" s="307" t="n"/>
      <c r="I770" s="307" t="n"/>
      <c r="J770" s="307" t="n"/>
      <c r="K770" s="313">
        <f>IF(COUNT(G770:J770)=0,"",AVERAGE(G770:J770)*4)</f>
        <v/>
      </c>
      <c r="L770" s="306">
        <f>IF(C770="","",IF(COUNT(G770:J770)=0,"",IF(COUNT(G770:J770)&lt;4,"موقت - اطلاعات ناقص",IF(K770&gt;=17,"عالی",IF(K770&gt;=14,"خوب",IF(K770&gt;=10,"متوسط","ضعیف"))))))</f>
        <v/>
      </c>
      <c r="M770" s="306" t="n">
        <v>10</v>
      </c>
      <c r="N770" s="314">
        <f>IF(C770="","",COUNT(G770:J770)/4)</f>
        <v/>
      </c>
      <c r="O770" s="307" t="n"/>
    </row>
    <row r="771" ht="24" customHeight="1">
      <c r="A771" s="306" t="n">
        <v>767</v>
      </c>
      <c r="B771" s="306" t="inlineStr">
        <is>
          <t>اردیبهشت</t>
        </is>
      </c>
      <c r="C771" s="306">
        <f>IF('دانش‌آموزان'!E68="","",'دانش‌آموزان'!B68)</f>
        <v/>
      </c>
      <c r="D771" s="306">
        <f>IF('دانش‌آموزان'!C68="","",'دانش‌آموزان'!C68)</f>
        <v/>
      </c>
      <c r="E771" s="306">
        <f>IF('دانش‌آموزان'!E68="","",'دانش‌آموزان'!E68&amp;" "&amp;'دانش‌آموزان'!F68)</f>
        <v/>
      </c>
      <c r="F771" s="306">
        <f>IF('دانش‌آموزان'!I68="","",'دانش‌آموزان'!I68)</f>
        <v/>
      </c>
      <c r="G771" s="307" t="n"/>
      <c r="H771" s="307" t="n"/>
      <c r="I771" s="307" t="n"/>
      <c r="J771" s="307" t="n"/>
      <c r="K771" s="313">
        <f>IF(COUNT(G771:J771)=0,"",AVERAGE(G771:J771)*4)</f>
        <v/>
      </c>
      <c r="L771" s="306">
        <f>IF(C771="","",IF(COUNT(G771:J771)=0,"",IF(COUNT(G771:J771)&lt;4,"موقت - اطلاعات ناقص",IF(K771&gt;=17,"عالی",IF(K771&gt;=14,"خوب",IF(K771&gt;=10,"متوسط","ضعیف"))))))</f>
        <v/>
      </c>
      <c r="M771" s="306" t="n">
        <v>11</v>
      </c>
      <c r="N771" s="314">
        <f>IF(C771="","",COUNT(G771:J771)/4)</f>
        <v/>
      </c>
      <c r="O771" s="307" t="n"/>
    </row>
    <row r="772" ht="24" customHeight="1">
      <c r="A772" s="306" t="n">
        <v>768</v>
      </c>
      <c r="B772" s="306" t="inlineStr">
        <is>
          <t>خرداد</t>
        </is>
      </c>
      <c r="C772" s="306">
        <f>IF('دانش‌آموزان'!E68="","",'دانش‌آموزان'!B68)</f>
        <v/>
      </c>
      <c r="D772" s="306">
        <f>IF('دانش‌آموزان'!C68="","",'دانش‌آموزان'!C68)</f>
        <v/>
      </c>
      <c r="E772" s="306">
        <f>IF('دانش‌آموزان'!E68="","",'دانش‌آموزان'!E68&amp;" "&amp;'دانش‌آموزان'!F68)</f>
        <v/>
      </c>
      <c r="F772" s="306">
        <f>IF('دانش‌آموزان'!I68="","",'دانش‌آموزان'!I68)</f>
        <v/>
      </c>
      <c r="G772" s="307" t="n"/>
      <c r="H772" s="307" t="n"/>
      <c r="I772" s="307" t="n"/>
      <c r="J772" s="307" t="n"/>
      <c r="K772" s="313">
        <f>IF(COUNT(G772:J772)=0,"",AVERAGE(G772:J772)*4)</f>
        <v/>
      </c>
      <c r="L772" s="306">
        <f>IF(C772="","",IF(COUNT(G772:J772)=0,"",IF(COUNT(G772:J772)&lt;4,"موقت - اطلاعات ناقص",IF(K772&gt;=17,"عالی",IF(K772&gt;=14,"خوب",IF(K772&gt;=10,"متوسط","ضعیف"))))))</f>
        <v/>
      </c>
      <c r="M772" s="306" t="n">
        <v>12</v>
      </c>
      <c r="N772" s="314">
        <f>IF(C772="","",COUNT(G772:J772)/4)</f>
        <v/>
      </c>
      <c r="O772" s="307" t="n"/>
    </row>
    <row r="773" ht="24" customHeight="1">
      <c r="A773" s="306" t="n">
        <v>769</v>
      </c>
      <c r="B773" s="306" t="inlineStr">
        <is>
          <t>تیر</t>
        </is>
      </c>
      <c r="C773" s="306">
        <f>IF('دانش‌آموزان'!E69="","",'دانش‌آموزان'!B69)</f>
        <v/>
      </c>
      <c r="D773" s="306">
        <f>IF('دانش‌آموزان'!C69="","",'دانش‌آموزان'!C69)</f>
        <v/>
      </c>
      <c r="E773" s="306">
        <f>IF('دانش‌آموزان'!E69="","",'دانش‌آموزان'!E69&amp;" "&amp;'دانش‌آموزان'!F69)</f>
        <v/>
      </c>
      <c r="F773" s="306">
        <f>IF('دانش‌آموزان'!I69="","",'دانش‌آموزان'!I69)</f>
        <v/>
      </c>
      <c r="G773" s="307" t="n"/>
      <c r="H773" s="307" t="n"/>
      <c r="I773" s="307" t="n"/>
      <c r="J773" s="307" t="n"/>
      <c r="K773" s="313">
        <f>IF(COUNT(G773:J773)=0,"",AVERAGE(G773:J773)*4)</f>
        <v/>
      </c>
      <c r="L773" s="306">
        <f>IF(C773="","",IF(COUNT(G773:J773)=0,"",IF(COUNT(G773:J773)&lt;4,"موقت - اطلاعات ناقص",IF(K773&gt;=17,"عالی",IF(K773&gt;=14,"خوب",IF(K773&gt;=10,"متوسط","ضعیف"))))))</f>
        <v/>
      </c>
      <c r="M773" s="306" t="n">
        <v>1</v>
      </c>
      <c r="N773" s="314">
        <f>IF(C773="","",COUNT(G773:J773)/4)</f>
        <v/>
      </c>
      <c r="O773" s="307" t="n"/>
    </row>
    <row r="774" ht="24" customHeight="1">
      <c r="A774" s="306" t="n">
        <v>770</v>
      </c>
      <c r="B774" s="306" t="inlineStr">
        <is>
          <t>مرداد</t>
        </is>
      </c>
      <c r="C774" s="306">
        <f>IF('دانش‌آموزان'!E69="","",'دانش‌آموزان'!B69)</f>
        <v/>
      </c>
      <c r="D774" s="306">
        <f>IF('دانش‌آموزان'!C69="","",'دانش‌آموزان'!C69)</f>
        <v/>
      </c>
      <c r="E774" s="306">
        <f>IF('دانش‌آموزان'!E69="","",'دانش‌آموزان'!E69&amp;" "&amp;'دانش‌آموزان'!F69)</f>
        <v/>
      </c>
      <c r="F774" s="306">
        <f>IF('دانش‌آموزان'!I69="","",'دانش‌آموزان'!I69)</f>
        <v/>
      </c>
      <c r="G774" s="307" t="n"/>
      <c r="H774" s="307" t="n"/>
      <c r="I774" s="307" t="n"/>
      <c r="J774" s="307" t="n"/>
      <c r="K774" s="313">
        <f>IF(COUNT(G774:J774)=0,"",AVERAGE(G774:J774)*4)</f>
        <v/>
      </c>
      <c r="L774" s="306">
        <f>IF(C774="","",IF(COUNT(G774:J774)=0,"",IF(COUNT(G774:J774)&lt;4,"موقت - اطلاعات ناقص",IF(K774&gt;=17,"عالی",IF(K774&gt;=14,"خوب",IF(K774&gt;=10,"متوسط","ضعیف"))))))</f>
        <v/>
      </c>
      <c r="M774" s="306" t="n">
        <v>2</v>
      </c>
      <c r="N774" s="314">
        <f>IF(C774="","",COUNT(G774:J774)/4)</f>
        <v/>
      </c>
      <c r="O774" s="307" t="n"/>
    </row>
    <row r="775" ht="24" customHeight="1">
      <c r="A775" s="306" t="n">
        <v>771</v>
      </c>
      <c r="B775" s="306" t="inlineStr">
        <is>
          <t>شهریور</t>
        </is>
      </c>
      <c r="C775" s="306">
        <f>IF('دانش‌آموزان'!E69="","",'دانش‌آموزان'!B69)</f>
        <v/>
      </c>
      <c r="D775" s="306">
        <f>IF('دانش‌آموزان'!C69="","",'دانش‌آموزان'!C69)</f>
        <v/>
      </c>
      <c r="E775" s="306">
        <f>IF('دانش‌آموزان'!E69="","",'دانش‌آموزان'!E69&amp;" "&amp;'دانش‌آموزان'!F69)</f>
        <v/>
      </c>
      <c r="F775" s="306">
        <f>IF('دانش‌آموزان'!I69="","",'دانش‌آموزان'!I69)</f>
        <v/>
      </c>
      <c r="G775" s="307" t="n"/>
      <c r="H775" s="307" t="n"/>
      <c r="I775" s="307" t="n"/>
      <c r="J775" s="307" t="n"/>
      <c r="K775" s="313">
        <f>IF(COUNT(G775:J775)=0,"",AVERAGE(G775:J775)*4)</f>
        <v/>
      </c>
      <c r="L775" s="306">
        <f>IF(C775="","",IF(COUNT(G775:J775)=0,"",IF(COUNT(G775:J775)&lt;4,"موقت - اطلاعات ناقص",IF(K775&gt;=17,"عالی",IF(K775&gt;=14,"خوب",IF(K775&gt;=10,"متوسط","ضعیف"))))))</f>
        <v/>
      </c>
      <c r="M775" s="306" t="n">
        <v>3</v>
      </c>
      <c r="N775" s="314">
        <f>IF(C775="","",COUNT(G775:J775)/4)</f>
        <v/>
      </c>
      <c r="O775" s="307" t="n"/>
    </row>
    <row r="776" ht="24" customHeight="1">
      <c r="A776" s="306" t="n">
        <v>772</v>
      </c>
      <c r="B776" s="306" t="inlineStr">
        <is>
          <t>مهر</t>
        </is>
      </c>
      <c r="C776" s="306">
        <f>IF('دانش‌آموزان'!E69="","",'دانش‌آموزان'!B69)</f>
        <v/>
      </c>
      <c r="D776" s="306">
        <f>IF('دانش‌آموزان'!C69="","",'دانش‌آموزان'!C69)</f>
        <v/>
      </c>
      <c r="E776" s="306">
        <f>IF('دانش‌آموزان'!E69="","",'دانش‌آموزان'!E69&amp;" "&amp;'دانش‌آموزان'!F69)</f>
        <v/>
      </c>
      <c r="F776" s="306">
        <f>IF('دانش‌آموزان'!I69="","",'دانش‌آموزان'!I69)</f>
        <v/>
      </c>
      <c r="G776" s="307" t="n"/>
      <c r="H776" s="307" t="n"/>
      <c r="I776" s="307" t="n"/>
      <c r="J776" s="307" t="n"/>
      <c r="K776" s="313">
        <f>IF(COUNT(G776:J776)=0,"",AVERAGE(G776:J776)*4)</f>
        <v/>
      </c>
      <c r="L776" s="306">
        <f>IF(C776="","",IF(COUNT(G776:J776)=0,"",IF(COUNT(G776:J776)&lt;4,"موقت - اطلاعات ناقص",IF(K776&gt;=17,"عالی",IF(K776&gt;=14,"خوب",IF(K776&gt;=10,"متوسط","ضعیف"))))))</f>
        <v/>
      </c>
      <c r="M776" s="306" t="n">
        <v>4</v>
      </c>
      <c r="N776" s="314">
        <f>IF(C776="","",COUNT(G776:J776)/4)</f>
        <v/>
      </c>
      <c r="O776" s="307" t="n"/>
    </row>
    <row r="777" ht="24" customHeight="1">
      <c r="A777" s="306" t="n">
        <v>773</v>
      </c>
      <c r="B777" s="306" t="inlineStr">
        <is>
          <t>آبان</t>
        </is>
      </c>
      <c r="C777" s="306">
        <f>IF('دانش‌آموزان'!E69="","",'دانش‌آموزان'!B69)</f>
        <v/>
      </c>
      <c r="D777" s="306">
        <f>IF('دانش‌آموزان'!C69="","",'دانش‌آموزان'!C69)</f>
        <v/>
      </c>
      <c r="E777" s="306">
        <f>IF('دانش‌آموزان'!E69="","",'دانش‌آموزان'!E69&amp;" "&amp;'دانش‌آموزان'!F69)</f>
        <v/>
      </c>
      <c r="F777" s="306">
        <f>IF('دانش‌آموزان'!I69="","",'دانش‌آموزان'!I69)</f>
        <v/>
      </c>
      <c r="G777" s="307" t="n"/>
      <c r="H777" s="307" t="n"/>
      <c r="I777" s="307" t="n"/>
      <c r="J777" s="307" t="n"/>
      <c r="K777" s="313">
        <f>IF(COUNT(G777:J777)=0,"",AVERAGE(G777:J777)*4)</f>
        <v/>
      </c>
      <c r="L777" s="306">
        <f>IF(C777="","",IF(COUNT(G777:J777)=0,"",IF(COUNT(G777:J777)&lt;4,"موقت - اطلاعات ناقص",IF(K777&gt;=17,"عالی",IF(K777&gt;=14,"خوب",IF(K777&gt;=10,"متوسط","ضعیف"))))))</f>
        <v/>
      </c>
      <c r="M777" s="306" t="n">
        <v>5</v>
      </c>
      <c r="N777" s="314">
        <f>IF(C777="","",COUNT(G777:J777)/4)</f>
        <v/>
      </c>
      <c r="O777" s="307" t="n"/>
    </row>
    <row r="778" ht="24" customHeight="1">
      <c r="A778" s="306" t="n">
        <v>774</v>
      </c>
      <c r="B778" s="306" t="inlineStr">
        <is>
          <t>آذر</t>
        </is>
      </c>
      <c r="C778" s="306">
        <f>IF('دانش‌آموزان'!E69="","",'دانش‌آموزان'!B69)</f>
        <v/>
      </c>
      <c r="D778" s="306">
        <f>IF('دانش‌آموزان'!C69="","",'دانش‌آموزان'!C69)</f>
        <v/>
      </c>
      <c r="E778" s="306">
        <f>IF('دانش‌آموزان'!E69="","",'دانش‌آموزان'!E69&amp;" "&amp;'دانش‌آموزان'!F69)</f>
        <v/>
      </c>
      <c r="F778" s="306">
        <f>IF('دانش‌آموزان'!I69="","",'دانش‌آموزان'!I69)</f>
        <v/>
      </c>
      <c r="G778" s="307" t="n"/>
      <c r="H778" s="307" t="n"/>
      <c r="I778" s="307" t="n"/>
      <c r="J778" s="307" t="n"/>
      <c r="K778" s="313">
        <f>IF(COUNT(G778:J778)=0,"",AVERAGE(G778:J778)*4)</f>
        <v/>
      </c>
      <c r="L778" s="306">
        <f>IF(C778="","",IF(COUNT(G778:J778)=0,"",IF(COUNT(G778:J778)&lt;4,"موقت - اطلاعات ناقص",IF(K778&gt;=17,"عالی",IF(K778&gt;=14,"خوب",IF(K778&gt;=10,"متوسط","ضعیف"))))))</f>
        <v/>
      </c>
      <c r="M778" s="306" t="n">
        <v>6</v>
      </c>
      <c r="N778" s="314">
        <f>IF(C778="","",COUNT(G778:J778)/4)</f>
        <v/>
      </c>
      <c r="O778" s="307" t="n"/>
    </row>
    <row r="779" ht="24" customHeight="1">
      <c r="A779" s="306" t="n">
        <v>775</v>
      </c>
      <c r="B779" s="306" t="inlineStr">
        <is>
          <t>دی</t>
        </is>
      </c>
      <c r="C779" s="306">
        <f>IF('دانش‌آموزان'!E69="","",'دانش‌آموزان'!B69)</f>
        <v/>
      </c>
      <c r="D779" s="306">
        <f>IF('دانش‌آموزان'!C69="","",'دانش‌آموزان'!C69)</f>
        <v/>
      </c>
      <c r="E779" s="306">
        <f>IF('دانش‌آموزان'!E69="","",'دانش‌آموزان'!E69&amp;" "&amp;'دانش‌آموزان'!F69)</f>
        <v/>
      </c>
      <c r="F779" s="306">
        <f>IF('دانش‌آموزان'!I69="","",'دانش‌آموزان'!I69)</f>
        <v/>
      </c>
      <c r="G779" s="307" t="n"/>
      <c r="H779" s="307" t="n"/>
      <c r="I779" s="307" t="n"/>
      <c r="J779" s="307" t="n"/>
      <c r="K779" s="313">
        <f>IF(COUNT(G779:J779)=0,"",AVERAGE(G779:J779)*4)</f>
        <v/>
      </c>
      <c r="L779" s="306">
        <f>IF(C779="","",IF(COUNT(G779:J779)=0,"",IF(COUNT(G779:J779)&lt;4,"موقت - اطلاعات ناقص",IF(K779&gt;=17,"عالی",IF(K779&gt;=14,"خوب",IF(K779&gt;=10,"متوسط","ضعیف"))))))</f>
        <v/>
      </c>
      <c r="M779" s="306" t="n">
        <v>7</v>
      </c>
      <c r="N779" s="314">
        <f>IF(C779="","",COUNT(G779:J779)/4)</f>
        <v/>
      </c>
      <c r="O779" s="307" t="n"/>
    </row>
    <row r="780" ht="24" customHeight="1">
      <c r="A780" s="306" t="n">
        <v>776</v>
      </c>
      <c r="B780" s="306" t="inlineStr">
        <is>
          <t>بهمن</t>
        </is>
      </c>
      <c r="C780" s="306">
        <f>IF('دانش‌آموزان'!E69="","",'دانش‌آموزان'!B69)</f>
        <v/>
      </c>
      <c r="D780" s="306">
        <f>IF('دانش‌آموزان'!C69="","",'دانش‌آموزان'!C69)</f>
        <v/>
      </c>
      <c r="E780" s="306">
        <f>IF('دانش‌آموزان'!E69="","",'دانش‌آموزان'!E69&amp;" "&amp;'دانش‌آموزان'!F69)</f>
        <v/>
      </c>
      <c r="F780" s="306">
        <f>IF('دانش‌آموزان'!I69="","",'دانش‌آموزان'!I69)</f>
        <v/>
      </c>
      <c r="G780" s="307" t="n"/>
      <c r="H780" s="307" t="n"/>
      <c r="I780" s="307" t="n"/>
      <c r="J780" s="307" t="n"/>
      <c r="K780" s="313">
        <f>IF(COUNT(G780:J780)=0,"",AVERAGE(G780:J780)*4)</f>
        <v/>
      </c>
      <c r="L780" s="306">
        <f>IF(C780="","",IF(COUNT(G780:J780)=0,"",IF(COUNT(G780:J780)&lt;4,"موقت - اطلاعات ناقص",IF(K780&gt;=17,"عالی",IF(K780&gt;=14,"خوب",IF(K780&gt;=10,"متوسط","ضعیف"))))))</f>
        <v/>
      </c>
      <c r="M780" s="306" t="n">
        <v>8</v>
      </c>
      <c r="N780" s="314">
        <f>IF(C780="","",COUNT(G780:J780)/4)</f>
        <v/>
      </c>
      <c r="O780" s="307" t="n"/>
    </row>
    <row r="781" ht="24" customHeight="1">
      <c r="A781" s="306" t="n">
        <v>777</v>
      </c>
      <c r="B781" s="306" t="inlineStr">
        <is>
          <t>اسفند</t>
        </is>
      </c>
      <c r="C781" s="306">
        <f>IF('دانش‌آموزان'!E69="","",'دانش‌آموزان'!B69)</f>
        <v/>
      </c>
      <c r="D781" s="306">
        <f>IF('دانش‌آموزان'!C69="","",'دانش‌آموزان'!C69)</f>
        <v/>
      </c>
      <c r="E781" s="306">
        <f>IF('دانش‌آموزان'!E69="","",'دانش‌آموزان'!E69&amp;" "&amp;'دانش‌آموزان'!F69)</f>
        <v/>
      </c>
      <c r="F781" s="306">
        <f>IF('دانش‌آموزان'!I69="","",'دانش‌آموزان'!I69)</f>
        <v/>
      </c>
      <c r="G781" s="307" t="n"/>
      <c r="H781" s="307" t="n"/>
      <c r="I781" s="307" t="n"/>
      <c r="J781" s="307" t="n"/>
      <c r="K781" s="313">
        <f>IF(COUNT(G781:J781)=0,"",AVERAGE(G781:J781)*4)</f>
        <v/>
      </c>
      <c r="L781" s="306">
        <f>IF(C781="","",IF(COUNT(G781:J781)=0,"",IF(COUNT(G781:J781)&lt;4,"موقت - اطلاعات ناقص",IF(K781&gt;=17,"عالی",IF(K781&gt;=14,"خوب",IF(K781&gt;=10,"متوسط","ضعیف"))))))</f>
        <v/>
      </c>
      <c r="M781" s="306" t="n">
        <v>9</v>
      </c>
      <c r="N781" s="314">
        <f>IF(C781="","",COUNT(G781:J781)/4)</f>
        <v/>
      </c>
      <c r="O781" s="307" t="n"/>
    </row>
    <row r="782" ht="24" customHeight="1">
      <c r="A782" s="306" t="n">
        <v>778</v>
      </c>
      <c r="B782" s="306" t="inlineStr">
        <is>
          <t>فروردین</t>
        </is>
      </c>
      <c r="C782" s="306">
        <f>IF('دانش‌آموزان'!E69="","",'دانش‌آموزان'!B69)</f>
        <v/>
      </c>
      <c r="D782" s="306">
        <f>IF('دانش‌آموزان'!C69="","",'دانش‌آموزان'!C69)</f>
        <v/>
      </c>
      <c r="E782" s="306">
        <f>IF('دانش‌آموزان'!E69="","",'دانش‌آموزان'!E69&amp;" "&amp;'دانش‌آموزان'!F69)</f>
        <v/>
      </c>
      <c r="F782" s="306">
        <f>IF('دانش‌آموزان'!I69="","",'دانش‌آموزان'!I69)</f>
        <v/>
      </c>
      <c r="G782" s="307" t="n"/>
      <c r="H782" s="307" t="n"/>
      <c r="I782" s="307" t="n"/>
      <c r="J782" s="307" t="n"/>
      <c r="K782" s="313">
        <f>IF(COUNT(G782:J782)=0,"",AVERAGE(G782:J782)*4)</f>
        <v/>
      </c>
      <c r="L782" s="306">
        <f>IF(C782="","",IF(COUNT(G782:J782)=0,"",IF(COUNT(G782:J782)&lt;4,"موقت - اطلاعات ناقص",IF(K782&gt;=17,"عالی",IF(K782&gt;=14,"خوب",IF(K782&gt;=10,"متوسط","ضعیف"))))))</f>
        <v/>
      </c>
      <c r="M782" s="306" t="n">
        <v>10</v>
      </c>
      <c r="N782" s="314">
        <f>IF(C782="","",COUNT(G782:J782)/4)</f>
        <v/>
      </c>
      <c r="O782" s="307" t="n"/>
    </row>
    <row r="783" ht="24" customHeight="1">
      <c r="A783" s="306" t="n">
        <v>779</v>
      </c>
      <c r="B783" s="306" t="inlineStr">
        <is>
          <t>اردیبهشت</t>
        </is>
      </c>
      <c r="C783" s="306">
        <f>IF('دانش‌آموزان'!E69="","",'دانش‌آموزان'!B69)</f>
        <v/>
      </c>
      <c r="D783" s="306">
        <f>IF('دانش‌آموزان'!C69="","",'دانش‌آموزان'!C69)</f>
        <v/>
      </c>
      <c r="E783" s="306">
        <f>IF('دانش‌آموزان'!E69="","",'دانش‌آموزان'!E69&amp;" "&amp;'دانش‌آموزان'!F69)</f>
        <v/>
      </c>
      <c r="F783" s="306">
        <f>IF('دانش‌آموزان'!I69="","",'دانش‌آموزان'!I69)</f>
        <v/>
      </c>
      <c r="G783" s="307" t="n"/>
      <c r="H783" s="307" t="n"/>
      <c r="I783" s="307" t="n"/>
      <c r="J783" s="307" t="n"/>
      <c r="K783" s="313">
        <f>IF(COUNT(G783:J783)=0,"",AVERAGE(G783:J783)*4)</f>
        <v/>
      </c>
      <c r="L783" s="306">
        <f>IF(C783="","",IF(COUNT(G783:J783)=0,"",IF(COUNT(G783:J783)&lt;4,"موقت - اطلاعات ناقص",IF(K783&gt;=17,"عالی",IF(K783&gt;=14,"خوب",IF(K783&gt;=10,"متوسط","ضعیف"))))))</f>
        <v/>
      </c>
      <c r="M783" s="306" t="n">
        <v>11</v>
      </c>
      <c r="N783" s="314">
        <f>IF(C783="","",COUNT(G783:J783)/4)</f>
        <v/>
      </c>
      <c r="O783" s="307" t="n"/>
    </row>
    <row r="784" ht="24" customHeight="1">
      <c r="A784" s="306" t="n">
        <v>780</v>
      </c>
      <c r="B784" s="306" t="inlineStr">
        <is>
          <t>خرداد</t>
        </is>
      </c>
      <c r="C784" s="306">
        <f>IF('دانش‌آموزان'!E69="","",'دانش‌آموزان'!B69)</f>
        <v/>
      </c>
      <c r="D784" s="306">
        <f>IF('دانش‌آموزان'!C69="","",'دانش‌آموزان'!C69)</f>
        <v/>
      </c>
      <c r="E784" s="306">
        <f>IF('دانش‌آموزان'!E69="","",'دانش‌آموزان'!E69&amp;" "&amp;'دانش‌آموزان'!F69)</f>
        <v/>
      </c>
      <c r="F784" s="306">
        <f>IF('دانش‌آموزان'!I69="","",'دانش‌آموزان'!I69)</f>
        <v/>
      </c>
      <c r="G784" s="307" t="n"/>
      <c r="H784" s="307" t="n"/>
      <c r="I784" s="307" t="n"/>
      <c r="J784" s="307" t="n"/>
      <c r="K784" s="313">
        <f>IF(COUNT(G784:J784)=0,"",AVERAGE(G784:J784)*4)</f>
        <v/>
      </c>
      <c r="L784" s="306">
        <f>IF(C784="","",IF(COUNT(G784:J784)=0,"",IF(COUNT(G784:J784)&lt;4,"موقت - اطلاعات ناقص",IF(K784&gt;=17,"عالی",IF(K784&gt;=14,"خوب",IF(K784&gt;=10,"متوسط","ضعیف"))))))</f>
        <v/>
      </c>
      <c r="M784" s="306" t="n">
        <v>12</v>
      </c>
      <c r="N784" s="314">
        <f>IF(C784="","",COUNT(G784:J784)/4)</f>
        <v/>
      </c>
      <c r="O784" s="307" t="n"/>
    </row>
    <row r="785" ht="24" customHeight="1">
      <c r="A785" s="306" t="n">
        <v>781</v>
      </c>
      <c r="B785" s="306" t="inlineStr">
        <is>
          <t>تیر</t>
        </is>
      </c>
      <c r="C785" s="306">
        <f>IF('دانش‌آموزان'!E70="","",'دانش‌آموزان'!B70)</f>
        <v/>
      </c>
      <c r="D785" s="306">
        <f>IF('دانش‌آموزان'!C70="","",'دانش‌آموزان'!C70)</f>
        <v/>
      </c>
      <c r="E785" s="306">
        <f>IF('دانش‌آموزان'!E70="","",'دانش‌آموزان'!E70&amp;" "&amp;'دانش‌آموزان'!F70)</f>
        <v/>
      </c>
      <c r="F785" s="306">
        <f>IF('دانش‌آموزان'!I70="","",'دانش‌آموزان'!I70)</f>
        <v/>
      </c>
      <c r="G785" s="307" t="n"/>
      <c r="H785" s="307" t="n"/>
      <c r="I785" s="307" t="n"/>
      <c r="J785" s="307" t="n"/>
      <c r="K785" s="313">
        <f>IF(COUNT(G785:J785)=0,"",AVERAGE(G785:J785)*4)</f>
        <v/>
      </c>
      <c r="L785" s="306">
        <f>IF(C785="","",IF(COUNT(G785:J785)=0,"",IF(COUNT(G785:J785)&lt;4,"موقت - اطلاعات ناقص",IF(K785&gt;=17,"عالی",IF(K785&gt;=14,"خوب",IF(K785&gt;=10,"متوسط","ضعیف"))))))</f>
        <v/>
      </c>
      <c r="M785" s="306" t="n">
        <v>1</v>
      </c>
      <c r="N785" s="314">
        <f>IF(C785="","",COUNT(G785:J785)/4)</f>
        <v/>
      </c>
      <c r="O785" s="307" t="n"/>
    </row>
    <row r="786" ht="24" customHeight="1">
      <c r="A786" s="306" t="n">
        <v>782</v>
      </c>
      <c r="B786" s="306" t="inlineStr">
        <is>
          <t>مرداد</t>
        </is>
      </c>
      <c r="C786" s="306">
        <f>IF('دانش‌آموزان'!E70="","",'دانش‌آموزان'!B70)</f>
        <v/>
      </c>
      <c r="D786" s="306">
        <f>IF('دانش‌آموزان'!C70="","",'دانش‌آموزان'!C70)</f>
        <v/>
      </c>
      <c r="E786" s="306">
        <f>IF('دانش‌آموزان'!E70="","",'دانش‌آموزان'!E70&amp;" "&amp;'دانش‌آموزان'!F70)</f>
        <v/>
      </c>
      <c r="F786" s="306">
        <f>IF('دانش‌آموزان'!I70="","",'دانش‌آموزان'!I70)</f>
        <v/>
      </c>
      <c r="G786" s="307" t="n"/>
      <c r="H786" s="307" t="n"/>
      <c r="I786" s="307" t="n"/>
      <c r="J786" s="307" t="n"/>
      <c r="K786" s="313">
        <f>IF(COUNT(G786:J786)=0,"",AVERAGE(G786:J786)*4)</f>
        <v/>
      </c>
      <c r="L786" s="306">
        <f>IF(C786="","",IF(COUNT(G786:J786)=0,"",IF(COUNT(G786:J786)&lt;4,"موقت - اطلاعات ناقص",IF(K786&gt;=17,"عالی",IF(K786&gt;=14,"خوب",IF(K786&gt;=10,"متوسط","ضعیف"))))))</f>
        <v/>
      </c>
      <c r="M786" s="306" t="n">
        <v>2</v>
      </c>
      <c r="N786" s="314">
        <f>IF(C786="","",COUNT(G786:J786)/4)</f>
        <v/>
      </c>
      <c r="O786" s="307" t="n"/>
    </row>
    <row r="787" ht="24" customHeight="1">
      <c r="A787" s="306" t="n">
        <v>783</v>
      </c>
      <c r="B787" s="306" t="inlineStr">
        <is>
          <t>شهریور</t>
        </is>
      </c>
      <c r="C787" s="306">
        <f>IF('دانش‌آموزان'!E70="","",'دانش‌آموزان'!B70)</f>
        <v/>
      </c>
      <c r="D787" s="306">
        <f>IF('دانش‌آموزان'!C70="","",'دانش‌آموزان'!C70)</f>
        <v/>
      </c>
      <c r="E787" s="306">
        <f>IF('دانش‌آموزان'!E70="","",'دانش‌آموزان'!E70&amp;" "&amp;'دانش‌آموزان'!F70)</f>
        <v/>
      </c>
      <c r="F787" s="306">
        <f>IF('دانش‌آموزان'!I70="","",'دانش‌آموزان'!I70)</f>
        <v/>
      </c>
      <c r="G787" s="307" t="n"/>
      <c r="H787" s="307" t="n"/>
      <c r="I787" s="307" t="n"/>
      <c r="J787" s="307" t="n"/>
      <c r="K787" s="313">
        <f>IF(COUNT(G787:J787)=0,"",AVERAGE(G787:J787)*4)</f>
        <v/>
      </c>
      <c r="L787" s="306">
        <f>IF(C787="","",IF(COUNT(G787:J787)=0,"",IF(COUNT(G787:J787)&lt;4,"موقت - اطلاعات ناقص",IF(K787&gt;=17,"عالی",IF(K787&gt;=14,"خوب",IF(K787&gt;=10,"متوسط","ضعیف"))))))</f>
        <v/>
      </c>
      <c r="M787" s="306" t="n">
        <v>3</v>
      </c>
      <c r="N787" s="314">
        <f>IF(C787="","",COUNT(G787:J787)/4)</f>
        <v/>
      </c>
      <c r="O787" s="307" t="n"/>
    </row>
    <row r="788" ht="24" customHeight="1">
      <c r="A788" s="306" t="n">
        <v>784</v>
      </c>
      <c r="B788" s="306" t="inlineStr">
        <is>
          <t>مهر</t>
        </is>
      </c>
      <c r="C788" s="306">
        <f>IF('دانش‌آموزان'!E70="","",'دانش‌آموزان'!B70)</f>
        <v/>
      </c>
      <c r="D788" s="306">
        <f>IF('دانش‌آموزان'!C70="","",'دانش‌آموزان'!C70)</f>
        <v/>
      </c>
      <c r="E788" s="306">
        <f>IF('دانش‌آموزان'!E70="","",'دانش‌آموزان'!E70&amp;" "&amp;'دانش‌آموزان'!F70)</f>
        <v/>
      </c>
      <c r="F788" s="306">
        <f>IF('دانش‌آموزان'!I70="","",'دانش‌آموزان'!I70)</f>
        <v/>
      </c>
      <c r="G788" s="307" t="n"/>
      <c r="H788" s="307" t="n"/>
      <c r="I788" s="307" t="n"/>
      <c r="J788" s="307" t="n"/>
      <c r="K788" s="313">
        <f>IF(COUNT(G788:J788)=0,"",AVERAGE(G788:J788)*4)</f>
        <v/>
      </c>
      <c r="L788" s="306">
        <f>IF(C788="","",IF(COUNT(G788:J788)=0,"",IF(COUNT(G788:J788)&lt;4,"موقت - اطلاعات ناقص",IF(K788&gt;=17,"عالی",IF(K788&gt;=14,"خوب",IF(K788&gt;=10,"متوسط","ضعیف"))))))</f>
        <v/>
      </c>
      <c r="M788" s="306" t="n">
        <v>4</v>
      </c>
      <c r="N788" s="314">
        <f>IF(C788="","",COUNT(G788:J788)/4)</f>
        <v/>
      </c>
      <c r="O788" s="307" t="n"/>
    </row>
    <row r="789" ht="24" customHeight="1">
      <c r="A789" s="306" t="n">
        <v>785</v>
      </c>
      <c r="B789" s="306" t="inlineStr">
        <is>
          <t>آبان</t>
        </is>
      </c>
      <c r="C789" s="306">
        <f>IF('دانش‌آموزان'!E70="","",'دانش‌آموزان'!B70)</f>
        <v/>
      </c>
      <c r="D789" s="306">
        <f>IF('دانش‌آموزان'!C70="","",'دانش‌آموزان'!C70)</f>
        <v/>
      </c>
      <c r="E789" s="306">
        <f>IF('دانش‌آموزان'!E70="","",'دانش‌آموزان'!E70&amp;" "&amp;'دانش‌آموزان'!F70)</f>
        <v/>
      </c>
      <c r="F789" s="306">
        <f>IF('دانش‌آموزان'!I70="","",'دانش‌آموزان'!I70)</f>
        <v/>
      </c>
      <c r="G789" s="307" t="n"/>
      <c r="H789" s="307" t="n"/>
      <c r="I789" s="307" t="n"/>
      <c r="J789" s="307" t="n"/>
      <c r="K789" s="313">
        <f>IF(COUNT(G789:J789)=0,"",AVERAGE(G789:J789)*4)</f>
        <v/>
      </c>
      <c r="L789" s="306">
        <f>IF(C789="","",IF(COUNT(G789:J789)=0,"",IF(COUNT(G789:J789)&lt;4,"موقت - اطلاعات ناقص",IF(K789&gt;=17,"عالی",IF(K789&gt;=14,"خوب",IF(K789&gt;=10,"متوسط","ضعیف"))))))</f>
        <v/>
      </c>
      <c r="M789" s="306" t="n">
        <v>5</v>
      </c>
      <c r="N789" s="314">
        <f>IF(C789="","",COUNT(G789:J789)/4)</f>
        <v/>
      </c>
      <c r="O789" s="307" t="n"/>
    </row>
    <row r="790" ht="24" customHeight="1">
      <c r="A790" s="306" t="n">
        <v>786</v>
      </c>
      <c r="B790" s="306" t="inlineStr">
        <is>
          <t>آذر</t>
        </is>
      </c>
      <c r="C790" s="306">
        <f>IF('دانش‌آموزان'!E70="","",'دانش‌آموزان'!B70)</f>
        <v/>
      </c>
      <c r="D790" s="306">
        <f>IF('دانش‌آموزان'!C70="","",'دانش‌آموزان'!C70)</f>
        <v/>
      </c>
      <c r="E790" s="306">
        <f>IF('دانش‌آموزان'!E70="","",'دانش‌آموزان'!E70&amp;" "&amp;'دانش‌آموزان'!F70)</f>
        <v/>
      </c>
      <c r="F790" s="306">
        <f>IF('دانش‌آموزان'!I70="","",'دانش‌آموزان'!I70)</f>
        <v/>
      </c>
      <c r="G790" s="307" t="n"/>
      <c r="H790" s="307" t="n"/>
      <c r="I790" s="307" t="n"/>
      <c r="J790" s="307" t="n"/>
      <c r="K790" s="313">
        <f>IF(COUNT(G790:J790)=0,"",AVERAGE(G790:J790)*4)</f>
        <v/>
      </c>
      <c r="L790" s="306">
        <f>IF(C790="","",IF(COUNT(G790:J790)=0,"",IF(COUNT(G790:J790)&lt;4,"موقت - اطلاعات ناقص",IF(K790&gt;=17,"عالی",IF(K790&gt;=14,"خوب",IF(K790&gt;=10,"متوسط","ضعیف"))))))</f>
        <v/>
      </c>
      <c r="M790" s="306" t="n">
        <v>6</v>
      </c>
      <c r="N790" s="314">
        <f>IF(C790="","",COUNT(G790:J790)/4)</f>
        <v/>
      </c>
      <c r="O790" s="307" t="n"/>
    </row>
    <row r="791" ht="24" customHeight="1">
      <c r="A791" s="306" t="n">
        <v>787</v>
      </c>
      <c r="B791" s="306" t="inlineStr">
        <is>
          <t>دی</t>
        </is>
      </c>
      <c r="C791" s="306">
        <f>IF('دانش‌آموزان'!E70="","",'دانش‌آموزان'!B70)</f>
        <v/>
      </c>
      <c r="D791" s="306">
        <f>IF('دانش‌آموزان'!C70="","",'دانش‌آموزان'!C70)</f>
        <v/>
      </c>
      <c r="E791" s="306">
        <f>IF('دانش‌آموزان'!E70="","",'دانش‌آموزان'!E70&amp;" "&amp;'دانش‌آموزان'!F70)</f>
        <v/>
      </c>
      <c r="F791" s="306">
        <f>IF('دانش‌آموزان'!I70="","",'دانش‌آموزان'!I70)</f>
        <v/>
      </c>
      <c r="G791" s="307" t="n"/>
      <c r="H791" s="307" t="n"/>
      <c r="I791" s="307" t="n"/>
      <c r="J791" s="307" t="n"/>
      <c r="K791" s="313">
        <f>IF(COUNT(G791:J791)=0,"",AVERAGE(G791:J791)*4)</f>
        <v/>
      </c>
      <c r="L791" s="306">
        <f>IF(C791="","",IF(COUNT(G791:J791)=0,"",IF(COUNT(G791:J791)&lt;4,"موقت - اطلاعات ناقص",IF(K791&gt;=17,"عالی",IF(K791&gt;=14,"خوب",IF(K791&gt;=10,"متوسط","ضعیف"))))))</f>
        <v/>
      </c>
      <c r="M791" s="306" t="n">
        <v>7</v>
      </c>
      <c r="N791" s="314">
        <f>IF(C791="","",COUNT(G791:J791)/4)</f>
        <v/>
      </c>
      <c r="O791" s="307" t="n"/>
    </row>
    <row r="792" ht="24" customHeight="1">
      <c r="A792" s="306" t="n">
        <v>788</v>
      </c>
      <c r="B792" s="306" t="inlineStr">
        <is>
          <t>بهمن</t>
        </is>
      </c>
      <c r="C792" s="306">
        <f>IF('دانش‌آموزان'!E70="","",'دانش‌آموزان'!B70)</f>
        <v/>
      </c>
      <c r="D792" s="306">
        <f>IF('دانش‌آموزان'!C70="","",'دانش‌آموزان'!C70)</f>
        <v/>
      </c>
      <c r="E792" s="306">
        <f>IF('دانش‌آموزان'!E70="","",'دانش‌آموزان'!E70&amp;" "&amp;'دانش‌آموزان'!F70)</f>
        <v/>
      </c>
      <c r="F792" s="306">
        <f>IF('دانش‌آموزان'!I70="","",'دانش‌آموزان'!I70)</f>
        <v/>
      </c>
      <c r="G792" s="307" t="n"/>
      <c r="H792" s="307" t="n"/>
      <c r="I792" s="307" t="n"/>
      <c r="J792" s="307" t="n"/>
      <c r="K792" s="313">
        <f>IF(COUNT(G792:J792)=0,"",AVERAGE(G792:J792)*4)</f>
        <v/>
      </c>
      <c r="L792" s="306">
        <f>IF(C792="","",IF(COUNT(G792:J792)=0,"",IF(COUNT(G792:J792)&lt;4,"موقت - اطلاعات ناقص",IF(K792&gt;=17,"عالی",IF(K792&gt;=14,"خوب",IF(K792&gt;=10,"متوسط","ضعیف"))))))</f>
        <v/>
      </c>
      <c r="M792" s="306" t="n">
        <v>8</v>
      </c>
      <c r="N792" s="314">
        <f>IF(C792="","",COUNT(G792:J792)/4)</f>
        <v/>
      </c>
      <c r="O792" s="307" t="n"/>
    </row>
    <row r="793" ht="24" customHeight="1">
      <c r="A793" s="306" t="n">
        <v>789</v>
      </c>
      <c r="B793" s="306" t="inlineStr">
        <is>
          <t>اسفند</t>
        </is>
      </c>
      <c r="C793" s="306">
        <f>IF('دانش‌آموزان'!E70="","",'دانش‌آموزان'!B70)</f>
        <v/>
      </c>
      <c r="D793" s="306">
        <f>IF('دانش‌آموزان'!C70="","",'دانش‌آموزان'!C70)</f>
        <v/>
      </c>
      <c r="E793" s="306">
        <f>IF('دانش‌آموزان'!E70="","",'دانش‌آموزان'!E70&amp;" "&amp;'دانش‌آموزان'!F70)</f>
        <v/>
      </c>
      <c r="F793" s="306">
        <f>IF('دانش‌آموزان'!I70="","",'دانش‌آموزان'!I70)</f>
        <v/>
      </c>
      <c r="G793" s="307" t="n"/>
      <c r="H793" s="307" t="n"/>
      <c r="I793" s="307" t="n"/>
      <c r="J793" s="307" t="n"/>
      <c r="K793" s="313">
        <f>IF(COUNT(G793:J793)=0,"",AVERAGE(G793:J793)*4)</f>
        <v/>
      </c>
      <c r="L793" s="306">
        <f>IF(C793="","",IF(COUNT(G793:J793)=0,"",IF(COUNT(G793:J793)&lt;4,"موقت - اطلاعات ناقص",IF(K793&gt;=17,"عالی",IF(K793&gt;=14,"خوب",IF(K793&gt;=10,"متوسط","ضعیف"))))))</f>
        <v/>
      </c>
      <c r="M793" s="306" t="n">
        <v>9</v>
      </c>
      <c r="N793" s="314">
        <f>IF(C793="","",COUNT(G793:J793)/4)</f>
        <v/>
      </c>
      <c r="O793" s="307" t="n"/>
    </row>
    <row r="794" ht="24" customHeight="1">
      <c r="A794" s="306" t="n">
        <v>790</v>
      </c>
      <c r="B794" s="306" t="inlineStr">
        <is>
          <t>فروردین</t>
        </is>
      </c>
      <c r="C794" s="306">
        <f>IF('دانش‌آموزان'!E70="","",'دانش‌آموزان'!B70)</f>
        <v/>
      </c>
      <c r="D794" s="306">
        <f>IF('دانش‌آموزان'!C70="","",'دانش‌آموزان'!C70)</f>
        <v/>
      </c>
      <c r="E794" s="306">
        <f>IF('دانش‌آموزان'!E70="","",'دانش‌آموزان'!E70&amp;" "&amp;'دانش‌آموزان'!F70)</f>
        <v/>
      </c>
      <c r="F794" s="306">
        <f>IF('دانش‌آموزان'!I70="","",'دانش‌آموزان'!I70)</f>
        <v/>
      </c>
      <c r="G794" s="307" t="n"/>
      <c r="H794" s="307" t="n"/>
      <c r="I794" s="307" t="n"/>
      <c r="J794" s="307" t="n"/>
      <c r="K794" s="313">
        <f>IF(COUNT(G794:J794)=0,"",AVERAGE(G794:J794)*4)</f>
        <v/>
      </c>
      <c r="L794" s="306">
        <f>IF(C794="","",IF(COUNT(G794:J794)=0,"",IF(COUNT(G794:J794)&lt;4,"موقت - اطلاعات ناقص",IF(K794&gt;=17,"عالی",IF(K794&gt;=14,"خوب",IF(K794&gt;=10,"متوسط","ضعیف"))))))</f>
        <v/>
      </c>
      <c r="M794" s="306" t="n">
        <v>10</v>
      </c>
      <c r="N794" s="314">
        <f>IF(C794="","",COUNT(G794:J794)/4)</f>
        <v/>
      </c>
      <c r="O794" s="307" t="n"/>
    </row>
    <row r="795" ht="24" customHeight="1">
      <c r="A795" s="306" t="n">
        <v>791</v>
      </c>
      <c r="B795" s="306" t="inlineStr">
        <is>
          <t>اردیبهشت</t>
        </is>
      </c>
      <c r="C795" s="306">
        <f>IF('دانش‌آموزان'!E70="","",'دانش‌آموزان'!B70)</f>
        <v/>
      </c>
      <c r="D795" s="306">
        <f>IF('دانش‌آموزان'!C70="","",'دانش‌آموزان'!C70)</f>
        <v/>
      </c>
      <c r="E795" s="306">
        <f>IF('دانش‌آموزان'!E70="","",'دانش‌آموزان'!E70&amp;" "&amp;'دانش‌آموزان'!F70)</f>
        <v/>
      </c>
      <c r="F795" s="306">
        <f>IF('دانش‌آموزان'!I70="","",'دانش‌آموزان'!I70)</f>
        <v/>
      </c>
      <c r="G795" s="307" t="n"/>
      <c r="H795" s="307" t="n"/>
      <c r="I795" s="307" t="n"/>
      <c r="J795" s="307" t="n"/>
      <c r="K795" s="313">
        <f>IF(COUNT(G795:J795)=0,"",AVERAGE(G795:J795)*4)</f>
        <v/>
      </c>
      <c r="L795" s="306">
        <f>IF(C795="","",IF(COUNT(G795:J795)=0,"",IF(COUNT(G795:J795)&lt;4,"موقت - اطلاعات ناقص",IF(K795&gt;=17,"عالی",IF(K795&gt;=14,"خوب",IF(K795&gt;=10,"متوسط","ضعیف"))))))</f>
        <v/>
      </c>
      <c r="M795" s="306" t="n">
        <v>11</v>
      </c>
      <c r="N795" s="314">
        <f>IF(C795="","",COUNT(G795:J795)/4)</f>
        <v/>
      </c>
      <c r="O795" s="307" t="n"/>
    </row>
    <row r="796" ht="24" customHeight="1">
      <c r="A796" s="306" t="n">
        <v>792</v>
      </c>
      <c r="B796" s="306" t="inlineStr">
        <is>
          <t>خرداد</t>
        </is>
      </c>
      <c r="C796" s="306">
        <f>IF('دانش‌آموزان'!E70="","",'دانش‌آموزان'!B70)</f>
        <v/>
      </c>
      <c r="D796" s="306">
        <f>IF('دانش‌آموزان'!C70="","",'دانش‌آموزان'!C70)</f>
        <v/>
      </c>
      <c r="E796" s="306">
        <f>IF('دانش‌آموزان'!E70="","",'دانش‌آموزان'!E70&amp;" "&amp;'دانش‌آموزان'!F70)</f>
        <v/>
      </c>
      <c r="F796" s="306">
        <f>IF('دانش‌آموزان'!I70="","",'دانش‌آموزان'!I70)</f>
        <v/>
      </c>
      <c r="G796" s="307" t="n"/>
      <c r="H796" s="307" t="n"/>
      <c r="I796" s="307" t="n"/>
      <c r="J796" s="307" t="n"/>
      <c r="K796" s="313">
        <f>IF(COUNT(G796:J796)=0,"",AVERAGE(G796:J796)*4)</f>
        <v/>
      </c>
      <c r="L796" s="306">
        <f>IF(C796="","",IF(COUNT(G796:J796)=0,"",IF(COUNT(G796:J796)&lt;4,"موقت - اطلاعات ناقص",IF(K796&gt;=17,"عالی",IF(K796&gt;=14,"خوب",IF(K796&gt;=10,"متوسط","ضعیف"))))))</f>
        <v/>
      </c>
      <c r="M796" s="306" t="n">
        <v>12</v>
      </c>
      <c r="N796" s="314">
        <f>IF(C796="","",COUNT(G796:J796)/4)</f>
        <v/>
      </c>
      <c r="O796" s="307" t="n"/>
    </row>
    <row r="797" ht="24" customHeight="1">
      <c r="A797" s="306" t="n">
        <v>793</v>
      </c>
      <c r="B797" s="306" t="inlineStr">
        <is>
          <t>تیر</t>
        </is>
      </c>
      <c r="C797" s="306">
        <f>IF('دانش‌آموزان'!E71="","",'دانش‌آموزان'!B71)</f>
        <v/>
      </c>
      <c r="D797" s="306">
        <f>IF('دانش‌آموزان'!C71="","",'دانش‌آموزان'!C71)</f>
        <v/>
      </c>
      <c r="E797" s="306">
        <f>IF('دانش‌آموزان'!E71="","",'دانش‌آموزان'!E71&amp;" "&amp;'دانش‌آموزان'!F71)</f>
        <v/>
      </c>
      <c r="F797" s="306">
        <f>IF('دانش‌آموزان'!I71="","",'دانش‌آموزان'!I71)</f>
        <v/>
      </c>
      <c r="G797" s="307" t="n"/>
      <c r="H797" s="307" t="n"/>
      <c r="I797" s="307" t="n"/>
      <c r="J797" s="307" t="n"/>
      <c r="K797" s="313">
        <f>IF(COUNT(G797:J797)=0,"",AVERAGE(G797:J797)*4)</f>
        <v/>
      </c>
      <c r="L797" s="306">
        <f>IF(C797="","",IF(COUNT(G797:J797)=0,"",IF(COUNT(G797:J797)&lt;4,"موقت - اطلاعات ناقص",IF(K797&gt;=17,"عالی",IF(K797&gt;=14,"خوب",IF(K797&gt;=10,"متوسط","ضعیف"))))))</f>
        <v/>
      </c>
      <c r="M797" s="306" t="n">
        <v>1</v>
      </c>
      <c r="N797" s="314">
        <f>IF(C797="","",COUNT(G797:J797)/4)</f>
        <v/>
      </c>
      <c r="O797" s="307" t="n"/>
    </row>
    <row r="798" ht="24" customHeight="1">
      <c r="A798" s="306" t="n">
        <v>794</v>
      </c>
      <c r="B798" s="306" t="inlineStr">
        <is>
          <t>مرداد</t>
        </is>
      </c>
      <c r="C798" s="306">
        <f>IF('دانش‌آموزان'!E71="","",'دانش‌آموزان'!B71)</f>
        <v/>
      </c>
      <c r="D798" s="306">
        <f>IF('دانش‌آموزان'!C71="","",'دانش‌آموزان'!C71)</f>
        <v/>
      </c>
      <c r="E798" s="306">
        <f>IF('دانش‌آموزان'!E71="","",'دانش‌آموزان'!E71&amp;" "&amp;'دانش‌آموزان'!F71)</f>
        <v/>
      </c>
      <c r="F798" s="306">
        <f>IF('دانش‌آموزان'!I71="","",'دانش‌آموزان'!I71)</f>
        <v/>
      </c>
      <c r="G798" s="307" t="n"/>
      <c r="H798" s="307" t="n"/>
      <c r="I798" s="307" t="n"/>
      <c r="J798" s="307" t="n"/>
      <c r="K798" s="313">
        <f>IF(COUNT(G798:J798)=0,"",AVERAGE(G798:J798)*4)</f>
        <v/>
      </c>
      <c r="L798" s="306">
        <f>IF(C798="","",IF(COUNT(G798:J798)=0,"",IF(COUNT(G798:J798)&lt;4,"موقت - اطلاعات ناقص",IF(K798&gt;=17,"عالی",IF(K798&gt;=14,"خوب",IF(K798&gt;=10,"متوسط","ضعیف"))))))</f>
        <v/>
      </c>
      <c r="M798" s="306" t="n">
        <v>2</v>
      </c>
      <c r="N798" s="314">
        <f>IF(C798="","",COUNT(G798:J798)/4)</f>
        <v/>
      </c>
      <c r="O798" s="307" t="n"/>
    </row>
    <row r="799" ht="24" customHeight="1">
      <c r="A799" s="306" t="n">
        <v>795</v>
      </c>
      <c r="B799" s="306" t="inlineStr">
        <is>
          <t>شهریور</t>
        </is>
      </c>
      <c r="C799" s="306">
        <f>IF('دانش‌آموزان'!E71="","",'دانش‌آموزان'!B71)</f>
        <v/>
      </c>
      <c r="D799" s="306">
        <f>IF('دانش‌آموزان'!C71="","",'دانش‌آموزان'!C71)</f>
        <v/>
      </c>
      <c r="E799" s="306">
        <f>IF('دانش‌آموزان'!E71="","",'دانش‌آموزان'!E71&amp;" "&amp;'دانش‌آموزان'!F71)</f>
        <v/>
      </c>
      <c r="F799" s="306">
        <f>IF('دانش‌آموزان'!I71="","",'دانش‌آموزان'!I71)</f>
        <v/>
      </c>
      <c r="G799" s="307" t="n"/>
      <c r="H799" s="307" t="n"/>
      <c r="I799" s="307" t="n"/>
      <c r="J799" s="307" t="n"/>
      <c r="K799" s="313">
        <f>IF(COUNT(G799:J799)=0,"",AVERAGE(G799:J799)*4)</f>
        <v/>
      </c>
      <c r="L799" s="306">
        <f>IF(C799="","",IF(COUNT(G799:J799)=0,"",IF(COUNT(G799:J799)&lt;4,"موقت - اطلاعات ناقص",IF(K799&gt;=17,"عالی",IF(K799&gt;=14,"خوب",IF(K799&gt;=10,"متوسط","ضعیف"))))))</f>
        <v/>
      </c>
      <c r="M799" s="306" t="n">
        <v>3</v>
      </c>
      <c r="N799" s="314">
        <f>IF(C799="","",COUNT(G799:J799)/4)</f>
        <v/>
      </c>
      <c r="O799" s="307" t="n"/>
    </row>
    <row r="800" ht="24" customHeight="1">
      <c r="A800" s="306" t="n">
        <v>796</v>
      </c>
      <c r="B800" s="306" t="inlineStr">
        <is>
          <t>مهر</t>
        </is>
      </c>
      <c r="C800" s="306">
        <f>IF('دانش‌آموزان'!E71="","",'دانش‌آموزان'!B71)</f>
        <v/>
      </c>
      <c r="D800" s="306">
        <f>IF('دانش‌آموزان'!C71="","",'دانش‌آموزان'!C71)</f>
        <v/>
      </c>
      <c r="E800" s="306">
        <f>IF('دانش‌آموزان'!E71="","",'دانش‌آموزان'!E71&amp;" "&amp;'دانش‌آموزان'!F71)</f>
        <v/>
      </c>
      <c r="F800" s="306">
        <f>IF('دانش‌آموزان'!I71="","",'دانش‌آموزان'!I71)</f>
        <v/>
      </c>
      <c r="G800" s="307" t="n"/>
      <c r="H800" s="307" t="n"/>
      <c r="I800" s="307" t="n"/>
      <c r="J800" s="307" t="n"/>
      <c r="K800" s="313">
        <f>IF(COUNT(G800:J800)=0,"",AVERAGE(G800:J800)*4)</f>
        <v/>
      </c>
      <c r="L800" s="306">
        <f>IF(C800="","",IF(COUNT(G800:J800)=0,"",IF(COUNT(G800:J800)&lt;4,"موقت - اطلاعات ناقص",IF(K800&gt;=17,"عالی",IF(K800&gt;=14,"خوب",IF(K800&gt;=10,"متوسط","ضعیف"))))))</f>
        <v/>
      </c>
      <c r="M800" s="306" t="n">
        <v>4</v>
      </c>
      <c r="N800" s="314">
        <f>IF(C800="","",COUNT(G800:J800)/4)</f>
        <v/>
      </c>
      <c r="O800" s="307" t="n"/>
    </row>
    <row r="801" ht="24" customHeight="1">
      <c r="A801" s="306" t="n">
        <v>797</v>
      </c>
      <c r="B801" s="306" t="inlineStr">
        <is>
          <t>آبان</t>
        </is>
      </c>
      <c r="C801" s="306">
        <f>IF('دانش‌آموزان'!E71="","",'دانش‌آموزان'!B71)</f>
        <v/>
      </c>
      <c r="D801" s="306">
        <f>IF('دانش‌آموزان'!C71="","",'دانش‌آموزان'!C71)</f>
        <v/>
      </c>
      <c r="E801" s="306">
        <f>IF('دانش‌آموزان'!E71="","",'دانش‌آموزان'!E71&amp;" "&amp;'دانش‌آموزان'!F71)</f>
        <v/>
      </c>
      <c r="F801" s="306">
        <f>IF('دانش‌آموزان'!I71="","",'دانش‌آموزان'!I71)</f>
        <v/>
      </c>
      <c r="G801" s="307" t="n"/>
      <c r="H801" s="307" t="n"/>
      <c r="I801" s="307" t="n"/>
      <c r="J801" s="307" t="n"/>
      <c r="K801" s="313">
        <f>IF(COUNT(G801:J801)=0,"",AVERAGE(G801:J801)*4)</f>
        <v/>
      </c>
      <c r="L801" s="306">
        <f>IF(C801="","",IF(COUNT(G801:J801)=0,"",IF(COUNT(G801:J801)&lt;4,"موقت - اطلاعات ناقص",IF(K801&gt;=17,"عالی",IF(K801&gt;=14,"خوب",IF(K801&gt;=10,"متوسط","ضعیف"))))))</f>
        <v/>
      </c>
      <c r="M801" s="306" t="n">
        <v>5</v>
      </c>
      <c r="N801" s="314">
        <f>IF(C801="","",COUNT(G801:J801)/4)</f>
        <v/>
      </c>
      <c r="O801" s="307" t="n"/>
    </row>
    <row r="802" ht="24" customHeight="1">
      <c r="A802" s="306" t="n">
        <v>798</v>
      </c>
      <c r="B802" s="306" t="inlineStr">
        <is>
          <t>آذر</t>
        </is>
      </c>
      <c r="C802" s="306">
        <f>IF('دانش‌آموزان'!E71="","",'دانش‌آموزان'!B71)</f>
        <v/>
      </c>
      <c r="D802" s="306">
        <f>IF('دانش‌آموزان'!C71="","",'دانش‌آموزان'!C71)</f>
        <v/>
      </c>
      <c r="E802" s="306">
        <f>IF('دانش‌آموزان'!E71="","",'دانش‌آموزان'!E71&amp;" "&amp;'دانش‌آموزان'!F71)</f>
        <v/>
      </c>
      <c r="F802" s="306">
        <f>IF('دانش‌آموزان'!I71="","",'دانش‌آموزان'!I71)</f>
        <v/>
      </c>
      <c r="G802" s="307" t="n"/>
      <c r="H802" s="307" t="n"/>
      <c r="I802" s="307" t="n"/>
      <c r="J802" s="307" t="n"/>
      <c r="K802" s="313">
        <f>IF(COUNT(G802:J802)=0,"",AVERAGE(G802:J802)*4)</f>
        <v/>
      </c>
      <c r="L802" s="306">
        <f>IF(C802="","",IF(COUNT(G802:J802)=0,"",IF(COUNT(G802:J802)&lt;4,"موقت - اطلاعات ناقص",IF(K802&gt;=17,"عالی",IF(K802&gt;=14,"خوب",IF(K802&gt;=10,"متوسط","ضعیف"))))))</f>
        <v/>
      </c>
      <c r="M802" s="306" t="n">
        <v>6</v>
      </c>
      <c r="N802" s="314">
        <f>IF(C802="","",COUNT(G802:J802)/4)</f>
        <v/>
      </c>
      <c r="O802" s="307" t="n"/>
    </row>
    <row r="803" ht="24" customHeight="1">
      <c r="A803" s="306" t="n">
        <v>799</v>
      </c>
      <c r="B803" s="306" t="inlineStr">
        <is>
          <t>دی</t>
        </is>
      </c>
      <c r="C803" s="306">
        <f>IF('دانش‌آموزان'!E71="","",'دانش‌آموزان'!B71)</f>
        <v/>
      </c>
      <c r="D803" s="306">
        <f>IF('دانش‌آموزان'!C71="","",'دانش‌آموزان'!C71)</f>
        <v/>
      </c>
      <c r="E803" s="306">
        <f>IF('دانش‌آموزان'!E71="","",'دانش‌آموزان'!E71&amp;" "&amp;'دانش‌آموزان'!F71)</f>
        <v/>
      </c>
      <c r="F803" s="306">
        <f>IF('دانش‌آموزان'!I71="","",'دانش‌آموزان'!I71)</f>
        <v/>
      </c>
      <c r="G803" s="307" t="n"/>
      <c r="H803" s="307" t="n"/>
      <c r="I803" s="307" t="n"/>
      <c r="J803" s="307" t="n"/>
      <c r="K803" s="313">
        <f>IF(COUNT(G803:J803)=0,"",AVERAGE(G803:J803)*4)</f>
        <v/>
      </c>
      <c r="L803" s="306">
        <f>IF(C803="","",IF(COUNT(G803:J803)=0,"",IF(COUNT(G803:J803)&lt;4,"موقت - اطلاعات ناقص",IF(K803&gt;=17,"عالی",IF(K803&gt;=14,"خوب",IF(K803&gt;=10,"متوسط","ضعیف"))))))</f>
        <v/>
      </c>
      <c r="M803" s="306" t="n">
        <v>7</v>
      </c>
      <c r="N803" s="314">
        <f>IF(C803="","",COUNT(G803:J803)/4)</f>
        <v/>
      </c>
      <c r="O803" s="307" t="n"/>
    </row>
    <row r="804" ht="24" customHeight="1">
      <c r="A804" s="306" t="n">
        <v>800</v>
      </c>
      <c r="B804" s="306" t="inlineStr">
        <is>
          <t>بهمن</t>
        </is>
      </c>
      <c r="C804" s="306">
        <f>IF('دانش‌آموزان'!E71="","",'دانش‌آموزان'!B71)</f>
        <v/>
      </c>
      <c r="D804" s="306">
        <f>IF('دانش‌آموزان'!C71="","",'دانش‌آموزان'!C71)</f>
        <v/>
      </c>
      <c r="E804" s="306">
        <f>IF('دانش‌آموزان'!E71="","",'دانش‌آموزان'!E71&amp;" "&amp;'دانش‌آموزان'!F71)</f>
        <v/>
      </c>
      <c r="F804" s="306">
        <f>IF('دانش‌آموزان'!I71="","",'دانش‌آموزان'!I71)</f>
        <v/>
      </c>
      <c r="G804" s="307" t="n"/>
      <c r="H804" s="307" t="n"/>
      <c r="I804" s="307" t="n"/>
      <c r="J804" s="307" t="n"/>
      <c r="K804" s="313">
        <f>IF(COUNT(G804:J804)=0,"",AVERAGE(G804:J804)*4)</f>
        <v/>
      </c>
      <c r="L804" s="306">
        <f>IF(C804="","",IF(COUNT(G804:J804)=0,"",IF(COUNT(G804:J804)&lt;4,"موقت - اطلاعات ناقص",IF(K804&gt;=17,"عالی",IF(K804&gt;=14,"خوب",IF(K804&gt;=10,"متوسط","ضعیف"))))))</f>
        <v/>
      </c>
      <c r="M804" s="306" t="n">
        <v>8</v>
      </c>
      <c r="N804" s="314">
        <f>IF(C804="","",COUNT(G804:J804)/4)</f>
        <v/>
      </c>
      <c r="O804" s="307" t="n"/>
    </row>
    <row r="805" ht="24" customHeight="1">
      <c r="A805" s="306" t="n">
        <v>801</v>
      </c>
      <c r="B805" s="306" t="inlineStr">
        <is>
          <t>اسفند</t>
        </is>
      </c>
      <c r="C805" s="306">
        <f>IF('دانش‌آموزان'!E71="","",'دانش‌آموزان'!B71)</f>
        <v/>
      </c>
      <c r="D805" s="306">
        <f>IF('دانش‌آموزان'!C71="","",'دانش‌آموزان'!C71)</f>
        <v/>
      </c>
      <c r="E805" s="306">
        <f>IF('دانش‌آموزان'!E71="","",'دانش‌آموزان'!E71&amp;" "&amp;'دانش‌آموزان'!F71)</f>
        <v/>
      </c>
      <c r="F805" s="306">
        <f>IF('دانش‌آموزان'!I71="","",'دانش‌آموزان'!I71)</f>
        <v/>
      </c>
      <c r="G805" s="307" t="n"/>
      <c r="H805" s="307" t="n"/>
      <c r="I805" s="307" t="n"/>
      <c r="J805" s="307" t="n"/>
      <c r="K805" s="313">
        <f>IF(COUNT(G805:J805)=0,"",AVERAGE(G805:J805)*4)</f>
        <v/>
      </c>
      <c r="L805" s="306">
        <f>IF(C805="","",IF(COUNT(G805:J805)=0,"",IF(COUNT(G805:J805)&lt;4,"موقت - اطلاعات ناقص",IF(K805&gt;=17,"عالی",IF(K805&gt;=14,"خوب",IF(K805&gt;=10,"متوسط","ضعیف"))))))</f>
        <v/>
      </c>
      <c r="M805" s="306" t="n">
        <v>9</v>
      </c>
      <c r="N805" s="314">
        <f>IF(C805="","",COUNT(G805:J805)/4)</f>
        <v/>
      </c>
      <c r="O805" s="307" t="n"/>
    </row>
    <row r="806" ht="24" customHeight="1">
      <c r="A806" s="306" t="n">
        <v>802</v>
      </c>
      <c r="B806" s="306" t="inlineStr">
        <is>
          <t>فروردین</t>
        </is>
      </c>
      <c r="C806" s="306">
        <f>IF('دانش‌آموزان'!E71="","",'دانش‌آموزان'!B71)</f>
        <v/>
      </c>
      <c r="D806" s="306">
        <f>IF('دانش‌آموزان'!C71="","",'دانش‌آموزان'!C71)</f>
        <v/>
      </c>
      <c r="E806" s="306">
        <f>IF('دانش‌آموزان'!E71="","",'دانش‌آموزان'!E71&amp;" "&amp;'دانش‌آموزان'!F71)</f>
        <v/>
      </c>
      <c r="F806" s="306">
        <f>IF('دانش‌آموزان'!I71="","",'دانش‌آموزان'!I71)</f>
        <v/>
      </c>
      <c r="G806" s="307" t="n"/>
      <c r="H806" s="307" t="n"/>
      <c r="I806" s="307" t="n"/>
      <c r="J806" s="307" t="n"/>
      <c r="K806" s="313">
        <f>IF(COUNT(G806:J806)=0,"",AVERAGE(G806:J806)*4)</f>
        <v/>
      </c>
      <c r="L806" s="306">
        <f>IF(C806="","",IF(COUNT(G806:J806)=0,"",IF(COUNT(G806:J806)&lt;4,"موقت - اطلاعات ناقص",IF(K806&gt;=17,"عالی",IF(K806&gt;=14,"خوب",IF(K806&gt;=10,"متوسط","ضعیف"))))))</f>
        <v/>
      </c>
      <c r="M806" s="306" t="n">
        <v>10</v>
      </c>
      <c r="N806" s="314">
        <f>IF(C806="","",COUNT(G806:J806)/4)</f>
        <v/>
      </c>
      <c r="O806" s="307" t="n"/>
    </row>
    <row r="807" ht="24" customHeight="1">
      <c r="A807" s="306" t="n">
        <v>803</v>
      </c>
      <c r="B807" s="306" t="inlineStr">
        <is>
          <t>اردیبهشت</t>
        </is>
      </c>
      <c r="C807" s="306">
        <f>IF('دانش‌آموزان'!E71="","",'دانش‌آموزان'!B71)</f>
        <v/>
      </c>
      <c r="D807" s="306">
        <f>IF('دانش‌آموزان'!C71="","",'دانش‌آموزان'!C71)</f>
        <v/>
      </c>
      <c r="E807" s="306">
        <f>IF('دانش‌آموزان'!E71="","",'دانش‌آموزان'!E71&amp;" "&amp;'دانش‌آموزان'!F71)</f>
        <v/>
      </c>
      <c r="F807" s="306">
        <f>IF('دانش‌آموزان'!I71="","",'دانش‌آموزان'!I71)</f>
        <v/>
      </c>
      <c r="G807" s="307" t="n"/>
      <c r="H807" s="307" t="n"/>
      <c r="I807" s="307" t="n"/>
      <c r="J807" s="307" t="n"/>
      <c r="K807" s="313">
        <f>IF(COUNT(G807:J807)=0,"",AVERAGE(G807:J807)*4)</f>
        <v/>
      </c>
      <c r="L807" s="306">
        <f>IF(C807="","",IF(COUNT(G807:J807)=0,"",IF(COUNT(G807:J807)&lt;4,"موقت - اطلاعات ناقص",IF(K807&gt;=17,"عالی",IF(K807&gt;=14,"خوب",IF(K807&gt;=10,"متوسط","ضعیف"))))))</f>
        <v/>
      </c>
      <c r="M807" s="306" t="n">
        <v>11</v>
      </c>
      <c r="N807" s="314">
        <f>IF(C807="","",COUNT(G807:J807)/4)</f>
        <v/>
      </c>
      <c r="O807" s="307" t="n"/>
    </row>
    <row r="808" ht="24" customHeight="1">
      <c r="A808" s="306" t="n">
        <v>804</v>
      </c>
      <c r="B808" s="306" t="inlineStr">
        <is>
          <t>خرداد</t>
        </is>
      </c>
      <c r="C808" s="306">
        <f>IF('دانش‌آموزان'!E71="","",'دانش‌آموزان'!B71)</f>
        <v/>
      </c>
      <c r="D808" s="306">
        <f>IF('دانش‌آموزان'!C71="","",'دانش‌آموزان'!C71)</f>
        <v/>
      </c>
      <c r="E808" s="306">
        <f>IF('دانش‌آموزان'!E71="","",'دانش‌آموزان'!E71&amp;" "&amp;'دانش‌آموزان'!F71)</f>
        <v/>
      </c>
      <c r="F808" s="306">
        <f>IF('دانش‌آموزان'!I71="","",'دانش‌آموزان'!I71)</f>
        <v/>
      </c>
      <c r="G808" s="307" t="n"/>
      <c r="H808" s="307" t="n"/>
      <c r="I808" s="307" t="n"/>
      <c r="J808" s="307" t="n"/>
      <c r="K808" s="313">
        <f>IF(COUNT(G808:J808)=0,"",AVERAGE(G808:J808)*4)</f>
        <v/>
      </c>
      <c r="L808" s="306">
        <f>IF(C808="","",IF(COUNT(G808:J808)=0,"",IF(COUNT(G808:J808)&lt;4,"موقت - اطلاعات ناقص",IF(K808&gt;=17,"عالی",IF(K808&gt;=14,"خوب",IF(K808&gt;=10,"متوسط","ضعیف"))))))</f>
        <v/>
      </c>
      <c r="M808" s="306" t="n">
        <v>12</v>
      </c>
      <c r="N808" s="314">
        <f>IF(C808="","",COUNT(G808:J808)/4)</f>
        <v/>
      </c>
      <c r="O808" s="307" t="n"/>
    </row>
    <row r="809" ht="24" customHeight="1">
      <c r="A809" s="306" t="n">
        <v>805</v>
      </c>
      <c r="B809" s="306" t="inlineStr">
        <is>
          <t>تیر</t>
        </is>
      </c>
      <c r="C809" s="306">
        <f>IF('دانش‌آموزان'!E72="","",'دانش‌آموزان'!B72)</f>
        <v/>
      </c>
      <c r="D809" s="306">
        <f>IF('دانش‌آموزان'!C72="","",'دانش‌آموزان'!C72)</f>
        <v/>
      </c>
      <c r="E809" s="306">
        <f>IF('دانش‌آموزان'!E72="","",'دانش‌آموزان'!E72&amp;" "&amp;'دانش‌آموزان'!F72)</f>
        <v/>
      </c>
      <c r="F809" s="306">
        <f>IF('دانش‌آموزان'!I72="","",'دانش‌آموزان'!I72)</f>
        <v/>
      </c>
      <c r="G809" s="307" t="n"/>
      <c r="H809" s="307" t="n"/>
      <c r="I809" s="307" t="n"/>
      <c r="J809" s="307" t="n"/>
      <c r="K809" s="313">
        <f>IF(COUNT(G809:J809)=0,"",AVERAGE(G809:J809)*4)</f>
        <v/>
      </c>
      <c r="L809" s="306">
        <f>IF(C809="","",IF(COUNT(G809:J809)=0,"",IF(COUNT(G809:J809)&lt;4,"موقت - اطلاعات ناقص",IF(K809&gt;=17,"عالی",IF(K809&gt;=14,"خوب",IF(K809&gt;=10,"متوسط","ضعیف"))))))</f>
        <v/>
      </c>
      <c r="M809" s="306" t="n">
        <v>1</v>
      </c>
      <c r="N809" s="314">
        <f>IF(C809="","",COUNT(G809:J809)/4)</f>
        <v/>
      </c>
      <c r="O809" s="307" t="n"/>
    </row>
    <row r="810" ht="24" customHeight="1">
      <c r="A810" s="306" t="n">
        <v>806</v>
      </c>
      <c r="B810" s="306" t="inlineStr">
        <is>
          <t>مرداد</t>
        </is>
      </c>
      <c r="C810" s="306">
        <f>IF('دانش‌آموزان'!E72="","",'دانش‌آموزان'!B72)</f>
        <v/>
      </c>
      <c r="D810" s="306">
        <f>IF('دانش‌آموزان'!C72="","",'دانش‌آموزان'!C72)</f>
        <v/>
      </c>
      <c r="E810" s="306">
        <f>IF('دانش‌آموزان'!E72="","",'دانش‌آموزان'!E72&amp;" "&amp;'دانش‌آموزان'!F72)</f>
        <v/>
      </c>
      <c r="F810" s="306">
        <f>IF('دانش‌آموزان'!I72="","",'دانش‌آموزان'!I72)</f>
        <v/>
      </c>
      <c r="G810" s="307" t="n"/>
      <c r="H810" s="307" t="n"/>
      <c r="I810" s="307" t="n"/>
      <c r="J810" s="307" t="n"/>
      <c r="K810" s="313">
        <f>IF(COUNT(G810:J810)=0,"",AVERAGE(G810:J810)*4)</f>
        <v/>
      </c>
      <c r="L810" s="306">
        <f>IF(C810="","",IF(COUNT(G810:J810)=0,"",IF(COUNT(G810:J810)&lt;4,"موقت - اطلاعات ناقص",IF(K810&gt;=17,"عالی",IF(K810&gt;=14,"خوب",IF(K810&gt;=10,"متوسط","ضعیف"))))))</f>
        <v/>
      </c>
      <c r="M810" s="306" t="n">
        <v>2</v>
      </c>
      <c r="N810" s="314">
        <f>IF(C810="","",COUNT(G810:J810)/4)</f>
        <v/>
      </c>
      <c r="O810" s="307" t="n"/>
    </row>
    <row r="811" ht="24" customHeight="1">
      <c r="A811" s="306" t="n">
        <v>807</v>
      </c>
      <c r="B811" s="306" t="inlineStr">
        <is>
          <t>شهریور</t>
        </is>
      </c>
      <c r="C811" s="306">
        <f>IF('دانش‌آموزان'!E72="","",'دانش‌آموزان'!B72)</f>
        <v/>
      </c>
      <c r="D811" s="306">
        <f>IF('دانش‌آموزان'!C72="","",'دانش‌آموزان'!C72)</f>
        <v/>
      </c>
      <c r="E811" s="306">
        <f>IF('دانش‌آموزان'!E72="","",'دانش‌آموزان'!E72&amp;" "&amp;'دانش‌آموزان'!F72)</f>
        <v/>
      </c>
      <c r="F811" s="306">
        <f>IF('دانش‌آموزان'!I72="","",'دانش‌آموزان'!I72)</f>
        <v/>
      </c>
      <c r="G811" s="307" t="n"/>
      <c r="H811" s="307" t="n"/>
      <c r="I811" s="307" t="n"/>
      <c r="J811" s="307" t="n"/>
      <c r="K811" s="313">
        <f>IF(COUNT(G811:J811)=0,"",AVERAGE(G811:J811)*4)</f>
        <v/>
      </c>
      <c r="L811" s="306">
        <f>IF(C811="","",IF(COUNT(G811:J811)=0,"",IF(COUNT(G811:J811)&lt;4,"موقت - اطلاعات ناقص",IF(K811&gt;=17,"عالی",IF(K811&gt;=14,"خوب",IF(K811&gt;=10,"متوسط","ضعیف"))))))</f>
        <v/>
      </c>
      <c r="M811" s="306" t="n">
        <v>3</v>
      </c>
      <c r="N811" s="314">
        <f>IF(C811="","",COUNT(G811:J811)/4)</f>
        <v/>
      </c>
      <c r="O811" s="307" t="n"/>
    </row>
    <row r="812" ht="24" customHeight="1">
      <c r="A812" s="306" t="n">
        <v>808</v>
      </c>
      <c r="B812" s="306" t="inlineStr">
        <is>
          <t>مهر</t>
        </is>
      </c>
      <c r="C812" s="306">
        <f>IF('دانش‌آموزان'!E72="","",'دانش‌آموزان'!B72)</f>
        <v/>
      </c>
      <c r="D812" s="306">
        <f>IF('دانش‌آموزان'!C72="","",'دانش‌آموزان'!C72)</f>
        <v/>
      </c>
      <c r="E812" s="306">
        <f>IF('دانش‌آموزان'!E72="","",'دانش‌آموزان'!E72&amp;" "&amp;'دانش‌آموزان'!F72)</f>
        <v/>
      </c>
      <c r="F812" s="306">
        <f>IF('دانش‌آموزان'!I72="","",'دانش‌آموزان'!I72)</f>
        <v/>
      </c>
      <c r="G812" s="307" t="n"/>
      <c r="H812" s="307" t="n"/>
      <c r="I812" s="307" t="n"/>
      <c r="J812" s="307" t="n"/>
      <c r="K812" s="313">
        <f>IF(COUNT(G812:J812)=0,"",AVERAGE(G812:J812)*4)</f>
        <v/>
      </c>
      <c r="L812" s="306">
        <f>IF(C812="","",IF(COUNT(G812:J812)=0,"",IF(COUNT(G812:J812)&lt;4,"موقت - اطلاعات ناقص",IF(K812&gt;=17,"عالی",IF(K812&gt;=14,"خوب",IF(K812&gt;=10,"متوسط","ضعیف"))))))</f>
        <v/>
      </c>
      <c r="M812" s="306" t="n">
        <v>4</v>
      </c>
      <c r="N812" s="314">
        <f>IF(C812="","",COUNT(G812:J812)/4)</f>
        <v/>
      </c>
      <c r="O812" s="307" t="n"/>
    </row>
    <row r="813" ht="24" customHeight="1">
      <c r="A813" s="306" t="n">
        <v>809</v>
      </c>
      <c r="B813" s="306" t="inlineStr">
        <is>
          <t>آبان</t>
        </is>
      </c>
      <c r="C813" s="306">
        <f>IF('دانش‌آموزان'!E72="","",'دانش‌آموزان'!B72)</f>
        <v/>
      </c>
      <c r="D813" s="306">
        <f>IF('دانش‌آموزان'!C72="","",'دانش‌آموزان'!C72)</f>
        <v/>
      </c>
      <c r="E813" s="306">
        <f>IF('دانش‌آموزان'!E72="","",'دانش‌آموزان'!E72&amp;" "&amp;'دانش‌آموزان'!F72)</f>
        <v/>
      </c>
      <c r="F813" s="306">
        <f>IF('دانش‌آموزان'!I72="","",'دانش‌آموزان'!I72)</f>
        <v/>
      </c>
      <c r="G813" s="307" t="n"/>
      <c r="H813" s="307" t="n"/>
      <c r="I813" s="307" t="n"/>
      <c r="J813" s="307" t="n"/>
      <c r="K813" s="313">
        <f>IF(COUNT(G813:J813)=0,"",AVERAGE(G813:J813)*4)</f>
        <v/>
      </c>
      <c r="L813" s="306">
        <f>IF(C813="","",IF(COUNT(G813:J813)=0,"",IF(COUNT(G813:J813)&lt;4,"موقت - اطلاعات ناقص",IF(K813&gt;=17,"عالی",IF(K813&gt;=14,"خوب",IF(K813&gt;=10,"متوسط","ضعیف"))))))</f>
        <v/>
      </c>
      <c r="M813" s="306" t="n">
        <v>5</v>
      </c>
      <c r="N813" s="314">
        <f>IF(C813="","",COUNT(G813:J813)/4)</f>
        <v/>
      </c>
      <c r="O813" s="307" t="n"/>
    </row>
    <row r="814" ht="24" customHeight="1">
      <c r="A814" s="306" t="n">
        <v>810</v>
      </c>
      <c r="B814" s="306" t="inlineStr">
        <is>
          <t>آذر</t>
        </is>
      </c>
      <c r="C814" s="306">
        <f>IF('دانش‌آموزان'!E72="","",'دانش‌آموزان'!B72)</f>
        <v/>
      </c>
      <c r="D814" s="306">
        <f>IF('دانش‌آموزان'!C72="","",'دانش‌آموزان'!C72)</f>
        <v/>
      </c>
      <c r="E814" s="306">
        <f>IF('دانش‌آموزان'!E72="","",'دانش‌آموزان'!E72&amp;" "&amp;'دانش‌آموزان'!F72)</f>
        <v/>
      </c>
      <c r="F814" s="306">
        <f>IF('دانش‌آموزان'!I72="","",'دانش‌آموزان'!I72)</f>
        <v/>
      </c>
      <c r="G814" s="307" t="n"/>
      <c r="H814" s="307" t="n"/>
      <c r="I814" s="307" t="n"/>
      <c r="J814" s="307" t="n"/>
      <c r="K814" s="313">
        <f>IF(COUNT(G814:J814)=0,"",AVERAGE(G814:J814)*4)</f>
        <v/>
      </c>
      <c r="L814" s="306">
        <f>IF(C814="","",IF(COUNT(G814:J814)=0,"",IF(COUNT(G814:J814)&lt;4,"موقت - اطلاعات ناقص",IF(K814&gt;=17,"عالی",IF(K814&gt;=14,"خوب",IF(K814&gt;=10,"متوسط","ضعیف"))))))</f>
        <v/>
      </c>
      <c r="M814" s="306" t="n">
        <v>6</v>
      </c>
      <c r="N814" s="314">
        <f>IF(C814="","",COUNT(G814:J814)/4)</f>
        <v/>
      </c>
      <c r="O814" s="307" t="n"/>
    </row>
    <row r="815" ht="24" customHeight="1">
      <c r="A815" s="306" t="n">
        <v>811</v>
      </c>
      <c r="B815" s="306" t="inlineStr">
        <is>
          <t>دی</t>
        </is>
      </c>
      <c r="C815" s="306">
        <f>IF('دانش‌آموزان'!E72="","",'دانش‌آموزان'!B72)</f>
        <v/>
      </c>
      <c r="D815" s="306">
        <f>IF('دانش‌آموزان'!C72="","",'دانش‌آموزان'!C72)</f>
        <v/>
      </c>
      <c r="E815" s="306">
        <f>IF('دانش‌آموزان'!E72="","",'دانش‌آموزان'!E72&amp;" "&amp;'دانش‌آموزان'!F72)</f>
        <v/>
      </c>
      <c r="F815" s="306">
        <f>IF('دانش‌آموزان'!I72="","",'دانش‌آموزان'!I72)</f>
        <v/>
      </c>
      <c r="G815" s="307" t="n"/>
      <c r="H815" s="307" t="n"/>
      <c r="I815" s="307" t="n"/>
      <c r="J815" s="307" t="n"/>
      <c r="K815" s="313">
        <f>IF(COUNT(G815:J815)=0,"",AVERAGE(G815:J815)*4)</f>
        <v/>
      </c>
      <c r="L815" s="306">
        <f>IF(C815="","",IF(COUNT(G815:J815)=0,"",IF(COUNT(G815:J815)&lt;4,"موقت - اطلاعات ناقص",IF(K815&gt;=17,"عالی",IF(K815&gt;=14,"خوب",IF(K815&gt;=10,"متوسط","ضعیف"))))))</f>
        <v/>
      </c>
      <c r="M815" s="306" t="n">
        <v>7</v>
      </c>
      <c r="N815" s="314">
        <f>IF(C815="","",COUNT(G815:J815)/4)</f>
        <v/>
      </c>
      <c r="O815" s="307" t="n"/>
    </row>
    <row r="816" ht="24" customHeight="1">
      <c r="A816" s="306" t="n">
        <v>812</v>
      </c>
      <c r="B816" s="306" t="inlineStr">
        <is>
          <t>بهمن</t>
        </is>
      </c>
      <c r="C816" s="306">
        <f>IF('دانش‌آموزان'!E72="","",'دانش‌آموزان'!B72)</f>
        <v/>
      </c>
      <c r="D816" s="306">
        <f>IF('دانش‌آموزان'!C72="","",'دانش‌آموزان'!C72)</f>
        <v/>
      </c>
      <c r="E816" s="306">
        <f>IF('دانش‌آموزان'!E72="","",'دانش‌آموزان'!E72&amp;" "&amp;'دانش‌آموزان'!F72)</f>
        <v/>
      </c>
      <c r="F816" s="306">
        <f>IF('دانش‌آموزان'!I72="","",'دانش‌آموزان'!I72)</f>
        <v/>
      </c>
      <c r="G816" s="307" t="n"/>
      <c r="H816" s="307" t="n"/>
      <c r="I816" s="307" t="n"/>
      <c r="J816" s="307" t="n"/>
      <c r="K816" s="313">
        <f>IF(COUNT(G816:J816)=0,"",AVERAGE(G816:J816)*4)</f>
        <v/>
      </c>
      <c r="L816" s="306">
        <f>IF(C816="","",IF(COUNT(G816:J816)=0,"",IF(COUNT(G816:J816)&lt;4,"موقت - اطلاعات ناقص",IF(K816&gt;=17,"عالی",IF(K816&gt;=14,"خوب",IF(K816&gt;=10,"متوسط","ضعیف"))))))</f>
        <v/>
      </c>
      <c r="M816" s="306" t="n">
        <v>8</v>
      </c>
      <c r="N816" s="314">
        <f>IF(C816="","",COUNT(G816:J816)/4)</f>
        <v/>
      </c>
      <c r="O816" s="307" t="n"/>
    </row>
    <row r="817" ht="24" customHeight="1">
      <c r="A817" s="306" t="n">
        <v>813</v>
      </c>
      <c r="B817" s="306" t="inlineStr">
        <is>
          <t>اسفند</t>
        </is>
      </c>
      <c r="C817" s="306">
        <f>IF('دانش‌آموزان'!E72="","",'دانش‌آموزان'!B72)</f>
        <v/>
      </c>
      <c r="D817" s="306">
        <f>IF('دانش‌آموزان'!C72="","",'دانش‌آموزان'!C72)</f>
        <v/>
      </c>
      <c r="E817" s="306">
        <f>IF('دانش‌آموزان'!E72="","",'دانش‌آموزان'!E72&amp;" "&amp;'دانش‌آموزان'!F72)</f>
        <v/>
      </c>
      <c r="F817" s="306">
        <f>IF('دانش‌آموزان'!I72="","",'دانش‌آموزان'!I72)</f>
        <v/>
      </c>
      <c r="G817" s="307" t="n"/>
      <c r="H817" s="307" t="n"/>
      <c r="I817" s="307" t="n"/>
      <c r="J817" s="307" t="n"/>
      <c r="K817" s="313">
        <f>IF(COUNT(G817:J817)=0,"",AVERAGE(G817:J817)*4)</f>
        <v/>
      </c>
      <c r="L817" s="306">
        <f>IF(C817="","",IF(COUNT(G817:J817)=0,"",IF(COUNT(G817:J817)&lt;4,"موقت - اطلاعات ناقص",IF(K817&gt;=17,"عالی",IF(K817&gt;=14,"خوب",IF(K817&gt;=10,"متوسط","ضعیف"))))))</f>
        <v/>
      </c>
      <c r="M817" s="306" t="n">
        <v>9</v>
      </c>
      <c r="N817" s="314">
        <f>IF(C817="","",COUNT(G817:J817)/4)</f>
        <v/>
      </c>
      <c r="O817" s="307" t="n"/>
    </row>
    <row r="818" ht="24" customHeight="1">
      <c r="A818" s="306" t="n">
        <v>814</v>
      </c>
      <c r="B818" s="306" t="inlineStr">
        <is>
          <t>فروردین</t>
        </is>
      </c>
      <c r="C818" s="306">
        <f>IF('دانش‌آموزان'!E72="","",'دانش‌آموزان'!B72)</f>
        <v/>
      </c>
      <c r="D818" s="306">
        <f>IF('دانش‌آموزان'!C72="","",'دانش‌آموزان'!C72)</f>
        <v/>
      </c>
      <c r="E818" s="306">
        <f>IF('دانش‌آموزان'!E72="","",'دانش‌آموزان'!E72&amp;" "&amp;'دانش‌آموزان'!F72)</f>
        <v/>
      </c>
      <c r="F818" s="306">
        <f>IF('دانش‌آموزان'!I72="","",'دانش‌آموزان'!I72)</f>
        <v/>
      </c>
      <c r="G818" s="307" t="n"/>
      <c r="H818" s="307" t="n"/>
      <c r="I818" s="307" t="n"/>
      <c r="J818" s="307" t="n"/>
      <c r="K818" s="313">
        <f>IF(COUNT(G818:J818)=0,"",AVERAGE(G818:J818)*4)</f>
        <v/>
      </c>
      <c r="L818" s="306">
        <f>IF(C818="","",IF(COUNT(G818:J818)=0,"",IF(COUNT(G818:J818)&lt;4,"موقت - اطلاعات ناقص",IF(K818&gt;=17,"عالی",IF(K818&gt;=14,"خوب",IF(K818&gt;=10,"متوسط","ضعیف"))))))</f>
        <v/>
      </c>
      <c r="M818" s="306" t="n">
        <v>10</v>
      </c>
      <c r="N818" s="314">
        <f>IF(C818="","",COUNT(G818:J818)/4)</f>
        <v/>
      </c>
      <c r="O818" s="307" t="n"/>
    </row>
    <row r="819" ht="24" customHeight="1">
      <c r="A819" s="306" t="n">
        <v>815</v>
      </c>
      <c r="B819" s="306" t="inlineStr">
        <is>
          <t>اردیبهشت</t>
        </is>
      </c>
      <c r="C819" s="306">
        <f>IF('دانش‌آموزان'!E72="","",'دانش‌آموزان'!B72)</f>
        <v/>
      </c>
      <c r="D819" s="306">
        <f>IF('دانش‌آموزان'!C72="","",'دانش‌آموزان'!C72)</f>
        <v/>
      </c>
      <c r="E819" s="306">
        <f>IF('دانش‌آموزان'!E72="","",'دانش‌آموزان'!E72&amp;" "&amp;'دانش‌آموزان'!F72)</f>
        <v/>
      </c>
      <c r="F819" s="306">
        <f>IF('دانش‌آموزان'!I72="","",'دانش‌آموزان'!I72)</f>
        <v/>
      </c>
      <c r="G819" s="307" t="n"/>
      <c r="H819" s="307" t="n"/>
      <c r="I819" s="307" t="n"/>
      <c r="J819" s="307" t="n"/>
      <c r="K819" s="313">
        <f>IF(COUNT(G819:J819)=0,"",AVERAGE(G819:J819)*4)</f>
        <v/>
      </c>
      <c r="L819" s="306">
        <f>IF(C819="","",IF(COUNT(G819:J819)=0,"",IF(COUNT(G819:J819)&lt;4,"موقت - اطلاعات ناقص",IF(K819&gt;=17,"عالی",IF(K819&gt;=14,"خوب",IF(K819&gt;=10,"متوسط","ضعیف"))))))</f>
        <v/>
      </c>
      <c r="M819" s="306" t="n">
        <v>11</v>
      </c>
      <c r="N819" s="314">
        <f>IF(C819="","",COUNT(G819:J819)/4)</f>
        <v/>
      </c>
      <c r="O819" s="307" t="n"/>
    </row>
    <row r="820" ht="24" customHeight="1">
      <c r="A820" s="306" t="n">
        <v>816</v>
      </c>
      <c r="B820" s="306" t="inlineStr">
        <is>
          <t>خرداد</t>
        </is>
      </c>
      <c r="C820" s="306">
        <f>IF('دانش‌آموزان'!E72="","",'دانش‌آموزان'!B72)</f>
        <v/>
      </c>
      <c r="D820" s="306">
        <f>IF('دانش‌آموزان'!C72="","",'دانش‌آموزان'!C72)</f>
        <v/>
      </c>
      <c r="E820" s="306">
        <f>IF('دانش‌آموزان'!E72="","",'دانش‌آموزان'!E72&amp;" "&amp;'دانش‌آموزان'!F72)</f>
        <v/>
      </c>
      <c r="F820" s="306">
        <f>IF('دانش‌آموزان'!I72="","",'دانش‌آموزان'!I72)</f>
        <v/>
      </c>
      <c r="G820" s="307" t="n"/>
      <c r="H820" s="307" t="n"/>
      <c r="I820" s="307" t="n"/>
      <c r="J820" s="307" t="n"/>
      <c r="K820" s="313">
        <f>IF(COUNT(G820:J820)=0,"",AVERAGE(G820:J820)*4)</f>
        <v/>
      </c>
      <c r="L820" s="306">
        <f>IF(C820="","",IF(COUNT(G820:J820)=0,"",IF(COUNT(G820:J820)&lt;4,"موقت - اطلاعات ناقص",IF(K820&gt;=17,"عالی",IF(K820&gt;=14,"خوب",IF(K820&gt;=10,"متوسط","ضعیف"))))))</f>
        <v/>
      </c>
      <c r="M820" s="306" t="n">
        <v>12</v>
      </c>
      <c r="N820" s="314">
        <f>IF(C820="","",COUNT(G820:J820)/4)</f>
        <v/>
      </c>
      <c r="O820" s="307" t="n"/>
    </row>
    <row r="821" ht="24" customHeight="1">
      <c r="A821" s="306" t="n">
        <v>817</v>
      </c>
      <c r="B821" s="306" t="inlineStr">
        <is>
          <t>تیر</t>
        </is>
      </c>
      <c r="C821" s="306">
        <f>IF('دانش‌آموزان'!E73="","",'دانش‌آموزان'!B73)</f>
        <v/>
      </c>
      <c r="D821" s="306">
        <f>IF('دانش‌آموزان'!C73="","",'دانش‌آموزان'!C73)</f>
        <v/>
      </c>
      <c r="E821" s="306">
        <f>IF('دانش‌آموزان'!E73="","",'دانش‌آموزان'!E73&amp;" "&amp;'دانش‌آموزان'!F73)</f>
        <v/>
      </c>
      <c r="F821" s="306">
        <f>IF('دانش‌آموزان'!I73="","",'دانش‌آموزان'!I73)</f>
        <v/>
      </c>
      <c r="G821" s="307" t="n"/>
      <c r="H821" s="307" t="n"/>
      <c r="I821" s="307" t="n"/>
      <c r="J821" s="307" t="n"/>
      <c r="K821" s="313">
        <f>IF(COUNT(G821:J821)=0,"",AVERAGE(G821:J821)*4)</f>
        <v/>
      </c>
      <c r="L821" s="306">
        <f>IF(C821="","",IF(COUNT(G821:J821)=0,"",IF(COUNT(G821:J821)&lt;4,"موقت - اطلاعات ناقص",IF(K821&gt;=17,"عالی",IF(K821&gt;=14,"خوب",IF(K821&gt;=10,"متوسط","ضعیف"))))))</f>
        <v/>
      </c>
      <c r="M821" s="306" t="n">
        <v>1</v>
      </c>
      <c r="N821" s="314">
        <f>IF(C821="","",COUNT(G821:J821)/4)</f>
        <v/>
      </c>
      <c r="O821" s="307" t="n"/>
    </row>
    <row r="822" ht="24" customHeight="1">
      <c r="A822" s="306" t="n">
        <v>818</v>
      </c>
      <c r="B822" s="306" t="inlineStr">
        <is>
          <t>مرداد</t>
        </is>
      </c>
      <c r="C822" s="306">
        <f>IF('دانش‌آموزان'!E73="","",'دانش‌آموزان'!B73)</f>
        <v/>
      </c>
      <c r="D822" s="306">
        <f>IF('دانش‌آموزان'!C73="","",'دانش‌آموزان'!C73)</f>
        <v/>
      </c>
      <c r="E822" s="306">
        <f>IF('دانش‌آموزان'!E73="","",'دانش‌آموزان'!E73&amp;" "&amp;'دانش‌آموزان'!F73)</f>
        <v/>
      </c>
      <c r="F822" s="306">
        <f>IF('دانش‌آموزان'!I73="","",'دانش‌آموزان'!I73)</f>
        <v/>
      </c>
      <c r="G822" s="307" t="n"/>
      <c r="H822" s="307" t="n"/>
      <c r="I822" s="307" t="n"/>
      <c r="J822" s="307" t="n"/>
      <c r="K822" s="313">
        <f>IF(COUNT(G822:J822)=0,"",AVERAGE(G822:J822)*4)</f>
        <v/>
      </c>
      <c r="L822" s="306">
        <f>IF(C822="","",IF(COUNT(G822:J822)=0,"",IF(COUNT(G822:J822)&lt;4,"موقت - اطلاعات ناقص",IF(K822&gt;=17,"عالی",IF(K822&gt;=14,"خوب",IF(K822&gt;=10,"متوسط","ضعیف"))))))</f>
        <v/>
      </c>
      <c r="M822" s="306" t="n">
        <v>2</v>
      </c>
      <c r="N822" s="314">
        <f>IF(C822="","",COUNT(G822:J822)/4)</f>
        <v/>
      </c>
      <c r="O822" s="307" t="n"/>
    </row>
    <row r="823" ht="24" customHeight="1">
      <c r="A823" s="306" t="n">
        <v>819</v>
      </c>
      <c r="B823" s="306" t="inlineStr">
        <is>
          <t>شهریور</t>
        </is>
      </c>
      <c r="C823" s="306">
        <f>IF('دانش‌آموزان'!E73="","",'دانش‌آموزان'!B73)</f>
        <v/>
      </c>
      <c r="D823" s="306">
        <f>IF('دانش‌آموزان'!C73="","",'دانش‌آموزان'!C73)</f>
        <v/>
      </c>
      <c r="E823" s="306">
        <f>IF('دانش‌آموزان'!E73="","",'دانش‌آموزان'!E73&amp;" "&amp;'دانش‌آموزان'!F73)</f>
        <v/>
      </c>
      <c r="F823" s="306">
        <f>IF('دانش‌آموزان'!I73="","",'دانش‌آموزان'!I73)</f>
        <v/>
      </c>
      <c r="G823" s="307" t="n"/>
      <c r="H823" s="307" t="n"/>
      <c r="I823" s="307" t="n"/>
      <c r="J823" s="307" t="n"/>
      <c r="K823" s="313">
        <f>IF(COUNT(G823:J823)=0,"",AVERAGE(G823:J823)*4)</f>
        <v/>
      </c>
      <c r="L823" s="306">
        <f>IF(C823="","",IF(COUNT(G823:J823)=0,"",IF(COUNT(G823:J823)&lt;4,"موقت - اطلاعات ناقص",IF(K823&gt;=17,"عالی",IF(K823&gt;=14,"خوب",IF(K823&gt;=10,"متوسط","ضعیف"))))))</f>
        <v/>
      </c>
      <c r="M823" s="306" t="n">
        <v>3</v>
      </c>
      <c r="N823" s="314">
        <f>IF(C823="","",COUNT(G823:J823)/4)</f>
        <v/>
      </c>
      <c r="O823" s="307" t="n"/>
    </row>
    <row r="824" ht="24" customHeight="1">
      <c r="A824" s="306" t="n">
        <v>820</v>
      </c>
      <c r="B824" s="306" t="inlineStr">
        <is>
          <t>مهر</t>
        </is>
      </c>
      <c r="C824" s="306">
        <f>IF('دانش‌آموزان'!E73="","",'دانش‌آموزان'!B73)</f>
        <v/>
      </c>
      <c r="D824" s="306">
        <f>IF('دانش‌آموزان'!C73="","",'دانش‌آموزان'!C73)</f>
        <v/>
      </c>
      <c r="E824" s="306">
        <f>IF('دانش‌آموزان'!E73="","",'دانش‌آموزان'!E73&amp;" "&amp;'دانش‌آموزان'!F73)</f>
        <v/>
      </c>
      <c r="F824" s="306">
        <f>IF('دانش‌آموزان'!I73="","",'دانش‌آموزان'!I73)</f>
        <v/>
      </c>
      <c r="G824" s="307" t="n"/>
      <c r="H824" s="307" t="n"/>
      <c r="I824" s="307" t="n"/>
      <c r="J824" s="307" t="n"/>
      <c r="K824" s="313">
        <f>IF(COUNT(G824:J824)=0,"",AVERAGE(G824:J824)*4)</f>
        <v/>
      </c>
      <c r="L824" s="306">
        <f>IF(C824="","",IF(COUNT(G824:J824)=0,"",IF(COUNT(G824:J824)&lt;4,"موقت - اطلاعات ناقص",IF(K824&gt;=17,"عالی",IF(K824&gt;=14,"خوب",IF(K824&gt;=10,"متوسط","ضعیف"))))))</f>
        <v/>
      </c>
      <c r="M824" s="306" t="n">
        <v>4</v>
      </c>
      <c r="N824" s="314">
        <f>IF(C824="","",COUNT(G824:J824)/4)</f>
        <v/>
      </c>
      <c r="O824" s="307" t="n"/>
    </row>
    <row r="825" ht="24" customHeight="1">
      <c r="A825" s="306" t="n">
        <v>821</v>
      </c>
      <c r="B825" s="306" t="inlineStr">
        <is>
          <t>آبان</t>
        </is>
      </c>
      <c r="C825" s="306">
        <f>IF('دانش‌آموزان'!E73="","",'دانش‌آموزان'!B73)</f>
        <v/>
      </c>
      <c r="D825" s="306">
        <f>IF('دانش‌آموزان'!C73="","",'دانش‌آموزان'!C73)</f>
        <v/>
      </c>
      <c r="E825" s="306">
        <f>IF('دانش‌آموزان'!E73="","",'دانش‌آموزان'!E73&amp;" "&amp;'دانش‌آموزان'!F73)</f>
        <v/>
      </c>
      <c r="F825" s="306">
        <f>IF('دانش‌آموزان'!I73="","",'دانش‌آموزان'!I73)</f>
        <v/>
      </c>
      <c r="G825" s="307" t="n"/>
      <c r="H825" s="307" t="n"/>
      <c r="I825" s="307" t="n"/>
      <c r="J825" s="307" t="n"/>
      <c r="K825" s="313">
        <f>IF(COUNT(G825:J825)=0,"",AVERAGE(G825:J825)*4)</f>
        <v/>
      </c>
      <c r="L825" s="306">
        <f>IF(C825="","",IF(COUNT(G825:J825)=0,"",IF(COUNT(G825:J825)&lt;4,"موقت - اطلاعات ناقص",IF(K825&gt;=17,"عالی",IF(K825&gt;=14,"خوب",IF(K825&gt;=10,"متوسط","ضعیف"))))))</f>
        <v/>
      </c>
      <c r="M825" s="306" t="n">
        <v>5</v>
      </c>
      <c r="N825" s="314">
        <f>IF(C825="","",COUNT(G825:J825)/4)</f>
        <v/>
      </c>
      <c r="O825" s="307" t="n"/>
    </row>
    <row r="826" ht="24" customHeight="1">
      <c r="A826" s="306" t="n">
        <v>822</v>
      </c>
      <c r="B826" s="306" t="inlineStr">
        <is>
          <t>آذر</t>
        </is>
      </c>
      <c r="C826" s="306">
        <f>IF('دانش‌آموزان'!E73="","",'دانش‌آموزان'!B73)</f>
        <v/>
      </c>
      <c r="D826" s="306">
        <f>IF('دانش‌آموزان'!C73="","",'دانش‌آموزان'!C73)</f>
        <v/>
      </c>
      <c r="E826" s="306">
        <f>IF('دانش‌آموزان'!E73="","",'دانش‌آموزان'!E73&amp;" "&amp;'دانش‌آموزان'!F73)</f>
        <v/>
      </c>
      <c r="F826" s="306">
        <f>IF('دانش‌آموزان'!I73="","",'دانش‌آموزان'!I73)</f>
        <v/>
      </c>
      <c r="G826" s="307" t="n"/>
      <c r="H826" s="307" t="n"/>
      <c r="I826" s="307" t="n"/>
      <c r="J826" s="307" t="n"/>
      <c r="K826" s="313">
        <f>IF(COUNT(G826:J826)=0,"",AVERAGE(G826:J826)*4)</f>
        <v/>
      </c>
      <c r="L826" s="306">
        <f>IF(C826="","",IF(COUNT(G826:J826)=0,"",IF(COUNT(G826:J826)&lt;4,"موقت - اطلاعات ناقص",IF(K826&gt;=17,"عالی",IF(K826&gt;=14,"خوب",IF(K826&gt;=10,"متوسط","ضعیف"))))))</f>
        <v/>
      </c>
      <c r="M826" s="306" t="n">
        <v>6</v>
      </c>
      <c r="N826" s="314">
        <f>IF(C826="","",COUNT(G826:J826)/4)</f>
        <v/>
      </c>
      <c r="O826" s="307" t="n"/>
    </row>
    <row r="827" ht="24" customHeight="1">
      <c r="A827" s="306" t="n">
        <v>823</v>
      </c>
      <c r="B827" s="306" t="inlineStr">
        <is>
          <t>دی</t>
        </is>
      </c>
      <c r="C827" s="306">
        <f>IF('دانش‌آموزان'!E73="","",'دانش‌آموزان'!B73)</f>
        <v/>
      </c>
      <c r="D827" s="306">
        <f>IF('دانش‌آموزان'!C73="","",'دانش‌آموزان'!C73)</f>
        <v/>
      </c>
      <c r="E827" s="306">
        <f>IF('دانش‌آموزان'!E73="","",'دانش‌آموزان'!E73&amp;" "&amp;'دانش‌آموزان'!F73)</f>
        <v/>
      </c>
      <c r="F827" s="306">
        <f>IF('دانش‌آموزان'!I73="","",'دانش‌آموزان'!I73)</f>
        <v/>
      </c>
      <c r="G827" s="307" t="n"/>
      <c r="H827" s="307" t="n"/>
      <c r="I827" s="307" t="n"/>
      <c r="J827" s="307" t="n"/>
      <c r="K827" s="313">
        <f>IF(COUNT(G827:J827)=0,"",AVERAGE(G827:J827)*4)</f>
        <v/>
      </c>
      <c r="L827" s="306">
        <f>IF(C827="","",IF(COUNT(G827:J827)=0,"",IF(COUNT(G827:J827)&lt;4,"موقت - اطلاعات ناقص",IF(K827&gt;=17,"عالی",IF(K827&gt;=14,"خوب",IF(K827&gt;=10,"متوسط","ضعیف"))))))</f>
        <v/>
      </c>
      <c r="M827" s="306" t="n">
        <v>7</v>
      </c>
      <c r="N827" s="314">
        <f>IF(C827="","",COUNT(G827:J827)/4)</f>
        <v/>
      </c>
      <c r="O827" s="307" t="n"/>
    </row>
    <row r="828" ht="24" customHeight="1">
      <c r="A828" s="306" t="n">
        <v>824</v>
      </c>
      <c r="B828" s="306" t="inlineStr">
        <is>
          <t>بهمن</t>
        </is>
      </c>
      <c r="C828" s="306">
        <f>IF('دانش‌آموزان'!E73="","",'دانش‌آموزان'!B73)</f>
        <v/>
      </c>
      <c r="D828" s="306">
        <f>IF('دانش‌آموزان'!C73="","",'دانش‌آموزان'!C73)</f>
        <v/>
      </c>
      <c r="E828" s="306">
        <f>IF('دانش‌آموزان'!E73="","",'دانش‌آموزان'!E73&amp;" "&amp;'دانش‌آموزان'!F73)</f>
        <v/>
      </c>
      <c r="F828" s="306">
        <f>IF('دانش‌آموزان'!I73="","",'دانش‌آموزان'!I73)</f>
        <v/>
      </c>
      <c r="G828" s="307" t="n"/>
      <c r="H828" s="307" t="n"/>
      <c r="I828" s="307" t="n"/>
      <c r="J828" s="307" t="n"/>
      <c r="K828" s="313">
        <f>IF(COUNT(G828:J828)=0,"",AVERAGE(G828:J828)*4)</f>
        <v/>
      </c>
      <c r="L828" s="306">
        <f>IF(C828="","",IF(COUNT(G828:J828)=0,"",IF(COUNT(G828:J828)&lt;4,"موقت - اطلاعات ناقص",IF(K828&gt;=17,"عالی",IF(K828&gt;=14,"خوب",IF(K828&gt;=10,"متوسط","ضعیف"))))))</f>
        <v/>
      </c>
      <c r="M828" s="306" t="n">
        <v>8</v>
      </c>
      <c r="N828" s="314">
        <f>IF(C828="","",COUNT(G828:J828)/4)</f>
        <v/>
      </c>
      <c r="O828" s="307" t="n"/>
    </row>
    <row r="829" ht="24" customHeight="1">
      <c r="A829" s="306" t="n">
        <v>825</v>
      </c>
      <c r="B829" s="306" t="inlineStr">
        <is>
          <t>اسفند</t>
        </is>
      </c>
      <c r="C829" s="306">
        <f>IF('دانش‌آموزان'!E73="","",'دانش‌آموزان'!B73)</f>
        <v/>
      </c>
      <c r="D829" s="306">
        <f>IF('دانش‌آموزان'!C73="","",'دانش‌آموزان'!C73)</f>
        <v/>
      </c>
      <c r="E829" s="306">
        <f>IF('دانش‌آموزان'!E73="","",'دانش‌آموزان'!E73&amp;" "&amp;'دانش‌آموزان'!F73)</f>
        <v/>
      </c>
      <c r="F829" s="306">
        <f>IF('دانش‌آموزان'!I73="","",'دانش‌آموزان'!I73)</f>
        <v/>
      </c>
      <c r="G829" s="307" t="n"/>
      <c r="H829" s="307" t="n"/>
      <c r="I829" s="307" t="n"/>
      <c r="J829" s="307" t="n"/>
      <c r="K829" s="313">
        <f>IF(COUNT(G829:J829)=0,"",AVERAGE(G829:J829)*4)</f>
        <v/>
      </c>
      <c r="L829" s="306">
        <f>IF(C829="","",IF(COUNT(G829:J829)=0,"",IF(COUNT(G829:J829)&lt;4,"موقت - اطلاعات ناقص",IF(K829&gt;=17,"عالی",IF(K829&gt;=14,"خوب",IF(K829&gt;=10,"متوسط","ضعیف"))))))</f>
        <v/>
      </c>
      <c r="M829" s="306" t="n">
        <v>9</v>
      </c>
      <c r="N829" s="314">
        <f>IF(C829="","",COUNT(G829:J829)/4)</f>
        <v/>
      </c>
      <c r="O829" s="307" t="n"/>
    </row>
    <row r="830" ht="24" customHeight="1">
      <c r="A830" s="306" t="n">
        <v>826</v>
      </c>
      <c r="B830" s="306" t="inlineStr">
        <is>
          <t>فروردین</t>
        </is>
      </c>
      <c r="C830" s="306">
        <f>IF('دانش‌آموزان'!E73="","",'دانش‌آموزان'!B73)</f>
        <v/>
      </c>
      <c r="D830" s="306">
        <f>IF('دانش‌آموزان'!C73="","",'دانش‌آموزان'!C73)</f>
        <v/>
      </c>
      <c r="E830" s="306">
        <f>IF('دانش‌آموزان'!E73="","",'دانش‌آموزان'!E73&amp;" "&amp;'دانش‌آموزان'!F73)</f>
        <v/>
      </c>
      <c r="F830" s="306">
        <f>IF('دانش‌آموزان'!I73="","",'دانش‌آموزان'!I73)</f>
        <v/>
      </c>
      <c r="G830" s="307" t="n"/>
      <c r="H830" s="307" t="n"/>
      <c r="I830" s="307" t="n"/>
      <c r="J830" s="307" t="n"/>
      <c r="K830" s="313">
        <f>IF(COUNT(G830:J830)=0,"",AVERAGE(G830:J830)*4)</f>
        <v/>
      </c>
      <c r="L830" s="306">
        <f>IF(C830="","",IF(COUNT(G830:J830)=0,"",IF(COUNT(G830:J830)&lt;4,"موقت - اطلاعات ناقص",IF(K830&gt;=17,"عالی",IF(K830&gt;=14,"خوب",IF(K830&gt;=10,"متوسط","ضعیف"))))))</f>
        <v/>
      </c>
      <c r="M830" s="306" t="n">
        <v>10</v>
      </c>
      <c r="N830" s="314">
        <f>IF(C830="","",COUNT(G830:J830)/4)</f>
        <v/>
      </c>
      <c r="O830" s="307" t="n"/>
    </row>
    <row r="831" ht="24" customHeight="1">
      <c r="A831" s="306" t="n">
        <v>827</v>
      </c>
      <c r="B831" s="306" t="inlineStr">
        <is>
          <t>اردیبهشت</t>
        </is>
      </c>
      <c r="C831" s="306">
        <f>IF('دانش‌آموزان'!E73="","",'دانش‌آموزان'!B73)</f>
        <v/>
      </c>
      <c r="D831" s="306">
        <f>IF('دانش‌آموزان'!C73="","",'دانش‌آموزان'!C73)</f>
        <v/>
      </c>
      <c r="E831" s="306">
        <f>IF('دانش‌آموزان'!E73="","",'دانش‌آموزان'!E73&amp;" "&amp;'دانش‌آموزان'!F73)</f>
        <v/>
      </c>
      <c r="F831" s="306">
        <f>IF('دانش‌آموزان'!I73="","",'دانش‌آموزان'!I73)</f>
        <v/>
      </c>
      <c r="G831" s="307" t="n"/>
      <c r="H831" s="307" t="n"/>
      <c r="I831" s="307" t="n"/>
      <c r="J831" s="307" t="n"/>
      <c r="K831" s="313">
        <f>IF(COUNT(G831:J831)=0,"",AVERAGE(G831:J831)*4)</f>
        <v/>
      </c>
      <c r="L831" s="306">
        <f>IF(C831="","",IF(COUNT(G831:J831)=0,"",IF(COUNT(G831:J831)&lt;4,"موقت - اطلاعات ناقص",IF(K831&gt;=17,"عالی",IF(K831&gt;=14,"خوب",IF(K831&gt;=10,"متوسط","ضعیف"))))))</f>
        <v/>
      </c>
      <c r="M831" s="306" t="n">
        <v>11</v>
      </c>
      <c r="N831" s="314">
        <f>IF(C831="","",COUNT(G831:J831)/4)</f>
        <v/>
      </c>
      <c r="O831" s="307" t="n"/>
    </row>
    <row r="832" ht="24" customHeight="1">
      <c r="A832" s="306" t="n">
        <v>828</v>
      </c>
      <c r="B832" s="306" t="inlineStr">
        <is>
          <t>خرداد</t>
        </is>
      </c>
      <c r="C832" s="306">
        <f>IF('دانش‌آموزان'!E73="","",'دانش‌آموزان'!B73)</f>
        <v/>
      </c>
      <c r="D832" s="306">
        <f>IF('دانش‌آموزان'!C73="","",'دانش‌آموزان'!C73)</f>
        <v/>
      </c>
      <c r="E832" s="306">
        <f>IF('دانش‌آموزان'!E73="","",'دانش‌آموزان'!E73&amp;" "&amp;'دانش‌آموزان'!F73)</f>
        <v/>
      </c>
      <c r="F832" s="306">
        <f>IF('دانش‌آموزان'!I73="","",'دانش‌آموزان'!I73)</f>
        <v/>
      </c>
      <c r="G832" s="307" t="n"/>
      <c r="H832" s="307" t="n"/>
      <c r="I832" s="307" t="n"/>
      <c r="J832" s="307" t="n"/>
      <c r="K832" s="313">
        <f>IF(COUNT(G832:J832)=0,"",AVERAGE(G832:J832)*4)</f>
        <v/>
      </c>
      <c r="L832" s="306">
        <f>IF(C832="","",IF(COUNT(G832:J832)=0,"",IF(COUNT(G832:J832)&lt;4,"موقت - اطلاعات ناقص",IF(K832&gt;=17,"عالی",IF(K832&gt;=14,"خوب",IF(K832&gt;=10,"متوسط","ضعیف"))))))</f>
        <v/>
      </c>
      <c r="M832" s="306" t="n">
        <v>12</v>
      </c>
      <c r="N832" s="314">
        <f>IF(C832="","",COUNT(G832:J832)/4)</f>
        <v/>
      </c>
      <c r="O832" s="307" t="n"/>
    </row>
    <row r="833" ht="24" customHeight="1">
      <c r="A833" s="306" t="n">
        <v>829</v>
      </c>
      <c r="B833" s="306" t="inlineStr">
        <is>
          <t>تیر</t>
        </is>
      </c>
      <c r="C833" s="306">
        <f>IF('دانش‌آموزان'!E74="","",'دانش‌آموزان'!B74)</f>
        <v/>
      </c>
      <c r="D833" s="306">
        <f>IF('دانش‌آموزان'!C74="","",'دانش‌آموزان'!C74)</f>
        <v/>
      </c>
      <c r="E833" s="306">
        <f>IF('دانش‌آموزان'!E74="","",'دانش‌آموزان'!E74&amp;" "&amp;'دانش‌آموزان'!F74)</f>
        <v/>
      </c>
      <c r="F833" s="306">
        <f>IF('دانش‌آموزان'!I74="","",'دانش‌آموزان'!I74)</f>
        <v/>
      </c>
      <c r="G833" s="307" t="n"/>
      <c r="H833" s="307" t="n"/>
      <c r="I833" s="307" t="n"/>
      <c r="J833" s="307" t="n"/>
      <c r="K833" s="313">
        <f>IF(COUNT(G833:J833)=0,"",AVERAGE(G833:J833)*4)</f>
        <v/>
      </c>
      <c r="L833" s="306">
        <f>IF(C833="","",IF(COUNT(G833:J833)=0,"",IF(COUNT(G833:J833)&lt;4,"موقت - اطلاعات ناقص",IF(K833&gt;=17,"عالی",IF(K833&gt;=14,"خوب",IF(K833&gt;=10,"متوسط","ضعیف"))))))</f>
        <v/>
      </c>
      <c r="M833" s="306" t="n">
        <v>1</v>
      </c>
      <c r="N833" s="314">
        <f>IF(C833="","",COUNT(G833:J833)/4)</f>
        <v/>
      </c>
      <c r="O833" s="307" t="n"/>
    </row>
    <row r="834" ht="24" customHeight="1">
      <c r="A834" s="306" t="n">
        <v>830</v>
      </c>
      <c r="B834" s="306" t="inlineStr">
        <is>
          <t>مرداد</t>
        </is>
      </c>
      <c r="C834" s="306">
        <f>IF('دانش‌آموزان'!E74="","",'دانش‌آموزان'!B74)</f>
        <v/>
      </c>
      <c r="D834" s="306">
        <f>IF('دانش‌آموزان'!C74="","",'دانش‌آموزان'!C74)</f>
        <v/>
      </c>
      <c r="E834" s="306">
        <f>IF('دانش‌آموزان'!E74="","",'دانش‌آموزان'!E74&amp;" "&amp;'دانش‌آموزان'!F74)</f>
        <v/>
      </c>
      <c r="F834" s="306">
        <f>IF('دانش‌آموزان'!I74="","",'دانش‌آموزان'!I74)</f>
        <v/>
      </c>
      <c r="G834" s="307" t="n"/>
      <c r="H834" s="307" t="n"/>
      <c r="I834" s="307" t="n"/>
      <c r="J834" s="307" t="n"/>
      <c r="K834" s="313">
        <f>IF(COUNT(G834:J834)=0,"",AVERAGE(G834:J834)*4)</f>
        <v/>
      </c>
      <c r="L834" s="306">
        <f>IF(C834="","",IF(COUNT(G834:J834)=0,"",IF(COUNT(G834:J834)&lt;4,"موقت - اطلاعات ناقص",IF(K834&gt;=17,"عالی",IF(K834&gt;=14,"خوب",IF(K834&gt;=10,"متوسط","ضعیف"))))))</f>
        <v/>
      </c>
      <c r="M834" s="306" t="n">
        <v>2</v>
      </c>
      <c r="N834" s="314">
        <f>IF(C834="","",COUNT(G834:J834)/4)</f>
        <v/>
      </c>
      <c r="O834" s="307" t="n"/>
    </row>
    <row r="835" ht="24" customHeight="1">
      <c r="A835" s="306" t="n">
        <v>831</v>
      </c>
      <c r="B835" s="306" t="inlineStr">
        <is>
          <t>شهریور</t>
        </is>
      </c>
      <c r="C835" s="306">
        <f>IF('دانش‌آموزان'!E74="","",'دانش‌آموزان'!B74)</f>
        <v/>
      </c>
      <c r="D835" s="306">
        <f>IF('دانش‌آموزان'!C74="","",'دانش‌آموزان'!C74)</f>
        <v/>
      </c>
      <c r="E835" s="306">
        <f>IF('دانش‌آموزان'!E74="","",'دانش‌آموزان'!E74&amp;" "&amp;'دانش‌آموزان'!F74)</f>
        <v/>
      </c>
      <c r="F835" s="306">
        <f>IF('دانش‌آموزان'!I74="","",'دانش‌آموزان'!I74)</f>
        <v/>
      </c>
      <c r="G835" s="307" t="n"/>
      <c r="H835" s="307" t="n"/>
      <c r="I835" s="307" t="n"/>
      <c r="J835" s="307" t="n"/>
      <c r="K835" s="313">
        <f>IF(COUNT(G835:J835)=0,"",AVERAGE(G835:J835)*4)</f>
        <v/>
      </c>
      <c r="L835" s="306">
        <f>IF(C835="","",IF(COUNT(G835:J835)=0,"",IF(COUNT(G835:J835)&lt;4,"موقت - اطلاعات ناقص",IF(K835&gt;=17,"عالی",IF(K835&gt;=14,"خوب",IF(K835&gt;=10,"متوسط","ضعیف"))))))</f>
        <v/>
      </c>
      <c r="M835" s="306" t="n">
        <v>3</v>
      </c>
      <c r="N835" s="314">
        <f>IF(C835="","",COUNT(G835:J835)/4)</f>
        <v/>
      </c>
      <c r="O835" s="307" t="n"/>
    </row>
    <row r="836" ht="24" customHeight="1">
      <c r="A836" s="306" t="n">
        <v>832</v>
      </c>
      <c r="B836" s="306" t="inlineStr">
        <is>
          <t>مهر</t>
        </is>
      </c>
      <c r="C836" s="306">
        <f>IF('دانش‌آموزان'!E74="","",'دانش‌آموزان'!B74)</f>
        <v/>
      </c>
      <c r="D836" s="306">
        <f>IF('دانش‌آموزان'!C74="","",'دانش‌آموزان'!C74)</f>
        <v/>
      </c>
      <c r="E836" s="306">
        <f>IF('دانش‌آموزان'!E74="","",'دانش‌آموزان'!E74&amp;" "&amp;'دانش‌آموزان'!F74)</f>
        <v/>
      </c>
      <c r="F836" s="306">
        <f>IF('دانش‌آموزان'!I74="","",'دانش‌آموزان'!I74)</f>
        <v/>
      </c>
      <c r="G836" s="307" t="n"/>
      <c r="H836" s="307" t="n"/>
      <c r="I836" s="307" t="n"/>
      <c r="J836" s="307" t="n"/>
      <c r="K836" s="313">
        <f>IF(COUNT(G836:J836)=0,"",AVERAGE(G836:J836)*4)</f>
        <v/>
      </c>
      <c r="L836" s="306">
        <f>IF(C836="","",IF(COUNT(G836:J836)=0,"",IF(COUNT(G836:J836)&lt;4,"موقت - اطلاعات ناقص",IF(K836&gt;=17,"عالی",IF(K836&gt;=14,"خوب",IF(K836&gt;=10,"متوسط","ضعیف"))))))</f>
        <v/>
      </c>
      <c r="M836" s="306" t="n">
        <v>4</v>
      </c>
      <c r="N836" s="314">
        <f>IF(C836="","",COUNT(G836:J836)/4)</f>
        <v/>
      </c>
      <c r="O836" s="307" t="n"/>
    </row>
    <row r="837" ht="24" customHeight="1">
      <c r="A837" s="306" t="n">
        <v>833</v>
      </c>
      <c r="B837" s="306" t="inlineStr">
        <is>
          <t>آبان</t>
        </is>
      </c>
      <c r="C837" s="306">
        <f>IF('دانش‌آموزان'!E74="","",'دانش‌آموزان'!B74)</f>
        <v/>
      </c>
      <c r="D837" s="306">
        <f>IF('دانش‌آموزان'!C74="","",'دانش‌آموزان'!C74)</f>
        <v/>
      </c>
      <c r="E837" s="306">
        <f>IF('دانش‌آموزان'!E74="","",'دانش‌آموزان'!E74&amp;" "&amp;'دانش‌آموزان'!F74)</f>
        <v/>
      </c>
      <c r="F837" s="306">
        <f>IF('دانش‌آموزان'!I74="","",'دانش‌آموزان'!I74)</f>
        <v/>
      </c>
      <c r="G837" s="307" t="n"/>
      <c r="H837" s="307" t="n"/>
      <c r="I837" s="307" t="n"/>
      <c r="J837" s="307" t="n"/>
      <c r="K837" s="313">
        <f>IF(COUNT(G837:J837)=0,"",AVERAGE(G837:J837)*4)</f>
        <v/>
      </c>
      <c r="L837" s="306">
        <f>IF(C837="","",IF(COUNT(G837:J837)=0,"",IF(COUNT(G837:J837)&lt;4,"موقت - اطلاعات ناقص",IF(K837&gt;=17,"عالی",IF(K837&gt;=14,"خوب",IF(K837&gt;=10,"متوسط","ضعیف"))))))</f>
        <v/>
      </c>
      <c r="M837" s="306" t="n">
        <v>5</v>
      </c>
      <c r="N837" s="314">
        <f>IF(C837="","",COUNT(G837:J837)/4)</f>
        <v/>
      </c>
      <c r="O837" s="307" t="n"/>
    </row>
    <row r="838" ht="24" customHeight="1">
      <c r="A838" s="306" t="n">
        <v>834</v>
      </c>
      <c r="B838" s="306" t="inlineStr">
        <is>
          <t>آذر</t>
        </is>
      </c>
      <c r="C838" s="306">
        <f>IF('دانش‌آموزان'!E74="","",'دانش‌آموزان'!B74)</f>
        <v/>
      </c>
      <c r="D838" s="306">
        <f>IF('دانش‌آموزان'!C74="","",'دانش‌آموزان'!C74)</f>
        <v/>
      </c>
      <c r="E838" s="306">
        <f>IF('دانش‌آموزان'!E74="","",'دانش‌آموزان'!E74&amp;" "&amp;'دانش‌آموزان'!F74)</f>
        <v/>
      </c>
      <c r="F838" s="306">
        <f>IF('دانش‌آموزان'!I74="","",'دانش‌آموزان'!I74)</f>
        <v/>
      </c>
      <c r="G838" s="307" t="n"/>
      <c r="H838" s="307" t="n"/>
      <c r="I838" s="307" t="n"/>
      <c r="J838" s="307" t="n"/>
      <c r="K838" s="313">
        <f>IF(COUNT(G838:J838)=0,"",AVERAGE(G838:J838)*4)</f>
        <v/>
      </c>
      <c r="L838" s="306">
        <f>IF(C838="","",IF(COUNT(G838:J838)=0,"",IF(COUNT(G838:J838)&lt;4,"موقت - اطلاعات ناقص",IF(K838&gt;=17,"عالی",IF(K838&gt;=14,"خوب",IF(K838&gt;=10,"متوسط","ضعیف"))))))</f>
        <v/>
      </c>
      <c r="M838" s="306" t="n">
        <v>6</v>
      </c>
      <c r="N838" s="314">
        <f>IF(C838="","",COUNT(G838:J838)/4)</f>
        <v/>
      </c>
      <c r="O838" s="307" t="n"/>
    </row>
    <row r="839" ht="24" customHeight="1">
      <c r="A839" s="306" t="n">
        <v>835</v>
      </c>
      <c r="B839" s="306" t="inlineStr">
        <is>
          <t>دی</t>
        </is>
      </c>
      <c r="C839" s="306">
        <f>IF('دانش‌آموزان'!E74="","",'دانش‌آموزان'!B74)</f>
        <v/>
      </c>
      <c r="D839" s="306">
        <f>IF('دانش‌آموزان'!C74="","",'دانش‌آموزان'!C74)</f>
        <v/>
      </c>
      <c r="E839" s="306">
        <f>IF('دانش‌آموزان'!E74="","",'دانش‌آموزان'!E74&amp;" "&amp;'دانش‌آموزان'!F74)</f>
        <v/>
      </c>
      <c r="F839" s="306">
        <f>IF('دانش‌آموزان'!I74="","",'دانش‌آموزان'!I74)</f>
        <v/>
      </c>
      <c r="G839" s="307" t="n"/>
      <c r="H839" s="307" t="n"/>
      <c r="I839" s="307" t="n"/>
      <c r="J839" s="307" t="n"/>
      <c r="K839" s="313">
        <f>IF(COUNT(G839:J839)=0,"",AVERAGE(G839:J839)*4)</f>
        <v/>
      </c>
      <c r="L839" s="306">
        <f>IF(C839="","",IF(COUNT(G839:J839)=0,"",IF(COUNT(G839:J839)&lt;4,"موقت - اطلاعات ناقص",IF(K839&gt;=17,"عالی",IF(K839&gt;=14,"خوب",IF(K839&gt;=10,"متوسط","ضعیف"))))))</f>
        <v/>
      </c>
      <c r="M839" s="306" t="n">
        <v>7</v>
      </c>
      <c r="N839" s="314">
        <f>IF(C839="","",COUNT(G839:J839)/4)</f>
        <v/>
      </c>
      <c r="O839" s="307" t="n"/>
    </row>
    <row r="840" ht="24" customHeight="1">
      <c r="A840" s="306" t="n">
        <v>836</v>
      </c>
      <c r="B840" s="306" t="inlineStr">
        <is>
          <t>بهمن</t>
        </is>
      </c>
      <c r="C840" s="306">
        <f>IF('دانش‌آموزان'!E74="","",'دانش‌آموزان'!B74)</f>
        <v/>
      </c>
      <c r="D840" s="306">
        <f>IF('دانش‌آموزان'!C74="","",'دانش‌آموزان'!C74)</f>
        <v/>
      </c>
      <c r="E840" s="306">
        <f>IF('دانش‌آموزان'!E74="","",'دانش‌آموزان'!E74&amp;" "&amp;'دانش‌آموزان'!F74)</f>
        <v/>
      </c>
      <c r="F840" s="306">
        <f>IF('دانش‌آموزان'!I74="","",'دانش‌آموزان'!I74)</f>
        <v/>
      </c>
      <c r="G840" s="307" t="n"/>
      <c r="H840" s="307" t="n"/>
      <c r="I840" s="307" t="n"/>
      <c r="J840" s="307" t="n"/>
      <c r="K840" s="313">
        <f>IF(COUNT(G840:J840)=0,"",AVERAGE(G840:J840)*4)</f>
        <v/>
      </c>
      <c r="L840" s="306">
        <f>IF(C840="","",IF(COUNT(G840:J840)=0,"",IF(COUNT(G840:J840)&lt;4,"موقت - اطلاعات ناقص",IF(K840&gt;=17,"عالی",IF(K840&gt;=14,"خوب",IF(K840&gt;=10,"متوسط","ضعیف"))))))</f>
        <v/>
      </c>
      <c r="M840" s="306" t="n">
        <v>8</v>
      </c>
      <c r="N840" s="314">
        <f>IF(C840="","",COUNT(G840:J840)/4)</f>
        <v/>
      </c>
      <c r="O840" s="307" t="n"/>
    </row>
    <row r="841" ht="24" customHeight="1">
      <c r="A841" s="306" t="n">
        <v>837</v>
      </c>
      <c r="B841" s="306" t="inlineStr">
        <is>
          <t>اسفند</t>
        </is>
      </c>
      <c r="C841" s="306">
        <f>IF('دانش‌آموزان'!E74="","",'دانش‌آموزان'!B74)</f>
        <v/>
      </c>
      <c r="D841" s="306">
        <f>IF('دانش‌آموزان'!C74="","",'دانش‌آموزان'!C74)</f>
        <v/>
      </c>
      <c r="E841" s="306">
        <f>IF('دانش‌آموزان'!E74="","",'دانش‌آموزان'!E74&amp;" "&amp;'دانش‌آموزان'!F74)</f>
        <v/>
      </c>
      <c r="F841" s="306">
        <f>IF('دانش‌آموزان'!I74="","",'دانش‌آموزان'!I74)</f>
        <v/>
      </c>
      <c r="G841" s="307" t="n"/>
      <c r="H841" s="307" t="n"/>
      <c r="I841" s="307" t="n"/>
      <c r="J841" s="307" t="n"/>
      <c r="K841" s="313">
        <f>IF(COUNT(G841:J841)=0,"",AVERAGE(G841:J841)*4)</f>
        <v/>
      </c>
      <c r="L841" s="306">
        <f>IF(C841="","",IF(COUNT(G841:J841)=0,"",IF(COUNT(G841:J841)&lt;4,"موقت - اطلاعات ناقص",IF(K841&gt;=17,"عالی",IF(K841&gt;=14,"خوب",IF(K841&gt;=10,"متوسط","ضعیف"))))))</f>
        <v/>
      </c>
      <c r="M841" s="306" t="n">
        <v>9</v>
      </c>
      <c r="N841" s="314">
        <f>IF(C841="","",COUNT(G841:J841)/4)</f>
        <v/>
      </c>
      <c r="O841" s="307" t="n"/>
    </row>
    <row r="842" ht="24" customHeight="1">
      <c r="A842" s="306" t="n">
        <v>838</v>
      </c>
      <c r="B842" s="306" t="inlineStr">
        <is>
          <t>فروردین</t>
        </is>
      </c>
      <c r="C842" s="306">
        <f>IF('دانش‌آموزان'!E74="","",'دانش‌آموزان'!B74)</f>
        <v/>
      </c>
      <c r="D842" s="306">
        <f>IF('دانش‌آموزان'!C74="","",'دانش‌آموزان'!C74)</f>
        <v/>
      </c>
      <c r="E842" s="306">
        <f>IF('دانش‌آموزان'!E74="","",'دانش‌آموزان'!E74&amp;" "&amp;'دانش‌آموزان'!F74)</f>
        <v/>
      </c>
      <c r="F842" s="306">
        <f>IF('دانش‌آموزان'!I74="","",'دانش‌آموزان'!I74)</f>
        <v/>
      </c>
      <c r="G842" s="307" t="n"/>
      <c r="H842" s="307" t="n"/>
      <c r="I842" s="307" t="n"/>
      <c r="J842" s="307" t="n"/>
      <c r="K842" s="313">
        <f>IF(COUNT(G842:J842)=0,"",AVERAGE(G842:J842)*4)</f>
        <v/>
      </c>
      <c r="L842" s="306">
        <f>IF(C842="","",IF(COUNT(G842:J842)=0,"",IF(COUNT(G842:J842)&lt;4,"موقت - اطلاعات ناقص",IF(K842&gt;=17,"عالی",IF(K842&gt;=14,"خوب",IF(K842&gt;=10,"متوسط","ضعیف"))))))</f>
        <v/>
      </c>
      <c r="M842" s="306" t="n">
        <v>10</v>
      </c>
      <c r="N842" s="314">
        <f>IF(C842="","",COUNT(G842:J842)/4)</f>
        <v/>
      </c>
      <c r="O842" s="307" t="n"/>
    </row>
    <row r="843" ht="24" customHeight="1">
      <c r="A843" s="306" t="n">
        <v>839</v>
      </c>
      <c r="B843" s="306" t="inlineStr">
        <is>
          <t>اردیبهشت</t>
        </is>
      </c>
      <c r="C843" s="306">
        <f>IF('دانش‌آموزان'!E74="","",'دانش‌آموزان'!B74)</f>
        <v/>
      </c>
      <c r="D843" s="306">
        <f>IF('دانش‌آموزان'!C74="","",'دانش‌آموزان'!C74)</f>
        <v/>
      </c>
      <c r="E843" s="306">
        <f>IF('دانش‌آموزان'!E74="","",'دانش‌آموزان'!E74&amp;" "&amp;'دانش‌آموزان'!F74)</f>
        <v/>
      </c>
      <c r="F843" s="306">
        <f>IF('دانش‌آموزان'!I74="","",'دانش‌آموزان'!I74)</f>
        <v/>
      </c>
      <c r="G843" s="307" t="n"/>
      <c r="H843" s="307" t="n"/>
      <c r="I843" s="307" t="n"/>
      <c r="J843" s="307" t="n"/>
      <c r="K843" s="313">
        <f>IF(COUNT(G843:J843)=0,"",AVERAGE(G843:J843)*4)</f>
        <v/>
      </c>
      <c r="L843" s="306">
        <f>IF(C843="","",IF(COUNT(G843:J843)=0,"",IF(COUNT(G843:J843)&lt;4,"موقت - اطلاعات ناقص",IF(K843&gt;=17,"عالی",IF(K843&gt;=14,"خوب",IF(K843&gt;=10,"متوسط","ضعیف"))))))</f>
        <v/>
      </c>
      <c r="M843" s="306" t="n">
        <v>11</v>
      </c>
      <c r="N843" s="314">
        <f>IF(C843="","",COUNT(G843:J843)/4)</f>
        <v/>
      </c>
      <c r="O843" s="307" t="n"/>
    </row>
    <row r="844" ht="24" customHeight="1">
      <c r="A844" s="306" t="n">
        <v>840</v>
      </c>
      <c r="B844" s="306" t="inlineStr">
        <is>
          <t>خرداد</t>
        </is>
      </c>
      <c r="C844" s="306">
        <f>IF('دانش‌آموزان'!E74="","",'دانش‌آموزان'!B74)</f>
        <v/>
      </c>
      <c r="D844" s="306">
        <f>IF('دانش‌آموزان'!C74="","",'دانش‌آموزان'!C74)</f>
        <v/>
      </c>
      <c r="E844" s="306">
        <f>IF('دانش‌آموزان'!E74="","",'دانش‌آموزان'!E74&amp;" "&amp;'دانش‌آموزان'!F74)</f>
        <v/>
      </c>
      <c r="F844" s="306">
        <f>IF('دانش‌آموزان'!I74="","",'دانش‌آموزان'!I74)</f>
        <v/>
      </c>
      <c r="G844" s="307" t="n"/>
      <c r="H844" s="307" t="n"/>
      <c r="I844" s="307" t="n"/>
      <c r="J844" s="307" t="n"/>
      <c r="K844" s="313">
        <f>IF(COUNT(G844:J844)=0,"",AVERAGE(G844:J844)*4)</f>
        <v/>
      </c>
      <c r="L844" s="306">
        <f>IF(C844="","",IF(COUNT(G844:J844)=0,"",IF(COUNT(G844:J844)&lt;4,"موقت - اطلاعات ناقص",IF(K844&gt;=17,"عالی",IF(K844&gt;=14,"خوب",IF(K844&gt;=10,"متوسط","ضعیف"))))))</f>
        <v/>
      </c>
      <c r="M844" s="306" t="n">
        <v>12</v>
      </c>
      <c r="N844" s="314">
        <f>IF(C844="","",COUNT(G844:J844)/4)</f>
        <v/>
      </c>
      <c r="O844" s="307" t="n"/>
    </row>
    <row r="845" ht="24" customHeight="1">
      <c r="A845" s="306" t="n">
        <v>841</v>
      </c>
      <c r="B845" s="306" t="inlineStr">
        <is>
          <t>تیر</t>
        </is>
      </c>
      <c r="C845" s="306">
        <f>IF('دانش‌آموزان'!E75="","",'دانش‌آموزان'!B75)</f>
        <v/>
      </c>
      <c r="D845" s="306">
        <f>IF('دانش‌آموزان'!C75="","",'دانش‌آموزان'!C75)</f>
        <v/>
      </c>
      <c r="E845" s="306">
        <f>IF('دانش‌آموزان'!E75="","",'دانش‌آموزان'!E75&amp;" "&amp;'دانش‌آموزان'!F75)</f>
        <v/>
      </c>
      <c r="F845" s="306">
        <f>IF('دانش‌آموزان'!I75="","",'دانش‌آموزان'!I75)</f>
        <v/>
      </c>
      <c r="G845" s="307" t="n"/>
      <c r="H845" s="307" t="n"/>
      <c r="I845" s="307" t="n"/>
      <c r="J845" s="307" t="n"/>
      <c r="K845" s="313">
        <f>IF(COUNT(G845:J845)=0,"",AVERAGE(G845:J845)*4)</f>
        <v/>
      </c>
      <c r="L845" s="306">
        <f>IF(C845="","",IF(COUNT(G845:J845)=0,"",IF(COUNT(G845:J845)&lt;4,"موقت - اطلاعات ناقص",IF(K845&gt;=17,"عالی",IF(K845&gt;=14,"خوب",IF(K845&gt;=10,"متوسط","ضعیف"))))))</f>
        <v/>
      </c>
      <c r="M845" s="306" t="n">
        <v>1</v>
      </c>
      <c r="N845" s="314">
        <f>IF(C845="","",COUNT(G845:J845)/4)</f>
        <v/>
      </c>
      <c r="O845" s="307" t="n"/>
    </row>
    <row r="846" ht="24" customHeight="1">
      <c r="A846" s="306" t="n">
        <v>842</v>
      </c>
      <c r="B846" s="306" t="inlineStr">
        <is>
          <t>مرداد</t>
        </is>
      </c>
      <c r="C846" s="306">
        <f>IF('دانش‌آموزان'!E75="","",'دانش‌آموزان'!B75)</f>
        <v/>
      </c>
      <c r="D846" s="306">
        <f>IF('دانش‌آموزان'!C75="","",'دانش‌آموزان'!C75)</f>
        <v/>
      </c>
      <c r="E846" s="306">
        <f>IF('دانش‌آموزان'!E75="","",'دانش‌آموزان'!E75&amp;" "&amp;'دانش‌آموزان'!F75)</f>
        <v/>
      </c>
      <c r="F846" s="306">
        <f>IF('دانش‌آموزان'!I75="","",'دانش‌آموزان'!I75)</f>
        <v/>
      </c>
      <c r="G846" s="307" t="n"/>
      <c r="H846" s="307" t="n"/>
      <c r="I846" s="307" t="n"/>
      <c r="J846" s="307" t="n"/>
      <c r="K846" s="313">
        <f>IF(COUNT(G846:J846)=0,"",AVERAGE(G846:J846)*4)</f>
        <v/>
      </c>
      <c r="L846" s="306">
        <f>IF(C846="","",IF(COUNT(G846:J846)=0,"",IF(COUNT(G846:J846)&lt;4,"موقت - اطلاعات ناقص",IF(K846&gt;=17,"عالی",IF(K846&gt;=14,"خوب",IF(K846&gt;=10,"متوسط","ضعیف"))))))</f>
        <v/>
      </c>
      <c r="M846" s="306" t="n">
        <v>2</v>
      </c>
      <c r="N846" s="314">
        <f>IF(C846="","",COUNT(G846:J846)/4)</f>
        <v/>
      </c>
      <c r="O846" s="307" t="n"/>
    </row>
    <row r="847" ht="24" customHeight="1">
      <c r="A847" s="306" t="n">
        <v>843</v>
      </c>
      <c r="B847" s="306" t="inlineStr">
        <is>
          <t>شهریور</t>
        </is>
      </c>
      <c r="C847" s="306">
        <f>IF('دانش‌آموزان'!E75="","",'دانش‌آموزان'!B75)</f>
        <v/>
      </c>
      <c r="D847" s="306">
        <f>IF('دانش‌آموزان'!C75="","",'دانش‌آموزان'!C75)</f>
        <v/>
      </c>
      <c r="E847" s="306">
        <f>IF('دانش‌آموزان'!E75="","",'دانش‌آموزان'!E75&amp;" "&amp;'دانش‌آموزان'!F75)</f>
        <v/>
      </c>
      <c r="F847" s="306">
        <f>IF('دانش‌آموزان'!I75="","",'دانش‌آموزان'!I75)</f>
        <v/>
      </c>
      <c r="G847" s="307" t="n"/>
      <c r="H847" s="307" t="n"/>
      <c r="I847" s="307" t="n"/>
      <c r="J847" s="307" t="n"/>
      <c r="K847" s="313">
        <f>IF(COUNT(G847:J847)=0,"",AVERAGE(G847:J847)*4)</f>
        <v/>
      </c>
      <c r="L847" s="306">
        <f>IF(C847="","",IF(COUNT(G847:J847)=0,"",IF(COUNT(G847:J847)&lt;4,"موقت - اطلاعات ناقص",IF(K847&gt;=17,"عالی",IF(K847&gt;=14,"خوب",IF(K847&gt;=10,"متوسط","ضعیف"))))))</f>
        <v/>
      </c>
      <c r="M847" s="306" t="n">
        <v>3</v>
      </c>
      <c r="N847" s="314">
        <f>IF(C847="","",COUNT(G847:J847)/4)</f>
        <v/>
      </c>
      <c r="O847" s="307" t="n"/>
    </row>
    <row r="848" ht="24" customHeight="1">
      <c r="A848" s="306" t="n">
        <v>844</v>
      </c>
      <c r="B848" s="306" t="inlineStr">
        <is>
          <t>مهر</t>
        </is>
      </c>
      <c r="C848" s="306">
        <f>IF('دانش‌آموزان'!E75="","",'دانش‌آموزان'!B75)</f>
        <v/>
      </c>
      <c r="D848" s="306">
        <f>IF('دانش‌آموزان'!C75="","",'دانش‌آموزان'!C75)</f>
        <v/>
      </c>
      <c r="E848" s="306">
        <f>IF('دانش‌آموزان'!E75="","",'دانش‌آموزان'!E75&amp;" "&amp;'دانش‌آموزان'!F75)</f>
        <v/>
      </c>
      <c r="F848" s="306">
        <f>IF('دانش‌آموزان'!I75="","",'دانش‌آموزان'!I75)</f>
        <v/>
      </c>
      <c r="G848" s="307" t="n"/>
      <c r="H848" s="307" t="n"/>
      <c r="I848" s="307" t="n"/>
      <c r="J848" s="307" t="n"/>
      <c r="K848" s="313">
        <f>IF(COUNT(G848:J848)=0,"",AVERAGE(G848:J848)*4)</f>
        <v/>
      </c>
      <c r="L848" s="306">
        <f>IF(C848="","",IF(COUNT(G848:J848)=0,"",IF(COUNT(G848:J848)&lt;4,"موقت - اطلاعات ناقص",IF(K848&gt;=17,"عالی",IF(K848&gt;=14,"خوب",IF(K848&gt;=10,"متوسط","ضعیف"))))))</f>
        <v/>
      </c>
      <c r="M848" s="306" t="n">
        <v>4</v>
      </c>
      <c r="N848" s="314">
        <f>IF(C848="","",COUNT(G848:J848)/4)</f>
        <v/>
      </c>
      <c r="O848" s="307" t="n"/>
    </row>
    <row r="849" ht="24" customHeight="1">
      <c r="A849" s="306" t="n">
        <v>845</v>
      </c>
      <c r="B849" s="306" t="inlineStr">
        <is>
          <t>آبان</t>
        </is>
      </c>
      <c r="C849" s="306">
        <f>IF('دانش‌آموزان'!E75="","",'دانش‌آموزان'!B75)</f>
        <v/>
      </c>
      <c r="D849" s="306">
        <f>IF('دانش‌آموزان'!C75="","",'دانش‌آموزان'!C75)</f>
        <v/>
      </c>
      <c r="E849" s="306">
        <f>IF('دانش‌آموزان'!E75="","",'دانش‌آموزان'!E75&amp;" "&amp;'دانش‌آموزان'!F75)</f>
        <v/>
      </c>
      <c r="F849" s="306">
        <f>IF('دانش‌آموزان'!I75="","",'دانش‌آموزان'!I75)</f>
        <v/>
      </c>
      <c r="G849" s="307" t="n"/>
      <c r="H849" s="307" t="n"/>
      <c r="I849" s="307" t="n"/>
      <c r="J849" s="307" t="n"/>
      <c r="K849" s="313">
        <f>IF(COUNT(G849:J849)=0,"",AVERAGE(G849:J849)*4)</f>
        <v/>
      </c>
      <c r="L849" s="306">
        <f>IF(C849="","",IF(COUNT(G849:J849)=0,"",IF(COUNT(G849:J849)&lt;4,"موقت - اطلاعات ناقص",IF(K849&gt;=17,"عالی",IF(K849&gt;=14,"خوب",IF(K849&gt;=10,"متوسط","ضعیف"))))))</f>
        <v/>
      </c>
      <c r="M849" s="306" t="n">
        <v>5</v>
      </c>
      <c r="N849" s="314">
        <f>IF(C849="","",COUNT(G849:J849)/4)</f>
        <v/>
      </c>
      <c r="O849" s="307" t="n"/>
    </row>
    <row r="850" ht="24" customHeight="1">
      <c r="A850" s="306" t="n">
        <v>846</v>
      </c>
      <c r="B850" s="306" t="inlineStr">
        <is>
          <t>آذر</t>
        </is>
      </c>
      <c r="C850" s="306">
        <f>IF('دانش‌آموزان'!E75="","",'دانش‌آموزان'!B75)</f>
        <v/>
      </c>
      <c r="D850" s="306">
        <f>IF('دانش‌آموزان'!C75="","",'دانش‌آموزان'!C75)</f>
        <v/>
      </c>
      <c r="E850" s="306">
        <f>IF('دانش‌آموزان'!E75="","",'دانش‌آموزان'!E75&amp;" "&amp;'دانش‌آموزان'!F75)</f>
        <v/>
      </c>
      <c r="F850" s="306">
        <f>IF('دانش‌آموزان'!I75="","",'دانش‌آموزان'!I75)</f>
        <v/>
      </c>
      <c r="G850" s="307" t="n"/>
      <c r="H850" s="307" t="n"/>
      <c r="I850" s="307" t="n"/>
      <c r="J850" s="307" t="n"/>
      <c r="K850" s="313">
        <f>IF(COUNT(G850:J850)=0,"",AVERAGE(G850:J850)*4)</f>
        <v/>
      </c>
      <c r="L850" s="306">
        <f>IF(C850="","",IF(COUNT(G850:J850)=0,"",IF(COUNT(G850:J850)&lt;4,"موقت - اطلاعات ناقص",IF(K850&gt;=17,"عالی",IF(K850&gt;=14,"خوب",IF(K850&gt;=10,"متوسط","ضعیف"))))))</f>
        <v/>
      </c>
      <c r="M850" s="306" t="n">
        <v>6</v>
      </c>
      <c r="N850" s="314">
        <f>IF(C850="","",COUNT(G850:J850)/4)</f>
        <v/>
      </c>
      <c r="O850" s="307" t="n"/>
    </row>
    <row r="851" ht="24" customHeight="1">
      <c r="A851" s="306" t="n">
        <v>847</v>
      </c>
      <c r="B851" s="306" t="inlineStr">
        <is>
          <t>دی</t>
        </is>
      </c>
      <c r="C851" s="306">
        <f>IF('دانش‌آموزان'!E75="","",'دانش‌آموزان'!B75)</f>
        <v/>
      </c>
      <c r="D851" s="306">
        <f>IF('دانش‌آموزان'!C75="","",'دانش‌آموزان'!C75)</f>
        <v/>
      </c>
      <c r="E851" s="306">
        <f>IF('دانش‌آموزان'!E75="","",'دانش‌آموزان'!E75&amp;" "&amp;'دانش‌آموزان'!F75)</f>
        <v/>
      </c>
      <c r="F851" s="306">
        <f>IF('دانش‌آموزان'!I75="","",'دانش‌آموزان'!I75)</f>
        <v/>
      </c>
      <c r="G851" s="307" t="n"/>
      <c r="H851" s="307" t="n"/>
      <c r="I851" s="307" t="n"/>
      <c r="J851" s="307" t="n"/>
      <c r="K851" s="313">
        <f>IF(COUNT(G851:J851)=0,"",AVERAGE(G851:J851)*4)</f>
        <v/>
      </c>
      <c r="L851" s="306">
        <f>IF(C851="","",IF(COUNT(G851:J851)=0,"",IF(COUNT(G851:J851)&lt;4,"موقت - اطلاعات ناقص",IF(K851&gt;=17,"عالی",IF(K851&gt;=14,"خوب",IF(K851&gt;=10,"متوسط","ضعیف"))))))</f>
        <v/>
      </c>
      <c r="M851" s="306" t="n">
        <v>7</v>
      </c>
      <c r="N851" s="314">
        <f>IF(C851="","",COUNT(G851:J851)/4)</f>
        <v/>
      </c>
      <c r="O851" s="307" t="n"/>
    </row>
    <row r="852" ht="24" customHeight="1">
      <c r="A852" s="306" t="n">
        <v>848</v>
      </c>
      <c r="B852" s="306" t="inlineStr">
        <is>
          <t>بهمن</t>
        </is>
      </c>
      <c r="C852" s="306">
        <f>IF('دانش‌آموزان'!E75="","",'دانش‌آموزان'!B75)</f>
        <v/>
      </c>
      <c r="D852" s="306">
        <f>IF('دانش‌آموزان'!C75="","",'دانش‌آموزان'!C75)</f>
        <v/>
      </c>
      <c r="E852" s="306">
        <f>IF('دانش‌آموزان'!E75="","",'دانش‌آموزان'!E75&amp;" "&amp;'دانش‌آموزان'!F75)</f>
        <v/>
      </c>
      <c r="F852" s="306">
        <f>IF('دانش‌آموزان'!I75="","",'دانش‌آموزان'!I75)</f>
        <v/>
      </c>
      <c r="G852" s="307" t="n"/>
      <c r="H852" s="307" t="n"/>
      <c r="I852" s="307" t="n"/>
      <c r="J852" s="307" t="n"/>
      <c r="K852" s="313">
        <f>IF(COUNT(G852:J852)=0,"",AVERAGE(G852:J852)*4)</f>
        <v/>
      </c>
      <c r="L852" s="306">
        <f>IF(C852="","",IF(COUNT(G852:J852)=0,"",IF(COUNT(G852:J852)&lt;4,"موقت - اطلاعات ناقص",IF(K852&gt;=17,"عالی",IF(K852&gt;=14,"خوب",IF(K852&gt;=10,"متوسط","ضعیف"))))))</f>
        <v/>
      </c>
      <c r="M852" s="306" t="n">
        <v>8</v>
      </c>
      <c r="N852" s="314">
        <f>IF(C852="","",COUNT(G852:J852)/4)</f>
        <v/>
      </c>
      <c r="O852" s="307" t="n"/>
    </row>
    <row r="853" ht="24" customHeight="1">
      <c r="A853" s="306" t="n">
        <v>849</v>
      </c>
      <c r="B853" s="306" t="inlineStr">
        <is>
          <t>اسفند</t>
        </is>
      </c>
      <c r="C853" s="306">
        <f>IF('دانش‌آموزان'!E75="","",'دانش‌آموزان'!B75)</f>
        <v/>
      </c>
      <c r="D853" s="306">
        <f>IF('دانش‌آموزان'!C75="","",'دانش‌آموزان'!C75)</f>
        <v/>
      </c>
      <c r="E853" s="306">
        <f>IF('دانش‌آموزان'!E75="","",'دانش‌آموزان'!E75&amp;" "&amp;'دانش‌آموزان'!F75)</f>
        <v/>
      </c>
      <c r="F853" s="306">
        <f>IF('دانش‌آموزان'!I75="","",'دانش‌آموزان'!I75)</f>
        <v/>
      </c>
      <c r="G853" s="307" t="n"/>
      <c r="H853" s="307" t="n"/>
      <c r="I853" s="307" t="n"/>
      <c r="J853" s="307" t="n"/>
      <c r="K853" s="313">
        <f>IF(COUNT(G853:J853)=0,"",AVERAGE(G853:J853)*4)</f>
        <v/>
      </c>
      <c r="L853" s="306">
        <f>IF(C853="","",IF(COUNT(G853:J853)=0,"",IF(COUNT(G853:J853)&lt;4,"موقت - اطلاعات ناقص",IF(K853&gt;=17,"عالی",IF(K853&gt;=14,"خوب",IF(K853&gt;=10,"متوسط","ضعیف"))))))</f>
        <v/>
      </c>
      <c r="M853" s="306" t="n">
        <v>9</v>
      </c>
      <c r="N853" s="314">
        <f>IF(C853="","",COUNT(G853:J853)/4)</f>
        <v/>
      </c>
      <c r="O853" s="307" t="n"/>
    </row>
    <row r="854" ht="24" customHeight="1">
      <c r="A854" s="306" t="n">
        <v>850</v>
      </c>
      <c r="B854" s="306" t="inlineStr">
        <is>
          <t>فروردین</t>
        </is>
      </c>
      <c r="C854" s="306">
        <f>IF('دانش‌آموزان'!E75="","",'دانش‌آموزان'!B75)</f>
        <v/>
      </c>
      <c r="D854" s="306">
        <f>IF('دانش‌آموزان'!C75="","",'دانش‌آموزان'!C75)</f>
        <v/>
      </c>
      <c r="E854" s="306">
        <f>IF('دانش‌آموزان'!E75="","",'دانش‌آموزان'!E75&amp;" "&amp;'دانش‌آموزان'!F75)</f>
        <v/>
      </c>
      <c r="F854" s="306">
        <f>IF('دانش‌آموزان'!I75="","",'دانش‌آموزان'!I75)</f>
        <v/>
      </c>
      <c r="G854" s="307" t="n"/>
      <c r="H854" s="307" t="n"/>
      <c r="I854" s="307" t="n"/>
      <c r="J854" s="307" t="n"/>
      <c r="K854" s="313">
        <f>IF(COUNT(G854:J854)=0,"",AVERAGE(G854:J854)*4)</f>
        <v/>
      </c>
      <c r="L854" s="306">
        <f>IF(C854="","",IF(COUNT(G854:J854)=0,"",IF(COUNT(G854:J854)&lt;4,"موقت - اطلاعات ناقص",IF(K854&gt;=17,"عالی",IF(K854&gt;=14,"خوب",IF(K854&gt;=10,"متوسط","ضعیف"))))))</f>
        <v/>
      </c>
      <c r="M854" s="306" t="n">
        <v>10</v>
      </c>
      <c r="N854" s="314">
        <f>IF(C854="","",COUNT(G854:J854)/4)</f>
        <v/>
      </c>
      <c r="O854" s="307" t="n"/>
    </row>
    <row r="855" ht="24" customHeight="1">
      <c r="A855" s="306" t="n">
        <v>851</v>
      </c>
      <c r="B855" s="306" t="inlineStr">
        <is>
          <t>اردیبهشت</t>
        </is>
      </c>
      <c r="C855" s="306">
        <f>IF('دانش‌آموزان'!E75="","",'دانش‌آموزان'!B75)</f>
        <v/>
      </c>
      <c r="D855" s="306">
        <f>IF('دانش‌آموزان'!C75="","",'دانش‌آموزان'!C75)</f>
        <v/>
      </c>
      <c r="E855" s="306">
        <f>IF('دانش‌آموزان'!E75="","",'دانش‌آموزان'!E75&amp;" "&amp;'دانش‌آموزان'!F75)</f>
        <v/>
      </c>
      <c r="F855" s="306">
        <f>IF('دانش‌آموزان'!I75="","",'دانش‌آموزان'!I75)</f>
        <v/>
      </c>
      <c r="G855" s="307" t="n"/>
      <c r="H855" s="307" t="n"/>
      <c r="I855" s="307" t="n"/>
      <c r="J855" s="307" t="n"/>
      <c r="K855" s="313">
        <f>IF(COUNT(G855:J855)=0,"",AVERAGE(G855:J855)*4)</f>
        <v/>
      </c>
      <c r="L855" s="306">
        <f>IF(C855="","",IF(COUNT(G855:J855)=0,"",IF(COUNT(G855:J855)&lt;4,"موقت - اطلاعات ناقص",IF(K855&gt;=17,"عالی",IF(K855&gt;=14,"خوب",IF(K855&gt;=10,"متوسط","ضعیف"))))))</f>
        <v/>
      </c>
      <c r="M855" s="306" t="n">
        <v>11</v>
      </c>
      <c r="N855" s="314">
        <f>IF(C855="","",COUNT(G855:J855)/4)</f>
        <v/>
      </c>
      <c r="O855" s="307" t="n"/>
    </row>
    <row r="856" ht="24" customHeight="1">
      <c r="A856" s="306" t="n">
        <v>852</v>
      </c>
      <c r="B856" s="306" t="inlineStr">
        <is>
          <t>خرداد</t>
        </is>
      </c>
      <c r="C856" s="306">
        <f>IF('دانش‌آموزان'!E75="","",'دانش‌آموزان'!B75)</f>
        <v/>
      </c>
      <c r="D856" s="306">
        <f>IF('دانش‌آموزان'!C75="","",'دانش‌آموزان'!C75)</f>
        <v/>
      </c>
      <c r="E856" s="306">
        <f>IF('دانش‌آموزان'!E75="","",'دانش‌آموزان'!E75&amp;" "&amp;'دانش‌آموزان'!F75)</f>
        <v/>
      </c>
      <c r="F856" s="306">
        <f>IF('دانش‌آموزان'!I75="","",'دانش‌آموزان'!I75)</f>
        <v/>
      </c>
      <c r="G856" s="307" t="n"/>
      <c r="H856" s="307" t="n"/>
      <c r="I856" s="307" t="n"/>
      <c r="J856" s="307" t="n"/>
      <c r="K856" s="313">
        <f>IF(COUNT(G856:J856)=0,"",AVERAGE(G856:J856)*4)</f>
        <v/>
      </c>
      <c r="L856" s="306">
        <f>IF(C856="","",IF(COUNT(G856:J856)=0,"",IF(COUNT(G856:J856)&lt;4,"موقت - اطلاعات ناقص",IF(K856&gt;=17,"عالی",IF(K856&gt;=14,"خوب",IF(K856&gt;=10,"متوسط","ضعیف"))))))</f>
        <v/>
      </c>
      <c r="M856" s="306" t="n">
        <v>12</v>
      </c>
      <c r="N856" s="314">
        <f>IF(C856="","",COUNT(G856:J856)/4)</f>
        <v/>
      </c>
      <c r="O856" s="307" t="n"/>
    </row>
    <row r="857" ht="24" customHeight="1">
      <c r="A857" s="306" t="n">
        <v>853</v>
      </c>
      <c r="B857" s="306" t="inlineStr">
        <is>
          <t>تیر</t>
        </is>
      </c>
      <c r="C857" s="306">
        <f>IF('دانش‌آموزان'!E76="","",'دانش‌آموزان'!B76)</f>
        <v/>
      </c>
      <c r="D857" s="306">
        <f>IF('دانش‌آموزان'!C76="","",'دانش‌آموزان'!C76)</f>
        <v/>
      </c>
      <c r="E857" s="306">
        <f>IF('دانش‌آموزان'!E76="","",'دانش‌آموزان'!E76&amp;" "&amp;'دانش‌آموزان'!F76)</f>
        <v/>
      </c>
      <c r="F857" s="306">
        <f>IF('دانش‌آموزان'!I76="","",'دانش‌آموزان'!I76)</f>
        <v/>
      </c>
      <c r="G857" s="307" t="n"/>
      <c r="H857" s="307" t="n"/>
      <c r="I857" s="307" t="n"/>
      <c r="J857" s="307" t="n"/>
      <c r="K857" s="313">
        <f>IF(COUNT(G857:J857)=0,"",AVERAGE(G857:J857)*4)</f>
        <v/>
      </c>
      <c r="L857" s="306">
        <f>IF(C857="","",IF(COUNT(G857:J857)=0,"",IF(COUNT(G857:J857)&lt;4,"موقت - اطلاعات ناقص",IF(K857&gt;=17,"عالی",IF(K857&gt;=14,"خوب",IF(K857&gt;=10,"متوسط","ضعیف"))))))</f>
        <v/>
      </c>
      <c r="M857" s="306" t="n">
        <v>1</v>
      </c>
      <c r="N857" s="314">
        <f>IF(C857="","",COUNT(G857:J857)/4)</f>
        <v/>
      </c>
      <c r="O857" s="307" t="n"/>
    </row>
    <row r="858" ht="24" customHeight="1">
      <c r="A858" s="306" t="n">
        <v>854</v>
      </c>
      <c r="B858" s="306" t="inlineStr">
        <is>
          <t>مرداد</t>
        </is>
      </c>
      <c r="C858" s="306">
        <f>IF('دانش‌آموزان'!E76="","",'دانش‌آموزان'!B76)</f>
        <v/>
      </c>
      <c r="D858" s="306">
        <f>IF('دانش‌آموزان'!C76="","",'دانش‌آموزان'!C76)</f>
        <v/>
      </c>
      <c r="E858" s="306">
        <f>IF('دانش‌آموزان'!E76="","",'دانش‌آموزان'!E76&amp;" "&amp;'دانش‌آموزان'!F76)</f>
        <v/>
      </c>
      <c r="F858" s="306">
        <f>IF('دانش‌آموزان'!I76="","",'دانش‌آموزان'!I76)</f>
        <v/>
      </c>
      <c r="G858" s="307" t="n"/>
      <c r="H858" s="307" t="n"/>
      <c r="I858" s="307" t="n"/>
      <c r="J858" s="307" t="n"/>
      <c r="K858" s="313">
        <f>IF(COUNT(G858:J858)=0,"",AVERAGE(G858:J858)*4)</f>
        <v/>
      </c>
      <c r="L858" s="306">
        <f>IF(C858="","",IF(COUNT(G858:J858)=0,"",IF(COUNT(G858:J858)&lt;4,"موقت - اطلاعات ناقص",IF(K858&gt;=17,"عالی",IF(K858&gt;=14,"خوب",IF(K858&gt;=10,"متوسط","ضعیف"))))))</f>
        <v/>
      </c>
      <c r="M858" s="306" t="n">
        <v>2</v>
      </c>
      <c r="N858" s="314">
        <f>IF(C858="","",COUNT(G858:J858)/4)</f>
        <v/>
      </c>
      <c r="O858" s="307" t="n"/>
    </row>
    <row r="859" ht="24" customHeight="1">
      <c r="A859" s="306" t="n">
        <v>855</v>
      </c>
      <c r="B859" s="306" t="inlineStr">
        <is>
          <t>شهریور</t>
        </is>
      </c>
      <c r="C859" s="306">
        <f>IF('دانش‌آموزان'!E76="","",'دانش‌آموزان'!B76)</f>
        <v/>
      </c>
      <c r="D859" s="306">
        <f>IF('دانش‌آموزان'!C76="","",'دانش‌آموزان'!C76)</f>
        <v/>
      </c>
      <c r="E859" s="306">
        <f>IF('دانش‌آموزان'!E76="","",'دانش‌آموزان'!E76&amp;" "&amp;'دانش‌آموزان'!F76)</f>
        <v/>
      </c>
      <c r="F859" s="306">
        <f>IF('دانش‌آموزان'!I76="","",'دانش‌آموزان'!I76)</f>
        <v/>
      </c>
      <c r="G859" s="307" t="n"/>
      <c r="H859" s="307" t="n"/>
      <c r="I859" s="307" t="n"/>
      <c r="J859" s="307" t="n"/>
      <c r="K859" s="313">
        <f>IF(COUNT(G859:J859)=0,"",AVERAGE(G859:J859)*4)</f>
        <v/>
      </c>
      <c r="L859" s="306">
        <f>IF(C859="","",IF(COUNT(G859:J859)=0,"",IF(COUNT(G859:J859)&lt;4,"موقت - اطلاعات ناقص",IF(K859&gt;=17,"عالی",IF(K859&gt;=14,"خوب",IF(K859&gt;=10,"متوسط","ضعیف"))))))</f>
        <v/>
      </c>
      <c r="M859" s="306" t="n">
        <v>3</v>
      </c>
      <c r="N859" s="314">
        <f>IF(C859="","",COUNT(G859:J859)/4)</f>
        <v/>
      </c>
      <c r="O859" s="307" t="n"/>
    </row>
    <row r="860" ht="24" customHeight="1">
      <c r="A860" s="306" t="n">
        <v>856</v>
      </c>
      <c r="B860" s="306" t="inlineStr">
        <is>
          <t>مهر</t>
        </is>
      </c>
      <c r="C860" s="306">
        <f>IF('دانش‌آموزان'!E76="","",'دانش‌آموزان'!B76)</f>
        <v/>
      </c>
      <c r="D860" s="306">
        <f>IF('دانش‌آموزان'!C76="","",'دانش‌آموزان'!C76)</f>
        <v/>
      </c>
      <c r="E860" s="306">
        <f>IF('دانش‌آموزان'!E76="","",'دانش‌آموزان'!E76&amp;" "&amp;'دانش‌آموزان'!F76)</f>
        <v/>
      </c>
      <c r="F860" s="306">
        <f>IF('دانش‌آموزان'!I76="","",'دانش‌آموزان'!I76)</f>
        <v/>
      </c>
      <c r="G860" s="307" t="n"/>
      <c r="H860" s="307" t="n"/>
      <c r="I860" s="307" t="n"/>
      <c r="J860" s="307" t="n"/>
      <c r="K860" s="313">
        <f>IF(COUNT(G860:J860)=0,"",AVERAGE(G860:J860)*4)</f>
        <v/>
      </c>
      <c r="L860" s="306">
        <f>IF(C860="","",IF(COUNT(G860:J860)=0,"",IF(COUNT(G860:J860)&lt;4,"موقت - اطلاعات ناقص",IF(K860&gt;=17,"عالی",IF(K860&gt;=14,"خوب",IF(K860&gt;=10,"متوسط","ضعیف"))))))</f>
        <v/>
      </c>
      <c r="M860" s="306" t="n">
        <v>4</v>
      </c>
      <c r="N860" s="314">
        <f>IF(C860="","",COUNT(G860:J860)/4)</f>
        <v/>
      </c>
      <c r="O860" s="307" t="n"/>
    </row>
    <row r="861" ht="24" customHeight="1">
      <c r="A861" s="306" t="n">
        <v>857</v>
      </c>
      <c r="B861" s="306" t="inlineStr">
        <is>
          <t>آبان</t>
        </is>
      </c>
      <c r="C861" s="306">
        <f>IF('دانش‌آموزان'!E76="","",'دانش‌آموزان'!B76)</f>
        <v/>
      </c>
      <c r="D861" s="306">
        <f>IF('دانش‌آموزان'!C76="","",'دانش‌آموزان'!C76)</f>
        <v/>
      </c>
      <c r="E861" s="306">
        <f>IF('دانش‌آموزان'!E76="","",'دانش‌آموزان'!E76&amp;" "&amp;'دانش‌آموزان'!F76)</f>
        <v/>
      </c>
      <c r="F861" s="306">
        <f>IF('دانش‌آموزان'!I76="","",'دانش‌آموزان'!I76)</f>
        <v/>
      </c>
      <c r="G861" s="307" t="n"/>
      <c r="H861" s="307" t="n"/>
      <c r="I861" s="307" t="n"/>
      <c r="J861" s="307" t="n"/>
      <c r="K861" s="313">
        <f>IF(COUNT(G861:J861)=0,"",AVERAGE(G861:J861)*4)</f>
        <v/>
      </c>
      <c r="L861" s="306">
        <f>IF(C861="","",IF(COUNT(G861:J861)=0,"",IF(COUNT(G861:J861)&lt;4,"موقت - اطلاعات ناقص",IF(K861&gt;=17,"عالی",IF(K861&gt;=14,"خوب",IF(K861&gt;=10,"متوسط","ضعیف"))))))</f>
        <v/>
      </c>
      <c r="M861" s="306" t="n">
        <v>5</v>
      </c>
      <c r="N861" s="314">
        <f>IF(C861="","",COUNT(G861:J861)/4)</f>
        <v/>
      </c>
      <c r="O861" s="307" t="n"/>
    </row>
    <row r="862" ht="24" customHeight="1">
      <c r="A862" s="306" t="n">
        <v>858</v>
      </c>
      <c r="B862" s="306" t="inlineStr">
        <is>
          <t>آذر</t>
        </is>
      </c>
      <c r="C862" s="306">
        <f>IF('دانش‌آموزان'!E76="","",'دانش‌آموزان'!B76)</f>
        <v/>
      </c>
      <c r="D862" s="306">
        <f>IF('دانش‌آموزان'!C76="","",'دانش‌آموزان'!C76)</f>
        <v/>
      </c>
      <c r="E862" s="306">
        <f>IF('دانش‌آموزان'!E76="","",'دانش‌آموزان'!E76&amp;" "&amp;'دانش‌آموزان'!F76)</f>
        <v/>
      </c>
      <c r="F862" s="306">
        <f>IF('دانش‌آموزان'!I76="","",'دانش‌آموزان'!I76)</f>
        <v/>
      </c>
      <c r="G862" s="307" t="n"/>
      <c r="H862" s="307" t="n"/>
      <c r="I862" s="307" t="n"/>
      <c r="J862" s="307" t="n"/>
      <c r="K862" s="313">
        <f>IF(COUNT(G862:J862)=0,"",AVERAGE(G862:J862)*4)</f>
        <v/>
      </c>
      <c r="L862" s="306">
        <f>IF(C862="","",IF(COUNT(G862:J862)=0,"",IF(COUNT(G862:J862)&lt;4,"موقت - اطلاعات ناقص",IF(K862&gt;=17,"عالی",IF(K862&gt;=14,"خوب",IF(K862&gt;=10,"متوسط","ضعیف"))))))</f>
        <v/>
      </c>
      <c r="M862" s="306" t="n">
        <v>6</v>
      </c>
      <c r="N862" s="314">
        <f>IF(C862="","",COUNT(G862:J862)/4)</f>
        <v/>
      </c>
      <c r="O862" s="307" t="n"/>
    </row>
    <row r="863" ht="24" customHeight="1">
      <c r="A863" s="306" t="n">
        <v>859</v>
      </c>
      <c r="B863" s="306" t="inlineStr">
        <is>
          <t>دی</t>
        </is>
      </c>
      <c r="C863" s="306">
        <f>IF('دانش‌آموزان'!E76="","",'دانش‌آموزان'!B76)</f>
        <v/>
      </c>
      <c r="D863" s="306">
        <f>IF('دانش‌آموزان'!C76="","",'دانش‌آموزان'!C76)</f>
        <v/>
      </c>
      <c r="E863" s="306">
        <f>IF('دانش‌آموزان'!E76="","",'دانش‌آموزان'!E76&amp;" "&amp;'دانش‌آموزان'!F76)</f>
        <v/>
      </c>
      <c r="F863" s="306">
        <f>IF('دانش‌آموزان'!I76="","",'دانش‌آموزان'!I76)</f>
        <v/>
      </c>
      <c r="G863" s="307" t="n"/>
      <c r="H863" s="307" t="n"/>
      <c r="I863" s="307" t="n"/>
      <c r="J863" s="307" t="n"/>
      <c r="K863" s="313">
        <f>IF(COUNT(G863:J863)=0,"",AVERAGE(G863:J863)*4)</f>
        <v/>
      </c>
      <c r="L863" s="306">
        <f>IF(C863="","",IF(COUNT(G863:J863)=0,"",IF(COUNT(G863:J863)&lt;4,"موقت - اطلاعات ناقص",IF(K863&gt;=17,"عالی",IF(K863&gt;=14,"خوب",IF(K863&gt;=10,"متوسط","ضعیف"))))))</f>
        <v/>
      </c>
      <c r="M863" s="306" t="n">
        <v>7</v>
      </c>
      <c r="N863" s="314">
        <f>IF(C863="","",COUNT(G863:J863)/4)</f>
        <v/>
      </c>
      <c r="O863" s="307" t="n"/>
    </row>
    <row r="864" ht="24" customHeight="1">
      <c r="A864" s="306" t="n">
        <v>860</v>
      </c>
      <c r="B864" s="306" t="inlineStr">
        <is>
          <t>بهمن</t>
        </is>
      </c>
      <c r="C864" s="306">
        <f>IF('دانش‌آموزان'!E76="","",'دانش‌آموزان'!B76)</f>
        <v/>
      </c>
      <c r="D864" s="306">
        <f>IF('دانش‌آموزان'!C76="","",'دانش‌آموزان'!C76)</f>
        <v/>
      </c>
      <c r="E864" s="306">
        <f>IF('دانش‌آموزان'!E76="","",'دانش‌آموزان'!E76&amp;" "&amp;'دانش‌آموزان'!F76)</f>
        <v/>
      </c>
      <c r="F864" s="306">
        <f>IF('دانش‌آموزان'!I76="","",'دانش‌آموزان'!I76)</f>
        <v/>
      </c>
      <c r="G864" s="307" t="n"/>
      <c r="H864" s="307" t="n"/>
      <c r="I864" s="307" t="n"/>
      <c r="J864" s="307" t="n"/>
      <c r="K864" s="313">
        <f>IF(COUNT(G864:J864)=0,"",AVERAGE(G864:J864)*4)</f>
        <v/>
      </c>
      <c r="L864" s="306">
        <f>IF(C864="","",IF(COUNT(G864:J864)=0,"",IF(COUNT(G864:J864)&lt;4,"موقت - اطلاعات ناقص",IF(K864&gt;=17,"عالی",IF(K864&gt;=14,"خوب",IF(K864&gt;=10,"متوسط","ضعیف"))))))</f>
        <v/>
      </c>
      <c r="M864" s="306" t="n">
        <v>8</v>
      </c>
      <c r="N864" s="314">
        <f>IF(C864="","",COUNT(G864:J864)/4)</f>
        <v/>
      </c>
      <c r="O864" s="307" t="n"/>
    </row>
    <row r="865" ht="24" customHeight="1">
      <c r="A865" s="306" t="n">
        <v>861</v>
      </c>
      <c r="B865" s="306" t="inlineStr">
        <is>
          <t>اسفند</t>
        </is>
      </c>
      <c r="C865" s="306">
        <f>IF('دانش‌آموزان'!E76="","",'دانش‌آموزان'!B76)</f>
        <v/>
      </c>
      <c r="D865" s="306">
        <f>IF('دانش‌آموزان'!C76="","",'دانش‌آموزان'!C76)</f>
        <v/>
      </c>
      <c r="E865" s="306">
        <f>IF('دانش‌آموزان'!E76="","",'دانش‌آموزان'!E76&amp;" "&amp;'دانش‌آموزان'!F76)</f>
        <v/>
      </c>
      <c r="F865" s="306">
        <f>IF('دانش‌آموزان'!I76="","",'دانش‌آموزان'!I76)</f>
        <v/>
      </c>
      <c r="G865" s="307" t="n"/>
      <c r="H865" s="307" t="n"/>
      <c r="I865" s="307" t="n"/>
      <c r="J865" s="307" t="n"/>
      <c r="K865" s="313">
        <f>IF(COUNT(G865:J865)=0,"",AVERAGE(G865:J865)*4)</f>
        <v/>
      </c>
      <c r="L865" s="306">
        <f>IF(C865="","",IF(COUNT(G865:J865)=0,"",IF(COUNT(G865:J865)&lt;4,"موقت - اطلاعات ناقص",IF(K865&gt;=17,"عالی",IF(K865&gt;=14,"خوب",IF(K865&gt;=10,"متوسط","ضعیف"))))))</f>
        <v/>
      </c>
      <c r="M865" s="306" t="n">
        <v>9</v>
      </c>
      <c r="N865" s="314">
        <f>IF(C865="","",COUNT(G865:J865)/4)</f>
        <v/>
      </c>
      <c r="O865" s="307" t="n"/>
    </row>
    <row r="866" ht="24" customHeight="1">
      <c r="A866" s="306" t="n">
        <v>862</v>
      </c>
      <c r="B866" s="306" t="inlineStr">
        <is>
          <t>فروردین</t>
        </is>
      </c>
      <c r="C866" s="306">
        <f>IF('دانش‌آموزان'!E76="","",'دانش‌آموزان'!B76)</f>
        <v/>
      </c>
      <c r="D866" s="306">
        <f>IF('دانش‌آموزان'!C76="","",'دانش‌آموزان'!C76)</f>
        <v/>
      </c>
      <c r="E866" s="306">
        <f>IF('دانش‌آموزان'!E76="","",'دانش‌آموزان'!E76&amp;" "&amp;'دانش‌آموزان'!F76)</f>
        <v/>
      </c>
      <c r="F866" s="306">
        <f>IF('دانش‌آموزان'!I76="","",'دانش‌آموزان'!I76)</f>
        <v/>
      </c>
      <c r="G866" s="307" t="n"/>
      <c r="H866" s="307" t="n"/>
      <c r="I866" s="307" t="n"/>
      <c r="J866" s="307" t="n"/>
      <c r="K866" s="313">
        <f>IF(COUNT(G866:J866)=0,"",AVERAGE(G866:J866)*4)</f>
        <v/>
      </c>
      <c r="L866" s="306">
        <f>IF(C866="","",IF(COUNT(G866:J866)=0,"",IF(COUNT(G866:J866)&lt;4,"موقت - اطلاعات ناقص",IF(K866&gt;=17,"عالی",IF(K866&gt;=14,"خوب",IF(K866&gt;=10,"متوسط","ضعیف"))))))</f>
        <v/>
      </c>
      <c r="M866" s="306" t="n">
        <v>10</v>
      </c>
      <c r="N866" s="314">
        <f>IF(C866="","",COUNT(G866:J866)/4)</f>
        <v/>
      </c>
      <c r="O866" s="307" t="n"/>
    </row>
    <row r="867" ht="24" customHeight="1">
      <c r="A867" s="306" t="n">
        <v>863</v>
      </c>
      <c r="B867" s="306" t="inlineStr">
        <is>
          <t>اردیبهشت</t>
        </is>
      </c>
      <c r="C867" s="306">
        <f>IF('دانش‌آموزان'!E76="","",'دانش‌آموزان'!B76)</f>
        <v/>
      </c>
      <c r="D867" s="306">
        <f>IF('دانش‌آموزان'!C76="","",'دانش‌آموزان'!C76)</f>
        <v/>
      </c>
      <c r="E867" s="306">
        <f>IF('دانش‌آموزان'!E76="","",'دانش‌آموزان'!E76&amp;" "&amp;'دانش‌آموزان'!F76)</f>
        <v/>
      </c>
      <c r="F867" s="306">
        <f>IF('دانش‌آموزان'!I76="","",'دانش‌آموزان'!I76)</f>
        <v/>
      </c>
      <c r="G867" s="307" t="n"/>
      <c r="H867" s="307" t="n"/>
      <c r="I867" s="307" t="n"/>
      <c r="J867" s="307" t="n"/>
      <c r="K867" s="313">
        <f>IF(COUNT(G867:J867)=0,"",AVERAGE(G867:J867)*4)</f>
        <v/>
      </c>
      <c r="L867" s="306">
        <f>IF(C867="","",IF(COUNT(G867:J867)=0,"",IF(COUNT(G867:J867)&lt;4,"موقت - اطلاعات ناقص",IF(K867&gt;=17,"عالی",IF(K867&gt;=14,"خوب",IF(K867&gt;=10,"متوسط","ضعیف"))))))</f>
        <v/>
      </c>
      <c r="M867" s="306" t="n">
        <v>11</v>
      </c>
      <c r="N867" s="314">
        <f>IF(C867="","",COUNT(G867:J867)/4)</f>
        <v/>
      </c>
      <c r="O867" s="307" t="n"/>
    </row>
    <row r="868" ht="24" customHeight="1">
      <c r="A868" s="306" t="n">
        <v>864</v>
      </c>
      <c r="B868" s="306" t="inlineStr">
        <is>
          <t>خرداد</t>
        </is>
      </c>
      <c r="C868" s="306">
        <f>IF('دانش‌آموزان'!E76="","",'دانش‌آموزان'!B76)</f>
        <v/>
      </c>
      <c r="D868" s="306">
        <f>IF('دانش‌آموزان'!C76="","",'دانش‌آموزان'!C76)</f>
        <v/>
      </c>
      <c r="E868" s="306">
        <f>IF('دانش‌آموزان'!E76="","",'دانش‌آموزان'!E76&amp;" "&amp;'دانش‌آموزان'!F76)</f>
        <v/>
      </c>
      <c r="F868" s="306">
        <f>IF('دانش‌آموزان'!I76="","",'دانش‌آموزان'!I76)</f>
        <v/>
      </c>
      <c r="G868" s="307" t="n"/>
      <c r="H868" s="307" t="n"/>
      <c r="I868" s="307" t="n"/>
      <c r="J868" s="307" t="n"/>
      <c r="K868" s="313">
        <f>IF(COUNT(G868:J868)=0,"",AVERAGE(G868:J868)*4)</f>
        <v/>
      </c>
      <c r="L868" s="306">
        <f>IF(C868="","",IF(COUNT(G868:J868)=0,"",IF(COUNT(G868:J868)&lt;4,"موقت - اطلاعات ناقص",IF(K868&gt;=17,"عالی",IF(K868&gt;=14,"خوب",IF(K868&gt;=10,"متوسط","ضعیف"))))))</f>
        <v/>
      </c>
      <c r="M868" s="306" t="n">
        <v>12</v>
      </c>
      <c r="N868" s="314">
        <f>IF(C868="","",COUNT(G868:J868)/4)</f>
        <v/>
      </c>
      <c r="O868" s="307" t="n"/>
    </row>
    <row r="869" ht="24" customHeight="1">
      <c r="A869" s="306" t="n">
        <v>865</v>
      </c>
      <c r="B869" s="306" t="inlineStr">
        <is>
          <t>تیر</t>
        </is>
      </c>
      <c r="C869" s="306">
        <f>IF('دانش‌آموزان'!E77="","",'دانش‌آموزان'!B77)</f>
        <v/>
      </c>
      <c r="D869" s="306">
        <f>IF('دانش‌آموزان'!C77="","",'دانش‌آموزان'!C77)</f>
        <v/>
      </c>
      <c r="E869" s="306">
        <f>IF('دانش‌آموزان'!E77="","",'دانش‌آموزان'!E77&amp;" "&amp;'دانش‌آموزان'!F77)</f>
        <v/>
      </c>
      <c r="F869" s="306">
        <f>IF('دانش‌آموزان'!I77="","",'دانش‌آموزان'!I77)</f>
        <v/>
      </c>
      <c r="G869" s="307" t="n"/>
      <c r="H869" s="307" t="n"/>
      <c r="I869" s="307" t="n"/>
      <c r="J869" s="307" t="n"/>
      <c r="K869" s="313">
        <f>IF(COUNT(G869:J869)=0,"",AVERAGE(G869:J869)*4)</f>
        <v/>
      </c>
      <c r="L869" s="306">
        <f>IF(C869="","",IF(COUNT(G869:J869)=0,"",IF(COUNT(G869:J869)&lt;4,"موقت - اطلاعات ناقص",IF(K869&gt;=17,"عالی",IF(K869&gt;=14,"خوب",IF(K869&gt;=10,"متوسط","ضعیف"))))))</f>
        <v/>
      </c>
      <c r="M869" s="306" t="n">
        <v>1</v>
      </c>
      <c r="N869" s="314">
        <f>IF(C869="","",COUNT(G869:J869)/4)</f>
        <v/>
      </c>
      <c r="O869" s="307" t="n"/>
    </row>
    <row r="870" ht="24" customHeight="1">
      <c r="A870" s="306" t="n">
        <v>866</v>
      </c>
      <c r="B870" s="306" t="inlineStr">
        <is>
          <t>مرداد</t>
        </is>
      </c>
      <c r="C870" s="306">
        <f>IF('دانش‌آموزان'!E77="","",'دانش‌آموزان'!B77)</f>
        <v/>
      </c>
      <c r="D870" s="306">
        <f>IF('دانش‌آموزان'!C77="","",'دانش‌آموزان'!C77)</f>
        <v/>
      </c>
      <c r="E870" s="306">
        <f>IF('دانش‌آموزان'!E77="","",'دانش‌آموزان'!E77&amp;" "&amp;'دانش‌آموزان'!F77)</f>
        <v/>
      </c>
      <c r="F870" s="306">
        <f>IF('دانش‌آموزان'!I77="","",'دانش‌آموزان'!I77)</f>
        <v/>
      </c>
      <c r="G870" s="307" t="n"/>
      <c r="H870" s="307" t="n"/>
      <c r="I870" s="307" t="n"/>
      <c r="J870" s="307" t="n"/>
      <c r="K870" s="313">
        <f>IF(COUNT(G870:J870)=0,"",AVERAGE(G870:J870)*4)</f>
        <v/>
      </c>
      <c r="L870" s="306">
        <f>IF(C870="","",IF(COUNT(G870:J870)=0,"",IF(COUNT(G870:J870)&lt;4,"موقت - اطلاعات ناقص",IF(K870&gt;=17,"عالی",IF(K870&gt;=14,"خوب",IF(K870&gt;=10,"متوسط","ضعیف"))))))</f>
        <v/>
      </c>
      <c r="M870" s="306" t="n">
        <v>2</v>
      </c>
      <c r="N870" s="314">
        <f>IF(C870="","",COUNT(G870:J870)/4)</f>
        <v/>
      </c>
      <c r="O870" s="307" t="n"/>
    </row>
    <row r="871" ht="24" customHeight="1">
      <c r="A871" s="306" t="n">
        <v>867</v>
      </c>
      <c r="B871" s="306" t="inlineStr">
        <is>
          <t>شهریور</t>
        </is>
      </c>
      <c r="C871" s="306">
        <f>IF('دانش‌آموزان'!E77="","",'دانش‌آموزان'!B77)</f>
        <v/>
      </c>
      <c r="D871" s="306">
        <f>IF('دانش‌آموزان'!C77="","",'دانش‌آموزان'!C77)</f>
        <v/>
      </c>
      <c r="E871" s="306">
        <f>IF('دانش‌آموزان'!E77="","",'دانش‌آموزان'!E77&amp;" "&amp;'دانش‌آموزان'!F77)</f>
        <v/>
      </c>
      <c r="F871" s="306">
        <f>IF('دانش‌آموزان'!I77="","",'دانش‌آموزان'!I77)</f>
        <v/>
      </c>
      <c r="G871" s="307" t="n"/>
      <c r="H871" s="307" t="n"/>
      <c r="I871" s="307" t="n"/>
      <c r="J871" s="307" t="n"/>
      <c r="K871" s="313">
        <f>IF(COUNT(G871:J871)=0,"",AVERAGE(G871:J871)*4)</f>
        <v/>
      </c>
      <c r="L871" s="306">
        <f>IF(C871="","",IF(COUNT(G871:J871)=0,"",IF(COUNT(G871:J871)&lt;4,"موقت - اطلاعات ناقص",IF(K871&gt;=17,"عالی",IF(K871&gt;=14,"خوب",IF(K871&gt;=10,"متوسط","ضعیف"))))))</f>
        <v/>
      </c>
      <c r="M871" s="306" t="n">
        <v>3</v>
      </c>
      <c r="N871" s="314">
        <f>IF(C871="","",COUNT(G871:J871)/4)</f>
        <v/>
      </c>
      <c r="O871" s="307" t="n"/>
    </row>
    <row r="872" ht="24" customHeight="1">
      <c r="A872" s="306" t="n">
        <v>868</v>
      </c>
      <c r="B872" s="306" t="inlineStr">
        <is>
          <t>مهر</t>
        </is>
      </c>
      <c r="C872" s="306">
        <f>IF('دانش‌آموزان'!E77="","",'دانش‌آموزان'!B77)</f>
        <v/>
      </c>
      <c r="D872" s="306">
        <f>IF('دانش‌آموزان'!C77="","",'دانش‌آموزان'!C77)</f>
        <v/>
      </c>
      <c r="E872" s="306">
        <f>IF('دانش‌آموزان'!E77="","",'دانش‌آموزان'!E77&amp;" "&amp;'دانش‌آموزان'!F77)</f>
        <v/>
      </c>
      <c r="F872" s="306">
        <f>IF('دانش‌آموزان'!I77="","",'دانش‌آموزان'!I77)</f>
        <v/>
      </c>
      <c r="G872" s="307" t="n"/>
      <c r="H872" s="307" t="n"/>
      <c r="I872" s="307" t="n"/>
      <c r="J872" s="307" t="n"/>
      <c r="K872" s="313">
        <f>IF(COUNT(G872:J872)=0,"",AVERAGE(G872:J872)*4)</f>
        <v/>
      </c>
      <c r="L872" s="306">
        <f>IF(C872="","",IF(COUNT(G872:J872)=0,"",IF(COUNT(G872:J872)&lt;4,"موقت - اطلاعات ناقص",IF(K872&gt;=17,"عالی",IF(K872&gt;=14,"خوب",IF(K872&gt;=10,"متوسط","ضعیف"))))))</f>
        <v/>
      </c>
      <c r="M872" s="306" t="n">
        <v>4</v>
      </c>
      <c r="N872" s="314">
        <f>IF(C872="","",COUNT(G872:J872)/4)</f>
        <v/>
      </c>
      <c r="O872" s="307" t="n"/>
    </row>
    <row r="873" ht="24" customHeight="1">
      <c r="A873" s="306" t="n">
        <v>869</v>
      </c>
      <c r="B873" s="306" t="inlineStr">
        <is>
          <t>آبان</t>
        </is>
      </c>
      <c r="C873" s="306">
        <f>IF('دانش‌آموزان'!E77="","",'دانش‌آموزان'!B77)</f>
        <v/>
      </c>
      <c r="D873" s="306">
        <f>IF('دانش‌آموزان'!C77="","",'دانش‌آموزان'!C77)</f>
        <v/>
      </c>
      <c r="E873" s="306">
        <f>IF('دانش‌آموزان'!E77="","",'دانش‌آموزان'!E77&amp;" "&amp;'دانش‌آموزان'!F77)</f>
        <v/>
      </c>
      <c r="F873" s="306">
        <f>IF('دانش‌آموزان'!I77="","",'دانش‌آموزان'!I77)</f>
        <v/>
      </c>
      <c r="G873" s="307" t="n"/>
      <c r="H873" s="307" t="n"/>
      <c r="I873" s="307" t="n"/>
      <c r="J873" s="307" t="n"/>
      <c r="K873" s="313">
        <f>IF(COUNT(G873:J873)=0,"",AVERAGE(G873:J873)*4)</f>
        <v/>
      </c>
      <c r="L873" s="306">
        <f>IF(C873="","",IF(COUNT(G873:J873)=0,"",IF(COUNT(G873:J873)&lt;4,"موقت - اطلاعات ناقص",IF(K873&gt;=17,"عالی",IF(K873&gt;=14,"خوب",IF(K873&gt;=10,"متوسط","ضعیف"))))))</f>
        <v/>
      </c>
      <c r="M873" s="306" t="n">
        <v>5</v>
      </c>
      <c r="N873" s="314">
        <f>IF(C873="","",COUNT(G873:J873)/4)</f>
        <v/>
      </c>
      <c r="O873" s="307" t="n"/>
    </row>
    <row r="874" ht="24" customHeight="1">
      <c r="A874" s="306" t="n">
        <v>870</v>
      </c>
      <c r="B874" s="306" t="inlineStr">
        <is>
          <t>آذر</t>
        </is>
      </c>
      <c r="C874" s="306">
        <f>IF('دانش‌آموزان'!E77="","",'دانش‌آموزان'!B77)</f>
        <v/>
      </c>
      <c r="D874" s="306">
        <f>IF('دانش‌آموزان'!C77="","",'دانش‌آموزان'!C77)</f>
        <v/>
      </c>
      <c r="E874" s="306">
        <f>IF('دانش‌آموزان'!E77="","",'دانش‌آموزان'!E77&amp;" "&amp;'دانش‌آموزان'!F77)</f>
        <v/>
      </c>
      <c r="F874" s="306">
        <f>IF('دانش‌آموزان'!I77="","",'دانش‌آموزان'!I77)</f>
        <v/>
      </c>
      <c r="G874" s="307" t="n"/>
      <c r="H874" s="307" t="n"/>
      <c r="I874" s="307" t="n"/>
      <c r="J874" s="307" t="n"/>
      <c r="K874" s="313">
        <f>IF(COUNT(G874:J874)=0,"",AVERAGE(G874:J874)*4)</f>
        <v/>
      </c>
      <c r="L874" s="306">
        <f>IF(C874="","",IF(COUNT(G874:J874)=0,"",IF(COUNT(G874:J874)&lt;4,"موقت - اطلاعات ناقص",IF(K874&gt;=17,"عالی",IF(K874&gt;=14,"خوب",IF(K874&gt;=10,"متوسط","ضعیف"))))))</f>
        <v/>
      </c>
      <c r="M874" s="306" t="n">
        <v>6</v>
      </c>
      <c r="N874" s="314">
        <f>IF(C874="","",COUNT(G874:J874)/4)</f>
        <v/>
      </c>
      <c r="O874" s="307" t="n"/>
    </row>
    <row r="875" ht="24" customHeight="1">
      <c r="A875" s="306" t="n">
        <v>871</v>
      </c>
      <c r="B875" s="306" t="inlineStr">
        <is>
          <t>دی</t>
        </is>
      </c>
      <c r="C875" s="306">
        <f>IF('دانش‌آموزان'!E77="","",'دانش‌آموزان'!B77)</f>
        <v/>
      </c>
      <c r="D875" s="306">
        <f>IF('دانش‌آموزان'!C77="","",'دانش‌آموزان'!C77)</f>
        <v/>
      </c>
      <c r="E875" s="306">
        <f>IF('دانش‌آموزان'!E77="","",'دانش‌آموزان'!E77&amp;" "&amp;'دانش‌آموزان'!F77)</f>
        <v/>
      </c>
      <c r="F875" s="306">
        <f>IF('دانش‌آموزان'!I77="","",'دانش‌آموزان'!I77)</f>
        <v/>
      </c>
      <c r="G875" s="307" t="n"/>
      <c r="H875" s="307" t="n"/>
      <c r="I875" s="307" t="n"/>
      <c r="J875" s="307" t="n"/>
      <c r="K875" s="313">
        <f>IF(COUNT(G875:J875)=0,"",AVERAGE(G875:J875)*4)</f>
        <v/>
      </c>
      <c r="L875" s="306">
        <f>IF(C875="","",IF(COUNT(G875:J875)=0,"",IF(COUNT(G875:J875)&lt;4,"موقت - اطلاعات ناقص",IF(K875&gt;=17,"عالی",IF(K875&gt;=14,"خوب",IF(K875&gt;=10,"متوسط","ضعیف"))))))</f>
        <v/>
      </c>
      <c r="M875" s="306" t="n">
        <v>7</v>
      </c>
      <c r="N875" s="314">
        <f>IF(C875="","",COUNT(G875:J875)/4)</f>
        <v/>
      </c>
      <c r="O875" s="307" t="n"/>
    </row>
    <row r="876" ht="24" customHeight="1">
      <c r="A876" s="306" t="n">
        <v>872</v>
      </c>
      <c r="B876" s="306" t="inlineStr">
        <is>
          <t>بهمن</t>
        </is>
      </c>
      <c r="C876" s="306">
        <f>IF('دانش‌آموزان'!E77="","",'دانش‌آموزان'!B77)</f>
        <v/>
      </c>
      <c r="D876" s="306">
        <f>IF('دانش‌آموزان'!C77="","",'دانش‌آموزان'!C77)</f>
        <v/>
      </c>
      <c r="E876" s="306">
        <f>IF('دانش‌آموزان'!E77="","",'دانش‌آموزان'!E77&amp;" "&amp;'دانش‌آموزان'!F77)</f>
        <v/>
      </c>
      <c r="F876" s="306">
        <f>IF('دانش‌آموزان'!I77="","",'دانش‌آموزان'!I77)</f>
        <v/>
      </c>
      <c r="G876" s="307" t="n"/>
      <c r="H876" s="307" t="n"/>
      <c r="I876" s="307" t="n"/>
      <c r="J876" s="307" t="n"/>
      <c r="K876" s="313">
        <f>IF(COUNT(G876:J876)=0,"",AVERAGE(G876:J876)*4)</f>
        <v/>
      </c>
      <c r="L876" s="306">
        <f>IF(C876="","",IF(COUNT(G876:J876)=0,"",IF(COUNT(G876:J876)&lt;4,"موقت - اطلاعات ناقص",IF(K876&gt;=17,"عالی",IF(K876&gt;=14,"خوب",IF(K876&gt;=10,"متوسط","ضعیف"))))))</f>
        <v/>
      </c>
      <c r="M876" s="306" t="n">
        <v>8</v>
      </c>
      <c r="N876" s="314">
        <f>IF(C876="","",COUNT(G876:J876)/4)</f>
        <v/>
      </c>
      <c r="O876" s="307" t="n"/>
    </row>
    <row r="877" ht="24" customHeight="1">
      <c r="A877" s="306" t="n">
        <v>873</v>
      </c>
      <c r="B877" s="306" t="inlineStr">
        <is>
          <t>اسفند</t>
        </is>
      </c>
      <c r="C877" s="306">
        <f>IF('دانش‌آموزان'!E77="","",'دانش‌آموزان'!B77)</f>
        <v/>
      </c>
      <c r="D877" s="306">
        <f>IF('دانش‌آموزان'!C77="","",'دانش‌آموزان'!C77)</f>
        <v/>
      </c>
      <c r="E877" s="306">
        <f>IF('دانش‌آموزان'!E77="","",'دانش‌آموزان'!E77&amp;" "&amp;'دانش‌آموزان'!F77)</f>
        <v/>
      </c>
      <c r="F877" s="306">
        <f>IF('دانش‌آموزان'!I77="","",'دانش‌آموزان'!I77)</f>
        <v/>
      </c>
      <c r="G877" s="307" t="n"/>
      <c r="H877" s="307" t="n"/>
      <c r="I877" s="307" t="n"/>
      <c r="J877" s="307" t="n"/>
      <c r="K877" s="313">
        <f>IF(COUNT(G877:J877)=0,"",AVERAGE(G877:J877)*4)</f>
        <v/>
      </c>
      <c r="L877" s="306">
        <f>IF(C877="","",IF(COUNT(G877:J877)=0,"",IF(COUNT(G877:J877)&lt;4,"موقت - اطلاعات ناقص",IF(K877&gt;=17,"عالی",IF(K877&gt;=14,"خوب",IF(K877&gt;=10,"متوسط","ضعیف"))))))</f>
        <v/>
      </c>
      <c r="M877" s="306" t="n">
        <v>9</v>
      </c>
      <c r="N877" s="314">
        <f>IF(C877="","",COUNT(G877:J877)/4)</f>
        <v/>
      </c>
      <c r="O877" s="307" t="n"/>
    </row>
    <row r="878" ht="24" customHeight="1">
      <c r="A878" s="306" t="n">
        <v>874</v>
      </c>
      <c r="B878" s="306" t="inlineStr">
        <is>
          <t>فروردین</t>
        </is>
      </c>
      <c r="C878" s="306">
        <f>IF('دانش‌آموزان'!E77="","",'دانش‌آموزان'!B77)</f>
        <v/>
      </c>
      <c r="D878" s="306">
        <f>IF('دانش‌آموزان'!C77="","",'دانش‌آموزان'!C77)</f>
        <v/>
      </c>
      <c r="E878" s="306">
        <f>IF('دانش‌آموزان'!E77="","",'دانش‌آموزان'!E77&amp;" "&amp;'دانش‌آموزان'!F77)</f>
        <v/>
      </c>
      <c r="F878" s="306">
        <f>IF('دانش‌آموزان'!I77="","",'دانش‌آموزان'!I77)</f>
        <v/>
      </c>
      <c r="G878" s="307" t="n"/>
      <c r="H878" s="307" t="n"/>
      <c r="I878" s="307" t="n"/>
      <c r="J878" s="307" t="n"/>
      <c r="K878" s="313">
        <f>IF(COUNT(G878:J878)=0,"",AVERAGE(G878:J878)*4)</f>
        <v/>
      </c>
      <c r="L878" s="306">
        <f>IF(C878="","",IF(COUNT(G878:J878)=0,"",IF(COUNT(G878:J878)&lt;4,"موقت - اطلاعات ناقص",IF(K878&gt;=17,"عالی",IF(K878&gt;=14,"خوب",IF(K878&gt;=10,"متوسط","ضعیف"))))))</f>
        <v/>
      </c>
      <c r="M878" s="306" t="n">
        <v>10</v>
      </c>
      <c r="N878" s="314">
        <f>IF(C878="","",COUNT(G878:J878)/4)</f>
        <v/>
      </c>
      <c r="O878" s="307" t="n"/>
    </row>
    <row r="879" ht="24" customHeight="1">
      <c r="A879" s="306" t="n">
        <v>875</v>
      </c>
      <c r="B879" s="306" t="inlineStr">
        <is>
          <t>اردیبهشت</t>
        </is>
      </c>
      <c r="C879" s="306">
        <f>IF('دانش‌آموزان'!E77="","",'دانش‌آموزان'!B77)</f>
        <v/>
      </c>
      <c r="D879" s="306">
        <f>IF('دانش‌آموزان'!C77="","",'دانش‌آموزان'!C77)</f>
        <v/>
      </c>
      <c r="E879" s="306">
        <f>IF('دانش‌آموزان'!E77="","",'دانش‌آموزان'!E77&amp;" "&amp;'دانش‌آموزان'!F77)</f>
        <v/>
      </c>
      <c r="F879" s="306">
        <f>IF('دانش‌آموزان'!I77="","",'دانش‌آموزان'!I77)</f>
        <v/>
      </c>
      <c r="G879" s="307" t="n"/>
      <c r="H879" s="307" t="n"/>
      <c r="I879" s="307" t="n"/>
      <c r="J879" s="307" t="n"/>
      <c r="K879" s="313">
        <f>IF(COUNT(G879:J879)=0,"",AVERAGE(G879:J879)*4)</f>
        <v/>
      </c>
      <c r="L879" s="306">
        <f>IF(C879="","",IF(COUNT(G879:J879)=0,"",IF(COUNT(G879:J879)&lt;4,"موقت - اطلاعات ناقص",IF(K879&gt;=17,"عالی",IF(K879&gt;=14,"خوب",IF(K879&gt;=10,"متوسط","ضعیف"))))))</f>
        <v/>
      </c>
      <c r="M879" s="306" t="n">
        <v>11</v>
      </c>
      <c r="N879" s="314">
        <f>IF(C879="","",COUNT(G879:J879)/4)</f>
        <v/>
      </c>
      <c r="O879" s="307" t="n"/>
    </row>
    <row r="880" ht="24" customHeight="1">
      <c r="A880" s="306" t="n">
        <v>876</v>
      </c>
      <c r="B880" s="306" t="inlineStr">
        <is>
          <t>خرداد</t>
        </is>
      </c>
      <c r="C880" s="306">
        <f>IF('دانش‌آموزان'!E77="","",'دانش‌آموزان'!B77)</f>
        <v/>
      </c>
      <c r="D880" s="306">
        <f>IF('دانش‌آموزان'!C77="","",'دانش‌آموزان'!C77)</f>
        <v/>
      </c>
      <c r="E880" s="306">
        <f>IF('دانش‌آموزان'!E77="","",'دانش‌آموزان'!E77&amp;" "&amp;'دانش‌آموزان'!F77)</f>
        <v/>
      </c>
      <c r="F880" s="306">
        <f>IF('دانش‌آموزان'!I77="","",'دانش‌آموزان'!I77)</f>
        <v/>
      </c>
      <c r="G880" s="307" t="n"/>
      <c r="H880" s="307" t="n"/>
      <c r="I880" s="307" t="n"/>
      <c r="J880" s="307" t="n"/>
      <c r="K880" s="313">
        <f>IF(COUNT(G880:J880)=0,"",AVERAGE(G880:J880)*4)</f>
        <v/>
      </c>
      <c r="L880" s="306">
        <f>IF(C880="","",IF(COUNT(G880:J880)=0,"",IF(COUNT(G880:J880)&lt;4,"موقت - اطلاعات ناقص",IF(K880&gt;=17,"عالی",IF(K880&gt;=14,"خوب",IF(K880&gt;=10,"متوسط","ضعیف"))))))</f>
        <v/>
      </c>
      <c r="M880" s="306" t="n">
        <v>12</v>
      </c>
      <c r="N880" s="314">
        <f>IF(C880="","",COUNT(G880:J880)/4)</f>
        <v/>
      </c>
      <c r="O880" s="307" t="n"/>
    </row>
    <row r="881" ht="24" customHeight="1">
      <c r="A881" s="306" t="n">
        <v>877</v>
      </c>
      <c r="B881" s="306" t="inlineStr">
        <is>
          <t>تیر</t>
        </is>
      </c>
      <c r="C881" s="306">
        <f>IF('دانش‌آموزان'!E78="","",'دانش‌آموزان'!B78)</f>
        <v/>
      </c>
      <c r="D881" s="306">
        <f>IF('دانش‌آموزان'!C78="","",'دانش‌آموزان'!C78)</f>
        <v/>
      </c>
      <c r="E881" s="306">
        <f>IF('دانش‌آموزان'!E78="","",'دانش‌آموزان'!E78&amp;" "&amp;'دانش‌آموزان'!F78)</f>
        <v/>
      </c>
      <c r="F881" s="306">
        <f>IF('دانش‌آموزان'!I78="","",'دانش‌آموزان'!I78)</f>
        <v/>
      </c>
      <c r="G881" s="307" t="n"/>
      <c r="H881" s="307" t="n"/>
      <c r="I881" s="307" t="n"/>
      <c r="J881" s="307" t="n"/>
      <c r="K881" s="313">
        <f>IF(COUNT(G881:J881)=0,"",AVERAGE(G881:J881)*4)</f>
        <v/>
      </c>
      <c r="L881" s="306">
        <f>IF(C881="","",IF(COUNT(G881:J881)=0,"",IF(COUNT(G881:J881)&lt;4,"موقت - اطلاعات ناقص",IF(K881&gt;=17,"عالی",IF(K881&gt;=14,"خوب",IF(K881&gt;=10,"متوسط","ضعیف"))))))</f>
        <v/>
      </c>
      <c r="M881" s="306" t="n">
        <v>1</v>
      </c>
      <c r="N881" s="314">
        <f>IF(C881="","",COUNT(G881:J881)/4)</f>
        <v/>
      </c>
      <c r="O881" s="307" t="n"/>
    </row>
    <row r="882" ht="24" customHeight="1">
      <c r="A882" s="306" t="n">
        <v>878</v>
      </c>
      <c r="B882" s="306" t="inlineStr">
        <is>
          <t>مرداد</t>
        </is>
      </c>
      <c r="C882" s="306">
        <f>IF('دانش‌آموزان'!E78="","",'دانش‌آموزان'!B78)</f>
        <v/>
      </c>
      <c r="D882" s="306">
        <f>IF('دانش‌آموزان'!C78="","",'دانش‌آموزان'!C78)</f>
        <v/>
      </c>
      <c r="E882" s="306">
        <f>IF('دانش‌آموزان'!E78="","",'دانش‌آموزان'!E78&amp;" "&amp;'دانش‌آموزان'!F78)</f>
        <v/>
      </c>
      <c r="F882" s="306">
        <f>IF('دانش‌آموزان'!I78="","",'دانش‌آموزان'!I78)</f>
        <v/>
      </c>
      <c r="G882" s="307" t="n"/>
      <c r="H882" s="307" t="n"/>
      <c r="I882" s="307" t="n"/>
      <c r="J882" s="307" t="n"/>
      <c r="K882" s="313">
        <f>IF(COUNT(G882:J882)=0,"",AVERAGE(G882:J882)*4)</f>
        <v/>
      </c>
      <c r="L882" s="306">
        <f>IF(C882="","",IF(COUNT(G882:J882)=0,"",IF(COUNT(G882:J882)&lt;4,"موقت - اطلاعات ناقص",IF(K882&gt;=17,"عالی",IF(K882&gt;=14,"خوب",IF(K882&gt;=10,"متوسط","ضعیف"))))))</f>
        <v/>
      </c>
      <c r="M882" s="306" t="n">
        <v>2</v>
      </c>
      <c r="N882" s="314">
        <f>IF(C882="","",COUNT(G882:J882)/4)</f>
        <v/>
      </c>
      <c r="O882" s="307" t="n"/>
    </row>
    <row r="883" ht="24" customHeight="1">
      <c r="A883" s="306" t="n">
        <v>879</v>
      </c>
      <c r="B883" s="306" t="inlineStr">
        <is>
          <t>شهریور</t>
        </is>
      </c>
      <c r="C883" s="306">
        <f>IF('دانش‌آموزان'!E78="","",'دانش‌آموزان'!B78)</f>
        <v/>
      </c>
      <c r="D883" s="306">
        <f>IF('دانش‌آموزان'!C78="","",'دانش‌آموزان'!C78)</f>
        <v/>
      </c>
      <c r="E883" s="306">
        <f>IF('دانش‌آموزان'!E78="","",'دانش‌آموزان'!E78&amp;" "&amp;'دانش‌آموزان'!F78)</f>
        <v/>
      </c>
      <c r="F883" s="306">
        <f>IF('دانش‌آموزان'!I78="","",'دانش‌آموزان'!I78)</f>
        <v/>
      </c>
      <c r="G883" s="307" t="n"/>
      <c r="H883" s="307" t="n"/>
      <c r="I883" s="307" t="n"/>
      <c r="J883" s="307" t="n"/>
      <c r="K883" s="313">
        <f>IF(COUNT(G883:J883)=0,"",AVERAGE(G883:J883)*4)</f>
        <v/>
      </c>
      <c r="L883" s="306">
        <f>IF(C883="","",IF(COUNT(G883:J883)=0,"",IF(COUNT(G883:J883)&lt;4,"موقت - اطلاعات ناقص",IF(K883&gt;=17,"عالی",IF(K883&gt;=14,"خوب",IF(K883&gt;=10,"متوسط","ضعیف"))))))</f>
        <v/>
      </c>
      <c r="M883" s="306" t="n">
        <v>3</v>
      </c>
      <c r="N883" s="314">
        <f>IF(C883="","",COUNT(G883:J883)/4)</f>
        <v/>
      </c>
      <c r="O883" s="307" t="n"/>
    </row>
    <row r="884" ht="24" customHeight="1">
      <c r="A884" s="306" t="n">
        <v>880</v>
      </c>
      <c r="B884" s="306" t="inlineStr">
        <is>
          <t>مهر</t>
        </is>
      </c>
      <c r="C884" s="306">
        <f>IF('دانش‌آموزان'!E78="","",'دانش‌آموزان'!B78)</f>
        <v/>
      </c>
      <c r="D884" s="306">
        <f>IF('دانش‌آموزان'!C78="","",'دانش‌آموزان'!C78)</f>
        <v/>
      </c>
      <c r="E884" s="306">
        <f>IF('دانش‌آموزان'!E78="","",'دانش‌آموزان'!E78&amp;" "&amp;'دانش‌آموزان'!F78)</f>
        <v/>
      </c>
      <c r="F884" s="306">
        <f>IF('دانش‌آموزان'!I78="","",'دانش‌آموزان'!I78)</f>
        <v/>
      </c>
      <c r="G884" s="307" t="n"/>
      <c r="H884" s="307" t="n"/>
      <c r="I884" s="307" t="n"/>
      <c r="J884" s="307" t="n"/>
      <c r="K884" s="313">
        <f>IF(COUNT(G884:J884)=0,"",AVERAGE(G884:J884)*4)</f>
        <v/>
      </c>
      <c r="L884" s="306">
        <f>IF(C884="","",IF(COUNT(G884:J884)=0,"",IF(COUNT(G884:J884)&lt;4,"موقت - اطلاعات ناقص",IF(K884&gt;=17,"عالی",IF(K884&gt;=14,"خوب",IF(K884&gt;=10,"متوسط","ضعیف"))))))</f>
        <v/>
      </c>
      <c r="M884" s="306" t="n">
        <v>4</v>
      </c>
      <c r="N884" s="314">
        <f>IF(C884="","",COUNT(G884:J884)/4)</f>
        <v/>
      </c>
      <c r="O884" s="307" t="n"/>
    </row>
    <row r="885" ht="24" customHeight="1">
      <c r="A885" s="306" t="n">
        <v>881</v>
      </c>
      <c r="B885" s="306" t="inlineStr">
        <is>
          <t>آبان</t>
        </is>
      </c>
      <c r="C885" s="306">
        <f>IF('دانش‌آموزان'!E78="","",'دانش‌آموزان'!B78)</f>
        <v/>
      </c>
      <c r="D885" s="306">
        <f>IF('دانش‌آموزان'!C78="","",'دانش‌آموزان'!C78)</f>
        <v/>
      </c>
      <c r="E885" s="306">
        <f>IF('دانش‌آموزان'!E78="","",'دانش‌آموزان'!E78&amp;" "&amp;'دانش‌آموزان'!F78)</f>
        <v/>
      </c>
      <c r="F885" s="306">
        <f>IF('دانش‌آموزان'!I78="","",'دانش‌آموزان'!I78)</f>
        <v/>
      </c>
      <c r="G885" s="307" t="n"/>
      <c r="H885" s="307" t="n"/>
      <c r="I885" s="307" t="n"/>
      <c r="J885" s="307" t="n"/>
      <c r="K885" s="313">
        <f>IF(COUNT(G885:J885)=0,"",AVERAGE(G885:J885)*4)</f>
        <v/>
      </c>
      <c r="L885" s="306">
        <f>IF(C885="","",IF(COUNT(G885:J885)=0,"",IF(COUNT(G885:J885)&lt;4,"موقت - اطلاعات ناقص",IF(K885&gt;=17,"عالی",IF(K885&gt;=14,"خوب",IF(K885&gt;=10,"متوسط","ضعیف"))))))</f>
        <v/>
      </c>
      <c r="M885" s="306" t="n">
        <v>5</v>
      </c>
      <c r="N885" s="314">
        <f>IF(C885="","",COUNT(G885:J885)/4)</f>
        <v/>
      </c>
      <c r="O885" s="307" t="n"/>
    </row>
    <row r="886" ht="24" customHeight="1">
      <c r="A886" s="306" t="n">
        <v>882</v>
      </c>
      <c r="B886" s="306" t="inlineStr">
        <is>
          <t>آذر</t>
        </is>
      </c>
      <c r="C886" s="306">
        <f>IF('دانش‌آموزان'!E78="","",'دانش‌آموزان'!B78)</f>
        <v/>
      </c>
      <c r="D886" s="306">
        <f>IF('دانش‌آموزان'!C78="","",'دانش‌آموزان'!C78)</f>
        <v/>
      </c>
      <c r="E886" s="306">
        <f>IF('دانش‌آموزان'!E78="","",'دانش‌آموزان'!E78&amp;" "&amp;'دانش‌آموزان'!F78)</f>
        <v/>
      </c>
      <c r="F886" s="306">
        <f>IF('دانش‌آموزان'!I78="","",'دانش‌آموزان'!I78)</f>
        <v/>
      </c>
      <c r="G886" s="307" t="n"/>
      <c r="H886" s="307" t="n"/>
      <c r="I886" s="307" t="n"/>
      <c r="J886" s="307" t="n"/>
      <c r="K886" s="313">
        <f>IF(COUNT(G886:J886)=0,"",AVERAGE(G886:J886)*4)</f>
        <v/>
      </c>
      <c r="L886" s="306">
        <f>IF(C886="","",IF(COUNT(G886:J886)=0,"",IF(COUNT(G886:J886)&lt;4,"موقت - اطلاعات ناقص",IF(K886&gt;=17,"عالی",IF(K886&gt;=14,"خوب",IF(K886&gt;=10,"متوسط","ضعیف"))))))</f>
        <v/>
      </c>
      <c r="M886" s="306" t="n">
        <v>6</v>
      </c>
      <c r="N886" s="314">
        <f>IF(C886="","",COUNT(G886:J886)/4)</f>
        <v/>
      </c>
      <c r="O886" s="307" t="n"/>
    </row>
    <row r="887" ht="24" customHeight="1">
      <c r="A887" s="306" t="n">
        <v>883</v>
      </c>
      <c r="B887" s="306" t="inlineStr">
        <is>
          <t>دی</t>
        </is>
      </c>
      <c r="C887" s="306">
        <f>IF('دانش‌آموزان'!E78="","",'دانش‌آموزان'!B78)</f>
        <v/>
      </c>
      <c r="D887" s="306">
        <f>IF('دانش‌آموزان'!C78="","",'دانش‌آموزان'!C78)</f>
        <v/>
      </c>
      <c r="E887" s="306">
        <f>IF('دانش‌آموزان'!E78="","",'دانش‌آموزان'!E78&amp;" "&amp;'دانش‌آموزان'!F78)</f>
        <v/>
      </c>
      <c r="F887" s="306">
        <f>IF('دانش‌آموزان'!I78="","",'دانش‌آموزان'!I78)</f>
        <v/>
      </c>
      <c r="G887" s="307" t="n"/>
      <c r="H887" s="307" t="n"/>
      <c r="I887" s="307" t="n"/>
      <c r="J887" s="307" t="n"/>
      <c r="K887" s="313">
        <f>IF(COUNT(G887:J887)=0,"",AVERAGE(G887:J887)*4)</f>
        <v/>
      </c>
      <c r="L887" s="306">
        <f>IF(C887="","",IF(COUNT(G887:J887)=0,"",IF(COUNT(G887:J887)&lt;4,"موقت - اطلاعات ناقص",IF(K887&gt;=17,"عالی",IF(K887&gt;=14,"خوب",IF(K887&gt;=10,"متوسط","ضعیف"))))))</f>
        <v/>
      </c>
      <c r="M887" s="306" t="n">
        <v>7</v>
      </c>
      <c r="N887" s="314">
        <f>IF(C887="","",COUNT(G887:J887)/4)</f>
        <v/>
      </c>
      <c r="O887" s="307" t="n"/>
    </row>
    <row r="888" ht="24" customHeight="1">
      <c r="A888" s="306" t="n">
        <v>884</v>
      </c>
      <c r="B888" s="306" t="inlineStr">
        <is>
          <t>بهمن</t>
        </is>
      </c>
      <c r="C888" s="306">
        <f>IF('دانش‌آموزان'!E78="","",'دانش‌آموزان'!B78)</f>
        <v/>
      </c>
      <c r="D888" s="306">
        <f>IF('دانش‌آموزان'!C78="","",'دانش‌آموزان'!C78)</f>
        <v/>
      </c>
      <c r="E888" s="306">
        <f>IF('دانش‌آموزان'!E78="","",'دانش‌آموزان'!E78&amp;" "&amp;'دانش‌آموزان'!F78)</f>
        <v/>
      </c>
      <c r="F888" s="306">
        <f>IF('دانش‌آموزان'!I78="","",'دانش‌آموزان'!I78)</f>
        <v/>
      </c>
      <c r="G888" s="307" t="n"/>
      <c r="H888" s="307" t="n"/>
      <c r="I888" s="307" t="n"/>
      <c r="J888" s="307" t="n"/>
      <c r="K888" s="313">
        <f>IF(COUNT(G888:J888)=0,"",AVERAGE(G888:J888)*4)</f>
        <v/>
      </c>
      <c r="L888" s="306">
        <f>IF(C888="","",IF(COUNT(G888:J888)=0,"",IF(COUNT(G888:J888)&lt;4,"موقت - اطلاعات ناقص",IF(K888&gt;=17,"عالی",IF(K888&gt;=14,"خوب",IF(K888&gt;=10,"متوسط","ضعیف"))))))</f>
        <v/>
      </c>
      <c r="M888" s="306" t="n">
        <v>8</v>
      </c>
      <c r="N888" s="314">
        <f>IF(C888="","",COUNT(G888:J888)/4)</f>
        <v/>
      </c>
      <c r="O888" s="307" t="n"/>
    </row>
    <row r="889" ht="24" customHeight="1">
      <c r="A889" s="306" t="n">
        <v>885</v>
      </c>
      <c r="B889" s="306" t="inlineStr">
        <is>
          <t>اسفند</t>
        </is>
      </c>
      <c r="C889" s="306">
        <f>IF('دانش‌آموزان'!E78="","",'دانش‌آموزان'!B78)</f>
        <v/>
      </c>
      <c r="D889" s="306">
        <f>IF('دانش‌آموزان'!C78="","",'دانش‌آموزان'!C78)</f>
        <v/>
      </c>
      <c r="E889" s="306">
        <f>IF('دانش‌آموزان'!E78="","",'دانش‌آموزان'!E78&amp;" "&amp;'دانش‌آموزان'!F78)</f>
        <v/>
      </c>
      <c r="F889" s="306">
        <f>IF('دانش‌آموزان'!I78="","",'دانش‌آموزان'!I78)</f>
        <v/>
      </c>
      <c r="G889" s="307" t="n"/>
      <c r="H889" s="307" t="n"/>
      <c r="I889" s="307" t="n"/>
      <c r="J889" s="307" t="n"/>
      <c r="K889" s="313">
        <f>IF(COUNT(G889:J889)=0,"",AVERAGE(G889:J889)*4)</f>
        <v/>
      </c>
      <c r="L889" s="306">
        <f>IF(C889="","",IF(COUNT(G889:J889)=0,"",IF(COUNT(G889:J889)&lt;4,"موقت - اطلاعات ناقص",IF(K889&gt;=17,"عالی",IF(K889&gt;=14,"خوب",IF(K889&gt;=10,"متوسط","ضعیف"))))))</f>
        <v/>
      </c>
      <c r="M889" s="306" t="n">
        <v>9</v>
      </c>
      <c r="N889" s="314">
        <f>IF(C889="","",COUNT(G889:J889)/4)</f>
        <v/>
      </c>
      <c r="O889" s="307" t="n"/>
    </row>
    <row r="890" ht="24" customHeight="1">
      <c r="A890" s="306" t="n">
        <v>886</v>
      </c>
      <c r="B890" s="306" t="inlineStr">
        <is>
          <t>فروردین</t>
        </is>
      </c>
      <c r="C890" s="306">
        <f>IF('دانش‌آموزان'!E78="","",'دانش‌آموزان'!B78)</f>
        <v/>
      </c>
      <c r="D890" s="306">
        <f>IF('دانش‌آموزان'!C78="","",'دانش‌آموزان'!C78)</f>
        <v/>
      </c>
      <c r="E890" s="306">
        <f>IF('دانش‌آموزان'!E78="","",'دانش‌آموزان'!E78&amp;" "&amp;'دانش‌آموزان'!F78)</f>
        <v/>
      </c>
      <c r="F890" s="306">
        <f>IF('دانش‌آموزان'!I78="","",'دانش‌آموزان'!I78)</f>
        <v/>
      </c>
      <c r="G890" s="307" t="n"/>
      <c r="H890" s="307" t="n"/>
      <c r="I890" s="307" t="n"/>
      <c r="J890" s="307" t="n"/>
      <c r="K890" s="313">
        <f>IF(COUNT(G890:J890)=0,"",AVERAGE(G890:J890)*4)</f>
        <v/>
      </c>
      <c r="L890" s="306">
        <f>IF(C890="","",IF(COUNT(G890:J890)=0,"",IF(COUNT(G890:J890)&lt;4,"موقت - اطلاعات ناقص",IF(K890&gt;=17,"عالی",IF(K890&gt;=14,"خوب",IF(K890&gt;=10,"متوسط","ضعیف"))))))</f>
        <v/>
      </c>
      <c r="M890" s="306" t="n">
        <v>10</v>
      </c>
      <c r="N890" s="314">
        <f>IF(C890="","",COUNT(G890:J890)/4)</f>
        <v/>
      </c>
      <c r="O890" s="307" t="n"/>
    </row>
    <row r="891" ht="24" customHeight="1">
      <c r="A891" s="306" t="n">
        <v>887</v>
      </c>
      <c r="B891" s="306" t="inlineStr">
        <is>
          <t>اردیبهشت</t>
        </is>
      </c>
      <c r="C891" s="306">
        <f>IF('دانش‌آموزان'!E78="","",'دانش‌آموزان'!B78)</f>
        <v/>
      </c>
      <c r="D891" s="306">
        <f>IF('دانش‌آموزان'!C78="","",'دانش‌آموزان'!C78)</f>
        <v/>
      </c>
      <c r="E891" s="306">
        <f>IF('دانش‌آموزان'!E78="","",'دانش‌آموزان'!E78&amp;" "&amp;'دانش‌آموزان'!F78)</f>
        <v/>
      </c>
      <c r="F891" s="306">
        <f>IF('دانش‌آموزان'!I78="","",'دانش‌آموزان'!I78)</f>
        <v/>
      </c>
      <c r="G891" s="307" t="n"/>
      <c r="H891" s="307" t="n"/>
      <c r="I891" s="307" t="n"/>
      <c r="J891" s="307" t="n"/>
      <c r="K891" s="313">
        <f>IF(COUNT(G891:J891)=0,"",AVERAGE(G891:J891)*4)</f>
        <v/>
      </c>
      <c r="L891" s="306">
        <f>IF(C891="","",IF(COUNT(G891:J891)=0,"",IF(COUNT(G891:J891)&lt;4,"موقت - اطلاعات ناقص",IF(K891&gt;=17,"عالی",IF(K891&gt;=14,"خوب",IF(K891&gt;=10,"متوسط","ضعیف"))))))</f>
        <v/>
      </c>
      <c r="M891" s="306" t="n">
        <v>11</v>
      </c>
      <c r="N891" s="314">
        <f>IF(C891="","",COUNT(G891:J891)/4)</f>
        <v/>
      </c>
      <c r="O891" s="307" t="n"/>
    </row>
    <row r="892" ht="24" customHeight="1">
      <c r="A892" s="306" t="n">
        <v>888</v>
      </c>
      <c r="B892" s="306" t="inlineStr">
        <is>
          <t>خرداد</t>
        </is>
      </c>
      <c r="C892" s="306">
        <f>IF('دانش‌آموزان'!E78="","",'دانش‌آموزان'!B78)</f>
        <v/>
      </c>
      <c r="D892" s="306">
        <f>IF('دانش‌آموزان'!C78="","",'دانش‌آموزان'!C78)</f>
        <v/>
      </c>
      <c r="E892" s="306">
        <f>IF('دانش‌آموزان'!E78="","",'دانش‌آموزان'!E78&amp;" "&amp;'دانش‌آموزان'!F78)</f>
        <v/>
      </c>
      <c r="F892" s="306">
        <f>IF('دانش‌آموزان'!I78="","",'دانش‌آموزان'!I78)</f>
        <v/>
      </c>
      <c r="G892" s="307" t="n"/>
      <c r="H892" s="307" t="n"/>
      <c r="I892" s="307" t="n"/>
      <c r="J892" s="307" t="n"/>
      <c r="K892" s="313">
        <f>IF(COUNT(G892:J892)=0,"",AVERAGE(G892:J892)*4)</f>
        <v/>
      </c>
      <c r="L892" s="306">
        <f>IF(C892="","",IF(COUNT(G892:J892)=0,"",IF(COUNT(G892:J892)&lt;4,"موقت - اطلاعات ناقص",IF(K892&gt;=17,"عالی",IF(K892&gt;=14,"خوب",IF(K892&gt;=10,"متوسط","ضعیف"))))))</f>
        <v/>
      </c>
      <c r="M892" s="306" t="n">
        <v>12</v>
      </c>
      <c r="N892" s="314">
        <f>IF(C892="","",COUNT(G892:J892)/4)</f>
        <v/>
      </c>
      <c r="O892" s="307" t="n"/>
    </row>
    <row r="893" ht="24" customHeight="1">
      <c r="A893" s="306" t="n">
        <v>889</v>
      </c>
      <c r="B893" s="306" t="inlineStr">
        <is>
          <t>تیر</t>
        </is>
      </c>
      <c r="C893" s="306">
        <f>IF('دانش‌آموزان'!E79="","",'دانش‌آموزان'!B79)</f>
        <v/>
      </c>
      <c r="D893" s="306">
        <f>IF('دانش‌آموزان'!C79="","",'دانش‌آموزان'!C79)</f>
        <v/>
      </c>
      <c r="E893" s="306">
        <f>IF('دانش‌آموزان'!E79="","",'دانش‌آموزان'!E79&amp;" "&amp;'دانش‌آموزان'!F79)</f>
        <v/>
      </c>
      <c r="F893" s="306">
        <f>IF('دانش‌آموزان'!I79="","",'دانش‌آموزان'!I79)</f>
        <v/>
      </c>
      <c r="G893" s="307" t="n"/>
      <c r="H893" s="307" t="n"/>
      <c r="I893" s="307" t="n"/>
      <c r="J893" s="307" t="n"/>
      <c r="K893" s="313">
        <f>IF(COUNT(G893:J893)=0,"",AVERAGE(G893:J893)*4)</f>
        <v/>
      </c>
      <c r="L893" s="306">
        <f>IF(C893="","",IF(COUNT(G893:J893)=0,"",IF(COUNT(G893:J893)&lt;4,"موقت - اطلاعات ناقص",IF(K893&gt;=17,"عالی",IF(K893&gt;=14,"خوب",IF(K893&gt;=10,"متوسط","ضعیف"))))))</f>
        <v/>
      </c>
      <c r="M893" s="306" t="n">
        <v>1</v>
      </c>
      <c r="N893" s="314">
        <f>IF(C893="","",COUNT(G893:J893)/4)</f>
        <v/>
      </c>
      <c r="O893" s="307" t="n"/>
    </row>
    <row r="894" ht="24" customHeight="1">
      <c r="A894" s="306" t="n">
        <v>890</v>
      </c>
      <c r="B894" s="306" t="inlineStr">
        <is>
          <t>مرداد</t>
        </is>
      </c>
      <c r="C894" s="306">
        <f>IF('دانش‌آموزان'!E79="","",'دانش‌آموزان'!B79)</f>
        <v/>
      </c>
      <c r="D894" s="306">
        <f>IF('دانش‌آموزان'!C79="","",'دانش‌آموزان'!C79)</f>
        <v/>
      </c>
      <c r="E894" s="306">
        <f>IF('دانش‌آموزان'!E79="","",'دانش‌آموزان'!E79&amp;" "&amp;'دانش‌آموزان'!F79)</f>
        <v/>
      </c>
      <c r="F894" s="306">
        <f>IF('دانش‌آموزان'!I79="","",'دانش‌آموزان'!I79)</f>
        <v/>
      </c>
      <c r="G894" s="307" t="n"/>
      <c r="H894" s="307" t="n"/>
      <c r="I894" s="307" t="n"/>
      <c r="J894" s="307" t="n"/>
      <c r="K894" s="313">
        <f>IF(COUNT(G894:J894)=0,"",AVERAGE(G894:J894)*4)</f>
        <v/>
      </c>
      <c r="L894" s="306">
        <f>IF(C894="","",IF(COUNT(G894:J894)=0,"",IF(COUNT(G894:J894)&lt;4,"موقت - اطلاعات ناقص",IF(K894&gt;=17,"عالی",IF(K894&gt;=14,"خوب",IF(K894&gt;=10,"متوسط","ضعیف"))))))</f>
        <v/>
      </c>
      <c r="M894" s="306" t="n">
        <v>2</v>
      </c>
      <c r="N894" s="314">
        <f>IF(C894="","",COUNT(G894:J894)/4)</f>
        <v/>
      </c>
      <c r="O894" s="307" t="n"/>
    </row>
    <row r="895" ht="24" customHeight="1">
      <c r="A895" s="306" t="n">
        <v>891</v>
      </c>
      <c r="B895" s="306" t="inlineStr">
        <is>
          <t>شهریور</t>
        </is>
      </c>
      <c r="C895" s="306">
        <f>IF('دانش‌آموزان'!E79="","",'دانش‌آموزان'!B79)</f>
        <v/>
      </c>
      <c r="D895" s="306">
        <f>IF('دانش‌آموزان'!C79="","",'دانش‌آموزان'!C79)</f>
        <v/>
      </c>
      <c r="E895" s="306">
        <f>IF('دانش‌آموزان'!E79="","",'دانش‌آموزان'!E79&amp;" "&amp;'دانش‌آموزان'!F79)</f>
        <v/>
      </c>
      <c r="F895" s="306">
        <f>IF('دانش‌آموزان'!I79="","",'دانش‌آموزان'!I79)</f>
        <v/>
      </c>
      <c r="G895" s="307" t="n"/>
      <c r="H895" s="307" t="n"/>
      <c r="I895" s="307" t="n"/>
      <c r="J895" s="307" t="n"/>
      <c r="K895" s="313">
        <f>IF(COUNT(G895:J895)=0,"",AVERAGE(G895:J895)*4)</f>
        <v/>
      </c>
      <c r="L895" s="306">
        <f>IF(C895="","",IF(COUNT(G895:J895)=0,"",IF(COUNT(G895:J895)&lt;4,"موقت - اطلاعات ناقص",IF(K895&gt;=17,"عالی",IF(K895&gt;=14,"خوب",IF(K895&gt;=10,"متوسط","ضعیف"))))))</f>
        <v/>
      </c>
      <c r="M895" s="306" t="n">
        <v>3</v>
      </c>
      <c r="N895" s="314">
        <f>IF(C895="","",COUNT(G895:J895)/4)</f>
        <v/>
      </c>
      <c r="O895" s="307" t="n"/>
    </row>
    <row r="896" ht="24" customHeight="1">
      <c r="A896" s="306" t="n">
        <v>892</v>
      </c>
      <c r="B896" s="306" t="inlineStr">
        <is>
          <t>مهر</t>
        </is>
      </c>
      <c r="C896" s="306">
        <f>IF('دانش‌آموزان'!E79="","",'دانش‌آموزان'!B79)</f>
        <v/>
      </c>
      <c r="D896" s="306">
        <f>IF('دانش‌آموزان'!C79="","",'دانش‌آموزان'!C79)</f>
        <v/>
      </c>
      <c r="E896" s="306">
        <f>IF('دانش‌آموزان'!E79="","",'دانش‌آموزان'!E79&amp;" "&amp;'دانش‌آموزان'!F79)</f>
        <v/>
      </c>
      <c r="F896" s="306">
        <f>IF('دانش‌آموزان'!I79="","",'دانش‌آموزان'!I79)</f>
        <v/>
      </c>
      <c r="G896" s="307" t="n"/>
      <c r="H896" s="307" t="n"/>
      <c r="I896" s="307" t="n"/>
      <c r="J896" s="307" t="n"/>
      <c r="K896" s="313">
        <f>IF(COUNT(G896:J896)=0,"",AVERAGE(G896:J896)*4)</f>
        <v/>
      </c>
      <c r="L896" s="306">
        <f>IF(C896="","",IF(COUNT(G896:J896)=0,"",IF(COUNT(G896:J896)&lt;4,"موقت - اطلاعات ناقص",IF(K896&gt;=17,"عالی",IF(K896&gt;=14,"خوب",IF(K896&gt;=10,"متوسط","ضعیف"))))))</f>
        <v/>
      </c>
      <c r="M896" s="306" t="n">
        <v>4</v>
      </c>
      <c r="N896" s="314">
        <f>IF(C896="","",COUNT(G896:J896)/4)</f>
        <v/>
      </c>
      <c r="O896" s="307" t="n"/>
    </row>
    <row r="897" ht="24" customHeight="1">
      <c r="A897" s="306" t="n">
        <v>893</v>
      </c>
      <c r="B897" s="306" t="inlineStr">
        <is>
          <t>آبان</t>
        </is>
      </c>
      <c r="C897" s="306">
        <f>IF('دانش‌آموزان'!E79="","",'دانش‌آموزان'!B79)</f>
        <v/>
      </c>
      <c r="D897" s="306">
        <f>IF('دانش‌آموزان'!C79="","",'دانش‌آموزان'!C79)</f>
        <v/>
      </c>
      <c r="E897" s="306">
        <f>IF('دانش‌آموزان'!E79="","",'دانش‌آموزان'!E79&amp;" "&amp;'دانش‌آموزان'!F79)</f>
        <v/>
      </c>
      <c r="F897" s="306">
        <f>IF('دانش‌آموزان'!I79="","",'دانش‌آموزان'!I79)</f>
        <v/>
      </c>
      <c r="G897" s="307" t="n"/>
      <c r="H897" s="307" t="n"/>
      <c r="I897" s="307" t="n"/>
      <c r="J897" s="307" t="n"/>
      <c r="K897" s="313">
        <f>IF(COUNT(G897:J897)=0,"",AVERAGE(G897:J897)*4)</f>
        <v/>
      </c>
      <c r="L897" s="306">
        <f>IF(C897="","",IF(COUNT(G897:J897)=0,"",IF(COUNT(G897:J897)&lt;4,"موقت - اطلاعات ناقص",IF(K897&gt;=17,"عالی",IF(K897&gt;=14,"خوب",IF(K897&gt;=10,"متوسط","ضعیف"))))))</f>
        <v/>
      </c>
      <c r="M897" s="306" t="n">
        <v>5</v>
      </c>
      <c r="N897" s="314">
        <f>IF(C897="","",COUNT(G897:J897)/4)</f>
        <v/>
      </c>
      <c r="O897" s="307" t="n"/>
    </row>
    <row r="898" ht="24" customHeight="1">
      <c r="A898" s="306" t="n">
        <v>894</v>
      </c>
      <c r="B898" s="306" t="inlineStr">
        <is>
          <t>آذر</t>
        </is>
      </c>
      <c r="C898" s="306">
        <f>IF('دانش‌آموزان'!E79="","",'دانش‌آموزان'!B79)</f>
        <v/>
      </c>
      <c r="D898" s="306">
        <f>IF('دانش‌آموزان'!C79="","",'دانش‌آموزان'!C79)</f>
        <v/>
      </c>
      <c r="E898" s="306">
        <f>IF('دانش‌آموزان'!E79="","",'دانش‌آموزان'!E79&amp;" "&amp;'دانش‌آموزان'!F79)</f>
        <v/>
      </c>
      <c r="F898" s="306">
        <f>IF('دانش‌آموزان'!I79="","",'دانش‌آموزان'!I79)</f>
        <v/>
      </c>
      <c r="G898" s="307" t="n"/>
      <c r="H898" s="307" t="n"/>
      <c r="I898" s="307" t="n"/>
      <c r="J898" s="307" t="n"/>
      <c r="K898" s="313">
        <f>IF(COUNT(G898:J898)=0,"",AVERAGE(G898:J898)*4)</f>
        <v/>
      </c>
      <c r="L898" s="306">
        <f>IF(C898="","",IF(COUNT(G898:J898)=0,"",IF(COUNT(G898:J898)&lt;4,"موقت - اطلاعات ناقص",IF(K898&gt;=17,"عالی",IF(K898&gt;=14,"خوب",IF(K898&gt;=10,"متوسط","ضعیف"))))))</f>
        <v/>
      </c>
      <c r="M898" s="306" t="n">
        <v>6</v>
      </c>
      <c r="N898" s="314">
        <f>IF(C898="","",COUNT(G898:J898)/4)</f>
        <v/>
      </c>
      <c r="O898" s="307" t="n"/>
    </row>
    <row r="899" ht="24" customHeight="1">
      <c r="A899" s="306" t="n">
        <v>895</v>
      </c>
      <c r="B899" s="306" t="inlineStr">
        <is>
          <t>دی</t>
        </is>
      </c>
      <c r="C899" s="306">
        <f>IF('دانش‌آموزان'!E79="","",'دانش‌آموزان'!B79)</f>
        <v/>
      </c>
      <c r="D899" s="306">
        <f>IF('دانش‌آموزان'!C79="","",'دانش‌آموزان'!C79)</f>
        <v/>
      </c>
      <c r="E899" s="306">
        <f>IF('دانش‌آموزان'!E79="","",'دانش‌آموزان'!E79&amp;" "&amp;'دانش‌آموزان'!F79)</f>
        <v/>
      </c>
      <c r="F899" s="306">
        <f>IF('دانش‌آموزان'!I79="","",'دانش‌آموزان'!I79)</f>
        <v/>
      </c>
      <c r="G899" s="307" t="n"/>
      <c r="H899" s="307" t="n"/>
      <c r="I899" s="307" t="n"/>
      <c r="J899" s="307" t="n"/>
      <c r="K899" s="313">
        <f>IF(COUNT(G899:J899)=0,"",AVERAGE(G899:J899)*4)</f>
        <v/>
      </c>
      <c r="L899" s="306">
        <f>IF(C899="","",IF(COUNT(G899:J899)=0,"",IF(COUNT(G899:J899)&lt;4,"موقت - اطلاعات ناقص",IF(K899&gt;=17,"عالی",IF(K899&gt;=14,"خوب",IF(K899&gt;=10,"متوسط","ضعیف"))))))</f>
        <v/>
      </c>
      <c r="M899" s="306" t="n">
        <v>7</v>
      </c>
      <c r="N899" s="314">
        <f>IF(C899="","",COUNT(G899:J899)/4)</f>
        <v/>
      </c>
      <c r="O899" s="307" t="n"/>
    </row>
    <row r="900" ht="24" customHeight="1">
      <c r="A900" s="306" t="n">
        <v>896</v>
      </c>
      <c r="B900" s="306" t="inlineStr">
        <is>
          <t>بهمن</t>
        </is>
      </c>
      <c r="C900" s="306">
        <f>IF('دانش‌آموزان'!E79="","",'دانش‌آموزان'!B79)</f>
        <v/>
      </c>
      <c r="D900" s="306">
        <f>IF('دانش‌آموزان'!C79="","",'دانش‌آموزان'!C79)</f>
        <v/>
      </c>
      <c r="E900" s="306">
        <f>IF('دانش‌آموزان'!E79="","",'دانش‌آموزان'!E79&amp;" "&amp;'دانش‌آموزان'!F79)</f>
        <v/>
      </c>
      <c r="F900" s="306">
        <f>IF('دانش‌آموزان'!I79="","",'دانش‌آموزان'!I79)</f>
        <v/>
      </c>
      <c r="G900" s="307" t="n"/>
      <c r="H900" s="307" t="n"/>
      <c r="I900" s="307" t="n"/>
      <c r="J900" s="307" t="n"/>
      <c r="K900" s="313">
        <f>IF(COUNT(G900:J900)=0,"",AVERAGE(G900:J900)*4)</f>
        <v/>
      </c>
      <c r="L900" s="306">
        <f>IF(C900="","",IF(COUNT(G900:J900)=0,"",IF(COUNT(G900:J900)&lt;4,"موقت - اطلاعات ناقص",IF(K900&gt;=17,"عالی",IF(K900&gt;=14,"خوب",IF(K900&gt;=10,"متوسط","ضعیف"))))))</f>
        <v/>
      </c>
      <c r="M900" s="306" t="n">
        <v>8</v>
      </c>
      <c r="N900" s="314">
        <f>IF(C900="","",COUNT(G900:J900)/4)</f>
        <v/>
      </c>
      <c r="O900" s="307" t="n"/>
    </row>
    <row r="901" ht="24" customHeight="1">
      <c r="A901" s="306" t="n">
        <v>897</v>
      </c>
      <c r="B901" s="306" t="inlineStr">
        <is>
          <t>اسفند</t>
        </is>
      </c>
      <c r="C901" s="306">
        <f>IF('دانش‌آموزان'!E79="","",'دانش‌آموزان'!B79)</f>
        <v/>
      </c>
      <c r="D901" s="306">
        <f>IF('دانش‌آموزان'!C79="","",'دانش‌آموزان'!C79)</f>
        <v/>
      </c>
      <c r="E901" s="306">
        <f>IF('دانش‌آموزان'!E79="","",'دانش‌آموزان'!E79&amp;" "&amp;'دانش‌آموزان'!F79)</f>
        <v/>
      </c>
      <c r="F901" s="306">
        <f>IF('دانش‌آموزان'!I79="","",'دانش‌آموزان'!I79)</f>
        <v/>
      </c>
      <c r="G901" s="307" t="n"/>
      <c r="H901" s="307" t="n"/>
      <c r="I901" s="307" t="n"/>
      <c r="J901" s="307" t="n"/>
      <c r="K901" s="313">
        <f>IF(COUNT(G901:J901)=0,"",AVERAGE(G901:J901)*4)</f>
        <v/>
      </c>
      <c r="L901" s="306">
        <f>IF(C901="","",IF(COUNT(G901:J901)=0,"",IF(COUNT(G901:J901)&lt;4,"موقت - اطلاعات ناقص",IF(K901&gt;=17,"عالی",IF(K901&gt;=14,"خوب",IF(K901&gt;=10,"متوسط","ضعیف"))))))</f>
        <v/>
      </c>
      <c r="M901" s="306" t="n">
        <v>9</v>
      </c>
      <c r="N901" s="314">
        <f>IF(C901="","",COUNT(G901:J901)/4)</f>
        <v/>
      </c>
      <c r="O901" s="307" t="n"/>
    </row>
    <row r="902" ht="24" customHeight="1">
      <c r="A902" s="306" t="n">
        <v>898</v>
      </c>
      <c r="B902" s="306" t="inlineStr">
        <is>
          <t>فروردین</t>
        </is>
      </c>
      <c r="C902" s="306">
        <f>IF('دانش‌آموزان'!E79="","",'دانش‌آموزان'!B79)</f>
        <v/>
      </c>
      <c r="D902" s="306">
        <f>IF('دانش‌آموزان'!C79="","",'دانش‌آموزان'!C79)</f>
        <v/>
      </c>
      <c r="E902" s="306">
        <f>IF('دانش‌آموزان'!E79="","",'دانش‌آموزان'!E79&amp;" "&amp;'دانش‌آموزان'!F79)</f>
        <v/>
      </c>
      <c r="F902" s="306">
        <f>IF('دانش‌آموزان'!I79="","",'دانش‌آموزان'!I79)</f>
        <v/>
      </c>
      <c r="G902" s="307" t="n"/>
      <c r="H902" s="307" t="n"/>
      <c r="I902" s="307" t="n"/>
      <c r="J902" s="307" t="n"/>
      <c r="K902" s="313">
        <f>IF(COUNT(G902:J902)=0,"",AVERAGE(G902:J902)*4)</f>
        <v/>
      </c>
      <c r="L902" s="306">
        <f>IF(C902="","",IF(COUNT(G902:J902)=0,"",IF(COUNT(G902:J902)&lt;4,"موقت - اطلاعات ناقص",IF(K902&gt;=17,"عالی",IF(K902&gt;=14,"خوب",IF(K902&gt;=10,"متوسط","ضعیف"))))))</f>
        <v/>
      </c>
      <c r="M902" s="306" t="n">
        <v>10</v>
      </c>
      <c r="N902" s="314">
        <f>IF(C902="","",COUNT(G902:J902)/4)</f>
        <v/>
      </c>
      <c r="O902" s="307" t="n"/>
    </row>
    <row r="903" ht="24" customHeight="1">
      <c r="A903" s="306" t="n">
        <v>899</v>
      </c>
      <c r="B903" s="306" t="inlineStr">
        <is>
          <t>اردیبهشت</t>
        </is>
      </c>
      <c r="C903" s="306">
        <f>IF('دانش‌آموزان'!E79="","",'دانش‌آموزان'!B79)</f>
        <v/>
      </c>
      <c r="D903" s="306">
        <f>IF('دانش‌آموزان'!C79="","",'دانش‌آموزان'!C79)</f>
        <v/>
      </c>
      <c r="E903" s="306">
        <f>IF('دانش‌آموزان'!E79="","",'دانش‌آموزان'!E79&amp;" "&amp;'دانش‌آموزان'!F79)</f>
        <v/>
      </c>
      <c r="F903" s="306">
        <f>IF('دانش‌آموزان'!I79="","",'دانش‌آموزان'!I79)</f>
        <v/>
      </c>
      <c r="G903" s="307" t="n"/>
      <c r="H903" s="307" t="n"/>
      <c r="I903" s="307" t="n"/>
      <c r="J903" s="307" t="n"/>
      <c r="K903" s="313">
        <f>IF(COUNT(G903:J903)=0,"",AVERAGE(G903:J903)*4)</f>
        <v/>
      </c>
      <c r="L903" s="306">
        <f>IF(C903="","",IF(COUNT(G903:J903)=0,"",IF(COUNT(G903:J903)&lt;4,"موقت - اطلاعات ناقص",IF(K903&gt;=17,"عالی",IF(K903&gt;=14,"خوب",IF(K903&gt;=10,"متوسط","ضعیف"))))))</f>
        <v/>
      </c>
      <c r="M903" s="306" t="n">
        <v>11</v>
      </c>
      <c r="N903" s="314">
        <f>IF(C903="","",COUNT(G903:J903)/4)</f>
        <v/>
      </c>
      <c r="O903" s="307" t="n"/>
    </row>
    <row r="904" ht="24" customHeight="1">
      <c r="A904" s="306" t="n">
        <v>900</v>
      </c>
      <c r="B904" s="306" t="inlineStr">
        <is>
          <t>خرداد</t>
        </is>
      </c>
      <c r="C904" s="306">
        <f>IF('دانش‌آموزان'!E79="","",'دانش‌آموزان'!B79)</f>
        <v/>
      </c>
      <c r="D904" s="306">
        <f>IF('دانش‌آموزان'!C79="","",'دانش‌آموزان'!C79)</f>
        <v/>
      </c>
      <c r="E904" s="306">
        <f>IF('دانش‌آموزان'!E79="","",'دانش‌آموزان'!E79&amp;" "&amp;'دانش‌آموزان'!F79)</f>
        <v/>
      </c>
      <c r="F904" s="306">
        <f>IF('دانش‌آموزان'!I79="","",'دانش‌آموزان'!I79)</f>
        <v/>
      </c>
      <c r="G904" s="307" t="n"/>
      <c r="H904" s="307" t="n"/>
      <c r="I904" s="307" t="n"/>
      <c r="J904" s="307" t="n"/>
      <c r="K904" s="313">
        <f>IF(COUNT(G904:J904)=0,"",AVERAGE(G904:J904)*4)</f>
        <v/>
      </c>
      <c r="L904" s="306">
        <f>IF(C904="","",IF(COUNT(G904:J904)=0,"",IF(COUNT(G904:J904)&lt;4,"موقت - اطلاعات ناقص",IF(K904&gt;=17,"عالی",IF(K904&gt;=14,"خوب",IF(K904&gt;=10,"متوسط","ضعیف"))))))</f>
        <v/>
      </c>
      <c r="M904" s="306" t="n">
        <v>12</v>
      </c>
      <c r="N904" s="314">
        <f>IF(C904="","",COUNT(G904:J904)/4)</f>
        <v/>
      </c>
      <c r="O904" s="307" t="n"/>
    </row>
    <row r="905" ht="24" customHeight="1">
      <c r="A905" s="306" t="n">
        <v>901</v>
      </c>
      <c r="B905" s="306" t="inlineStr">
        <is>
          <t>تیر</t>
        </is>
      </c>
      <c r="C905" s="306">
        <f>IF('دانش‌آموزان'!E80="","",'دانش‌آموزان'!B80)</f>
        <v/>
      </c>
      <c r="D905" s="306">
        <f>IF('دانش‌آموزان'!C80="","",'دانش‌آموزان'!C80)</f>
        <v/>
      </c>
      <c r="E905" s="306">
        <f>IF('دانش‌آموزان'!E80="","",'دانش‌آموزان'!E80&amp;" "&amp;'دانش‌آموزان'!F80)</f>
        <v/>
      </c>
      <c r="F905" s="306">
        <f>IF('دانش‌آموزان'!I80="","",'دانش‌آموزان'!I80)</f>
        <v/>
      </c>
      <c r="G905" s="307" t="n"/>
      <c r="H905" s="307" t="n"/>
      <c r="I905" s="307" t="n"/>
      <c r="J905" s="307" t="n"/>
      <c r="K905" s="313">
        <f>IF(COUNT(G905:J905)=0,"",AVERAGE(G905:J905)*4)</f>
        <v/>
      </c>
      <c r="L905" s="306">
        <f>IF(C905="","",IF(COUNT(G905:J905)=0,"",IF(COUNT(G905:J905)&lt;4,"موقت - اطلاعات ناقص",IF(K905&gt;=17,"عالی",IF(K905&gt;=14,"خوب",IF(K905&gt;=10,"متوسط","ضعیف"))))))</f>
        <v/>
      </c>
      <c r="M905" s="306" t="n">
        <v>1</v>
      </c>
      <c r="N905" s="314">
        <f>IF(C905="","",COUNT(G905:J905)/4)</f>
        <v/>
      </c>
      <c r="O905" s="307" t="n"/>
    </row>
    <row r="906" ht="24" customHeight="1">
      <c r="A906" s="306" t="n">
        <v>902</v>
      </c>
      <c r="B906" s="306" t="inlineStr">
        <is>
          <t>مرداد</t>
        </is>
      </c>
      <c r="C906" s="306">
        <f>IF('دانش‌آموزان'!E80="","",'دانش‌آموزان'!B80)</f>
        <v/>
      </c>
      <c r="D906" s="306">
        <f>IF('دانش‌آموزان'!C80="","",'دانش‌آموزان'!C80)</f>
        <v/>
      </c>
      <c r="E906" s="306">
        <f>IF('دانش‌آموزان'!E80="","",'دانش‌آموزان'!E80&amp;" "&amp;'دانش‌آموزان'!F80)</f>
        <v/>
      </c>
      <c r="F906" s="306">
        <f>IF('دانش‌آموزان'!I80="","",'دانش‌آموزان'!I80)</f>
        <v/>
      </c>
      <c r="G906" s="307" t="n"/>
      <c r="H906" s="307" t="n"/>
      <c r="I906" s="307" t="n"/>
      <c r="J906" s="307" t="n"/>
      <c r="K906" s="313">
        <f>IF(COUNT(G906:J906)=0,"",AVERAGE(G906:J906)*4)</f>
        <v/>
      </c>
      <c r="L906" s="306">
        <f>IF(C906="","",IF(COUNT(G906:J906)=0,"",IF(COUNT(G906:J906)&lt;4,"موقت - اطلاعات ناقص",IF(K906&gt;=17,"عالی",IF(K906&gt;=14,"خوب",IF(K906&gt;=10,"متوسط","ضعیف"))))))</f>
        <v/>
      </c>
      <c r="M906" s="306" t="n">
        <v>2</v>
      </c>
      <c r="N906" s="314">
        <f>IF(C906="","",COUNT(G906:J906)/4)</f>
        <v/>
      </c>
      <c r="O906" s="307" t="n"/>
    </row>
    <row r="907" ht="24" customHeight="1">
      <c r="A907" s="306" t="n">
        <v>903</v>
      </c>
      <c r="B907" s="306" t="inlineStr">
        <is>
          <t>شهریور</t>
        </is>
      </c>
      <c r="C907" s="306">
        <f>IF('دانش‌آموزان'!E80="","",'دانش‌آموزان'!B80)</f>
        <v/>
      </c>
      <c r="D907" s="306">
        <f>IF('دانش‌آموزان'!C80="","",'دانش‌آموزان'!C80)</f>
        <v/>
      </c>
      <c r="E907" s="306">
        <f>IF('دانش‌آموزان'!E80="","",'دانش‌آموزان'!E80&amp;" "&amp;'دانش‌آموزان'!F80)</f>
        <v/>
      </c>
      <c r="F907" s="306">
        <f>IF('دانش‌آموزان'!I80="","",'دانش‌آموزان'!I80)</f>
        <v/>
      </c>
      <c r="G907" s="307" t="n"/>
      <c r="H907" s="307" t="n"/>
      <c r="I907" s="307" t="n"/>
      <c r="J907" s="307" t="n"/>
      <c r="K907" s="313">
        <f>IF(COUNT(G907:J907)=0,"",AVERAGE(G907:J907)*4)</f>
        <v/>
      </c>
      <c r="L907" s="306">
        <f>IF(C907="","",IF(COUNT(G907:J907)=0,"",IF(COUNT(G907:J907)&lt;4,"موقت - اطلاعات ناقص",IF(K907&gt;=17,"عالی",IF(K907&gt;=14,"خوب",IF(K907&gt;=10,"متوسط","ضعیف"))))))</f>
        <v/>
      </c>
      <c r="M907" s="306" t="n">
        <v>3</v>
      </c>
      <c r="N907" s="314">
        <f>IF(C907="","",COUNT(G907:J907)/4)</f>
        <v/>
      </c>
      <c r="O907" s="307" t="n"/>
    </row>
    <row r="908" ht="24" customHeight="1">
      <c r="A908" s="306" t="n">
        <v>904</v>
      </c>
      <c r="B908" s="306" t="inlineStr">
        <is>
          <t>مهر</t>
        </is>
      </c>
      <c r="C908" s="306">
        <f>IF('دانش‌آموزان'!E80="","",'دانش‌آموزان'!B80)</f>
        <v/>
      </c>
      <c r="D908" s="306">
        <f>IF('دانش‌آموزان'!C80="","",'دانش‌آموزان'!C80)</f>
        <v/>
      </c>
      <c r="E908" s="306">
        <f>IF('دانش‌آموزان'!E80="","",'دانش‌آموزان'!E80&amp;" "&amp;'دانش‌آموزان'!F80)</f>
        <v/>
      </c>
      <c r="F908" s="306">
        <f>IF('دانش‌آموزان'!I80="","",'دانش‌آموزان'!I80)</f>
        <v/>
      </c>
      <c r="G908" s="307" t="n"/>
      <c r="H908" s="307" t="n"/>
      <c r="I908" s="307" t="n"/>
      <c r="J908" s="307" t="n"/>
      <c r="K908" s="313">
        <f>IF(COUNT(G908:J908)=0,"",AVERAGE(G908:J908)*4)</f>
        <v/>
      </c>
      <c r="L908" s="306">
        <f>IF(C908="","",IF(COUNT(G908:J908)=0,"",IF(COUNT(G908:J908)&lt;4,"موقت - اطلاعات ناقص",IF(K908&gt;=17,"عالی",IF(K908&gt;=14,"خوب",IF(K908&gt;=10,"متوسط","ضعیف"))))))</f>
        <v/>
      </c>
      <c r="M908" s="306" t="n">
        <v>4</v>
      </c>
      <c r="N908" s="314">
        <f>IF(C908="","",COUNT(G908:J908)/4)</f>
        <v/>
      </c>
      <c r="O908" s="307" t="n"/>
    </row>
    <row r="909" ht="24" customHeight="1">
      <c r="A909" s="306" t="n">
        <v>905</v>
      </c>
      <c r="B909" s="306" t="inlineStr">
        <is>
          <t>آبان</t>
        </is>
      </c>
      <c r="C909" s="306">
        <f>IF('دانش‌آموزان'!E80="","",'دانش‌آموزان'!B80)</f>
        <v/>
      </c>
      <c r="D909" s="306">
        <f>IF('دانش‌آموزان'!C80="","",'دانش‌آموزان'!C80)</f>
        <v/>
      </c>
      <c r="E909" s="306">
        <f>IF('دانش‌آموزان'!E80="","",'دانش‌آموزان'!E80&amp;" "&amp;'دانش‌آموزان'!F80)</f>
        <v/>
      </c>
      <c r="F909" s="306">
        <f>IF('دانش‌آموزان'!I80="","",'دانش‌آموزان'!I80)</f>
        <v/>
      </c>
      <c r="G909" s="307" t="n"/>
      <c r="H909" s="307" t="n"/>
      <c r="I909" s="307" t="n"/>
      <c r="J909" s="307" t="n"/>
      <c r="K909" s="313">
        <f>IF(COUNT(G909:J909)=0,"",AVERAGE(G909:J909)*4)</f>
        <v/>
      </c>
      <c r="L909" s="306">
        <f>IF(C909="","",IF(COUNT(G909:J909)=0,"",IF(COUNT(G909:J909)&lt;4,"موقت - اطلاعات ناقص",IF(K909&gt;=17,"عالی",IF(K909&gt;=14,"خوب",IF(K909&gt;=10,"متوسط","ضعیف"))))))</f>
        <v/>
      </c>
      <c r="M909" s="306" t="n">
        <v>5</v>
      </c>
      <c r="N909" s="314">
        <f>IF(C909="","",COUNT(G909:J909)/4)</f>
        <v/>
      </c>
      <c r="O909" s="307" t="n"/>
    </row>
    <row r="910" ht="24" customHeight="1">
      <c r="A910" s="306" t="n">
        <v>906</v>
      </c>
      <c r="B910" s="306" t="inlineStr">
        <is>
          <t>آذر</t>
        </is>
      </c>
      <c r="C910" s="306">
        <f>IF('دانش‌آموزان'!E80="","",'دانش‌آموزان'!B80)</f>
        <v/>
      </c>
      <c r="D910" s="306">
        <f>IF('دانش‌آموزان'!C80="","",'دانش‌آموزان'!C80)</f>
        <v/>
      </c>
      <c r="E910" s="306">
        <f>IF('دانش‌آموزان'!E80="","",'دانش‌آموزان'!E80&amp;" "&amp;'دانش‌آموزان'!F80)</f>
        <v/>
      </c>
      <c r="F910" s="306">
        <f>IF('دانش‌آموزان'!I80="","",'دانش‌آموزان'!I80)</f>
        <v/>
      </c>
      <c r="G910" s="307" t="n"/>
      <c r="H910" s="307" t="n"/>
      <c r="I910" s="307" t="n"/>
      <c r="J910" s="307" t="n"/>
      <c r="K910" s="313">
        <f>IF(COUNT(G910:J910)=0,"",AVERAGE(G910:J910)*4)</f>
        <v/>
      </c>
      <c r="L910" s="306">
        <f>IF(C910="","",IF(COUNT(G910:J910)=0,"",IF(COUNT(G910:J910)&lt;4,"موقت - اطلاعات ناقص",IF(K910&gt;=17,"عالی",IF(K910&gt;=14,"خوب",IF(K910&gt;=10,"متوسط","ضعیف"))))))</f>
        <v/>
      </c>
      <c r="M910" s="306" t="n">
        <v>6</v>
      </c>
      <c r="N910" s="314">
        <f>IF(C910="","",COUNT(G910:J910)/4)</f>
        <v/>
      </c>
      <c r="O910" s="307" t="n"/>
    </row>
    <row r="911" ht="24" customHeight="1">
      <c r="A911" s="306" t="n">
        <v>907</v>
      </c>
      <c r="B911" s="306" t="inlineStr">
        <is>
          <t>دی</t>
        </is>
      </c>
      <c r="C911" s="306">
        <f>IF('دانش‌آموزان'!E80="","",'دانش‌آموزان'!B80)</f>
        <v/>
      </c>
      <c r="D911" s="306">
        <f>IF('دانش‌آموزان'!C80="","",'دانش‌آموزان'!C80)</f>
        <v/>
      </c>
      <c r="E911" s="306">
        <f>IF('دانش‌آموزان'!E80="","",'دانش‌آموزان'!E80&amp;" "&amp;'دانش‌آموزان'!F80)</f>
        <v/>
      </c>
      <c r="F911" s="306">
        <f>IF('دانش‌آموزان'!I80="","",'دانش‌آموزان'!I80)</f>
        <v/>
      </c>
      <c r="G911" s="307" t="n"/>
      <c r="H911" s="307" t="n"/>
      <c r="I911" s="307" t="n"/>
      <c r="J911" s="307" t="n"/>
      <c r="K911" s="313">
        <f>IF(COUNT(G911:J911)=0,"",AVERAGE(G911:J911)*4)</f>
        <v/>
      </c>
      <c r="L911" s="306">
        <f>IF(C911="","",IF(COUNT(G911:J911)=0,"",IF(COUNT(G911:J911)&lt;4,"موقت - اطلاعات ناقص",IF(K911&gt;=17,"عالی",IF(K911&gt;=14,"خوب",IF(K911&gt;=10,"متوسط","ضعیف"))))))</f>
        <v/>
      </c>
      <c r="M911" s="306" t="n">
        <v>7</v>
      </c>
      <c r="N911" s="314">
        <f>IF(C911="","",COUNT(G911:J911)/4)</f>
        <v/>
      </c>
      <c r="O911" s="307" t="n"/>
    </row>
    <row r="912" ht="24" customHeight="1">
      <c r="A912" s="306" t="n">
        <v>908</v>
      </c>
      <c r="B912" s="306" t="inlineStr">
        <is>
          <t>بهمن</t>
        </is>
      </c>
      <c r="C912" s="306">
        <f>IF('دانش‌آموزان'!E80="","",'دانش‌آموزان'!B80)</f>
        <v/>
      </c>
      <c r="D912" s="306">
        <f>IF('دانش‌آموزان'!C80="","",'دانش‌آموزان'!C80)</f>
        <v/>
      </c>
      <c r="E912" s="306">
        <f>IF('دانش‌آموزان'!E80="","",'دانش‌آموزان'!E80&amp;" "&amp;'دانش‌آموزان'!F80)</f>
        <v/>
      </c>
      <c r="F912" s="306">
        <f>IF('دانش‌آموزان'!I80="","",'دانش‌آموزان'!I80)</f>
        <v/>
      </c>
      <c r="G912" s="307" t="n"/>
      <c r="H912" s="307" t="n"/>
      <c r="I912" s="307" t="n"/>
      <c r="J912" s="307" t="n"/>
      <c r="K912" s="313">
        <f>IF(COUNT(G912:J912)=0,"",AVERAGE(G912:J912)*4)</f>
        <v/>
      </c>
      <c r="L912" s="306">
        <f>IF(C912="","",IF(COUNT(G912:J912)=0,"",IF(COUNT(G912:J912)&lt;4,"موقت - اطلاعات ناقص",IF(K912&gt;=17,"عالی",IF(K912&gt;=14,"خوب",IF(K912&gt;=10,"متوسط","ضعیف"))))))</f>
        <v/>
      </c>
      <c r="M912" s="306" t="n">
        <v>8</v>
      </c>
      <c r="N912" s="314">
        <f>IF(C912="","",COUNT(G912:J912)/4)</f>
        <v/>
      </c>
      <c r="O912" s="307" t="n"/>
    </row>
    <row r="913" ht="24" customHeight="1">
      <c r="A913" s="306" t="n">
        <v>909</v>
      </c>
      <c r="B913" s="306" t="inlineStr">
        <is>
          <t>اسفند</t>
        </is>
      </c>
      <c r="C913" s="306">
        <f>IF('دانش‌آموزان'!E80="","",'دانش‌آموزان'!B80)</f>
        <v/>
      </c>
      <c r="D913" s="306">
        <f>IF('دانش‌آموزان'!C80="","",'دانش‌آموزان'!C80)</f>
        <v/>
      </c>
      <c r="E913" s="306">
        <f>IF('دانش‌آموزان'!E80="","",'دانش‌آموزان'!E80&amp;" "&amp;'دانش‌آموزان'!F80)</f>
        <v/>
      </c>
      <c r="F913" s="306">
        <f>IF('دانش‌آموزان'!I80="","",'دانش‌آموزان'!I80)</f>
        <v/>
      </c>
      <c r="G913" s="307" t="n"/>
      <c r="H913" s="307" t="n"/>
      <c r="I913" s="307" t="n"/>
      <c r="J913" s="307" t="n"/>
      <c r="K913" s="313">
        <f>IF(COUNT(G913:J913)=0,"",AVERAGE(G913:J913)*4)</f>
        <v/>
      </c>
      <c r="L913" s="306">
        <f>IF(C913="","",IF(COUNT(G913:J913)=0,"",IF(COUNT(G913:J913)&lt;4,"موقت - اطلاعات ناقص",IF(K913&gt;=17,"عالی",IF(K913&gt;=14,"خوب",IF(K913&gt;=10,"متوسط","ضعیف"))))))</f>
        <v/>
      </c>
      <c r="M913" s="306" t="n">
        <v>9</v>
      </c>
      <c r="N913" s="314">
        <f>IF(C913="","",COUNT(G913:J913)/4)</f>
        <v/>
      </c>
      <c r="O913" s="307" t="n"/>
    </row>
    <row r="914" ht="24" customHeight="1">
      <c r="A914" s="306" t="n">
        <v>910</v>
      </c>
      <c r="B914" s="306" t="inlineStr">
        <is>
          <t>فروردین</t>
        </is>
      </c>
      <c r="C914" s="306">
        <f>IF('دانش‌آموزان'!E80="","",'دانش‌آموزان'!B80)</f>
        <v/>
      </c>
      <c r="D914" s="306">
        <f>IF('دانش‌آموزان'!C80="","",'دانش‌آموزان'!C80)</f>
        <v/>
      </c>
      <c r="E914" s="306">
        <f>IF('دانش‌آموزان'!E80="","",'دانش‌آموزان'!E80&amp;" "&amp;'دانش‌آموزان'!F80)</f>
        <v/>
      </c>
      <c r="F914" s="306">
        <f>IF('دانش‌آموزان'!I80="","",'دانش‌آموزان'!I80)</f>
        <v/>
      </c>
      <c r="G914" s="307" t="n"/>
      <c r="H914" s="307" t="n"/>
      <c r="I914" s="307" t="n"/>
      <c r="J914" s="307" t="n"/>
      <c r="K914" s="313">
        <f>IF(COUNT(G914:J914)=0,"",AVERAGE(G914:J914)*4)</f>
        <v/>
      </c>
      <c r="L914" s="306">
        <f>IF(C914="","",IF(COUNT(G914:J914)=0,"",IF(COUNT(G914:J914)&lt;4,"موقت - اطلاعات ناقص",IF(K914&gt;=17,"عالی",IF(K914&gt;=14,"خوب",IF(K914&gt;=10,"متوسط","ضعیف"))))))</f>
        <v/>
      </c>
      <c r="M914" s="306" t="n">
        <v>10</v>
      </c>
      <c r="N914" s="314">
        <f>IF(C914="","",COUNT(G914:J914)/4)</f>
        <v/>
      </c>
      <c r="O914" s="307" t="n"/>
    </row>
    <row r="915" ht="24" customHeight="1">
      <c r="A915" s="306" t="n">
        <v>911</v>
      </c>
      <c r="B915" s="306" t="inlineStr">
        <is>
          <t>اردیبهشت</t>
        </is>
      </c>
      <c r="C915" s="306">
        <f>IF('دانش‌آموزان'!E80="","",'دانش‌آموزان'!B80)</f>
        <v/>
      </c>
      <c r="D915" s="306">
        <f>IF('دانش‌آموزان'!C80="","",'دانش‌آموزان'!C80)</f>
        <v/>
      </c>
      <c r="E915" s="306">
        <f>IF('دانش‌آموزان'!E80="","",'دانش‌آموزان'!E80&amp;" "&amp;'دانش‌آموزان'!F80)</f>
        <v/>
      </c>
      <c r="F915" s="306">
        <f>IF('دانش‌آموزان'!I80="","",'دانش‌آموزان'!I80)</f>
        <v/>
      </c>
      <c r="G915" s="307" t="n"/>
      <c r="H915" s="307" t="n"/>
      <c r="I915" s="307" t="n"/>
      <c r="J915" s="307" t="n"/>
      <c r="K915" s="313">
        <f>IF(COUNT(G915:J915)=0,"",AVERAGE(G915:J915)*4)</f>
        <v/>
      </c>
      <c r="L915" s="306">
        <f>IF(C915="","",IF(COUNT(G915:J915)=0,"",IF(COUNT(G915:J915)&lt;4,"موقت - اطلاعات ناقص",IF(K915&gt;=17,"عالی",IF(K915&gt;=14,"خوب",IF(K915&gt;=10,"متوسط","ضعیف"))))))</f>
        <v/>
      </c>
      <c r="M915" s="306" t="n">
        <v>11</v>
      </c>
      <c r="N915" s="314">
        <f>IF(C915="","",COUNT(G915:J915)/4)</f>
        <v/>
      </c>
      <c r="O915" s="307" t="n"/>
    </row>
    <row r="916" ht="24" customHeight="1">
      <c r="A916" s="306" t="n">
        <v>912</v>
      </c>
      <c r="B916" s="306" t="inlineStr">
        <is>
          <t>خرداد</t>
        </is>
      </c>
      <c r="C916" s="306">
        <f>IF('دانش‌آموزان'!E80="","",'دانش‌آموزان'!B80)</f>
        <v/>
      </c>
      <c r="D916" s="306">
        <f>IF('دانش‌آموزان'!C80="","",'دانش‌آموزان'!C80)</f>
        <v/>
      </c>
      <c r="E916" s="306">
        <f>IF('دانش‌آموزان'!E80="","",'دانش‌آموزان'!E80&amp;" "&amp;'دانش‌آموزان'!F80)</f>
        <v/>
      </c>
      <c r="F916" s="306">
        <f>IF('دانش‌آموزان'!I80="","",'دانش‌آموزان'!I80)</f>
        <v/>
      </c>
      <c r="G916" s="307" t="n"/>
      <c r="H916" s="307" t="n"/>
      <c r="I916" s="307" t="n"/>
      <c r="J916" s="307" t="n"/>
      <c r="K916" s="313">
        <f>IF(COUNT(G916:J916)=0,"",AVERAGE(G916:J916)*4)</f>
        <v/>
      </c>
      <c r="L916" s="306">
        <f>IF(C916="","",IF(COUNT(G916:J916)=0,"",IF(COUNT(G916:J916)&lt;4,"موقت - اطلاعات ناقص",IF(K916&gt;=17,"عالی",IF(K916&gt;=14,"خوب",IF(K916&gt;=10,"متوسط","ضعیف"))))))</f>
        <v/>
      </c>
      <c r="M916" s="306" t="n">
        <v>12</v>
      </c>
      <c r="N916" s="314">
        <f>IF(C916="","",COUNT(G916:J916)/4)</f>
        <v/>
      </c>
      <c r="O916" s="307" t="n"/>
    </row>
    <row r="917" ht="24" customHeight="1">
      <c r="A917" s="306" t="n">
        <v>913</v>
      </c>
      <c r="B917" s="306" t="inlineStr">
        <is>
          <t>تیر</t>
        </is>
      </c>
      <c r="C917" s="306">
        <f>IF('دانش‌آموزان'!E81="","",'دانش‌آموزان'!B81)</f>
        <v/>
      </c>
      <c r="D917" s="306">
        <f>IF('دانش‌آموزان'!C81="","",'دانش‌آموزان'!C81)</f>
        <v/>
      </c>
      <c r="E917" s="306">
        <f>IF('دانش‌آموزان'!E81="","",'دانش‌آموزان'!E81&amp;" "&amp;'دانش‌آموزان'!F81)</f>
        <v/>
      </c>
      <c r="F917" s="306">
        <f>IF('دانش‌آموزان'!I81="","",'دانش‌آموزان'!I81)</f>
        <v/>
      </c>
      <c r="G917" s="307" t="n"/>
      <c r="H917" s="307" t="n"/>
      <c r="I917" s="307" t="n"/>
      <c r="J917" s="307" t="n"/>
      <c r="K917" s="313">
        <f>IF(COUNT(G917:J917)=0,"",AVERAGE(G917:J917)*4)</f>
        <v/>
      </c>
      <c r="L917" s="306">
        <f>IF(C917="","",IF(COUNT(G917:J917)=0,"",IF(COUNT(G917:J917)&lt;4,"موقت - اطلاعات ناقص",IF(K917&gt;=17,"عالی",IF(K917&gt;=14,"خوب",IF(K917&gt;=10,"متوسط","ضعیف"))))))</f>
        <v/>
      </c>
      <c r="M917" s="306" t="n">
        <v>1</v>
      </c>
      <c r="N917" s="314">
        <f>IF(C917="","",COUNT(G917:J917)/4)</f>
        <v/>
      </c>
      <c r="O917" s="307" t="n"/>
    </row>
    <row r="918" ht="24" customHeight="1">
      <c r="A918" s="306" t="n">
        <v>914</v>
      </c>
      <c r="B918" s="306" t="inlineStr">
        <is>
          <t>مرداد</t>
        </is>
      </c>
      <c r="C918" s="306">
        <f>IF('دانش‌آموزان'!E81="","",'دانش‌آموزان'!B81)</f>
        <v/>
      </c>
      <c r="D918" s="306">
        <f>IF('دانش‌آموزان'!C81="","",'دانش‌آموزان'!C81)</f>
        <v/>
      </c>
      <c r="E918" s="306">
        <f>IF('دانش‌آموزان'!E81="","",'دانش‌آموزان'!E81&amp;" "&amp;'دانش‌آموزان'!F81)</f>
        <v/>
      </c>
      <c r="F918" s="306">
        <f>IF('دانش‌آموزان'!I81="","",'دانش‌آموزان'!I81)</f>
        <v/>
      </c>
      <c r="G918" s="307" t="n"/>
      <c r="H918" s="307" t="n"/>
      <c r="I918" s="307" t="n"/>
      <c r="J918" s="307" t="n"/>
      <c r="K918" s="313">
        <f>IF(COUNT(G918:J918)=0,"",AVERAGE(G918:J918)*4)</f>
        <v/>
      </c>
      <c r="L918" s="306">
        <f>IF(C918="","",IF(COUNT(G918:J918)=0,"",IF(COUNT(G918:J918)&lt;4,"موقت - اطلاعات ناقص",IF(K918&gt;=17,"عالی",IF(K918&gt;=14,"خوب",IF(K918&gt;=10,"متوسط","ضعیف"))))))</f>
        <v/>
      </c>
      <c r="M918" s="306" t="n">
        <v>2</v>
      </c>
      <c r="N918" s="314">
        <f>IF(C918="","",COUNT(G918:J918)/4)</f>
        <v/>
      </c>
      <c r="O918" s="307" t="n"/>
    </row>
    <row r="919" ht="24" customHeight="1">
      <c r="A919" s="306" t="n">
        <v>915</v>
      </c>
      <c r="B919" s="306" t="inlineStr">
        <is>
          <t>شهریور</t>
        </is>
      </c>
      <c r="C919" s="306">
        <f>IF('دانش‌آموزان'!E81="","",'دانش‌آموزان'!B81)</f>
        <v/>
      </c>
      <c r="D919" s="306">
        <f>IF('دانش‌آموزان'!C81="","",'دانش‌آموزان'!C81)</f>
        <v/>
      </c>
      <c r="E919" s="306">
        <f>IF('دانش‌آموزان'!E81="","",'دانش‌آموزان'!E81&amp;" "&amp;'دانش‌آموزان'!F81)</f>
        <v/>
      </c>
      <c r="F919" s="306">
        <f>IF('دانش‌آموزان'!I81="","",'دانش‌آموزان'!I81)</f>
        <v/>
      </c>
      <c r="G919" s="307" t="n"/>
      <c r="H919" s="307" t="n"/>
      <c r="I919" s="307" t="n"/>
      <c r="J919" s="307" t="n"/>
      <c r="K919" s="313">
        <f>IF(COUNT(G919:J919)=0,"",AVERAGE(G919:J919)*4)</f>
        <v/>
      </c>
      <c r="L919" s="306">
        <f>IF(C919="","",IF(COUNT(G919:J919)=0,"",IF(COUNT(G919:J919)&lt;4,"موقت - اطلاعات ناقص",IF(K919&gt;=17,"عالی",IF(K919&gt;=14,"خوب",IF(K919&gt;=10,"متوسط","ضعیف"))))))</f>
        <v/>
      </c>
      <c r="M919" s="306" t="n">
        <v>3</v>
      </c>
      <c r="N919" s="314">
        <f>IF(C919="","",COUNT(G919:J919)/4)</f>
        <v/>
      </c>
      <c r="O919" s="307" t="n"/>
    </row>
    <row r="920" ht="24" customHeight="1">
      <c r="A920" s="306" t="n">
        <v>916</v>
      </c>
      <c r="B920" s="306" t="inlineStr">
        <is>
          <t>مهر</t>
        </is>
      </c>
      <c r="C920" s="306">
        <f>IF('دانش‌آموزان'!E81="","",'دانش‌آموزان'!B81)</f>
        <v/>
      </c>
      <c r="D920" s="306">
        <f>IF('دانش‌آموزان'!C81="","",'دانش‌آموزان'!C81)</f>
        <v/>
      </c>
      <c r="E920" s="306">
        <f>IF('دانش‌آموزان'!E81="","",'دانش‌آموزان'!E81&amp;" "&amp;'دانش‌آموزان'!F81)</f>
        <v/>
      </c>
      <c r="F920" s="306">
        <f>IF('دانش‌آموزان'!I81="","",'دانش‌آموزان'!I81)</f>
        <v/>
      </c>
      <c r="G920" s="307" t="n"/>
      <c r="H920" s="307" t="n"/>
      <c r="I920" s="307" t="n"/>
      <c r="J920" s="307" t="n"/>
      <c r="K920" s="313">
        <f>IF(COUNT(G920:J920)=0,"",AVERAGE(G920:J920)*4)</f>
        <v/>
      </c>
      <c r="L920" s="306">
        <f>IF(C920="","",IF(COUNT(G920:J920)=0,"",IF(COUNT(G920:J920)&lt;4,"موقت - اطلاعات ناقص",IF(K920&gt;=17,"عالی",IF(K920&gt;=14,"خوب",IF(K920&gt;=10,"متوسط","ضعیف"))))))</f>
        <v/>
      </c>
      <c r="M920" s="306" t="n">
        <v>4</v>
      </c>
      <c r="N920" s="314">
        <f>IF(C920="","",COUNT(G920:J920)/4)</f>
        <v/>
      </c>
      <c r="O920" s="307" t="n"/>
    </row>
    <row r="921" ht="24" customHeight="1">
      <c r="A921" s="306" t="n">
        <v>917</v>
      </c>
      <c r="B921" s="306" t="inlineStr">
        <is>
          <t>آبان</t>
        </is>
      </c>
      <c r="C921" s="306">
        <f>IF('دانش‌آموزان'!E81="","",'دانش‌آموزان'!B81)</f>
        <v/>
      </c>
      <c r="D921" s="306">
        <f>IF('دانش‌آموزان'!C81="","",'دانش‌آموزان'!C81)</f>
        <v/>
      </c>
      <c r="E921" s="306">
        <f>IF('دانش‌آموزان'!E81="","",'دانش‌آموزان'!E81&amp;" "&amp;'دانش‌آموزان'!F81)</f>
        <v/>
      </c>
      <c r="F921" s="306">
        <f>IF('دانش‌آموزان'!I81="","",'دانش‌آموزان'!I81)</f>
        <v/>
      </c>
      <c r="G921" s="307" t="n"/>
      <c r="H921" s="307" t="n"/>
      <c r="I921" s="307" t="n"/>
      <c r="J921" s="307" t="n"/>
      <c r="K921" s="313">
        <f>IF(COUNT(G921:J921)=0,"",AVERAGE(G921:J921)*4)</f>
        <v/>
      </c>
      <c r="L921" s="306">
        <f>IF(C921="","",IF(COUNT(G921:J921)=0,"",IF(COUNT(G921:J921)&lt;4,"موقت - اطلاعات ناقص",IF(K921&gt;=17,"عالی",IF(K921&gt;=14,"خوب",IF(K921&gt;=10,"متوسط","ضعیف"))))))</f>
        <v/>
      </c>
      <c r="M921" s="306" t="n">
        <v>5</v>
      </c>
      <c r="N921" s="314">
        <f>IF(C921="","",COUNT(G921:J921)/4)</f>
        <v/>
      </c>
      <c r="O921" s="307" t="n"/>
    </row>
    <row r="922" ht="24" customHeight="1">
      <c r="A922" s="306" t="n">
        <v>918</v>
      </c>
      <c r="B922" s="306" t="inlineStr">
        <is>
          <t>آذر</t>
        </is>
      </c>
      <c r="C922" s="306">
        <f>IF('دانش‌آموزان'!E81="","",'دانش‌آموزان'!B81)</f>
        <v/>
      </c>
      <c r="D922" s="306">
        <f>IF('دانش‌آموزان'!C81="","",'دانش‌آموزان'!C81)</f>
        <v/>
      </c>
      <c r="E922" s="306">
        <f>IF('دانش‌آموزان'!E81="","",'دانش‌آموزان'!E81&amp;" "&amp;'دانش‌آموزان'!F81)</f>
        <v/>
      </c>
      <c r="F922" s="306">
        <f>IF('دانش‌آموزان'!I81="","",'دانش‌آموزان'!I81)</f>
        <v/>
      </c>
      <c r="G922" s="307" t="n"/>
      <c r="H922" s="307" t="n"/>
      <c r="I922" s="307" t="n"/>
      <c r="J922" s="307" t="n"/>
      <c r="K922" s="313">
        <f>IF(COUNT(G922:J922)=0,"",AVERAGE(G922:J922)*4)</f>
        <v/>
      </c>
      <c r="L922" s="306">
        <f>IF(C922="","",IF(COUNT(G922:J922)=0,"",IF(COUNT(G922:J922)&lt;4,"موقت - اطلاعات ناقص",IF(K922&gt;=17,"عالی",IF(K922&gt;=14,"خوب",IF(K922&gt;=10,"متوسط","ضعیف"))))))</f>
        <v/>
      </c>
      <c r="M922" s="306" t="n">
        <v>6</v>
      </c>
      <c r="N922" s="314">
        <f>IF(C922="","",COUNT(G922:J922)/4)</f>
        <v/>
      </c>
      <c r="O922" s="307" t="n"/>
    </row>
    <row r="923" ht="24" customHeight="1">
      <c r="A923" s="306" t="n">
        <v>919</v>
      </c>
      <c r="B923" s="306" t="inlineStr">
        <is>
          <t>دی</t>
        </is>
      </c>
      <c r="C923" s="306">
        <f>IF('دانش‌آموزان'!E81="","",'دانش‌آموزان'!B81)</f>
        <v/>
      </c>
      <c r="D923" s="306">
        <f>IF('دانش‌آموزان'!C81="","",'دانش‌آموزان'!C81)</f>
        <v/>
      </c>
      <c r="E923" s="306">
        <f>IF('دانش‌آموزان'!E81="","",'دانش‌آموزان'!E81&amp;" "&amp;'دانش‌آموزان'!F81)</f>
        <v/>
      </c>
      <c r="F923" s="306">
        <f>IF('دانش‌آموزان'!I81="","",'دانش‌آموزان'!I81)</f>
        <v/>
      </c>
      <c r="G923" s="307" t="n"/>
      <c r="H923" s="307" t="n"/>
      <c r="I923" s="307" t="n"/>
      <c r="J923" s="307" t="n"/>
      <c r="K923" s="313">
        <f>IF(COUNT(G923:J923)=0,"",AVERAGE(G923:J923)*4)</f>
        <v/>
      </c>
      <c r="L923" s="306">
        <f>IF(C923="","",IF(COUNT(G923:J923)=0,"",IF(COUNT(G923:J923)&lt;4,"موقت - اطلاعات ناقص",IF(K923&gt;=17,"عالی",IF(K923&gt;=14,"خوب",IF(K923&gt;=10,"متوسط","ضعیف"))))))</f>
        <v/>
      </c>
      <c r="M923" s="306" t="n">
        <v>7</v>
      </c>
      <c r="N923" s="314">
        <f>IF(C923="","",COUNT(G923:J923)/4)</f>
        <v/>
      </c>
      <c r="O923" s="307" t="n"/>
    </row>
    <row r="924" ht="24" customHeight="1">
      <c r="A924" s="306" t="n">
        <v>920</v>
      </c>
      <c r="B924" s="306" t="inlineStr">
        <is>
          <t>بهمن</t>
        </is>
      </c>
      <c r="C924" s="306">
        <f>IF('دانش‌آموزان'!E81="","",'دانش‌آموزان'!B81)</f>
        <v/>
      </c>
      <c r="D924" s="306">
        <f>IF('دانش‌آموزان'!C81="","",'دانش‌آموزان'!C81)</f>
        <v/>
      </c>
      <c r="E924" s="306">
        <f>IF('دانش‌آموزان'!E81="","",'دانش‌آموزان'!E81&amp;" "&amp;'دانش‌آموزان'!F81)</f>
        <v/>
      </c>
      <c r="F924" s="306">
        <f>IF('دانش‌آموزان'!I81="","",'دانش‌آموزان'!I81)</f>
        <v/>
      </c>
      <c r="G924" s="307" t="n"/>
      <c r="H924" s="307" t="n"/>
      <c r="I924" s="307" t="n"/>
      <c r="J924" s="307" t="n"/>
      <c r="K924" s="313">
        <f>IF(COUNT(G924:J924)=0,"",AVERAGE(G924:J924)*4)</f>
        <v/>
      </c>
      <c r="L924" s="306">
        <f>IF(C924="","",IF(COUNT(G924:J924)=0,"",IF(COUNT(G924:J924)&lt;4,"موقت - اطلاعات ناقص",IF(K924&gt;=17,"عالی",IF(K924&gt;=14,"خوب",IF(K924&gt;=10,"متوسط","ضعیف"))))))</f>
        <v/>
      </c>
      <c r="M924" s="306" t="n">
        <v>8</v>
      </c>
      <c r="N924" s="314">
        <f>IF(C924="","",COUNT(G924:J924)/4)</f>
        <v/>
      </c>
      <c r="O924" s="307" t="n"/>
    </row>
    <row r="925" ht="24" customHeight="1">
      <c r="A925" s="306" t="n">
        <v>921</v>
      </c>
      <c r="B925" s="306" t="inlineStr">
        <is>
          <t>اسفند</t>
        </is>
      </c>
      <c r="C925" s="306">
        <f>IF('دانش‌آموزان'!E81="","",'دانش‌آموزان'!B81)</f>
        <v/>
      </c>
      <c r="D925" s="306">
        <f>IF('دانش‌آموزان'!C81="","",'دانش‌آموزان'!C81)</f>
        <v/>
      </c>
      <c r="E925" s="306">
        <f>IF('دانش‌آموزان'!E81="","",'دانش‌آموزان'!E81&amp;" "&amp;'دانش‌آموزان'!F81)</f>
        <v/>
      </c>
      <c r="F925" s="306">
        <f>IF('دانش‌آموزان'!I81="","",'دانش‌آموزان'!I81)</f>
        <v/>
      </c>
      <c r="G925" s="307" t="n"/>
      <c r="H925" s="307" t="n"/>
      <c r="I925" s="307" t="n"/>
      <c r="J925" s="307" t="n"/>
      <c r="K925" s="313">
        <f>IF(COUNT(G925:J925)=0,"",AVERAGE(G925:J925)*4)</f>
        <v/>
      </c>
      <c r="L925" s="306">
        <f>IF(C925="","",IF(COUNT(G925:J925)=0,"",IF(COUNT(G925:J925)&lt;4,"موقت - اطلاعات ناقص",IF(K925&gt;=17,"عالی",IF(K925&gt;=14,"خوب",IF(K925&gt;=10,"متوسط","ضعیف"))))))</f>
        <v/>
      </c>
      <c r="M925" s="306" t="n">
        <v>9</v>
      </c>
      <c r="N925" s="314">
        <f>IF(C925="","",COUNT(G925:J925)/4)</f>
        <v/>
      </c>
      <c r="O925" s="307" t="n"/>
    </row>
    <row r="926" ht="24" customHeight="1">
      <c r="A926" s="306" t="n">
        <v>922</v>
      </c>
      <c r="B926" s="306" t="inlineStr">
        <is>
          <t>فروردین</t>
        </is>
      </c>
      <c r="C926" s="306">
        <f>IF('دانش‌آموزان'!E81="","",'دانش‌آموزان'!B81)</f>
        <v/>
      </c>
      <c r="D926" s="306">
        <f>IF('دانش‌آموزان'!C81="","",'دانش‌آموزان'!C81)</f>
        <v/>
      </c>
      <c r="E926" s="306">
        <f>IF('دانش‌آموزان'!E81="","",'دانش‌آموزان'!E81&amp;" "&amp;'دانش‌آموزان'!F81)</f>
        <v/>
      </c>
      <c r="F926" s="306">
        <f>IF('دانش‌آموزان'!I81="","",'دانش‌آموزان'!I81)</f>
        <v/>
      </c>
      <c r="G926" s="307" t="n"/>
      <c r="H926" s="307" t="n"/>
      <c r="I926" s="307" t="n"/>
      <c r="J926" s="307" t="n"/>
      <c r="K926" s="313">
        <f>IF(COUNT(G926:J926)=0,"",AVERAGE(G926:J926)*4)</f>
        <v/>
      </c>
      <c r="L926" s="306">
        <f>IF(C926="","",IF(COUNT(G926:J926)=0,"",IF(COUNT(G926:J926)&lt;4,"موقت - اطلاعات ناقص",IF(K926&gt;=17,"عالی",IF(K926&gt;=14,"خوب",IF(K926&gt;=10,"متوسط","ضعیف"))))))</f>
        <v/>
      </c>
      <c r="M926" s="306" t="n">
        <v>10</v>
      </c>
      <c r="N926" s="314">
        <f>IF(C926="","",COUNT(G926:J926)/4)</f>
        <v/>
      </c>
      <c r="O926" s="307" t="n"/>
    </row>
    <row r="927" ht="24" customHeight="1">
      <c r="A927" s="306" t="n">
        <v>923</v>
      </c>
      <c r="B927" s="306" t="inlineStr">
        <is>
          <t>اردیبهشت</t>
        </is>
      </c>
      <c r="C927" s="306">
        <f>IF('دانش‌آموزان'!E81="","",'دانش‌آموزان'!B81)</f>
        <v/>
      </c>
      <c r="D927" s="306">
        <f>IF('دانش‌آموزان'!C81="","",'دانش‌آموزان'!C81)</f>
        <v/>
      </c>
      <c r="E927" s="306">
        <f>IF('دانش‌آموزان'!E81="","",'دانش‌آموزان'!E81&amp;" "&amp;'دانش‌آموزان'!F81)</f>
        <v/>
      </c>
      <c r="F927" s="306">
        <f>IF('دانش‌آموزان'!I81="","",'دانش‌آموزان'!I81)</f>
        <v/>
      </c>
      <c r="G927" s="307" t="n"/>
      <c r="H927" s="307" t="n"/>
      <c r="I927" s="307" t="n"/>
      <c r="J927" s="307" t="n"/>
      <c r="K927" s="313">
        <f>IF(COUNT(G927:J927)=0,"",AVERAGE(G927:J927)*4)</f>
        <v/>
      </c>
      <c r="L927" s="306">
        <f>IF(C927="","",IF(COUNT(G927:J927)=0,"",IF(COUNT(G927:J927)&lt;4,"موقت - اطلاعات ناقص",IF(K927&gt;=17,"عالی",IF(K927&gt;=14,"خوب",IF(K927&gt;=10,"متوسط","ضعیف"))))))</f>
        <v/>
      </c>
      <c r="M927" s="306" t="n">
        <v>11</v>
      </c>
      <c r="N927" s="314">
        <f>IF(C927="","",COUNT(G927:J927)/4)</f>
        <v/>
      </c>
      <c r="O927" s="307" t="n"/>
    </row>
    <row r="928" ht="24" customHeight="1">
      <c r="A928" s="306" t="n">
        <v>924</v>
      </c>
      <c r="B928" s="306" t="inlineStr">
        <is>
          <t>خرداد</t>
        </is>
      </c>
      <c r="C928" s="306">
        <f>IF('دانش‌آموزان'!E81="","",'دانش‌آموزان'!B81)</f>
        <v/>
      </c>
      <c r="D928" s="306">
        <f>IF('دانش‌آموزان'!C81="","",'دانش‌آموزان'!C81)</f>
        <v/>
      </c>
      <c r="E928" s="306">
        <f>IF('دانش‌آموزان'!E81="","",'دانش‌آموزان'!E81&amp;" "&amp;'دانش‌آموزان'!F81)</f>
        <v/>
      </c>
      <c r="F928" s="306">
        <f>IF('دانش‌آموزان'!I81="","",'دانش‌آموزان'!I81)</f>
        <v/>
      </c>
      <c r="G928" s="307" t="n"/>
      <c r="H928" s="307" t="n"/>
      <c r="I928" s="307" t="n"/>
      <c r="J928" s="307" t="n"/>
      <c r="K928" s="313">
        <f>IF(COUNT(G928:J928)=0,"",AVERAGE(G928:J928)*4)</f>
        <v/>
      </c>
      <c r="L928" s="306">
        <f>IF(C928="","",IF(COUNT(G928:J928)=0,"",IF(COUNT(G928:J928)&lt;4,"موقت - اطلاعات ناقص",IF(K928&gt;=17,"عالی",IF(K928&gt;=14,"خوب",IF(K928&gt;=10,"متوسط","ضعیف"))))))</f>
        <v/>
      </c>
      <c r="M928" s="306" t="n">
        <v>12</v>
      </c>
      <c r="N928" s="314">
        <f>IF(C928="","",COUNT(G928:J928)/4)</f>
        <v/>
      </c>
      <c r="O928" s="307" t="n"/>
    </row>
    <row r="929" ht="24" customHeight="1">
      <c r="A929" s="306" t="n">
        <v>925</v>
      </c>
      <c r="B929" s="306" t="inlineStr">
        <is>
          <t>تیر</t>
        </is>
      </c>
      <c r="C929" s="306">
        <f>IF('دانش‌آموزان'!E82="","",'دانش‌آموزان'!B82)</f>
        <v/>
      </c>
      <c r="D929" s="306">
        <f>IF('دانش‌آموزان'!C82="","",'دانش‌آموزان'!C82)</f>
        <v/>
      </c>
      <c r="E929" s="306">
        <f>IF('دانش‌آموزان'!E82="","",'دانش‌آموزان'!E82&amp;" "&amp;'دانش‌آموزان'!F82)</f>
        <v/>
      </c>
      <c r="F929" s="306">
        <f>IF('دانش‌آموزان'!I82="","",'دانش‌آموزان'!I82)</f>
        <v/>
      </c>
      <c r="G929" s="307" t="n"/>
      <c r="H929" s="307" t="n"/>
      <c r="I929" s="307" t="n"/>
      <c r="J929" s="307" t="n"/>
      <c r="K929" s="313">
        <f>IF(COUNT(G929:J929)=0,"",AVERAGE(G929:J929)*4)</f>
        <v/>
      </c>
      <c r="L929" s="306">
        <f>IF(C929="","",IF(COUNT(G929:J929)=0,"",IF(COUNT(G929:J929)&lt;4,"موقت - اطلاعات ناقص",IF(K929&gt;=17,"عالی",IF(K929&gt;=14,"خوب",IF(K929&gt;=10,"متوسط","ضعیف"))))))</f>
        <v/>
      </c>
      <c r="M929" s="306" t="n">
        <v>1</v>
      </c>
      <c r="N929" s="314">
        <f>IF(C929="","",COUNT(G929:J929)/4)</f>
        <v/>
      </c>
      <c r="O929" s="307" t="n"/>
    </row>
    <row r="930" ht="24" customHeight="1">
      <c r="A930" s="306" t="n">
        <v>926</v>
      </c>
      <c r="B930" s="306" t="inlineStr">
        <is>
          <t>مرداد</t>
        </is>
      </c>
      <c r="C930" s="306">
        <f>IF('دانش‌آموزان'!E82="","",'دانش‌آموزان'!B82)</f>
        <v/>
      </c>
      <c r="D930" s="306">
        <f>IF('دانش‌آموزان'!C82="","",'دانش‌آموزان'!C82)</f>
        <v/>
      </c>
      <c r="E930" s="306">
        <f>IF('دانش‌آموزان'!E82="","",'دانش‌آموزان'!E82&amp;" "&amp;'دانش‌آموزان'!F82)</f>
        <v/>
      </c>
      <c r="F930" s="306">
        <f>IF('دانش‌آموزان'!I82="","",'دانش‌آموزان'!I82)</f>
        <v/>
      </c>
      <c r="G930" s="307" t="n"/>
      <c r="H930" s="307" t="n"/>
      <c r="I930" s="307" t="n"/>
      <c r="J930" s="307" t="n"/>
      <c r="K930" s="313">
        <f>IF(COUNT(G930:J930)=0,"",AVERAGE(G930:J930)*4)</f>
        <v/>
      </c>
      <c r="L930" s="306">
        <f>IF(C930="","",IF(COUNT(G930:J930)=0,"",IF(COUNT(G930:J930)&lt;4,"موقت - اطلاعات ناقص",IF(K930&gt;=17,"عالی",IF(K930&gt;=14,"خوب",IF(K930&gt;=10,"متوسط","ضعیف"))))))</f>
        <v/>
      </c>
      <c r="M930" s="306" t="n">
        <v>2</v>
      </c>
      <c r="N930" s="314">
        <f>IF(C930="","",COUNT(G930:J930)/4)</f>
        <v/>
      </c>
      <c r="O930" s="307" t="n"/>
    </row>
    <row r="931" ht="24" customHeight="1">
      <c r="A931" s="306" t="n">
        <v>927</v>
      </c>
      <c r="B931" s="306" t="inlineStr">
        <is>
          <t>شهریور</t>
        </is>
      </c>
      <c r="C931" s="306">
        <f>IF('دانش‌آموزان'!E82="","",'دانش‌آموزان'!B82)</f>
        <v/>
      </c>
      <c r="D931" s="306">
        <f>IF('دانش‌آموزان'!C82="","",'دانش‌آموزان'!C82)</f>
        <v/>
      </c>
      <c r="E931" s="306">
        <f>IF('دانش‌آموزان'!E82="","",'دانش‌آموزان'!E82&amp;" "&amp;'دانش‌آموزان'!F82)</f>
        <v/>
      </c>
      <c r="F931" s="306">
        <f>IF('دانش‌آموزان'!I82="","",'دانش‌آموزان'!I82)</f>
        <v/>
      </c>
      <c r="G931" s="307" t="n"/>
      <c r="H931" s="307" t="n"/>
      <c r="I931" s="307" t="n"/>
      <c r="J931" s="307" t="n"/>
      <c r="K931" s="313">
        <f>IF(COUNT(G931:J931)=0,"",AVERAGE(G931:J931)*4)</f>
        <v/>
      </c>
      <c r="L931" s="306">
        <f>IF(C931="","",IF(COUNT(G931:J931)=0,"",IF(COUNT(G931:J931)&lt;4,"موقت - اطلاعات ناقص",IF(K931&gt;=17,"عالی",IF(K931&gt;=14,"خوب",IF(K931&gt;=10,"متوسط","ضعیف"))))))</f>
        <v/>
      </c>
      <c r="M931" s="306" t="n">
        <v>3</v>
      </c>
      <c r="N931" s="314">
        <f>IF(C931="","",COUNT(G931:J931)/4)</f>
        <v/>
      </c>
      <c r="O931" s="307" t="n"/>
    </row>
    <row r="932" ht="24" customHeight="1">
      <c r="A932" s="306" t="n">
        <v>928</v>
      </c>
      <c r="B932" s="306" t="inlineStr">
        <is>
          <t>مهر</t>
        </is>
      </c>
      <c r="C932" s="306">
        <f>IF('دانش‌آموزان'!E82="","",'دانش‌آموزان'!B82)</f>
        <v/>
      </c>
      <c r="D932" s="306">
        <f>IF('دانش‌آموزان'!C82="","",'دانش‌آموزان'!C82)</f>
        <v/>
      </c>
      <c r="E932" s="306">
        <f>IF('دانش‌آموزان'!E82="","",'دانش‌آموزان'!E82&amp;" "&amp;'دانش‌آموزان'!F82)</f>
        <v/>
      </c>
      <c r="F932" s="306">
        <f>IF('دانش‌آموزان'!I82="","",'دانش‌آموزان'!I82)</f>
        <v/>
      </c>
      <c r="G932" s="307" t="n"/>
      <c r="H932" s="307" t="n"/>
      <c r="I932" s="307" t="n"/>
      <c r="J932" s="307" t="n"/>
      <c r="K932" s="313">
        <f>IF(COUNT(G932:J932)=0,"",AVERAGE(G932:J932)*4)</f>
        <v/>
      </c>
      <c r="L932" s="306">
        <f>IF(C932="","",IF(COUNT(G932:J932)=0,"",IF(COUNT(G932:J932)&lt;4,"موقت - اطلاعات ناقص",IF(K932&gt;=17,"عالی",IF(K932&gt;=14,"خوب",IF(K932&gt;=10,"متوسط","ضعیف"))))))</f>
        <v/>
      </c>
      <c r="M932" s="306" t="n">
        <v>4</v>
      </c>
      <c r="N932" s="314">
        <f>IF(C932="","",COUNT(G932:J932)/4)</f>
        <v/>
      </c>
      <c r="O932" s="307" t="n"/>
    </row>
    <row r="933" ht="24" customHeight="1">
      <c r="A933" s="306" t="n">
        <v>929</v>
      </c>
      <c r="B933" s="306" t="inlineStr">
        <is>
          <t>آبان</t>
        </is>
      </c>
      <c r="C933" s="306">
        <f>IF('دانش‌آموزان'!E82="","",'دانش‌آموزان'!B82)</f>
        <v/>
      </c>
      <c r="D933" s="306">
        <f>IF('دانش‌آموزان'!C82="","",'دانش‌آموزان'!C82)</f>
        <v/>
      </c>
      <c r="E933" s="306">
        <f>IF('دانش‌آموزان'!E82="","",'دانش‌آموزان'!E82&amp;" "&amp;'دانش‌آموزان'!F82)</f>
        <v/>
      </c>
      <c r="F933" s="306">
        <f>IF('دانش‌آموزان'!I82="","",'دانش‌آموزان'!I82)</f>
        <v/>
      </c>
      <c r="G933" s="307" t="n"/>
      <c r="H933" s="307" t="n"/>
      <c r="I933" s="307" t="n"/>
      <c r="J933" s="307" t="n"/>
      <c r="K933" s="313">
        <f>IF(COUNT(G933:J933)=0,"",AVERAGE(G933:J933)*4)</f>
        <v/>
      </c>
      <c r="L933" s="306">
        <f>IF(C933="","",IF(COUNT(G933:J933)=0,"",IF(COUNT(G933:J933)&lt;4,"موقت - اطلاعات ناقص",IF(K933&gt;=17,"عالی",IF(K933&gt;=14,"خوب",IF(K933&gt;=10,"متوسط","ضعیف"))))))</f>
        <v/>
      </c>
      <c r="M933" s="306" t="n">
        <v>5</v>
      </c>
      <c r="N933" s="314">
        <f>IF(C933="","",COUNT(G933:J933)/4)</f>
        <v/>
      </c>
      <c r="O933" s="307" t="n"/>
    </row>
    <row r="934" ht="24" customHeight="1">
      <c r="A934" s="306" t="n">
        <v>930</v>
      </c>
      <c r="B934" s="306" t="inlineStr">
        <is>
          <t>آذر</t>
        </is>
      </c>
      <c r="C934" s="306">
        <f>IF('دانش‌آموزان'!E82="","",'دانش‌آموزان'!B82)</f>
        <v/>
      </c>
      <c r="D934" s="306">
        <f>IF('دانش‌آموزان'!C82="","",'دانش‌آموزان'!C82)</f>
        <v/>
      </c>
      <c r="E934" s="306">
        <f>IF('دانش‌آموزان'!E82="","",'دانش‌آموزان'!E82&amp;" "&amp;'دانش‌آموزان'!F82)</f>
        <v/>
      </c>
      <c r="F934" s="306">
        <f>IF('دانش‌آموزان'!I82="","",'دانش‌آموزان'!I82)</f>
        <v/>
      </c>
      <c r="G934" s="307" t="n"/>
      <c r="H934" s="307" t="n"/>
      <c r="I934" s="307" t="n"/>
      <c r="J934" s="307" t="n"/>
      <c r="K934" s="313">
        <f>IF(COUNT(G934:J934)=0,"",AVERAGE(G934:J934)*4)</f>
        <v/>
      </c>
      <c r="L934" s="306">
        <f>IF(C934="","",IF(COUNT(G934:J934)=0,"",IF(COUNT(G934:J934)&lt;4,"موقت - اطلاعات ناقص",IF(K934&gt;=17,"عالی",IF(K934&gt;=14,"خوب",IF(K934&gt;=10,"متوسط","ضعیف"))))))</f>
        <v/>
      </c>
      <c r="M934" s="306" t="n">
        <v>6</v>
      </c>
      <c r="N934" s="314">
        <f>IF(C934="","",COUNT(G934:J934)/4)</f>
        <v/>
      </c>
      <c r="O934" s="307" t="n"/>
    </row>
    <row r="935" ht="24" customHeight="1">
      <c r="A935" s="306" t="n">
        <v>931</v>
      </c>
      <c r="B935" s="306" t="inlineStr">
        <is>
          <t>دی</t>
        </is>
      </c>
      <c r="C935" s="306">
        <f>IF('دانش‌آموزان'!E82="","",'دانش‌آموزان'!B82)</f>
        <v/>
      </c>
      <c r="D935" s="306">
        <f>IF('دانش‌آموزان'!C82="","",'دانش‌آموزان'!C82)</f>
        <v/>
      </c>
      <c r="E935" s="306">
        <f>IF('دانش‌آموزان'!E82="","",'دانش‌آموزان'!E82&amp;" "&amp;'دانش‌آموزان'!F82)</f>
        <v/>
      </c>
      <c r="F935" s="306">
        <f>IF('دانش‌آموزان'!I82="","",'دانش‌آموزان'!I82)</f>
        <v/>
      </c>
      <c r="G935" s="307" t="n"/>
      <c r="H935" s="307" t="n"/>
      <c r="I935" s="307" t="n"/>
      <c r="J935" s="307" t="n"/>
      <c r="K935" s="313">
        <f>IF(COUNT(G935:J935)=0,"",AVERAGE(G935:J935)*4)</f>
        <v/>
      </c>
      <c r="L935" s="306">
        <f>IF(C935="","",IF(COUNT(G935:J935)=0,"",IF(COUNT(G935:J935)&lt;4,"موقت - اطلاعات ناقص",IF(K935&gt;=17,"عالی",IF(K935&gt;=14,"خوب",IF(K935&gt;=10,"متوسط","ضعیف"))))))</f>
        <v/>
      </c>
      <c r="M935" s="306" t="n">
        <v>7</v>
      </c>
      <c r="N935" s="314">
        <f>IF(C935="","",COUNT(G935:J935)/4)</f>
        <v/>
      </c>
      <c r="O935" s="307" t="n"/>
    </row>
    <row r="936" ht="24" customHeight="1">
      <c r="A936" s="306" t="n">
        <v>932</v>
      </c>
      <c r="B936" s="306" t="inlineStr">
        <is>
          <t>بهمن</t>
        </is>
      </c>
      <c r="C936" s="306">
        <f>IF('دانش‌آموزان'!E82="","",'دانش‌آموزان'!B82)</f>
        <v/>
      </c>
      <c r="D936" s="306">
        <f>IF('دانش‌آموزان'!C82="","",'دانش‌آموزان'!C82)</f>
        <v/>
      </c>
      <c r="E936" s="306">
        <f>IF('دانش‌آموزان'!E82="","",'دانش‌آموزان'!E82&amp;" "&amp;'دانش‌آموزان'!F82)</f>
        <v/>
      </c>
      <c r="F936" s="306">
        <f>IF('دانش‌آموزان'!I82="","",'دانش‌آموزان'!I82)</f>
        <v/>
      </c>
      <c r="G936" s="307" t="n"/>
      <c r="H936" s="307" t="n"/>
      <c r="I936" s="307" t="n"/>
      <c r="J936" s="307" t="n"/>
      <c r="K936" s="313">
        <f>IF(COUNT(G936:J936)=0,"",AVERAGE(G936:J936)*4)</f>
        <v/>
      </c>
      <c r="L936" s="306">
        <f>IF(C936="","",IF(COUNT(G936:J936)=0,"",IF(COUNT(G936:J936)&lt;4,"موقت - اطلاعات ناقص",IF(K936&gt;=17,"عالی",IF(K936&gt;=14,"خوب",IF(K936&gt;=10,"متوسط","ضعیف"))))))</f>
        <v/>
      </c>
      <c r="M936" s="306" t="n">
        <v>8</v>
      </c>
      <c r="N936" s="314">
        <f>IF(C936="","",COUNT(G936:J936)/4)</f>
        <v/>
      </c>
      <c r="O936" s="307" t="n"/>
    </row>
    <row r="937" ht="24" customHeight="1">
      <c r="A937" s="306" t="n">
        <v>933</v>
      </c>
      <c r="B937" s="306" t="inlineStr">
        <is>
          <t>اسفند</t>
        </is>
      </c>
      <c r="C937" s="306">
        <f>IF('دانش‌آموزان'!E82="","",'دانش‌آموزان'!B82)</f>
        <v/>
      </c>
      <c r="D937" s="306">
        <f>IF('دانش‌آموزان'!C82="","",'دانش‌آموزان'!C82)</f>
        <v/>
      </c>
      <c r="E937" s="306">
        <f>IF('دانش‌آموزان'!E82="","",'دانش‌آموزان'!E82&amp;" "&amp;'دانش‌آموزان'!F82)</f>
        <v/>
      </c>
      <c r="F937" s="306">
        <f>IF('دانش‌آموزان'!I82="","",'دانش‌آموزان'!I82)</f>
        <v/>
      </c>
      <c r="G937" s="307" t="n"/>
      <c r="H937" s="307" t="n"/>
      <c r="I937" s="307" t="n"/>
      <c r="J937" s="307" t="n"/>
      <c r="K937" s="313">
        <f>IF(COUNT(G937:J937)=0,"",AVERAGE(G937:J937)*4)</f>
        <v/>
      </c>
      <c r="L937" s="306">
        <f>IF(C937="","",IF(COUNT(G937:J937)=0,"",IF(COUNT(G937:J937)&lt;4,"موقت - اطلاعات ناقص",IF(K937&gt;=17,"عالی",IF(K937&gt;=14,"خوب",IF(K937&gt;=10,"متوسط","ضعیف"))))))</f>
        <v/>
      </c>
      <c r="M937" s="306" t="n">
        <v>9</v>
      </c>
      <c r="N937" s="314">
        <f>IF(C937="","",COUNT(G937:J937)/4)</f>
        <v/>
      </c>
      <c r="O937" s="307" t="n"/>
    </row>
    <row r="938" ht="24" customHeight="1">
      <c r="A938" s="306" t="n">
        <v>934</v>
      </c>
      <c r="B938" s="306" t="inlineStr">
        <is>
          <t>فروردین</t>
        </is>
      </c>
      <c r="C938" s="306">
        <f>IF('دانش‌آموزان'!E82="","",'دانش‌آموزان'!B82)</f>
        <v/>
      </c>
      <c r="D938" s="306">
        <f>IF('دانش‌آموزان'!C82="","",'دانش‌آموزان'!C82)</f>
        <v/>
      </c>
      <c r="E938" s="306">
        <f>IF('دانش‌آموزان'!E82="","",'دانش‌آموزان'!E82&amp;" "&amp;'دانش‌آموزان'!F82)</f>
        <v/>
      </c>
      <c r="F938" s="306">
        <f>IF('دانش‌آموزان'!I82="","",'دانش‌آموزان'!I82)</f>
        <v/>
      </c>
      <c r="G938" s="307" t="n"/>
      <c r="H938" s="307" t="n"/>
      <c r="I938" s="307" t="n"/>
      <c r="J938" s="307" t="n"/>
      <c r="K938" s="313">
        <f>IF(COUNT(G938:J938)=0,"",AVERAGE(G938:J938)*4)</f>
        <v/>
      </c>
      <c r="L938" s="306">
        <f>IF(C938="","",IF(COUNT(G938:J938)=0,"",IF(COUNT(G938:J938)&lt;4,"موقت - اطلاعات ناقص",IF(K938&gt;=17,"عالی",IF(K938&gt;=14,"خوب",IF(K938&gt;=10,"متوسط","ضعیف"))))))</f>
        <v/>
      </c>
      <c r="M938" s="306" t="n">
        <v>10</v>
      </c>
      <c r="N938" s="314">
        <f>IF(C938="","",COUNT(G938:J938)/4)</f>
        <v/>
      </c>
      <c r="O938" s="307" t="n"/>
    </row>
    <row r="939" ht="24" customHeight="1">
      <c r="A939" s="306" t="n">
        <v>935</v>
      </c>
      <c r="B939" s="306" t="inlineStr">
        <is>
          <t>اردیبهشت</t>
        </is>
      </c>
      <c r="C939" s="306">
        <f>IF('دانش‌آموزان'!E82="","",'دانش‌آموزان'!B82)</f>
        <v/>
      </c>
      <c r="D939" s="306">
        <f>IF('دانش‌آموزان'!C82="","",'دانش‌آموزان'!C82)</f>
        <v/>
      </c>
      <c r="E939" s="306">
        <f>IF('دانش‌آموزان'!E82="","",'دانش‌آموزان'!E82&amp;" "&amp;'دانش‌آموزان'!F82)</f>
        <v/>
      </c>
      <c r="F939" s="306">
        <f>IF('دانش‌آموزان'!I82="","",'دانش‌آموزان'!I82)</f>
        <v/>
      </c>
      <c r="G939" s="307" t="n"/>
      <c r="H939" s="307" t="n"/>
      <c r="I939" s="307" t="n"/>
      <c r="J939" s="307" t="n"/>
      <c r="K939" s="313">
        <f>IF(COUNT(G939:J939)=0,"",AVERAGE(G939:J939)*4)</f>
        <v/>
      </c>
      <c r="L939" s="306">
        <f>IF(C939="","",IF(COUNT(G939:J939)=0,"",IF(COUNT(G939:J939)&lt;4,"موقت - اطلاعات ناقص",IF(K939&gt;=17,"عالی",IF(K939&gt;=14,"خوب",IF(K939&gt;=10,"متوسط","ضعیف"))))))</f>
        <v/>
      </c>
      <c r="M939" s="306" t="n">
        <v>11</v>
      </c>
      <c r="N939" s="314">
        <f>IF(C939="","",COUNT(G939:J939)/4)</f>
        <v/>
      </c>
      <c r="O939" s="307" t="n"/>
    </row>
    <row r="940" ht="24" customHeight="1">
      <c r="A940" s="306" t="n">
        <v>936</v>
      </c>
      <c r="B940" s="306" t="inlineStr">
        <is>
          <t>خرداد</t>
        </is>
      </c>
      <c r="C940" s="306">
        <f>IF('دانش‌آموزان'!E82="","",'دانش‌آموزان'!B82)</f>
        <v/>
      </c>
      <c r="D940" s="306">
        <f>IF('دانش‌آموزان'!C82="","",'دانش‌آموزان'!C82)</f>
        <v/>
      </c>
      <c r="E940" s="306">
        <f>IF('دانش‌آموزان'!E82="","",'دانش‌آموزان'!E82&amp;" "&amp;'دانش‌آموزان'!F82)</f>
        <v/>
      </c>
      <c r="F940" s="306">
        <f>IF('دانش‌آموزان'!I82="","",'دانش‌آموزان'!I82)</f>
        <v/>
      </c>
      <c r="G940" s="307" t="n"/>
      <c r="H940" s="307" t="n"/>
      <c r="I940" s="307" t="n"/>
      <c r="J940" s="307" t="n"/>
      <c r="K940" s="313">
        <f>IF(COUNT(G940:J940)=0,"",AVERAGE(G940:J940)*4)</f>
        <v/>
      </c>
      <c r="L940" s="306">
        <f>IF(C940="","",IF(COUNT(G940:J940)=0,"",IF(COUNT(G940:J940)&lt;4,"موقت - اطلاعات ناقص",IF(K940&gt;=17,"عالی",IF(K940&gt;=14,"خوب",IF(K940&gt;=10,"متوسط","ضعیف"))))))</f>
        <v/>
      </c>
      <c r="M940" s="306" t="n">
        <v>12</v>
      </c>
      <c r="N940" s="314">
        <f>IF(C940="","",COUNT(G940:J940)/4)</f>
        <v/>
      </c>
      <c r="O940" s="307" t="n"/>
    </row>
    <row r="941" ht="24" customHeight="1">
      <c r="A941" s="306" t="n">
        <v>937</v>
      </c>
      <c r="B941" s="306" t="inlineStr">
        <is>
          <t>تیر</t>
        </is>
      </c>
      <c r="C941" s="306">
        <f>IF('دانش‌آموزان'!E83="","",'دانش‌آموزان'!B83)</f>
        <v/>
      </c>
      <c r="D941" s="306">
        <f>IF('دانش‌آموزان'!C83="","",'دانش‌آموزان'!C83)</f>
        <v/>
      </c>
      <c r="E941" s="306">
        <f>IF('دانش‌آموزان'!E83="","",'دانش‌آموزان'!E83&amp;" "&amp;'دانش‌آموزان'!F83)</f>
        <v/>
      </c>
      <c r="F941" s="306">
        <f>IF('دانش‌آموزان'!I83="","",'دانش‌آموزان'!I83)</f>
        <v/>
      </c>
      <c r="G941" s="307" t="n"/>
      <c r="H941" s="307" t="n"/>
      <c r="I941" s="307" t="n"/>
      <c r="J941" s="307" t="n"/>
      <c r="K941" s="313">
        <f>IF(COUNT(G941:J941)=0,"",AVERAGE(G941:J941)*4)</f>
        <v/>
      </c>
      <c r="L941" s="306">
        <f>IF(C941="","",IF(COUNT(G941:J941)=0,"",IF(COUNT(G941:J941)&lt;4,"موقت - اطلاعات ناقص",IF(K941&gt;=17,"عالی",IF(K941&gt;=14,"خوب",IF(K941&gt;=10,"متوسط","ضعیف"))))))</f>
        <v/>
      </c>
      <c r="M941" s="306" t="n">
        <v>1</v>
      </c>
      <c r="N941" s="314">
        <f>IF(C941="","",COUNT(G941:J941)/4)</f>
        <v/>
      </c>
      <c r="O941" s="307" t="n"/>
    </row>
    <row r="942" ht="24" customHeight="1">
      <c r="A942" s="306" t="n">
        <v>938</v>
      </c>
      <c r="B942" s="306" t="inlineStr">
        <is>
          <t>مرداد</t>
        </is>
      </c>
      <c r="C942" s="306">
        <f>IF('دانش‌آموزان'!E83="","",'دانش‌آموزان'!B83)</f>
        <v/>
      </c>
      <c r="D942" s="306">
        <f>IF('دانش‌آموزان'!C83="","",'دانش‌آموزان'!C83)</f>
        <v/>
      </c>
      <c r="E942" s="306">
        <f>IF('دانش‌آموزان'!E83="","",'دانش‌آموزان'!E83&amp;" "&amp;'دانش‌آموزان'!F83)</f>
        <v/>
      </c>
      <c r="F942" s="306">
        <f>IF('دانش‌آموزان'!I83="","",'دانش‌آموزان'!I83)</f>
        <v/>
      </c>
      <c r="G942" s="307" t="n"/>
      <c r="H942" s="307" t="n"/>
      <c r="I942" s="307" t="n"/>
      <c r="J942" s="307" t="n"/>
      <c r="K942" s="313">
        <f>IF(COUNT(G942:J942)=0,"",AVERAGE(G942:J942)*4)</f>
        <v/>
      </c>
      <c r="L942" s="306">
        <f>IF(C942="","",IF(COUNT(G942:J942)=0,"",IF(COUNT(G942:J942)&lt;4,"موقت - اطلاعات ناقص",IF(K942&gt;=17,"عالی",IF(K942&gt;=14,"خوب",IF(K942&gt;=10,"متوسط","ضعیف"))))))</f>
        <v/>
      </c>
      <c r="M942" s="306" t="n">
        <v>2</v>
      </c>
      <c r="N942" s="314">
        <f>IF(C942="","",COUNT(G942:J942)/4)</f>
        <v/>
      </c>
      <c r="O942" s="307" t="n"/>
    </row>
    <row r="943" ht="24" customHeight="1">
      <c r="A943" s="306" t="n">
        <v>939</v>
      </c>
      <c r="B943" s="306" t="inlineStr">
        <is>
          <t>شهریور</t>
        </is>
      </c>
      <c r="C943" s="306">
        <f>IF('دانش‌آموزان'!E83="","",'دانش‌آموزان'!B83)</f>
        <v/>
      </c>
      <c r="D943" s="306">
        <f>IF('دانش‌آموزان'!C83="","",'دانش‌آموزان'!C83)</f>
        <v/>
      </c>
      <c r="E943" s="306">
        <f>IF('دانش‌آموزان'!E83="","",'دانش‌آموزان'!E83&amp;" "&amp;'دانش‌آموزان'!F83)</f>
        <v/>
      </c>
      <c r="F943" s="306">
        <f>IF('دانش‌آموزان'!I83="","",'دانش‌آموزان'!I83)</f>
        <v/>
      </c>
      <c r="G943" s="307" t="n"/>
      <c r="H943" s="307" t="n"/>
      <c r="I943" s="307" t="n"/>
      <c r="J943" s="307" t="n"/>
      <c r="K943" s="313">
        <f>IF(COUNT(G943:J943)=0,"",AVERAGE(G943:J943)*4)</f>
        <v/>
      </c>
      <c r="L943" s="306">
        <f>IF(C943="","",IF(COUNT(G943:J943)=0,"",IF(COUNT(G943:J943)&lt;4,"موقت - اطلاعات ناقص",IF(K943&gt;=17,"عالی",IF(K943&gt;=14,"خوب",IF(K943&gt;=10,"متوسط","ضعیف"))))))</f>
        <v/>
      </c>
      <c r="M943" s="306" t="n">
        <v>3</v>
      </c>
      <c r="N943" s="314">
        <f>IF(C943="","",COUNT(G943:J943)/4)</f>
        <v/>
      </c>
      <c r="O943" s="307" t="n"/>
    </row>
    <row r="944" ht="24" customHeight="1">
      <c r="A944" s="306" t="n">
        <v>940</v>
      </c>
      <c r="B944" s="306" t="inlineStr">
        <is>
          <t>مهر</t>
        </is>
      </c>
      <c r="C944" s="306">
        <f>IF('دانش‌آموزان'!E83="","",'دانش‌آموزان'!B83)</f>
        <v/>
      </c>
      <c r="D944" s="306">
        <f>IF('دانش‌آموزان'!C83="","",'دانش‌آموزان'!C83)</f>
        <v/>
      </c>
      <c r="E944" s="306">
        <f>IF('دانش‌آموزان'!E83="","",'دانش‌آموزان'!E83&amp;" "&amp;'دانش‌آموزان'!F83)</f>
        <v/>
      </c>
      <c r="F944" s="306">
        <f>IF('دانش‌آموزان'!I83="","",'دانش‌آموزان'!I83)</f>
        <v/>
      </c>
      <c r="G944" s="307" t="n"/>
      <c r="H944" s="307" t="n"/>
      <c r="I944" s="307" t="n"/>
      <c r="J944" s="307" t="n"/>
      <c r="K944" s="313">
        <f>IF(COUNT(G944:J944)=0,"",AVERAGE(G944:J944)*4)</f>
        <v/>
      </c>
      <c r="L944" s="306">
        <f>IF(C944="","",IF(COUNT(G944:J944)=0,"",IF(COUNT(G944:J944)&lt;4,"موقت - اطلاعات ناقص",IF(K944&gt;=17,"عالی",IF(K944&gt;=14,"خوب",IF(K944&gt;=10,"متوسط","ضعیف"))))))</f>
        <v/>
      </c>
      <c r="M944" s="306" t="n">
        <v>4</v>
      </c>
      <c r="N944" s="314">
        <f>IF(C944="","",COUNT(G944:J944)/4)</f>
        <v/>
      </c>
      <c r="O944" s="307" t="n"/>
    </row>
    <row r="945" ht="24" customHeight="1">
      <c r="A945" s="306" t="n">
        <v>941</v>
      </c>
      <c r="B945" s="306" t="inlineStr">
        <is>
          <t>آبان</t>
        </is>
      </c>
      <c r="C945" s="306">
        <f>IF('دانش‌آموزان'!E83="","",'دانش‌آموزان'!B83)</f>
        <v/>
      </c>
      <c r="D945" s="306">
        <f>IF('دانش‌آموزان'!C83="","",'دانش‌آموزان'!C83)</f>
        <v/>
      </c>
      <c r="E945" s="306">
        <f>IF('دانش‌آموزان'!E83="","",'دانش‌آموزان'!E83&amp;" "&amp;'دانش‌آموزان'!F83)</f>
        <v/>
      </c>
      <c r="F945" s="306">
        <f>IF('دانش‌آموزان'!I83="","",'دانش‌آموزان'!I83)</f>
        <v/>
      </c>
      <c r="G945" s="307" t="n"/>
      <c r="H945" s="307" t="n"/>
      <c r="I945" s="307" t="n"/>
      <c r="J945" s="307" t="n"/>
      <c r="K945" s="313">
        <f>IF(COUNT(G945:J945)=0,"",AVERAGE(G945:J945)*4)</f>
        <v/>
      </c>
      <c r="L945" s="306">
        <f>IF(C945="","",IF(COUNT(G945:J945)=0,"",IF(COUNT(G945:J945)&lt;4,"موقت - اطلاعات ناقص",IF(K945&gt;=17,"عالی",IF(K945&gt;=14,"خوب",IF(K945&gt;=10,"متوسط","ضعیف"))))))</f>
        <v/>
      </c>
      <c r="M945" s="306" t="n">
        <v>5</v>
      </c>
      <c r="N945" s="314">
        <f>IF(C945="","",COUNT(G945:J945)/4)</f>
        <v/>
      </c>
      <c r="O945" s="307" t="n"/>
    </row>
    <row r="946" ht="24" customHeight="1">
      <c r="A946" s="306" t="n">
        <v>942</v>
      </c>
      <c r="B946" s="306" t="inlineStr">
        <is>
          <t>آذر</t>
        </is>
      </c>
      <c r="C946" s="306">
        <f>IF('دانش‌آموزان'!E83="","",'دانش‌آموزان'!B83)</f>
        <v/>
      </c>
      <c r="D946" s="306">
        <f>IF('دانش‌آموزان'!C83="","",'دانش‌آموزان'!C83)</f>
        <v/>
      </c>
      <c r="E946" s="306">
        <f>IF('دانش‌آموزان'!E83="","",'دانش‌آموزان'!E83&amp;" "&amp;'دانش‌آموزان'!F83)</f>
        <v/>
      </c>
      <c r="F946" s="306">
        <f>IF('دانش‌آموزان'!I83="","",'دانش‌آموزان'!I83)</f>
        <v/>
      </c>
      <c r="G946" s="307" t="n"/>
      <c r="H946" s="307" t="n"/>
      <c r="I946" s="307" t="n"/>
      <c r="J946" s="307" t="n"/>
      <c r="K946" s="313">
        <f>IF(COUNT(G946:J946)=0,"",AVERAGE(G946:J946)*4)</f>
        <v/>
      </c>
      <c r="L946" s="306">
        <f>IF(C946="","",IF(COUNT(G946:J946)=0,"",IF(COUNT(G946:J946)&lt;4,"موقت - اطلاعات ناقص",IF(K946&gt;=17,"عالی",IF(K946&gt;=14,"خوب",IF(K946&gt;=10,"متوسط","ضعیف"))))))</f>
        <v/>
      </c>
      <c r="M946" s="306" t="n">
        <v>6</v>
      </c>
      <c r="N946" s="314">
        <f>IF(C946="","",COUNT(G946:J946)/4)</f>
        <v/>
      </c>
      <c r="O946" s="307" t="n"/>
    </row>
    <row r="947" ht="24" customHeight="1">
      <c r="A947" s="306" t="n">
        <v>943</v>
      </c>
      <c r="B947" s="306" t="inlineStr">
        <is>
          <t>دی</t>
        </is>
      </c>
      <c r="C947" s="306">
        <f>IF('دانش‌آموزان'!E83="","",'دانش‌آموزان'!B83)</f>
        <v/>
      </c>
      <c r="D947" s="306">
        <f>IF('دانش‌آموزان'!C83="","",'دانش‌آموزان'!C83)</f>
        <v/>
      </c>
      <c r="E947" s="306">
        <f>IF('دانش‌آموزان'!E83="","",'دانش‌آموزان'!E83&amp;" "&amp;'دانش‌آموزان'!F83)</f>
        <v/>
      </c>
      <c r="F947" s="306">
        <f>IF('دانش‌آموزان'!I83="","",'دانش‌آموزان'!I83)</f>
        <v/>
      </c>
      <c r="G947" s="307" t="n"/>
      <c r="H947" s="307" t="n"/>
      <c r="I947" s="307" t="n"/>
      <c r="J947" s="307" t="n"/>
      <c r="K947" s="313">
        <f>IF(COUNT(G947:J947)=0,"",AVERAGE(G947:J947)*4)</f>
        <v/>
      </c>
      <c r="L947" s="306">
        <f>IF(C947="","",IF(COUNT(G947:J947)=0,"",IF(COUNT(G947:J947)&lt;4,"موقت - اطلاعات ناقص",IF(K947&gt;=17,"عالی",IF(K947&gt;=14,"خوب",IF(K947&gt;=10,"متوسط","ضعیف"))))))</f>
        <v/>
      </c>
      <c r="M947" s="306" t="n">
        <v>7</v>
      </c>
      <c r="N947" s="314">
        <f>IF(C947="","",COUNT(G947:J947)/4)</f>
        <v/>
      </c>
      <c r="O947" s="307" t="n"/>
    </row>
    <row r="948" ht="24" customHeight="1">
      <c r="A948" s="306" t="n">
        <v>944</v>
      </c>
      <c r="B948" s="306" t="inlineStr">
        <is>
          <t>بهمن</t>
        </is>
      </c>
      <c r="C948" s="306">
        <f>IF('دانش‌آموزان'!E83="","",'دانش‌آموزان'!B83)</f>
        <v/>
      </c>
      <c r="D948" s="306">
        <f>IF('دانش‌آموزان'!C83="","",'دانش‌آموزان'!C83)</f>
        <v/>
      </c>
      <c r="E948" s="306">
        <f>IF('دانش‌آموزان'!E83="","",'دانش‌آموزان'!E83&amp;" "&amp;'دانش‌آموزان'!F83)</f>
        <v/>
      </c>
      <c r="F948" s="306">
        <f>IF('دانش‌آموزان'!I83="","",'دانش‌آموزان'!I83)</f>
        <v/>
      </c>
      <c r="G948" s="307" t="n"/>
      <c r="H948" s="307" t="n"/>
      <c r="I948" s="307" t="n"/>
      <c r="J948" s="307" t="n"/>
      <c r="K948" s="313">
        <f>IF(COUNT(G948:J948)=0,"",AVERAGE(G948:J948)*4)</f>
        <v/>
      </c>
      <c r="L948" s="306">
        <f>IF(C948="","",IF(COUNT(G948:J948)=0,"",IF(COUNT(G948:J948)&lt;4,"موقت - اطلاعات ناقص",IF(K948&gt;=17,"عالی",IF(K948&gt;=14,"خوب",IF(K948&gt;=10,"متوسط","ضعیف"))))))</f>
        <v/>
      </c>
      <c r="M948" s="306" t="n">
        <v>8</v>
      </c>
      <c r="N948" s="314">
        <f>IF(C948="","",COUNT(G948:J948)/4)</f>
        <v/>
      </c>
      <c r="O948" s="307" t="n"/>
    </row>
    <row r="949" ht="24" customHeight="1">
      <c r="A949" s="306" t="n">
        <v>945</v>
      </c>
      <c r="B949" s="306" t="inlineStr">
        <is>
          <t>اسفند</t>
        </is>
      </c>
      <c r="C949" s="306">
        <f>IF('دانش‌آموزان'!E83="","",'دانش‌آموزان'!B83)</f>
        <v/>
      </c>
      <c r="D949" s="306">
        <f>IF('دانش‌آموزان'!C83="","",'دانش‌آموزان'!C83)</f>
        <v/>
      </c>
      <c r="E949" s="306">
        <f>IF('دانش‌آموزان'!E83="","",'دانش‌آموزان'!E83&amp;" "&amp;'دانش‌آموزان'!F83)</f>
        <v/>
      </c>
      <c r="F949" s="306">
        <f>IF('دانش‌آموزان'!I83="","",'دانش‌آموزان'!I83)</f>
        <v/>
      </c>
      <c r="G949" s="307" t="n"/>
      <c r="H949" s="307" t="n"/>
      <c r="I949" s="307" t="n"/>
      <c r="J949" s="307" t="n"/>
      <c r="K949" s="313">
        <f>IF(COUNT(G949:J949)=0,"",AVERAGE(G949:J949)*4)</f>
        <v/>
      </c>
      <c r="L949" s="306">
        <f>IF(C949="","",IF(COUNT(G949:J949)=0,"",IF(COUNT(G949:J949)&lt;4,"موقت - اطلاعات ناقص",IF(K949&gt;=17,"عالی",IF(K949&gt;=14,"خوب",IF(K949&gt;=10,"متوسط","ضعیف"))))))</f>
        <v/>
      </c>
      <c r="M949" s="306" t="n">
        <v>9</v>
      </c>
      <c r="N949" s="314">
        <f>IF(C949="","",COUNT(G949:J949)/4)</f>
        <v/>
      </c>
      <c r="O949" s="307" t="n"/>
    </row>
    <row r="950" ht="24" customHeight="1">
      <c r="A950" s="306" t="n">
        <v>946</v>
      </c>
      <c r="B950" s="306" t="inlineStr">
        <is>
          <t>فروردین</t>
        </is>
      </c>
      <c r="C950" s="306">
        <f>IF('دانش‌آموزان'!E83="","",'دانش‌آموزان'!B83)</f>
        <v/>
      </c>
      <c r="D950" s="306">
        <f>IF('دانش‌آموزان'!C83="","",'دانش‌آموزان'!C83)</f>
        <v/>
      </c>
      <c r="E950" s="306">
        <f>IF('دانش‌آموزان'!E83="","",'دانش‌آموزان'!E83&amp;" "&amp;'دانش‌آموزان'!F83)</f>
        <v/>
      </c>
      <c r="F950" s="306">
        <f>IF('دانش‌آموزان'!I83="","",'دانش‌آموزان'!I83)</f>
        <v/>
      </c>
      <c r="G950" s="307" t="n"/>
      <c r="H950" s="307" t="n"/>
      <c r="I950" s="307" t="n"/>
      <c r="J950" s="307" t="n"/>
      <c r="K950" s="313">
        <f>IF(COUNT(G950:J950)=0,"",AVERAGE(G950:J950)*4)</f>
        <v/>
      </c>
      <c r="L950" s="306">
        <f>IF(C950="","",IF(COUNT(G950:J950)=0,"",IF(COUNT(G950:J950)&lt;4,"موقت - اطلاعات ناقص",IF(K950&gt;=17,"عالی",IF(K950&gt;=14,"خوب",IF(K950&gt;=10,"متوسط","ضعیف"))))))</f>
        <v/>
      </c>
      <c r="M950" s="306" t="n">
        <v>10</v>
      </c>
      <c r="N950" s="314">
        <f>IF(C950="","",COUNT(G950:J950)/4)</f>
        <v/>
      </c>
      <c r="O950" s="307" t="n"/>
    </row>
    <row r="951" ht="24" customHeight="1">
      <c r="A951" s="306" t="n">
        <v>947</v>
      </c>
      <c r="B951" s="306" t="inlineStr">
        <is>
          <t>اردیبهشت</t>
        </is>
      </c>
      <c r="C951" s="306">
        <f>IF('دانش‌آموزان'!E83="","",'دانش‌آموزان'!B83)</f>
        <v/>
      </c>
      <c r="D951" s="306">
        <f>IF('دانش‌آموزان'!C83="","",'دانش‌آموزان'!C83)</f>
        <v/>
      </c>
      <c r="E951" s="306">
        <f>IF('دانش‌آموزان'!E83="","",'دانش‌آموزان'!E83&amp;" "&amp;'دانش‌آموزان'!F83)</f>
        <v/>
      </c>
      <c r="F951" s="306">
        <f>IF('دانش‌آموزان'!I83="","",'دانش‌آموزان'!I83)</f>
        <v/>
      </c>
      <c r="G951" s="307" t="n"/>
      <c r="H951" s="307" t="n"/>
      <c r="I951" s="307" t="n"/>
      <c r="J951" s="307" t="n"/>
      <c r="K951" s="313">
        <f>IF(COUNT(G951:J951)=0,"",AVERAGE(G951:J951)*4)</f>
        <v/>
      </c>
      <c r="L951" s="306">
        <f>IF(C951="","",IF(COUNT(G951:J951)=0,"",IF(COUNT(G951:J951)&lt;4,"موقت - اطلاعات ناقص",IF(K951&gt;=17,"عالی",IF(K951&gt;=14,"خوب",IF(K951&gt;=10,"متوسط","ضعیف"))))))</f>
        <v/>
      </c>
      <c r="M951" s="306" t="n">
        <v>11</v>
      </c>
      <c r="N951" s="314">
        <f>IF(C951="","",COUNT(G951:J951)/4)</f>
        <v/>
      </c>
      <c r="O951" s="307" t="n"/>
    </row>
    <row r="952" ht="24" customHeight="1">
      <c r="A952" s="306" t="n">
        <v>948</v>
      </c>
      <c r="B952" s="306" t="inlineStr">
        <is>
          <t>خرداد</t>
        </is>
      </c>
      <c r="C952" s="306">
        <f>IF('دانش‌آموزان'!E83="","",'دانش‌آموزان'!B83)</f>
        <v/>
      </c>
      <c r="D952" s="306">
        <f>IF('دانش‌آموزان'!C83="","",'دانش‌آموزان'!C83)</f>
        <v/>
      </c>
      <c r="E952" s="306">
        <f>IF('دانش‌آموزان'!E83="","",'دانش‌آموزان'!E83&amp;" "&amp;'دانش‌آموزان'!F83)</f>
        <v/>
      </c>
      <c r="F952" s="306">
        <f>IF('دانش‌آموزان'!I83="","",'دانش‌آموزان'!I83)</f>
        <v/>
      </c>
      <c r="G952" s="307" t="n"/>
      <c r="H952" s="307" t="n"/>
      <c r="I952" s="307" t="n"/>
      <c r="J952" s="307" t="n"/>
      <c r="K952" s="313">
        <f>IF(COUNT(G952:J952)=0,"",AVERAGE(G952:J952)*4)</f>
        <v/>
      </c>
      <c r="L952" s="306">
        <f>IF(C952="","",IF(COUNT(G952:J952)=0,"",IF(COUNT(G952:J952)&lt;4,"موقت - اطلاعات ناقص",IF(K952&gt;=17,"عالی",IF(K952&gt;=14,"خوب",IF(K952&gt;=10,"متوسط","ضعیف"))))))</f>
        <v/>
      </c>
      <c r="M952" s="306" t="n">
        <v>12</v>
      </c>
      <c r="N952" s="314">
        <f>IF(C952="","",COUNT(G952:J952)/4)</f>
        <v/>
      </c>
      <c r="O952" s="307" t="n"/>
    </row>
    <row r="953" ht="24" customHeight="1">
      <c r="A953" s="306" t="n">
        <v>949</v>
      </c>
      <c r="B953" s="306" t="inlineStr">
        <is>
          <t>تیر</t>
        </is>
      </c>
      <c r="C953" s="306">
        <f>IF('دانش‌آموزان'!E84="","",'دانش‌آموزان'!B84)</f>
        <v/>
      </c>
      <c r="D953" s="306">
        <f>IF('دانش‌آموزان'!C84="","",'دانش‌آموزان'!C84)</f>
        <v/>
      </c>
      <c r="E953" s="306">
        <f>IF('دانش‌آموزان'!E84="","",'دانش‌آموزان'!E84&amp;" "&amp;'دانش‌آموزان'!F84)</f>
        <v/>
      </c>
      <c r="F953" s="306">
        <f>IF('دانش‌آموزان'!I84="","",'دانش‌آموزان'!I84)</f>
        <v/>
      </c>
      <c r="G953" s="307" t="n"/>
      <c r="H953" s="307" t="n"/>
      <c r="I953" s="307" t="n"/>
      <c r="J953" s="307" t="n"/>
      <c r="K953" s="313">
        <f>IF(COUNT(G953:J953)=0,"",AVERAGE(G953:J953)*4)</f>
        <v/>
      </c>
      <c r="L953" s="306">
        <f>IF(C953="","",IF(COUNT(G953:J953)=0,"",IF(COUNT(G953:J953)&lt;4,"موقت - اطلاعات ناقص",IF(K953&gt;=17,"عالی",IF(K953&gt;=14,"خوب",IF(K953&gt;=10,"متوسط","ضعیف"))))))</f>
        <v/>
      </c>
      <c r="M953" s="306" t="n">
        <v>1</v>
      </c>
      <c r="N953" s="314">
        <f>IF(C953="","",COUNT(G953:J953)/4)</f>
        <v/>
      </c>
      <c r="O953" s="307" t="n"/>
    </row>
    <row r="954" ht="24" customHeight="1">
      <c r="A954" s="306" t="n">
        <v>950</v>
      </c>
      <c r="B954" s="306" t="inlineStr">
        <is>
          <t>مرداد</t>
        </is>
      </c>
      <c r="C954" s="306">
        <f>IF('دانش‌آموزان'!E84="","",'دانش‌آموزان'!B84)</f>
        <v/>
      </c>
      <c r="D954" s="306">
        <f>IF('دانش‌آموزان'!C84="","",'دانش‌آموزان'!C84)</f>
        <v/>
      </c>
      <c r="E954" s="306">
        <f>IF('دانش‌آموزان'!E84="","",'دانش‌آموزان'!E84&amp;" "&amp;'دانش‌آموزان'!F84)</f>
        <v/>
      </c>
      <c r="F954" s="306">
        <f>IF('دانش‌آموزان'!I84="","",'دانش‌آموزان'!I84)</f>
        <v/>
      </c>
      <c r="G954" s="307" t="n"/>
      <c r="H954" s="307" t="n"/>
      <c r="I954" s="307" t="n"/>
      <c r="J954" s="307" t="n"/>
      <c r="K954" s="313">
        <f>IF(COUNT(G954:J954)=0,"",AVERAGE(G954:J954)*4)</f>
        <v/>
      </c>
      <c r="L954" s="306">
        <f>IF(C954="","",IF(COUNT(G954:J954)=0,"",IF(COUNT(G954:J954)&lt;4,"موقت - اطلاعات ناقص",IF(K954&gt;=17,"عالی",IF(K954&gt;=14,"خوب",IF(K954&gt;=10,"متوسط","ضعیف"))))))</f>
        <v/>
      </c>
      <c r="M954" s="306" t="n">
        <v>2</v>
      </c>
      <c r="N954" s="314">
        <f>IF(C954="","",COUNT(G954:J954)/4)</f>
        <v/>
      </c>
      <c r="O954" s="307" t="n"/>
    </row>
    <row r="955" ht="24" customHeight="1">
      <c r="A955" s="306" t="n">
        <v>951</v>
      </c>
      <c r="B955" s="306" t="inlineStr">
        <is>
          <t>شهریور</t>
        </is>
      </c>
      <c r="C955" s="306">
        <f>IF('دانش‌آموزان'!E84="","",'دانش‌آموزان'!B84)</f>
        <v/>
      </c>
      <c r="D955" s="306">
        <f>IF('دانش‌آموزان'!C84="","",'دانش‌آموزان'!C84)</f>
        <v/>
      </c>
      <c r="E955" s="306">
        <f>IF('دانش‌آموزان'!E84="","",'دانش‌آموزان'!E84&amp;" "&amp;'دانش‌آموزان'!F84)</f>
        <v/>
      </c>
      <c r="F955" s="306">
        <f>IF('دانش‌آموزان'!I84="","",'دانش‌آموزان'!I84)</f>
        <v/>
      </c>
      <c r="G955" s="307" t="n"/>
      <c r="H955" s="307" t="n"/>
      <c r="I955" s="307" t="n"/>
      <c r="J955" s="307" t="n"/>
      <c r="K955" s="313">
        <f>IF(COUNT(G955:J955)=0,"",AVERAGE(G955:J955)*4)</f>
        <v/>
      </c>
      <c r="L955" s="306">
        <f>IF(C955="","",IF(COUNT(G955:J955)=0,"",IF(COUNT(G955:J955)&lt;4,"موقت - اطلاعات ناقص",IF(K955&gt;=17,"عالی",IF(K955&gt;=14,"خوب",IF(K955&gt;=10,"متوسط","ضعیف"))))))</f>
        <v/>
      </c>
      <c r="M955" s="306" t="n">
        <v>3</v>
      </c>
      <c r="N955" s="314">
        <f>IF(C955="","",COUNT(G955:J955)/4)</f>
        <v/>
      </c>
      <c r="O955" s="307" t="n"/>
    </row>
    <row r="956" ht="24" customHeight="1">
      <c r="A956" s="306" t="n">
        <v>952</v>
      </c>
      <c r="B956" s="306" t="inlineStr">
        <is>
          <t>مهر</t>
        </is>
      </c>
      <c r="C956" s="306">
        <f>IF('دانش‌آموزان'!E84="","",'دانش‌آموزان'!B84)</f>
        <v/>
      </c>
      <c r="D956" s="306">
        <f>IF('دانش‌آموزان'!C84="","",'دانش‌آموزان'!C84)</f>
        <v/>
      </c>
      <c r="E956" s="306">
        <f>IF('دانش‌آموزان'!E84="","",'دانش‌آموزان'!E84&amp;" "&amp;'دانش‌آموزان'!F84)</f>
        <v/>
      </c>
      <c r="F956" s="306">
        <f>IF('دانش‌آموزان'!I84="","",'دانش‌آموزان'!I84)</f>
        <v/>
      </c>
      <c r="G956" s="307" t="n"/>
      <c r="H956" s="307" t="n"/>
      <c r="I956" s="307" t="n"/>
      <c r="J956" s="307" t="n"/>
      <c r="K956" s="313">
        <f>IF(COUNT(G956:J956)=0,"",AVERAGE(G956:J956)*4)</f>
        <v/>
      </c>
      <c r="L956" s="306">
        <f>IF(C956="","",IF(COUNT(G956:J956)=0,"",IF(COUNT(G956:J956)&lt;4,"موقت - اطلاعات ناقص",IF(K956&gt;=17,"عالی",IF(K956&gt;=14,"خوب",IF(K956&gt;=10,"متوسط","ضعیف"))))))</f>
        <v/>
      </c>
      <c r="M956" s="306" t="n">
        <v>4</v>
      </c>
      <c r="N956" s="314">
        <f>IF(C956="","",COUNT(G956:J956)/4)</f>
        <v/>
      </c>
      <c r="O956" s="307" t="n"/>
    </row>
    <row r="957" ht="24" customHeight="1">
      <c r="A957" s="306" t="n">
        <v>953</v>
      </c>
      <c r="B957" s="306" t="inlineStr">
        <is>
          <t>آبان</t>
        </is>
      </c>
      <c r="C957" s="306">
        <f>IF('دانش‌آموزان'!E84="","",'دانش‌آموزان'!B84)</f>
        <v/>
      </c>
      <c r="D957" s="306">
        <f>IF('دانش‌آموزان'!C84="","",'دانش‌آموزان'!C84)</f>
        <v/>
      </c>
      <c r="E957" s="306">
        <f>IF('دانش‌آموزان'!E84="","",'دانش‌آموزان'!E84&amp;" "&amp;'دانش‌آموزان'!F84)</f>
        <v/>
      </c>
      <c r="F957" s="306">
        <f>IF('دانش‌آموزان'!I84="","",'دانش‌آموزان'!I84)</f>
        <v/>
      </c>
      <c r="G957" s="307" t="n"/>
      <c r="H957" s="307" t="n"/>
      <c r="I957" s="307" t="n"/>
      <c r="J957" s="307" t="n"/>
      <c r="K957" s="313">
        <f>IF(COUNT(G957:J957)=0,"",AVERAGE(G957:J957)*4)</f>
        <v/>
      </c>
      <c r="L957" s="306">
        <f>IF(C957="","",IF(COUNT(G957:J957)=0,"",IF(COUNT(G957:J957)&lt;4,"موقت - اطلاعات ناقص",IF(K957&gt;=17,"عالی",IF(K957&gt;=14,"خوب",IF(K957&gt;=10,"متوسط","ضعیف"))))))</f>
        <v/>
      </c>
      <c r="M957" s="306" t="n">
        <v>5</v>
      </c>
      <c r="N957" s="314">
        <f>IF(C957="","",COUNT(G957:J957)/4)</f>
        <v/>
      </c>
      <c r="O957" s="307" t="n"/>
    </row>
    <row r="958" ht="24" customHeight="1">
      <c r="A958" s="306" t="n">
        <v>954</v>
      </c>
      <c r="B958" s="306" t="inlineStr">
        <is>
          <t>آذر</t>
        </is>
      </c>
      <c r="C958" s="306">
        <f>IF('دانش‌آموزان'!E84="","",'دانش‌آموزان'!B84)</f>
        <v/>
      </c>
      <c r="D958" s="306">
        <f>IF('دانش‌آموزان'!C84="","",'دانش‌آموزان'!C84)</f>
        <v/>
      </c>
      <c r="E958" s="306">
        <f>IF('دانش‌آموزان'!E84="","",'دانش‌آموزان'!E84&amp;" "&amp;'دانش‌آموزان'!F84)</f>
        <v/>
      </c>
      <c r="F958" s="306">
        <f>IF('دانش‌آموزان'!I84="","",'دانش‌آموزان'!I84)</f>
        <v/>
      </c>
      <c r="G958" s="307" t="n"/>
      <c r="H958" s="307" t="n"/>
      <c r="I958" s="307" t="n"/>
      <c r="J958" s="307" t="n"/>
      <c r="K958" s="313">
        <f>IF(COUNT(G958:J958)=0,"",AVERAGE(G958:J958)*4)</f>
        <v/>
      </c>
      <c r="L958" s="306">
        <f>IF(C958="","",IF(COUNT(G958:J958)=0,"",IF(COUNT(G958:J958)&lt;4,"موقت - اطلاعات ناقص",IF(K958&gt;=17,"عالی",IF(K958&gt;=14,"خوب",IF(K958&gt;=10,"متوسط","ضعیف"))))))</f>
        <v/>
      </c>
      <c r="M958" s="306" t="n">
        <v>6</v>
      </c>
      <c r="N958" s="314">
        <f>IF(C958="","",COUNT(G958:J958)/4)</f>
        <v/>
      </c>
      <c r="O958" s="307" t="n"/>
    </row>
    <row r="959" ht="24" customHeight="1">
      <c r="A959" s="306" t="n">
        <v>955</v>
      </c>
      <c r="B959" s="306" t="inlineStr">
        <is>
          <t>دی</t>
        </is>
      </c>
      <c r="C959" s="306">
        <f>IF('دانش‌آموزان'!E84="","",'دانش‌آموزان'!B84)</f>
        <v/>
      </c>
      <c r="D959" s="306">
        <f>IF('دانش‌آموزان'!C84="","",'دانش‌آموزان'!C84)</f>
        <v/>
      </c>
      <c r="E959" s="306">
        <f>IF('دانش‌آموزان'!E84="","",'دانش‌آموزان'!E84&amp;" "&amp;'دانش‌آموزان'!F84)</f>
        <v/>
      </c>
      <c r="F959" s="306">
        <f>IF('دانش‌آموزان'!I84="","",'دانش‌آموزان'!I84)</f>
        <v/>
      </c>
      <c r="G959" s="307" t="n"/>
      <c r="H959" s="307" t="n"/>
      <c r="I959" s="307" t="n"/>
      <c r="J959" s="307" t="n"/>
      <c r="K959" s="313">
        <f>IF(COUNT(G959:J959)=0,"",AVERAGE(G959:J959)*4)</f>
        <v/>
      </c>
      <c r="L959" s="306">
        <f>IF(C959="","",IF(COUNT(G959:J959)=0,"",IF(COUNT(G959:J959)&lt;4,"موقت - اطلاعات ناقص",IF(K959&gt;=17,"عالی",IF(K959&gt;=14,"خوب",IF(K959&gt;=10,"متوسط","ضعیف"))))))</f>
        <v/>
      </c>
      <c r="M959" s="306" t="n">
        <v>7</v>
      </c>
      <c r="N959" s="314">
        <f>IF(C959="","",COUNT(G959:J959)/4)</f>
        <v/>
      </c>
      <c r="O959" s="307" t="n"/>
    </row>
    <row r="960" ht="24" customHeight="1">
      <c r="A960" s="306" t="n">
        <v>956</v>
      </c>
      <c r="B960" s="306" t="inlineStr">
        <is>
          <t>بهمن</t>
        </is>
      </c>
      <c r="C960" s="306">
        <f>IF('دانش‌آموزان'!E84="","",'دانش‌آموزان'!B84)</f>
        <v/>
      </c>
      <c r="D960" s="306">
        <f>IF('دانش‌آموزان'!C84="","",'دانش‌آموزان'!C84)</f>
        <v/>
      </c>
      <c r="E960" s="306">
        <f>IF('دانش‌آموزان'!E84="","",'دانش‌آموزان'!E84&amp;" "&amp;'دانش‌آموزان'!F84)</f>
        <v/>
      </c>
      <c r="F960" s="306">
        <f>IF('دانش‌آموزان'!I84="","",'دانش‌آموزان'!I84)</f>
        <v/>
      </c>
      <c r="G960" s="307" t="n"/>
      <c r="H960" s="307" t="n"/>
      <c r="I960" s="307" t="n"/>
      <c r="J960" s="307" t="n"/>
      <c r="K960" s="313">
        <f>IF(COUNT(G960:J960)=0,"",AVERAGE(G960:J960)*4)</f>
        <v/>
      </c>
      <c r="L960" s="306">
        <f>IF(C960="","",IF(COUNT(G960:J960)=0,"",IF(COUNT(G960:J960)&lt;4,"موقت - اطلاعات ناقص",IF(K960&gt;=17,"عالی",IF(K960&gt;=14,"خوب",IF(K960&gt;=10,"متوسط","ضعیف"))))))</f>
        <v/>
      </c>
      <c r="M960" s="306" t="n">
        <v>8</v>
      </c>
      <c r="N960" s="314">
        <f>IF(C960="","",COUNT(G960:J960)/4)</f>
        <v/>
      </c>
      <c r="O960" s="307" t="n"/>
    </row>
    <row r="961" ht="24" customHeight="1">
      <c r="A961" s="306" t="n">
        <v>957</v>
      </c>
      <c r="B961" s="306" t="inlineStr">
        <is>
          <t>اسفند</t>
        </is>
      </c>
      <c r="C961" s="306">
        <f>IF('دانش‌آموزان'!E84="","",'دانش‌آموزان'!B84)</f>
        <v/>
      </c>
      <c r="D961" s="306">
        <f>IF('دانش‌آموزان'!C84="","",'دانش‌آموزان'!C84)</f>
        <v/>
      </c>
      <c r="E961" s="306">
        <f>IF('دانش‌آموزان'!E84="","",'دانش‌آموزان'!E84&amp;" "&amp;'دانش‌آموزان'!F84)</f>
        <v/>
      </c>
      <c r="F961" s="306">
        <f>IF('دانش‌آموزان'!I84="","",'دانش‌آموزان'!I84)</f>
        <v/>
      </c>
      <c r="G961" s="307" t="n"/>
      <c r="H961" s="307" t="n"/>
      <c r="I961" s="307" t="n"/>
      <c r="J961" s="307" t="n"/>
      <c r="K961" s="313">
        <f>IF(COUNT(G961:J961)=0,"",AVERAGE(G961:J961)*4)</f>
        <v/>
      </c>
      <c r="L961" s="306">
        <f>IF(C961="","",IF(COUNT(G961:J961)=0,"",IF(COUNT(G961:J961)&lt;4,"موقت - اطلاعات ناقص",IF(K961&gt;=17,"عالی",IF(K961&gt;=14,"خوب",IF(K961&gt;=10,"متوسط","ضعیف"))))))</f>
        <v/>
      </c>
      <c r="M961" s="306" t="n">
        <v>9</v>
      </c>
      <c r="N961" s="314">
        <f>IF(C961="","",COUNT(G961:J961)/4)</f>
        <v/>
      </c>
      <c r="O961" s="307" t="n"/>
    </row>
    <row r="962" ht="24" customHeight="1">
      <c r="A962" s="306" t="n">
        <v>958</v>
      </c>
      <c r="B962" s="306" t="inlineStr">
        <is>
          <t>فروردین</t>
        </is>
      </c>
      <c r="C962" s="306">
        <f>IF('دانش‌آموزان'!E84="","",'دانش‌آموزان'!B84)</f>
        <v/>
      </c>
      <c r="D962" s="306">
        <f>IF('دانش‌آموزان'!C84="","",'دانش‌آموزان'!C84)</f>
        <v/>
      </c>
      <c r="E962" s="306">
        <f>IF('دانش‌آموزان'!E84="","",'دانش‌آموزان'!E84&amp;" "&amp;'دانش‌آموزان'!F84)</f>
        <v/>
      </c>
      <c r="F962" s="306">
        <f>IF('دانش‌آموزان'!I84="","",'دانش‌آموزان'!I84)</f>
        <v/>
      </c>
      <c r="G962" s="307" t="n"/>
      <c r="H962" s="307" t="n"/>
      <c r="I962" s="307" t="n"/>
      <c r="J962" s="307" t="n"/>
      <c r="K962" s="313">
        <f>IF(COUNT(G962:J962)=0,"",AVERAGE(G962:J962)*4)</f>
        <v/>
      </c>
      <c r="L962" s="306">
        <f>IF(C962="","",IF(COUNT(G962:J962)=0,"",IF(COUNT(G962:J962)&lt;4,"موقت - اطلاعات ناقص",IF(K962&gt;=17,"عالی",IF(K962&gt;=14,"خوب",IF(K962&gt;=10,"متوسط","ضعیف"))))))</f>
        <v/>
      </c>
      <c r="M962" s="306" t="n">
        <v>10</v>
      </c>
      <c r="N962" s="314">
        <f>IF(C962="","",COUNT(G962:J962)/4)</f>
        <v/>
      </c>
      <c r="O962" s="307" t="n"/>
    </row>
    <row r="963" ht="24" customHeight="1">
      <c r="A963" s="306" t="n">
        <v>959</v>
      </c>
      <c r="B963" s="306" t="inlineStr">
        <is>
          <t>اردیبهشت</t>
        </is>
      </c>
      <c r="C963" s="306">
        <f>IF('دانش‌آموزان'!E84="","",'دانش‌آموزان'!B84)</f>
        <v/>
      </c>
      <c r="D963" s="306">
        <f>IF('دانش‌آموزان'!C84="","",'دانش‌آموزان'!C84)</f>
        <v/>
      </c>
      <c r="E963" s="306">
        <f>IF('دانش‌آموزان'!E84="","",'دانش‌آموزان'!E84&amp;" "&amp;'دانش‌آموزان'!F84)</f>
        <v/>
      </c>
      <c r="F963" s="306">
        <f>IF('دانش‌آموزان'!I84="","",'دانش‌آموزان'!I84)</f>
        <v/>
      </c>
      <c r="G963" s="307" t="n"/>
      <c r="H963" s="307" t="n"/>
      <c r="I963" s="307" t="n"/>
      <c r="J963" s="307" t="n"/>
      <c r="K963" s="313">
        <f>IF(COUNT(G963:J963)=0,"",AVERAGE(G963:J963)*4)</f>
        <v/>
      </c>
      <c r="L963" s="306">
        <f>IF(C963="","",IF(COUNT(G963:J963)=0,"",IF(COUNT(G963:J963)&lt;4,"موقت - اطلاعات ناقص",IF(K963&gt;=17,"عالی",IF(K963&gt;=14,"خوب",IF(K963&gt;=10,"متوسط","ضعیف"))))))</f>
        <v/>
      </c>
      <c r="M963" s="306" t="n">
        <v>11</v>
      </c>
      <c r="N963" s="314">
        <f>IF(C963="","",COUNT(G963:J963)/4)</f>
        <v/>
      </c>
      <c r="O963" s="307" t="n"/>
    </row>
    <row r="964" ht="24" customHeight="1">
      <c r="A964" s="306" t="n">
        <v>960</v>
      </c>
      <c r="B964" s="306" t="inlineStr">
        <is>
          <t>خرداد</t>
        </is>
      </c>
      <c r="C964" s="306">
        <f>IF('دانش‌آموزان'!E84="","",'دانش‌آموزان'!B84)</f>
        <v/>
      </c>
      <c r="D964" s="306">
        <f>IF('دانش‌آموزان'!C84="","",'دانش‌آموزان'!C84)</f>
        <v/>
      </c>
      <c r="E964" s="306">
        <f>IF('دانش‌آموزان'!E84="","",'دانش‌آموزان'!E84&amp;" "&amp;'دانش‌آموزان'!F84)</f>
        <v/>
      </c>
      <c r="F964" s="306">
        <f>IF('دانش‌آموزان'!I84="","",'دانش‌آموزان'!I84)</f>
        <v/>
      </c>
      <c r="G964" s="307" t="n"/>
      <c r="H964" s="307" t="n"/>
      <c r="I964" s="307" t="n"/>
      <c r="J964" s="307" t="n"/>
      <c r="K964" s="313">
        <f>IF(COUNT(G964:J964)=0,"",AVERAGE(G964:J964)*4)</f>
        <v/>
      </c>
      <c r="L964" s="306">
        <f>IF(C964="","",IF(COUNT(G964:J964)=0,"",IF(COUNT(G964:J964)&lt;4,"موقت - اطلاعات ناقص",IF(K964&gt;=17,"عالی",IF(K964&gt;=14,"خوب",IF(K964&gt;=10,"متوسط","ضعیف"))))))</f>
        <v/>
      </c>
      <c r="M964" s="306" t="n">
        <v>12</v>
      </c>
      <c r="N964" s="314">
        <f>IF(C964="","",COUNT(G964:J964)/4)</f>
        <v/>
      </c>
      <c r="O964" s="307" t="n"/>
    </row>
    <row r="965" ht="24" customHeight="1">
      <c r="A965" s="306" t="n">
        <v>961</v>
      </c>
      <c r="B965" s="306" t="inlineStr">
        <is>
          <t>تیر</t>
        </is>
      </c>
      <c r="C965" s="306">
        <f>IF('دانش‌آموزان'!E85="","",'دانش‌آموزان'!B85)</f>
        <v/>
      </c>
      <c r="D965" s="306">
        <f>IF('دانش‌آموزان'!C85="","",'دانش‌آموزان'!C85)</f>
        <v/>
      </c>
      <c r="E965" s="306">
        <f>IF('دانش‌آموزان'!E85="","",'دانش‌آموزان'!E85&amp;" "&amp;'دانش‌آموزان'!F85)</f>
        <v/>
      </c>
      <c r="F965" s="306">
        <f>IF('دانش‌آموزان'!I85="","",'دانش‌آموزان'!I85)</f>
        <v/>
      </c>
      <c r="G965" s="307" t="n"/>
      <c r="H965" s="307" t="n"/>
      <c r="I965" s="307" t="n"/>
      <c r="J965" s="307" t="n"/>
      <c r="K965" s="313">
        <f>IF(COUNT(G965:J965)=0,"",AVERAGE(G965:J965)*4)</f>
        <v/>
      </c>
      <c r="L965" s="306">
        <f>IF(C965="","",IF(COUNT(G965:J965)=0,"",IF(COUNT(G965:J965)&lt;4,"موقت - اطلاعات ناقص",IF(K965&gt;=17,"عالی",IF(K965&gt;=14,"خوب",IF(K965&gt;=10,"متوسط","ضعیف"))))))</f>
        <v/>
      </c>
      <c r="M965" s="306" t="n">
        <v>1</v>
      </c>
      <c r="N965" s="314">
        <f>IF(C965="","",COUNT(G965:J965)/4)</f>
        <v/>
      </c>
      <c r="O965" s="307" t="n"/>
    </row>
    <row r="966" ht="24" customHeight="1">
      <c r="A966" s="306" t="n">
        <v>962</v>
      </c>
      <c r="B966" s="306" t="inlineStr">
        <is>
          <t>مرداد</t>
        </is>
      </c>
      <c r="C966" s="306">
        <f>IF('دانش‌آموزان'!E85="","",'دانش‌آموزان'!B85)</f>
        <v/>
      </c>
      <c r="D966" s="306">
        <f>IF('دانش‌آموزان'!C85="","",'دانش‌آموزان'!C85)</f>
        <v/>
      </c>
      <c r="E966" s="306">
        <f>IF('دانش‌آموزان'!E85="","",'دانش‌آموزان'!E85&amp;" "&amp;'دانش‌آموزان'!F85)</f>
        <v/>
      </c>
      <c r="F966" s="306">
        <f>IF('دانش‌آموزان'!I85="","",'دانش‌آموزان'!I85)</f>
        <v/>
      </c>
      <c r="G966" s="307" t="n"/>
      <c r="H966" s="307" t="n"/>
      <c r="I966" s="307" t="n"/>
      <c r="J966" s="307" t="n"/>
      <c r="K966" s="313">
        <f>IF(COUNT(G966:J966)=0,"",AVERAGE(G966:J966)*4)</f>
        <v/>
      </c>
      <c r="L966" s="306">
        <f>IF(C966="","",IF(COUNT(G966:J966)=0,"",IF(COUNT(G966:J966)&lt;4,"موقت - اطلاعات ناقص",IF(K966&gt;=17,"عالی",IF(K966&gt;=14,"خوب",IF(K966&gt;=10,"متوسط","ضعیف"))))))</f>
        <v/>
      </c>
      <c r="M966" s="306" t="n">
        <v>2</v>
      </c>
      <c r="N966" s="314">
        <f>IF(C966="","",COUNT(G966:J966)/4)</f>
        <v/>
      </c>
      <c r="O966" s="307" t="n"/>
    </row>
    <row r="967" ht="24" customHeight="1">
      <c r="A967" s="306" t="n">
        <v>963</v>
      </c>
      <c r="B967" s="306" t="inlineStr">
        <is>
          <t>شهریور</t>
        </is>
      </c>
      <c r="C967" s="306">
        <f>IF('دانش‌آموزان'!E85="","",'دانش‌آموزان'!B85)</f>
        <v/>
      </c>
      <c r="D967" s="306">
        <f>IF('دانش‌آموزان'!C85="","",'دانش‌آموزان'!C85)</f>
        <v/>
      </c>
      <c r="E967" s="306">
        <f>IF('دانش‌آموزان'!E85="","",'دانش‌آموزان'!E85&amp;" "&amp;'دانش‌آموزان'!F85)</f>
        <v/>
      </c>
      <c r="F967" s="306">
        <f>IF('دانش‌آموزان'!I85="","",'دانش‌آموزان'!I85)</f>
        <v/>
      </c>
      <c r="G967" s="307" t="n"/>
      <c r="H967" s="307" t="n"/>
      <c r="I967" s="307" t="n"/>
      <c r="J967" s="307" t="n"/>
      <c r="K967" s="313">
        <f>IF(COUNT(G967:J967)=0,"",AVERAGE(G967:J967)*4)</f>
        <v/>
      </c>
      <c r="L967" s="306">
        <f>IF(C967="","",IF(COUNT(G967:J967)=0,"",IF(COUNT(G967:J967)&lt;4,"موقت - اطلاعات ناقص",IF(K967&gt;=17,"عالی",IF(K967&gt;=14,"خوب",IF(K967&gt;=10,"متوسط","ضعیف"))))))</f>
        <v/>
      </c>
      <c r="M967" s="306" t="n">
        <v>3</v>
      </c>
      <c r="N967" s="314">
        <f>IF(C967="","",COUNT(G967:J967)/4)</f>
        <v/>
      </c>
      <c r="O967" s="307" t="n"/>
    </row>
    <row r="968" ht="24" customHeight="1">
      <c r="A968" s="306" t="n">
        <v>964</v>
      </c>
      <c r="B968" s="306" t="inlineStr">
        <is>
          <t>مهر</t>
        </is>
      </c>
      <c r="C968" s="306">
        <f>IF('دانش‌آموزان'!E85="","",'دانش‌آموزان'!B85)</f>
        <v/>
      </c>
      <c r="D968" s="306">
        <f>IF('دانش‌آموزان'!C85="","",'دانش‌آموزان'!C85)</f>
        <v/>
      </c>
      <c r="E968" s="306">
        <f>IF('دانش‌آموزان'!E85="","",'دانش‌آموزان'!E85&amp;" "&amp;'دانش‌آموزان'!F85)</f>
        <v/>
      </c>
      <c r="F968" s="306">
        <f>IF('دانش‌آموزان'!I85="","",'دانش‌آموزان'!I85)</f>
        <v/>
      </c>
      <c r="G968" s="307" t="n"/>
      <c r="H968" s="307" t="n"/>
      <c r="I968" s="307" t="n"/>
      <c r="J968" s="307" t="n"/>
      <c r="K968" s="313">
        <f>IF(COUNT(G968:J968)=0,"",AVERAGE(G968:J968)*4)</f>
        <v/>
      </c>
      <c r="L968" s="306">
        <f>IF(C968="","",IF(COUNT(G968:J968)=0,"",IF(COUNT(G968:J968)&lt;4,"موقت - اطلاعات ناقص",IF(K968&gt;=17,"عالی",IF(K968&gt;=14,"خوب",IF(K968&gt;=10,"متوسط","ضعیف"))))))</f>
        <v/>
      </c>
      <c r="M968" s="306" t="n">
        <v>4</v>
      </c>
      <c r="N968" s="314">
        <f>IF(C968="","",COUNT(G968:J968)/4)</f>
        <v/>
      </c>
      <c r="O968" s="307" t="n"/>
    </row>
    <row r="969" ht="24" customHeight="1">
      <c r="A969" s="306" t="n">
        <v>965</v>
      </c>
      <c r="B969" s="306" t="inlineStr">
        <is>
          <t>آبان</t>
        </is>
      </c>
      <c r="C969" s="306">
        <f>IF('دانش‌آموزان'!E85="","",'دانش‌آموزان'!B85)</f>
        <v/>
      </c>
      <c r="D969" s="306">
        <f>IF('دانش‌آموزان'!C85="","",'دانش‌آموزان'!C85)</f>
        <v/>
      </c>
      <c r="E969" s="306">
        <f>IF('دانش‌آموزان'!E85="","",'دانش‌آموزان'!E85&amp;" "&amp;'دانش‌آموزان'!F85)</f>
        <v/>
      </c>
      <c r="F969" s="306">
        <f>IF('دانش‌آموزان'!I85="","",'دانش‌آموزان'!I85)</f>
        <v/>
      </c>
      <c r="G969" s="307" t="n"/>
      <c r="H969" s="307" t="n"/>
      <c r="I969" s="307" t="n"/>
      <c r="J969" s="307" t="n"/>
      <c r="K969" s="313">
        <f>IF(COUNT(G969:J969)=0,"",AVERAGE(G969:J969)*4)</f>
        <v/>
      </c>
      <c r="L969" s="306">
        <f>IF(C969="","",IF(COUNT(G969:J969)=0,"",IF(COUNT(G969:J969)&lt;4,"موقت - اطلاعات ناقص",IF(K969&gt;=17,"عالی",IF(K969&gt;=14,"خوب",IF(K969&gt;=10,"متوسط","ضعیف"))))))</f>
        <v/>
      </c>
      <c r="M969" s="306" t="n">
        <v>5</v>
      </c>
      <c r="N969" s="314">
        <f>IF(C969="","",COUNT(G969:J969)/4)</f>
        <v/>
      </c>
      <c r="O969" s="307" t="n"/>
    </row>
    <row r="970" ht="24" customHeight="1">
      <c r="A970" s="306" t="n">
        <v>966</v>
      </c>
      <c r="B970" s="306" t="inlineStr">
        <is>
          <t>آذر</t>
        </is>
      </c>
      <c r="C970" s="306">
        <f>IF('دانش‌آموزان'!E85="","",'دانش‌آموزان'!B85)</f>
        <v/>
      </c>
      <c r="D970" s="306">
        <f>IF('دانش‌آموزان'!C85="","",'دانش‌آموزان'!C85)</f>
        <v/>
      </c>
      <c r="E970" s="306">
        <f>IF('دانش‌آموزان'!E85="","",'دانش‌آموزان'!E85&amp;" "&amp;'دانش‌آموزان'!F85)</f>
        <v/>
      </c>
      <c r="F970" s="306">
        <f>IF('دانش‌آموزان'!I85="","",'دانش‌آموزان'!I85)</f>
        <v/>
      </c>
      <c r="G970" s="307" t="n"/>
      <c r="H970" s="307" t="n"/>
      <c r="I970" s="307" t="n"/>
      <c r="J970" s="307" t="n"/>
      <c r="K970" s="313">
        <f>IF(COUNT(G970:J970)=0,"",AVERAGE(G970:J970)*4)</f>
        <v/>
      </c>
      <c r="L970" s="306">
        <f>IF(C970="","",IF(COUNT(G970:J970)=0,"",IF(COUNT(G970:J970)&lt;4,"موقت - اطلاعات ناقص",IF(K970&gt;=17,"عالی",IF(K970&gt;=14,"خوب",IF(K970&gt;=10,"متوسط","ضعیف"))))))</f>
        <v/>
      </c>
      <c r="M970" s="306" t="n">
        <v>6</v>
      </c>
      <c r="N970" s="314">
        <f>IF(C970="","",COUNT(G970:J970)/4)</f>
        <v/>
      </c>
      <c r="O970" s="307" t="n"/>
    </row>
    <row r="971" ht="24" customHeight="1">
      <c r="A971" s="306" t="n">
        <v>967</v>
      </c>
      <c r="B971" s="306" t="inlineStr">
        <is>
          <t>دی</t>
        </is>
      </c>
      <c r="C971" s="306">
        <f>IF('دانش‌آموزان'!E85="","",'دانش‌آموزان'!B85)</f>
        <v/>
      </c>
      <c r="D971" s="306">
        <f>IF('دانش‌آموزان'!C85="","",'دانش‌آموزان'!C85)</f>
        <v/>
      </c>
      <c r="E971" s="306">
        <f>IF('دانش‌آموزان'!E85="","",'دانش‌آموزان'!E85&amp;" "&amp;'دانش‌آموزان'!F85)</f>
        <v/>
      </c>
      <c r="F971" s="306">
        <f>IF('دانش‌آموزان'!I85="","",'دانش‌آموزان'!I85)</f>
        <v/>
      </c>
      <c r="G971" s="307" t="n"/>
      <c r="H971" s="307" t="n"/>
      <c r="I971" s="307" t="n"/>
      <c r="J971" s="307" t="n"/>
      <c r="K971" s="313">
        <f>IF(COUNT(G971:J971)=0,"",AVERAGE(G971:J971)*4)</f>
        <v/>
      </c>
      <c r="L971" s="306">
        <f>IF(C971="","",IF(COUNT(G971:J971)=0,"",IF(COUNT(G971:J971)&lt;4,"موقت - اطلاعات ناقص",IF(K971&gt;=17,"عالی",IF(K971&gt;=14,"خوب",IF(K971&gt;=10,"متوسط","ضعیف"))))))</f>
        <v/>
      </c>
      <c r="M971" s="306" t="n">
        <v>7</v>
      </c>
      <c r="N971" s="314">
        <f>IF(C971="","",COUNT(G971:J971)/4)</f>
        <v/>
      </c>
      <c r="O971" s="307" t="n"/>
    </row>
    <row r="972" ht="24" customHeight="1">
      <c r="A972" s="306" t="n">
        <v>968</v>
      </c>
      <c r="B972" s="306" t="inlineStr">
        <is>
          <t>بهمن</t>
        </is>
      </c>
      <c r="C972" s="306">
        <f>IF('دانش‌آموزان'!E85="","",'دانش‌آموزان'!B85)</f>
        <v/>
      </c>
      <c r="D972" s="306">
        <f>IF('دانش‌آموزان'!C85="","",'دانش‌آموزان'!C85)</f>
        <v/>
      </c>
      <c r="E972" s="306">
        <f>IF('دانش‌آموزان'!E85="","",'دانش‌آموزان'!E85&amp;" "&amp;'دانش‌آموزان'!F85)</f>
        <v/>
      </c>
      <c r="F972" s="306">
        <f>IF('دانش‌آموزان'!I85="","",'دانش‌آموزان'!I85)</f>
        <v/>
      </c>
      <c r="G972" s="307" t="n"/>
      <c r="H972" s="307" t="n"/>
      <c r="I972" s="307" t="n"/>
      <c r="J972" s="307" t="n"/>
      <c r="K972" s="313">
        <f>IF(COUNT(G972:J972)=0,"",AVERAGE(G972:J972)*4)</f>
        <v/>
      </c>
      <c r="L972" s="306">
        <f>IF(C972="","",IF(COUNT(G972:J972)=0,"",IF(COUNT(G972:J972)&lt;4,"موقت - اطلاعات ناقص",IF(K972&gt;=17,"عالی",IF(K972&gt;=14,"خوب",IF(K972&gt;=10,"متوسط","ضعیف"))))))</f>
        <v/>
      </c>
      <c r="M972" s="306" t="n">
        <v>8</v>
      </c>
      <c r="N972" s="314">
        <f>IF(C972="","",COUNT(G972:J972)/4)</f>
        <v/>
      </c>
      <c r="O972" s="307" t="n"/>
    </row>
    <row r="973" ht="24" customHeight="1">
      <c r="A973" s="306" t="n">
        <v>969</v>
      </c>
      <c r="B973" s="306" t="inlineStr">
        <is>
          <t>اسفند</t>
        </is>
      </c>
      <c r="C973" s="306">
        <f>IF('دانش‌آموزان'!E85="","",'دانش‌آموزان'!B85)</f>
        <v/>
      </c>
      <c r="D973" s="306">
        <f>IF('دانش‌آموزان'!C85="","",'دانش‌آموزان'!C85)</f>
        <v/>
      </c>
      <c r="E973" s="306">
        <f>IF('دانش‌آموزان'!E85="","",'دانش‌آموزان'!E85&amp;" "&amp;'دانش‌آموزان'!F85)</f>
        <v/>
      </c>
      <c r="F973" s="306">
        <f>IF('دانش‌آموزان'!I85="","",'دانش‌آموزان'!I85)</f>
        <v/>
      </c>
      <c r="G973" s="307" t="n"/>
      <c r="H973" s="307" t="n"/>
      <c r="I973" s="307" t="n"/>
      <c r="J973" s="307" t="n"/>
      <c r="K973" s="313">
        <f>IF(COUNT(G973:J973)=0,"",AVERAGE(G973:J973)*4)</f>
        <v/>
      </c>
      <c r="L973" s="306">
        <f>IF(C973="","",IF(COUNT(G973:J973)=0,"",IF(COUNT(G973:J973)&lt;4,"موقت - اطلاعات ناقص",IF(K973&gt;=17,"عالی",IF(K973&gt;=14,"خوب",IF(K973&gt;=10,"متوسط","ضعیف"))))))</f>
        <v/>
      </c>
      <c r="M973" s="306" t="n">
        <v>9</v>
      </c>
      <c r="N973" s="314">
        <f>IF(C973="","",COUNT(G973:J973)/4)</f>
        <v/>
      </c>
      <c r="O973" s="307" t="n"/>
    </row>
    <row r="974" ht="24" customHeight="1">
      <c r="A974" s="306" t="n">
        <v>970</v>
      </c>
      <c r="B974" s="306" t="inlineStr">
        <is>
          <t>فروردین</t>
        </is>
      </c>
      <c r="C974" s="306">
        <f>IF('دانش‌آموزان'!E85="","",'دانش‌آموزان'!B85)</f>
        <v/>
      </c>
      <c r="D974" s="306">
        <f>IF('دانش‌آموزان'!C85="","",'دانش‌آموزان'!C85)</f>
        <v/>
      </c>
      <c r="E974" s="306">
        <f>IF('دانش‌آموزان'!E85="","",'دانش‌آموزان'!E85&amp;" "&amp;'دانش‌آموزان'!F85)</f>
        <v/>
      </c>
      <c r="F974" s="306">
        <f>IF('دانش‌آموزان'!I85="","",'دانش‌آموزان'!I85)</f>
        <v/>
      </c>
      <c r="G974" s="307" t="n"/>
      <c r="H974" s="307" t="n"/>
      <c r="I974" s="307" t="n"/>
      <c r="J974" s="307" t="n"/>
      <c r="K974" s="313">
        <f>IF(COUNT(G974:J974)=0,"",AVERAGE(G974:J974)*4)</f>
        <v/>
      </c>
      <c r="L974" s="306">
        <f>IF(C974="","",IF(COUNT(G974:J974)=0,"",IF(COUNT(G974:J974)&lt;4,"موقت - اطلاعات ناقص",IF(K974&gt;=17,"عالی",IF(K974&gt;=14,"خوب",IF(K974&gt;=10,"متوسط","ضعیف"))))))</f>
        <v/>
      </c>
      <c r="M974" s="306" t="n">
        <v>10</v>
      </c>
      <c r="N974" s="314">
        <f>IF(C974="","",COUNT(G974:J974)/4)</f>
        <v/>
      </c>
      <c r="O974" s="307" t="n"/>
    </row>
    <row r="975" ht="24" customHeight="1">
      <c r="A975" s="306" t="n">
        <v>971</v>
      </c>
      <c r="B975" s="306" t="inlineStr">
        <is>
          <t>اردیبهشت</t>
        </is>
      </c>
      <c r="C975" s="306">
        <f>IF('دانش‌آموزان'!E85="","",'دانش‌آموزان'!B85)</f>
        <v/>
      </c>
      <c r="D975" s="306">
        <f>IF('دانش‌آموزان'!C85="","",'دانش‌آموزان'!C85)</f>
        <v/>
      </c>
      <c r="E975" s="306">
        <f>IF('دانش‌آموزان'!E85="","",'دانش‌آموزان'!E85&amp;" "&amp;'دانش‌آموزان'!F85)</f>
        <v/>
      </c>
      <c r="F975" s="306">
        <f>IF('دانش‌آموزان'!I85="","",'دانش‌آموزان'!I85)</f>
        <v/>
      </c>
      <c r="G975" s="307" t="n"/>
      <c r="H975" s="307" t="n"/>
      <c r="I975" s="307" t="n"/>
      <c r="J975" s="307" t="n"/>
      <c r="K975" s="313">
        <f>IF(COUNT(G975:J975)=0,"",AVERAGE(G975:J975)*4)</f>
        <v/>
      </c>
      <c r="L975" s="306">
        <f>IF(C975="","",IF(COUNT(G975:J975)=0,"",IF(COUNT(G975:J975)&lt;4,"موقت - اطلاعات ناقص",IF(K975&gt;=17,"عالی",IF(K975&gt;=14,"خوب",IF(K975&gt;=10,"متوسط","ضعیف"))))))</f>
        <v/>
      </c>
      <c r="M975" s="306" t="n">
        <v>11</v>
      </c>
      <c r="N975" s="314">
        <f>IF(C975="","",COUNT(G975:J975)/4)</f>
        <v/>
      </c>
      <c r="O975" s="307" t="n"/>
    </row>
    <row r="976" ht="24" customHeight="1">
      <c r="A976" s="306" t="n">
        <v>972</v>
      </c>
      <c r="B976" s="306" t="inlineStr">
        <is>
          <t>خرداد</t>
        </is>
      </c>
      <c r="C976" s="306">
        <f>IF('دانش‌آموزان'!E85="","",'دانش‌آموزان'!B85)</f>
        <v/>
      </c>
      <c r="D976" s="306">
        <f>IF('دانش‌آموزان'!C85="","",'دانش‌آموزان'!C85)</f>
        <v/>
      </c>
      <c r="E976" s="306">
        <f>IF('دانش‌آموزان'!E85="","",'دانش‌آموزان'!E85&amp;" "&amp;'دانش‌آموزان'!F85)</f>
        <v/>
      </c>
      <c r="F976" s="306">
        <f>IF('دانش‌آموزان'!I85="","",'دانش‌آموزان'!I85)</f>
        <v/>
      </c>
      <c r="G976" s="307" t="n"/>
      <c r="H976" s="307" t="n"/>
      <c r="I976" s="307" t="n"/>
      <c r="J976" s="307" t="n"/>
      <c r="K976" s="313">
        <f>IF(COUNT(G976:J976)=0,"",AVERAGE(G976:J976)*4)</f>
        <v/>
      </c>
      <c r="L976" s="306">
        <f>IF(C976="","",IF(COUNT(G976:J976)=0,"",IF(COUNT(G976:J976)&lt;4,"موقت - اطلاعات ناقص",IF(K976&gt;=17,"عالی",IF(K976&gt;=14,"خوب",IF(K976&gt;=10,"متوسط","ضعیف"))))))</f>
        <v/>
      </c>
      <c r="M976" s="306" t="n">
        <v>12</v>
      </c>
      <c r="N976" s="314">
        <f>IF(C976="","",COUNT(G976:J976)/4)</f>
        <v/>
      </c>
      <c r="O976" s="307" t="n"/>
    </row>
    <row r="977" ht="24" customHeight="1">
      <c r="A977" s="306" t="n">
        <v>973</v>
      </c>
      <c r="B977" s="306" t="inlineStr">
        <is>
          <t>تیر</t>
        </is>
      </c>
      <c r="C977" s="306">
        <f>IF('دانش‌آموزان'!E86="","",'دانش‌آموزان'!B86)</f>
        <v/>
      </c>
      <c r="D977" s="306">
        <f>IF('دانش‌آموزان'!C86="","",'دانش‌آموزان'!C86)</f>
        <v/>
      </c>
      <c r="E977" s="306">
        <f>IF('دانش‌آموزان'!E86="","",'دانش‌آموزان'!E86&amp;" "&amp;'دانش‌آموزان'!F86)</f>
        <v/>
      </c>
      <c r="F977" s="306">
        <f>IF('دانش‌آموزان'!I86="","",'دانش‌آموزان'!I86)</f>
        <v/>
      </c>
      <c r="G977" s="307" t="n"/>
      <c r="H977" s="307" t="n"/>
      <c r="I977" s="307" t="n"/>
      <c r="J977" s="307" t="n"/>
      <c r="K977" s="313">
        <f>IF(COUNT(G977:J977)=0,"",AVERAGE(G977:J977)*4)</f>
        <v/>
      </c>
      <c r="L977" s="306">
        <f>IF(C977="","",IF(COUNT(G977:J977)=0,"",IF(COUNT(G977:J977)&lt;4,"موقت - اطلاعات ناقص",IF(K977&gt;=17,"عالی",IF(K977&gt;=14,"خوب",IF(K977&gt;=10,"متوسط","ضعیف"))))))</f>
        <v/>
      </c>
      <c r="M977" s="306" t="n">
        <v>1</v>
      </c>
      <c r="N977" s="314">
        <f>IF(C977="","",COUNT(G977:J977)/4)</f>
        <v/>
      </c>
      <c r="O977" s="307" t="n"/>
    </row>
    <row r="978" ht="24" customHeight="1">
      <c r="A978" s="306" t="n">
        <v>974</v>
      </c>
      <c r="B978" s="306" t="inlineStr">
        <is>
          <t>مرداد</t>
        </is>
      </c>
      <c r="C978" s="306">
        <f>IF('دانش‌آموزان'!E86="","",'دانش‌آموزان'!B86)</f>
        <v/>
      </c>
      <c r="D978" s="306">
        <f>IF('دانش‌آموزان'!C86="","",'دانش‌آموزان'!C86)</f>
        <v/>
      </c>
      <c r="E978" s="306">
        <f>IF('دانش‌آموزان'!E86="","",'دانش‌آموزان'!E86&amp;" "&amp;'دانش‌آموزان'!F86)</f>
        <v/>
      </c>
      <c r="F978" s="306">
        <f>IF('دانش‌آموزان'!I86="","",'دانش‌آموزان'!I86)</f>
        <v/>
      </c>
      <c r="G978" s="307" t="n"/>
      <c r="H978" s="307" t="n"/>
      <c r="I978" s="307" t="n"/>
      <c r="J978" s="307" t="n"/>
      <c r="K978" s="313">
        <f>IF(COUNT(G978:J978)=0,"",AVERAGE(G978:J978)*4)</f>
        <v/>
      </c>
      <c r="L978" s="306">
        <f>IF(C978="","",IF(COUNT(G978:J978)=0,"",IF(COUNT(G978:J978)&lt;4,"موقت - اطلاعات ناقص",IF(K978&gt;=17,"عالی",IF(K978&gt;=14,"خوب",IF(K978&gt;=10,"متوسط","ضعیف"))))))</f>
        <v/>
      </c>
      <c r="M978" s="306" t="n">
        <v>2</v>
      </c>
      <c r="N978" s="314">
        <f>IF(C978="","",COUNT(G978:J978)/4)</f>
        <v/>
      </c>
      <c r="O978" s="307" t="n"/>
    </row>
    <row r="979" ht="24" customHeight="1">
      <c r="A979" s="306" t="n">
        <v>975</v>
      </c>
      <c r="B979" s="306" t="inlineStr">
        <is>
          <t>شهریور</t>
        </is>
      </c>
      <c r="C979" s="306">
        <f>IF('دانش‌آموزان'!E86="","",'دانش‌آموزان'!B86)</f>
        <v/>
      </c>
      <c r="D979" s="306">
        <f>IF('دانش‌آموزان'!C86="","",'دانش‌آموزان'!C86)</f>
        <v/>
      </c>
      <c r="E979" s="306">
        <f>IF('دانش‌آموزان'!E86="","",'دانش‌آموزان'!E86&amp;" "&amp;'دانش‌آموزان'!F86)</f>
        <v/>
      </c>
      <c r="F979" s="306">
        <f>IF('دانش‌آموزان'!I86="","",'دانش‌آموزان'!I86)</f>
        <v/>
      </c>
      <c r="G979" s="307" t="n"/>
      <c r="H979" s="307" t="n"/>
      <c r="I979" s="307" t="n"/>
      <c r="J979" s="307" t="n"/>
      <c r="K979" s="313">
        <f>IF(COUNT(G979:J979)=0,"",AVERAGE(G979:J979)*4)</f>
        <v/>
      </c>
      <c r="L979" s="306">
        <f>IF(C979="","",IF(COUNT(G979:J979)=0,"",IF(COUNT(G979:J979)&lt;4,"موقت - اطلاعات ناقص",IF(K979&gt;=17,"عالی",IF(K979&gt;=14,"خوب",IF(K979&gt;=10,"متوسط","ضعیف"))))))</f>
        <v/>
      </c>
      <c r="M979" s="306" t="n">
        <v>3</v>
      </c>
      <c r="N979" s="314">
        <f>IF(C979="","",COUNT(G979:J979)/4)</f>
        <v/>
      </c>
      <c r="O979" s="307" t="n"/>
    </row>
    <row r="980" ht="24" customHeight="1">
      <c r="A980" s="306" t="n">
        <v>976</v>
      </c>
      <c r="B980" s="306" t="inlineStr">
        <is>
          <t>مهر</t>
        </is>
      </c>
      <c r="C980" s="306">
        <f>IF('دانش‌آموزان'!E86="","",'دانش‌آموزان'!B86)</f>
        <v/>
      </c>
      <c r="D980" s="306">
        <f>IF('دانش‌آموزان'!C86="","",'دانش‌آموزان'!C86)</f>
        <v/>
      </c>
      <c r="E980" s="306">
        <f>IF('دانش‌آموزان'!E86="","",'دانش‌آموزان'!E86&amp;" "&amp;'دانش‌آموزان'!F86)</f>
        <v/>
      </c>
      <c r="F980" s="306">
        <f>IF('دانش‌آموزان'!I86="","",'دانش‌آموزان'!I86)</f>
        <v/>
      </c>
      <c r="G980" s="307" t="n"/>
      <c r="H980" s="307" t="n"/>
      <c r="I980" s="307" t="n"/>
      <c r="J980" s="307" t="n"/>
      <c r="K980" s="313">
        <f>IF(COUNT(G980:J980)=0,"",AVERAGE(G980:J980)*4)</f>
        <v/>
      </c>
      <c r="L980" s="306">
        <f>IF(C980="","",IF(COUNT(G980:J980)=0,"",IF(COUNT(G980:J980)&lt;4,"موقت - اطلاعات ناقص",IF(K980&gt;=17,"عالی",IF(K980&gt;=14,"خوب",IF(K980&gt;=10,"متوسط","ضعیف"))))))</f>
        <v/>
      </c>
      <c r="M980" s="306" t="n">
        <v>4</v>
      </c>
      <c r="N980" s="314">
        <f>IF(C980="","",COUNT(G980:J980)/4)</f>
        <v/>
      </c>
      <c r="O980" s="307" t="n"/>
    </row>
    <row r="981" ht="24" customHeight="1">
      <c r="A981" s="306" t="n">
        <v>977</v>
      </c>
      <c r="B981" s="306" t="inlineStr">
        <is>
          <t>آبان</t>
        </is>
      </c>
      <c r="C981" s="306">
        <f>IF('دانش‌آموزان'!E86="","",'دانش‌آموزان'!B86)</f>
        <v/>
      </c>
      <c r="D981" s="306">
        <f>IF('دانش‌آموزان'!C86="","",'دانش‌آموزان'!C86)</f>
        <v/>
      </c>
      <c r="E981" s="306">
        <f>IF('دانش‌آموزان'!E86="","",'دانش‌آموزان'!E86&amp;" "&amp;'دانش‌آموزان'!F86)</f>
        <v/>
      </c>
      <c r="F981" s="306">
        <f>IF('دانش‌آموزان'!I86="","",'دانش‌آموزان'!I86)</f>
        <v/>
      </c>
      <c r="G981" s="307" t="n"/>
      <c r="H981" s="307" t="n"/>
      <c r="I981" s="307" t="n"/>
      <c r="J981" s="307" t="n"/>
      <c r="K981" s="313">
        <f>IF(COUNT(G981:J981)=0,"",AVERAGE(G981:J981)*4)</f>
        <v/>
      </c>
      <c r="L981" s="306">
        <f>IF(C981="","",IF(COUNT(G981:J981)=0,"",IF(COUNT(G981:J981)&lt;4,"موقت - اطلاعات ناقص",IF(K981&gt;=17,"عالی",IF(K981&gt;=14,"خوب",IF(K981&gt;=10,"متوسط","ضعیف"))))))</f>
        <v/>
      </c>
      <c r="M981" s="306" t="n">
        <v>5</v>
      </c>
      <c r="N981" s="314">
        <f>IF(C981="","",COUNT(G981:J981)/4)</f>
        <v/>
      </c>
      <c r="O981" s="307" t="n"/>
    </row>
    <row r="982" ht="24" customHeight="1">
      <c r="A982" s="306" t="n">
        <v>978</v>
      </c>
      <c r="B982" s="306" t="inlineStr">
        <is>
          <t>آذر</t>
        </is>
      </c>
      <c r="C982" s="306">
        <f>IF('دانش‌آموزان'!E86="","",'دانش‌آموزان'!B86)</f>
        <v/>
      </c>
      <c r="D982" s="306">
        <f>IF('دانش‌آموزان'!C86="","",'دانش‌آموزان'!C86)</f>
        <v/>
      </c>
      <c r="E982" s="306">
        <f>IF('دانش‌آموزان'!E86="","",'دانش‌آموزان'!E86&amp;" "&amp;'دانش‌آموزان'!F86)</f>
        <v/>
      </c>
      <c r="F982" s="306">
        <f>IF('دانش‌آموزان'!I86="","",'دانش‌آموزان'!I86)</f>
        <v/>
      </c>
      <c r="G982" s="307" t="n"/>
      <c r="H982" s="307" t="n"/>
      <c r="I982" s="307" t="n"/>
      <c r="J982" s="307" t="n"/>
      <c r="K982" s="313">
        <f>IF(COUNT(G982:J982)=0,"",AVERAGE(G982:J982)*4)</f>
        <v/>
      </c>
      <c r="L982" s="306">
        <f>IF(C982="","",IF(COUNT(G982:J982)=0,"",IF(COUNT(G982:J982)&lt;4,"موقت - اطلاعات ناقص",IF(K982&gt;=17,"عالی",IF(K982&gt;=14,"خوب",IF(K982&gt;=10,"متوسط","ضعیف"))))))</f>
        <v/>
      </c>
      <c r="M982" s="306" t="n">
        <v>6</v>
      </c>
      <c r="N982" s="314">
        <f>IF(C982="","",COUNT(G982:J982)/4)</f>
        <v/>
      </c>
      <c r="O982" s="307" t="n"/>
    </row>
    <row r="983" ht="24" customHeight="1">
      <c r="A983" s="306" t="n">
        <v>979</v>
      </c>
      <c r="B983" s="306" t="inlineStr">
        <is>
          <t>دی</t>
        </is>
      </c>
      <c r="C983" s="306">
        <f>IF('دانش‌آموزان'!E86="","",'دانش‌آموزان'!B86)</f>
        <v/>
      </c>
      <c r="D983" s="306">
        <f>IF('دانش‌آموزان'!C86="","",'دانش‌آموزان'!C86)</f>
        <v/>
      </c>
      <c r="E983" s="306">
        <f>IF('دانش‌آموزان'!E86="","",'دانش‌آموزان'!E86&amp;" "&amp;'دانش‌آموزان'!F86)</f>
        <v/>
      </c>
      <c r="F983" s="306">
        <f>IF('دانش‌آموزان'!I86="","",'دانش‌آموزان'!I86)</f>
        <v/>
      </c>
      <c r="G983" s="307" t="n"/>
      <c r="H983" s="307" t="n"/>
      <c r="I983" s="307" t="n"/>
      <c r="J983" s="307" t="n"/>
      <c r="K983" s="313">
        <f>IF(COUNT(G983:J983)=0,"",AVERAGE(G983:J983)*4)</f>
        <v/>
      </c>
      <c r="L983" s="306">
        <f>IF(C983="","",IF(COUNT(G983:J983)=0,"",IF(COUNT(G983:J983)&lt;4,"موقت - اطلاعات ناقص",IF(K983&gt;=17,"عالی",IF(K983&gt;=14,"خوب",IF(K983&gt;=10,"متوسط","ضعیف"))))))</f>
        <v/>
      </c>
      <c r="M983" s="306" t="n">
        <v>7</v>
      </c>
      <c r="N983" s="314">
        <f>IF(C983="","",COUNT(G983:J983)/4)</f>
        <v/>
      </c>
      <c r="O983" s="307" t="n"/>
    </row>
    <row r="984" ht="24" customHeight="1">
      <c r="A984" s="306" t="n">
        <v>980</v>
      </c>
      <c r="B984" s="306" t="inlineStr">
        <is>
          <t>بهمن</t>
        </is>
      </c>
      <c r="C984" s="306">
        <f>IF('دانش‌آموزان'!E86="","",'دانش‌آموزان'!B86)</f>
        <v/>
      </c>
      <c r="D984" s="306">
        <f>IF('دانش‌آموزان'!C86="","",'دانش‌آموزان'!C86)</f>
        <v/>
      </c>
      <c r="E984" s="306">
        <f>IF('دانش‌آموزان'!E86="","",'دانش‌آموزان'!E86&amp;" "&amp;'دانش‌آموزان'!F86)</f>
        <v/>
      </c>
      <c r="F984" s="306">
        <f>IF('دانش‌آموزان'!I86="","",'دانش‌آموزان'!I86)</f>
        <v/>
      </c>
      <c r="G984" s="307" t="n"/>
      <c r="H984" s="307" t="n"/>
      <c r="I984" s="307" t="n"/>
      <c r="J984" s="307" t="n"/>
      <c r="K984" s="313">
        <f>IF(COUNT(G984:J984)=0,"",AVERAGE(G984:J984)*4)</f>
        <v/>
      </c>
      <c r="L984" s="306">
        <f>IF(C984="","",IF(COUNT(G984:J984)=0,"",IF(COUNT(G984:J984)&lt;4,"موقت - اطلاعات ناقص",IF(K984&gt;=17,"عالی",IF(K984&gt;=14,"خوب",IF(K984&gt;=10,"متوسط","ضعیف"))))))</f>
        <v/>
      </c>
      <c r="M984" s="306" t="n">
        <v>8</v>
      </c>
      <c r="N984" s="314">
        <f>IF(C984="","",COUNT(G984:J984)/4)</f>
        <v/>
      </c>
      <c r="O984" s="307" t="n"/>
    </row>
    <row r="985" ht="24" customHeight="1">
      <c r="A985" s="306" t="n">
        <v>981</v>
      </c>
      <c r="B985" s="306" t="inlineStr">
        <is>
          <t>اسفند</t>
        </is>
      </c>
      <c r="C985" s="306">
        <f>IF('دانش‌آموزان'!E86="","",'دانش‌آموزان'!B86)</f>
        <v/>
      </c>
      <c r="D985" s="306">
        <f>IF('دانش‌آموزان'!C86="","",'دانش‌آموزان'!C86)</f>
        <v/>
      </c>
      <c r="E985" s="306">
        <f>IF('دانش‌آموزان'!E86="","",'دانش‌آموزان'!E86&amp;" "&amp;'دانش‌آموزان'!F86)</f>
        <v/>
      </c>
      <c r="F985" s="306">
        <f>IF('دانش‌آموزان'!I86="","",'دانش‌آموزان'!I86)</f>
        <v/>
      </c>
      <c r="G985" s="307" t="n"/>
      <c r="H985" s="307" t="n"/>
      <c r="I985" s="307" t="n"/>
      <c r="J985" s="307" t="n"/>
      <c r="K985" s="313">
        <f>IF(COUNT(G985:J985)=0,"",AVERAGE(G985:J985)*4)</f>
        <v/>
      </c>
      <c r="L985" s="306">
        <f>IF(C985="","",IF(COUNT(G985:J985)=0,"",IF(COUNT(G985:J985)&lt;4,"موقت - اطلاعات ناقص",IF(K985&gt;=17,"عالی",IF(K985&gt;=14,"خوب",IF(K985&gt;=10,"متوسط","ضعیف"))))))</f>
        <v/>
      </c>
      <c r="M985" s="306" t="n">
        <v>9</v>
      </c>
      <c r="N985" s="314">
        <f>IF(C985="","",COUNT(G985:J985)/4)</f>
        <v/>
      </c>
      <c r="O985" s="307" t="n"/>
    </row>
    <row r="986" ht="24" customHeight="1">
      <c r="A986" s="306" t="n">
        <v>982</v>
      </c>
      <c r="B986" s="306" t="inlineStr">
        <is>
          <t>فروردین</t>
        </is>
      </c>
      <c r="C986" s="306">
        <f>IF('دانش‌آموزان'!E86="","",'دانش‌آموزان'!B86)</f>
        <v/>
      </c>
      <c r="D986" s="306">
        <f>IF('دانش‌آموزان'!C86="","",'دانش‌آموزان'!C86)</f>
        <v/>
      </c>
      <c r="E986" s="306">
        <f>IF('دانش‌آموزان'!E86="","",'دانش‌آموزان'!E86&amp;" "&amp;'دانش‌آموزان'!F86)</f>
        <v/>
      </c>
      <c r="F986" s="306">
        <f>IF('دانش‌آموزان'!I86="","",'دانش‌آموزان'!I86)</f>
        <v/>
      </c>
      <c r="G986" s="307" t="n"/>
      <c r="H986" s="307" t="n"/>
      <c r="I986" s="307" t="n"/>
      <c r="J986" s="307" t="n"/>
      <c r="K986" s="313">
        <f>IF(COUNT(G986:J986)=0,"",AVERAGE(G986:J986)*4)</f>
        <v/>
      </c>
      <c r="L986" s="306">
        <f>IF(C986="","",IF(COUNT(G986:J986)=0,"",IF(COUNT(G986:J986)&lt;4,"موقت - اطلاعات ناقص",IF(K986&gt;=17,"عالی",IF(K986&gt;=14,"خوب",IF(K986&gt;=10,"متوسط","ضعیف"))))))</f>
        <v/>
      </c>
      <c r="M986" s="306" t="n">
        <v>10</v>
      </c>
      <c r="N986" s="314">
        <f>IF(C986="","",COUNT(G986:J986)/4)</f>
        <v/>
      </c>
      <c r="O986" s="307" t="n"/>
    </row>
    <row r="987" ht="24" customHeight="1">
      <c r="A987" s="306" t="n">
        <v>983</v>
      </c>
      <c r="B987" s="306" t="inlineStr">
        <is>
          <t>اردیبهشت</t>
        </is>
      </c>
      <c r="C987" s="306">
        <f>IF('دانش‌آموزان'!E86="","",'دانش‌آموزان'!B86)</f>
        <v/>
      </c>
      <c r="D987" s="306">
        <f>IF('دانش‌آموزان'!C86="","",'دانش‌آموزان'!C86)</f>
        <v/>
      </c>
      <c r="E987" s="306">
        <f>IF('دانش‌آموزان'!E86="","",'دانش‌آموزان'!E86&amp;" "&amp;'دانش‌آموزان'!F86)</f>
        <v/>
      </c>
      <c r="F987" s="306">
        <f>IF('دانش‌آموزان'!I86="","",'دانش‌آموزان'!I86)</f>
        <v/>
      </c>
      <c r="G987" s="307" t="n"/>
      <c r="H987" s="307" t="n"/>
      <c r="I987" s="307" t="n"/>
      <c r="J987" s="307" t="n"/>
      <c r="K987" s="313">
        <f>IF(COUNT(G987:J987)=0,"",AVERAGE(G987:J987)*4)</f>
        <v/>
      </c>
      <c r="L987" s="306">
        <f>IF(C987="","",IF(COUNT(G987:J987)=0,"",IF(COUNT(G987:J987)&lt;4,"موقت - اطلاعات ناقص",IF(K987&gt;=17,"عالی",IF(K987&gt;=14,"خوب",IF(K987&gt;=10,"متوسط","ضعیف"))))))</f>
        <v/>
      </c>
      <c r="M987" s="306" t="n">
        <v>11</v>
      </c>
      <c r="N987" s="314">
        <f>IF(C987="","",COUNT(G987:J987)/4)</f>
        <v/>
      </c>
      <c r="O987" s="307" t="n"/>
    </row>
    <row r="988" ht="24" customHeight="1">
      <c r="A988" s="306" t="n">
        <v>984</v>
      </c>
      <c r="B988" s="306" t="inlineStr">
        <is>
          <t>خرداد</t>
        </is>
      </c>
      <c r="C988" s="306">
        <f>IF('دانش‌آموزان'!E86="","",'دانش‌آموزان'!B86)</f>
        <v/>
      </c>
      <c r="D988" s="306">
        <f>IF('دانش‌آموزان'!C86="","",'دانش‌آموزان'!C86)</f>
        <v/>
      </c>
      <c r="E988" s="306">
        <f>IF('دانش‌آموزان'!E86="","",'دانش‌آموزان'!E86&amp;" "&amp;'دانش‌آموزان'!F86)</f>
        <v/>
      </c>
      <c r="F988" s="306">
        <f>IF('دانش‌آموزان'!I86="","",'دانش‌آموزان'!I86)</f>
        <v/>
      </c>
      <c r="G988" s="307" t="n"/>
      <c r="H988" s="307" t="n"/>
      <c r="I988" s="307" t="n"/>
      <c r="J988" s="307" t="n"/>
      <c r="K988" s="313">
        <f>IF(COUNT(G988:J988)=0,"",AVERAGE(G988:J988)*4)</f>
        <v/>
      </c>
      <c r="L988" s="306">
        <f>IF(C988="","",IF(COUNT(G988:J988)=0,"",IF(COUNT(G988:J988)&lt;4,"موقت - اطلاعات ناقص",IF(K988&gt;=17,"عالی",IF(K988&gt;=14,"خوب",IF(K988&gt;=10,"متوسط","ضعیف"))))))</f>
        <v/>
      </c>
      <c r="M988" s="306" t="n">
        <v>12</v>
      </c>
      <c r="N988" s="314">
        <f>IF(C988="","",COUNT(G988:J988)/4)</f>
        <v/>
      </c>
      <c r="O988" s="307" t="n"/>
    </row>
    <row r="989" ht="24" customHeight="1">
      <c r="A989" s="306" t="n">
        <v>985</v>
      </c>
      <c r="B989" s="306" t="inlineStr">
        <is>
          <t>تیر</t>
        </is>
      </c>
      <c r="C989" s="306">
        <f>IF('دانش‌آموزان'!E87="","",'دانش‌آموزان'!B87)</f>
        <v/>
      </c>
      <c r="D989" s="306">
        <f>IF('دانش‌آموزان'!C87="","",'دانش‌آموزان'!C87)</f>
        <v/>
      </c>
      <c r="E989" s="306">
        <f>IF('دانش‌آموزان'!E87="","",'دانش‌آموزان'!E87&amp;" "&amp;'دانش‌آموزان'!F87)</f>
        <v/>
      </c>
      <c r="F989" s="306">
        <f>IF('دانش‌آموزان'!I87="","",'دانش‌آموزان'!I87)</f>
        <v/>
      </c>
      <c r="G989" s="307" t="n"/>
      <c r="H989" s="307" t="n"/>
      <c r="I989" s="307" t="n"/>
      <c r="J989" s="307" t="n"/>
      <c r="K989" s="313">
        <f>IF(COUNT(G989:J989)=0,"",AVERAGE(G989:J989)*4)</f>
        <v/>
      </c>
      <c r="L989" s="306">
        <f>IF(C989="","",IF(COUNT(G989:J989)=0,"",IF(COUNT(G989:J989)&lt;4,"موقت - اطلاعات ناقص",IF(K989&gt;=17,"عالی",IF(K989&gt;=14,"خوب",IF(K989&gt;=10,"متوسط","ضعیف"))))))</f>
        <v/>
      </c>
      <c r="M989" s="306" t="n">
        <v>1</v>
      </c>
      <c r="N989" s="314">
        <f>IF(C989="","",COUNT(G989:J989)/4)</f>
        <v/>
      </c>
      <c r="O989" s="307" t="n"/>
    </row>
    <row r="990" ht="24" customHeight="1">
      <c r="A990" s="306" t="n">
        <v>986</v>
      </c>
      <c r="B990" s="306" t="inlineStr">
        <is>
          <t>مرداد</t>
        </is>
      </c>
      <c r="C990" s="306">
        <f>IF('دانش‌آموزان'!E87="","",'دانش‌آموزان'!B87)</f>
        <v/>
      </c>
      <c r="D990" s="306">
        <f>IF('دانش‌آموزان'!C87="","",'دانش‌آموزان'!C87)</f>
        <v/>
      </c>
      <c r="E990" s="306">
        <f>IF('دانش‌آموزان'!E87="","",'دانش‌آموزان'!E87&amp;" "&amp;'دانش‌آموزان'!F87)</f>
        <v/>
      </c>
      <c r="F990" s="306">
        <f>IF('دانش‌آموزان'!I87="","",'دانش‌آموزان'!I87)</f>
        <v/>
      </c>
      <c r="G990" s="307" t="n"/>
      <c r="H990" s="307" t="n"/>
      <c r="I990" s="307" t="n"/>
      <c r="J990" s="307" t="n"/>
      <c r="K990" s="313">
        <f>IF(COUNT(G990:J990)=0,"",AVERAGE(G990:J990)*4)</f>
        <v/>
      </c>
      <c r="L990" s="306">
        <f>IF(C990="","",IF(COUNT(G990:J990)=0,"",IF(COUNT(G990:J990)&lt;4,"موقت - اطلاعات ناقص",IF(K990&gt;=17,"عالی",IF(K990&gt;=14,"خوب",IF(K990&gt;=10,"متوسط","ضعیف"))))))</f>
        <v/>
      </c>
      <c r="M990" s="306" t="n">
        <v>2</v>
      </c>
      <c r="N990" s="314">
        <f>IF(C990="","",COUNT(G990:J990)/4)</f>
        <v/>
      </c>
      <c r="O990" s="307" t="n"/>
    </row>
    <row r="991" ht="24" customHeight="1">
      <c r="A991" s="306" t="n">
        <v>987</v>
      </c>
      <c r="B991" s="306" t="inlineStr">
        <is>
          <t>شهریور</t>
        </is>
      </c>
      <c r="C991" s="306">
        <f>IF('دانش‌آموزان'!E87="","",'دانش‌آموزان'!B87)</f>
        <v/>
      </c>
      <c r="D991" s="306">
        <f>IF('دانش‌آموزان'!C87="","",'دانش‌آموزان'!C87)</f>
        <v/>
      </c>
      <c r="E991" s="306">
        <f>IF('دانش‌آموزان'!E87="","",'دانش‌آموزان'!E87&amp;" "&amp;'دانش‌آموزان'!F87)</f>
        <v/>
      </c>
      <c r="F991" s="306">
        <f>IF('دانش‌آموزان'!I87="","",'دانش‌آموزان'!I87)</f>
        <v/>
      </c>
      <c r="G991" s="307" t="n"/>
      <c r="H991" s="307" t="n"/>
      <c r="I991" s="307" t="n"/>
      <c r="J991" s="307" t="n"/>
      <c r="K991" s="313">
        <f>IF(COUNT(G991:J991)=0,"",AVERAGE(G991:J991)*4)</f>
        <v/>
      </c>
      <c r="L991" s="306">
        <f>IF(C991="","",IF(COUNT(G991:J991)=0,"",IF(COUNT(G991:J991)&lt;4,"موقت - اطلاعات ناقص",IF(K991&gt;=17,"عالی",IF(K991&gt;=14,"خوب",IF(K991&gt;=10,"متوسط","ضعیف"))))))</f>
        <v/>
      </c>
      <c r="M991" s="306" t="n">
        <v>3</v>
      </c>
      <c r="N991" s="314">
        <f>IF(C991="","",COUNT(G991:J991)/4)</f>
        <v/>
      </c>
      <c r="O991" s="307" t="n"/>
    </row>
    <row r="992" ht="24" customHeight="1">
      <c r="A992" s="306" t="n">
        <v>988</v>
      </c>
      <c r="B992" s="306" t="inlineStr">
        <is>
          <t>مهر</t>
        </is>
      </c>
      <c r="C992" s="306">
        <f>IF('دانش‌آموزان'!E87="","",'دانش‌آموزان'!B87)</f>
        <v/>
      </c>
      <c r="D992" s="306">
        <f>IF('دانش‌آموزان'!C87="","",'دانش‌آموزان'!C87)</f>
        <v/>
      </c>
      <c r="E992" s="306">
        <f>IF('دانش‌آموزان'!E87="","",'دانش‌آموزان'!E87&amp;" "&amp;'دانش‌آموزان'!F87)</f>
        <v/>
      </c>
      <c r="F992" s="306">
        <f>IF('دانش‌آموزان'!I87="","",'دانش‌آموزان'!I87)</f>
        <v/>
      </c>
      <c r="G992" s="307" t="n"/>
      <c r="H992" s="307" t="n"/>
      <c r="I992" s="307" t="n"/>
      <c r="J992" s="307" t="n"/>
      <c r="K992" s="313">
        <f>IF(COUNT(G992:J992)=0,"",AVERAGE(G992:J992)*4)</f>
        <v/>
      </c>
      <c r="L992" s="306">
        <f>IF(C992="","",IF(COUNT(G992:J992)=0,"",IF(COUNT(G992:J992)&lt;4,"موقت - اطلاعات ناقص",IF(K992&gt;=17,"عالی",IF(K992&gt;=14,"خوب",IF(K992&gt;=10,"متوسط","ضعیف"))))))</f>
        <v/>
      </c>
      <c r="M992" s="306" t="n">
        <v>4</v>
      </c>
      <c r="N992" s="314">
        <f>IF(C992="","",COUNT(G992:J992)/4)</f>
        <v/>
      </c>
      <c r="O992" s="307" t="n"/>
    </row>
    <row r="993" ht="24" customHeight="1">
      <c r="A993" s="306" t="n">
        <v>989</v>
      </c>
      <c r="B993" s="306" t="inlineStr">
        <is>
          <t>آبان</t>
        </is>
      </c>
      <c r="C993" s="306">
        <f>IF('دانش‌آموزان'!E87="","",'دانش‌آموزان'!B87)</f>
        <v/>
      </c>
      <c r="D993" s="306">
        <f>IF('دانش‌آموزان'!C87="","",'دانش‌آموزان'!C87)</f>
        <v/>
      </c>
      <c r="E993" s="306">
        <f>IF('دانش‌آموزان'!E87="","",'دانش‌آموزان'!E87&amp;" "&amp;'دانش‌آموزان'!F87)</f>
        <v/>
      </c>
      <c r="F993" s="306">
        <f>IF('دانش‌آموزان'!I87="","",'دانش‌آموزان'!I87)</f>
        <v/>
      </c>
      <c r="G993" s="307" t="n"/>
      <c r="H993" s="307" t="n"/>
      <c r="I993" s="307" t="n"/>
      <c r="J993" s="307" t="n"/>
      <c r="K993" s="313">
        <f>IF(COUNT(G993:J993)=0,"",AVERAGE(G993:J993)*4)</f>
        <v/>
      </c>
      <c r="L993" s="306">
        <f>IF(C993="","",IF(COUNT(G993:J993)=0,"",IF(COUNT(G993:J993)&lt;4,"موقت - اطلاعات ناقص",IF(K993&gt;=17,"عالی",IF(K993&gt;=14,"خوب",IF(K993&gt;=10,"متوسط","ضعیف"))))))</f>
        <v/>
      </c>
      <c r="M993" s="306" t="n">
        <v>5</v>
      </c>
      <c r="N993" s="314">
        <f>IF(C993="","",COUNT(G993:J993)/4)</f>
        <v/>
      </c>
      <c r="O993" s="307" t="n"/>
    </row>
    <row r="994" ht="24" customHeight="1">
      <c r="A994" s="306" t="n">
        <v>990</v>
      </c>
      <c r="B994" s="306" t="inlineStr">
        <is>
          <t>آذر</t>
        </is>
      </c>
      <c r="C994" s="306">
        <f>IF('دانش‌آموزان'!E87="","",'دانش‌آموزان'!B87)</f>
        <v/>
      </c>
      <c r="D994" s="306">
        <f>IF('دانش‌آموزان'!C87="","",'دانش‌آموزان'!C87)</f>
        <v/>
      </c>
      <c r="E994" s="306">
        <f>IF('دانش‌آموزان'!E87="","",'دانش‌آموزان'!E87&amp;" "&amp;'دانش‌آموزان'!F87)</f>
        <v/>
      </c>
      <c r="F994" s="306">
        <f>IF('دانش‌آموزان'!I87="","",'دانش‌آموزان'!I87)</f>
        <v/>
      </c>
      <c r="G994" s="307" t="n"/>
      <c r="H994" s="307" t="n"/>
      <c r="I994" s="307" t="n"/>
      <c r="J994" s="307" t="n"/>
      <c r="K994" s="313">
        <f>IF(COUNT(G994:J994)=0,"",AVERAGE(G994:J994)*4)</f>
        <v/>
      </c>
      <c r="L994" s="306">
        <f>IF(C994="","",IF(COUNT(G994:J994)=0,"",IF(COUNT(G994:J994)&lt;4,"موقت - اطلاعات ناقص",IF(K994&gt;=17,"عالی",IF(K994&gt;=14,"خوب",IF(K994&gt;=10,"متوسط","ضعیف"))))))</f>
        <v/>
      </c>
      <c r="M994" s="306" t="n">
        <v>6</v>
      </c>
      <c r="N994" s="314">
        <f>IF(C994="","",COUNT(G994:J994)/4)</f>
        <v/>
      </c>
      <c r="O994" s="307" t="n"/>
    </row>
    <row r="995" ht="24" customHeight="1">
      <c r="A995" s="306" t="n">
        <v>991</v>
      </c>
      <c r="B995" s="306" t="inlineStr">
        <is>
          <t>دی</t>
        </is>
      </c>
      <c r="C995" s="306">
        <f>IF('دانش‌آموزان'!E87="","",'دانش‌آموزان'!B87)</f>
        <v/>
      </c>
      <c r="D995" s="306">
        <f>IF('دانش‌آموزان'!C87="","",'دانش‌آموزان'!C87)</f>
        <v/>
      </c>
      <c r="E995" s="306">
        <f>IF('دانش‌آموزان'!E87="","",'دانش‌آموزان'!E87&amp;" "&amp;'دانش‌آموزان'!F87)</f>
        <v/>
      </c>
      <c r="F995" s="306">
        <f>IF('دانش‌آموزان'!I87="","",'دانش‌آموزان'!I87)</f>
        <v/>
      </c>
      <c r="G995" s="307" t="n"/>
      <c r="H995" s="307" t="n"/>
      <c r="I995" s="307" t="n"/>
      <c r="J995" s="307" t="n"/>
      <c r="K995" s="313">
        <f>IF(COUNT(G995:J995)=0,"",AVERAGE(G995:J995)*4)</f>
        <v/>
      </c>
      <c r="L995" s="306">
        <f>IF(C995="","",IF(COUNT(G995:J995)=0,"",IF(COUNT(G995:J995)&lt;4,"موقت - اطلاعات ناقص",IF(K995&gt;=17,"عالی",IF(K995&gt;=14,"خوب",IF(K995&gt;=10,"متوسط","ضعیف"))))))</f>
        <v/>
      </c>
      <c r="M995" s="306" t="n">
        <v>7</v>
      </c>
      <c r="N995" s="314">
        <f>IF(C995="","",COUNT(G995:J995)/4)</f>
        <v/>
      </c>
      <c r="O995" s="307" t="n"/>
    </row>
    <row r="996" ht="24" customHeight="1">
      <c r="A996" s="306" t="n">
        <v>992</v>
      </c>
      <c r="B996" s="306" t="inlineStr">
        <is>
          <t>بهمن</t>
        </is>
      </c>
      <c r="C996" s="306">
        <f>IF('دانش‌آموزان'!E87="","",'دانش‌آموزان'!B87)</f>
        <v/>
      </c>
      <c r="D996" s="306">
        <f>IF('دانش‌آموزان'!C87="","",'دانش‌آموزان'!C87)</f>
        <v/>
      </c>
      <c r="E996" s="306">
        <f>IF('دانش‌آموزان'!E87="","",'دانش‌آموزان'!E87&amp;" "&amp;'دانش‌آموزان'!F87)</f>
        <v/>
      </c>
      <c r="F996" s="306">
        <f>IF('دانش‌آموزان'!I87="","",'دانش‌آموزان'!I87)</f>
        <v/>
      </c>
      <c r="G996" s="307" t="n"/>
      <c r="H996" s="307" t="n"/>
      <c r="I996" s="307" t="n"/>
      <c r="J996" s="307" t="n"/>
      <c r="K996" s="313">
        <f>IF(COUNT(G996:J996)=0,"",AVERAGE(G996:J996)*4)</f>
        <v/>
      </c>
      <c r="L996" s="306">
        <f>IF(C996="","",IF(COUNT(G996:J996)=0,"",IF(COUNT(G996:J996)&lt;4,"موقت - اطلاعات ناقص",IF(K996&gt;=17,"عالی",IF(K996&gt;=14,"خوب",IF(K996&gt;=10,"متوسط","ضعیف"))))))</f>
        <v/>
      </c>
      <c r="M996" s="306" t="n">
        <v>8</v>
      </c>
      <c r="N996" s="314">
        <f>IF(C996="","",COUNT(G996:J996)/4)</f>
        <v/>
      </c>
      <c r="O996" s="307" t="n"/>
    </row>
    <row r="997" ht="24" customHeight="1">
      <c r="A997" s="306" t="n">
        <v>993</v>
      </c>
      <c r="B997" s="306" t="inlineStr">
        <is>
          <t>اسفند</t>
        </is>
      </c>
      <c r="C997" s="306">
        <f>IF('دانش‌آموزان'!E87="","",'دانش‌آموزان'!B87)</f>
        <v/>
      </c>
      <c r="D997" s="306">
        <f>IF('دانش‌آموزان'!C87="","",'دانش‌آموزان'!C87)</f>
        <v/>
      </c>
      <c r="E997" s="306">
        <f>IF('دانش‌آموزان'!E87="","",'دانش‌آموزان'!E87&amp;" "&amp;'دانش‌آموزان'!F87)</f>
        <v/>
      </c>
      <c r="F997" s="306">
        <f>IF('دانش‌آموزان'!I87="","",'دانش‌آموزان'!I87)</f>
        <v/>
      </c>
      <c r="G997" s="307" t="n"/>
      <c r="H997" s="307" t="n"/>
      <c r="I997" s="307" t="n"/>
      <c r="J997" s="307" t="n"/>
      <c r="K997" s="313">
        <f>IF(COUNT(G997:J997)=0,"",AVERAGE(G997:J997)*4)</f>
        <v/>
      </c>
      <c r="L997" s="306">
        <f>IF(C997="","",IF(COUNT(G997:J997)=0,"",IF(COUNT(G997:J997)&lt;4,"موقت - اطلاعات ناقص",IF(K997&gt;=17,"عالی",IF(K997&gt;=14,"خوب",IF(K997&gt;=10,"متوسط","ضعیف"))))))</f>
        <v/>
      </c>
      <c r="M997" s="306" t="n">
        <v>9</v>
      </c>
      <c r="N997" s="314">
        <f>IF(C997="","",COUNT(G997:J997)/4)</f>
        <v/>
      </c>
      <c r="O997" s="307" t="n"/>
    </row>
    <row r="998" ht="24" customHeight="1">
      <c r="A998" s="306" t="n">
        <v>994</v>
      </c>
      <c r="B998" s="306" t="inlineStr">
        <is>
          <t>فروردین</t>
        </is>
      </c>
      <c r="C998" s="306">
        <f>IF('دانش‌آموزان'!E87="","",'دانش‌آموزان'!B87)</f>
        <v/>
      </c>
      <c r="D998" s="306">
        <f>IF('دانش‌آموزان'!C87="","",'دانش‌آموزان'!C87)</f>
        <v/>
      </c>
      <c r="E998" s="306">
        <f>IF('دانش‌آموزان'!E87="","",'دانش‌آموزان'!E87&amp;" "&amp;'دانش‌آموزان'!F87)</f>
        <v/>
      </c>
      <c r="F998" s="306">
        <f>IF('دانش‌آموزان'!I87="","",'دانش‌آموزان'!I87)</f>
        <v/>
      </c>
      <c r="G998" s="307" t="n"/>
      <c r="H998" s="307" t="n"/>
      <c r="I998" s="307" t="n"/>
      <c r="J998" s="307" t="n"/>
      <c r="K998" s="313">
        <f>IF(COUNT(G998:J998)=0,"",AVERAGE(G998:J998)*4)</f>
        <v/>
      </c>
      <c r="L998" s="306">
        <f>IF(C998="","",IF(COUNT(G998:J998)=0,"",IF(COUNT(G998:J998)&lt;4,"موقت - اطلاعات ناقص",IF(K998&gt;=17,"عالی",IF(K998&gt;=14,"خوب",IF(K998&gt;=10,"متوسط","ضعیف"))))))</f>
        <v/>
      </c>
      <c r="M998" s="306" t="n">
        <v>10</v>
      </c>
      <c r="N998" s="314">
        <f>IF(C998="","",COUNT(G998:J998)/4)</f>
        <v/>
      </c>
      <c r="O998" s="307" t="n"/>
    </row>
    <row r="999" ht="24" customHeight="1">
      <c r="A999" s="306" t="n">
        <v>995</v>
      </c>
      <c r="B999" s="306" t="inlineStr">
        <is>
          <t>اردیبهشت</t>
        </is>
      </c>
      <c r="C999" s="306">
        <f>IF('دانش‌آموزان'!E87="","",'دانش‌آموزان'!B87)</f>
        <v/>
      </c>
      <c r="D999" s="306">
        <f>IF('دانش‌آموزان'!C87="","",'دانش‌آموزان'!C87)</f>
        <v/>
      </c>
      <c r="E999" s="306">
        <f>IF('دانش‌آموزان'!E87="","",'دانش‌آموزان'!E87&amp;" "&amp;'دانش‌آموزان'!F87)</f>
        <v/>
      </c>
      <c r="F999" s="306">
        <f>IF('دانش‌آموزان'!I87="","",'دانش‌آموزان'!I87)</f>
        <v/>
      </c>
      <c r="G999" s="307" t="n"/>
      <c r="H999" s="307" t="n"/>
      <c r="I999" s="307" t="n"/>
      <c r="J999" s="307" t="n"/>
      <c r="K999" s="313">
        <f>IF(COUNT(G999:J999)=0,"",AVERAGE(G999:J999)*4)</f>
        <v/>
      </c>
      <c r="L999" s="306">
        <f>IF(C999="","",IF(COUNT(G999:J999)=0,"",IF(COUNT(G999:J999)&lt;4,"موقت - اطلاعات ناقص",IF(K999&gt;=17,"عالی",IF(K999&gt;=14,"خوب",IF(K999&gt;=10,"متوسط","ضعیف"))))))</f>
        <v/>
      </c>
      <c r="M999" s="306" t="n">
        <v>11</v>
      </c>
      <c r="N999" s="314">
        <f>IF(C999="","",COUNT(G999:J999)/4)</f>
        <v/>
      </c>
      <c r="O999" s="307" t="n"/>
    </row>
    <row r="1000" ht="24" customHeight="1">
      <c r="A1000" s="306" t="n">
        <v>996</v>
      </c>
      <c r="B1000" s="306" t="inlineStr">
        <is>
          <t>خرداد</t>
        </is>
      </c>
      <c r="C1000" s="306">
        <f>IF('دانش‌آموزان'!E87="","",'دانش‌آموزان'!B87)</f>
        <v/>
      </c>
      <c r="D1000" s="306">
        <f>IF('دانش‌آموزان'!C87="","",'دانش‌آموزان'!C87)</f>
        <v/>
      </c>
      <c r="E1000" s="306">
        <f>IF('دانش‌آموزان'!E87="","",'دانش‌آموزان'!E87&amp;" "&amp;'دانش‌آموزان'!F87)</f>
        <v/>
      </c>
      <c r="F1000" s="306">
        <f>IF('دانش‌آموزان'!I87="","",'دانش‌آموزان'!I87)</f>
        <v/>
      </c>
      <c r="G1000" s="307" t="n"/>
      <c r="H1000" s="307" t="n"/>
      <c r="I1000" s="307" t="n"/>
      <c r="J1000" s="307" t="n"/>
      <c r="K1000" s="313">
        <f>IF(COUNT(G1000:J1000)=0,"",AVERAGE(G1000:J1000)*4)</f>
        <v/>
      </c>
      <c r="L1000" s="306">
        <f>IF(C1000="","",IF(COUNT(G1000:J1000)=0,"",IF(COUNT(G1000:J1000)&lt;4,"موقت - اطلاعات ناقص",IF(K1000&gt;=17,"عالی",IF(K1000&gt;=14,"خوب",IF(K1000&gt;=10,"متوسط","ضعیف"))))))</f>
        <v/>
      </c>
      <c r="M1000" s="306" t="n">
        <v>12</v>
      </c>
      <c r="N1000" s="314">
        <f>IF(C1000="","",COUNT(G1000:J1000)/4)</f>
        <v/>
      </c>
      <c r="O1000" s="307" t="n"/>
    </row>
    <row r="1001" ht="24" customHeight="1">
      <c r="A1001" s="306" t="n">
        <v>997</v>
      </c>
      <c r="B1001" s="306" t="inlineStr">
        <is>
          <t>تیر</t>
        </is>
      </c>
      <c r="C1001" s="306">
        <f>IF('دانش‌آموزان'!E88="","",'دانش‌آموزان'!B88)</f>
        <v/>
      </c>
      <c r="D1001" s="306">
        <f>IF('دانش‌آموزان'!C88="","",'دانش‌آموزان'!C88)</f>
        <v/>
      </c>
      <c r="E1001" s="306">
        <f>IF('دانش‌آموزان'!E88="","",'دانش‌آموزان'!E88&amp;" "&amp;'دانش‌آموزان'!F88)</f>
        <v/>
      </c>
      <c r="F1001" s="306">
        <f>IF('دانش‌آموزان'!I88="","",'دانش‌آموزان'!I88)</f>
        <v/>
      </c>
      <c r="G1001" s="307" t="n"/>
      <c r="H1001" s="307" t="n"/>
      <c r="I1001" s="307" t="n"/>
      <c r="J1001" s="307" t="n"/>
      <c r="K1001" s="313">
        <f>IF(COUNT(G1001:J1001)=0,"",AVERAGE(G1001:J1001)*4)</f>
        <v/>
      </c>
      <c r="L1001" s="306">
        <f>IF(C1001="","",IF(COUNT(G1001:J1001)=0,"",IF(COUNT(G1001:J1001)&lt;4,"موقت - اطلاعات ناقص",IF(K1001&gt;=17,"عالی",IF(K1001&gt;=14,"خوب",IF(K1001&gt;=10,"متوسط","ضعیف"))))))</f>
        <v/>
      </c>
      <c r="M1001" s="306" t="n">
        <v>1</v>
      </c>
      <c r="N1001" s="314">
        <f>IF(C1001="","",COUNT(G1001:J1001)/4)</f>
        <v/>
      </c>
      <c r="O1001" s="307" t="n"/>
    </row>
    <row r="1002" ht="24" customHeight="1">
      <c r="A1002" s="306" t="n">
        <v>998</v>
      </c>
      <c r="B1002" s="306" t="inlineStr">
        <is>
          <t>مرداد</t>
        </is>
      </c>
      <c r="C1002" s="306">
        <f>IF('دانش‌آموزان'!E88="","",'دانش‌آموزان'!B88)</f>
        <v/>
      </c>
      <c r="D1002" s="306">
        <f>IF('دانش‌آموزان'!C88="","",'دانش‌آموزان'!C88)</f>
        <v/>
      </c>
      <c r="E1002" s="306">
        <f>IF('دانش‌آموزان'!E88="","",'دانش‌آموزان'!E88&amp;" "&amp;'دانش‌آموزان'!F88)</f>
        <v/>
      </c>
      <c r="F1002" s="306">
        <f>IF('دانش‌آموزان'!I88="","",'دانش‌آموزان'!I88)</f>
        <v/>
      </c>
      <c r="G1002" s="307" t="n"/>
      <c r="H1002" s="307" t="n"/>
      <c r="I1002" s="307" t="n"/>
      <c r="J1002" s="307" t="n"/>
      <c r="K1002" s="313">
        <f>IF(COUNT(G1002:J1002)=0,"",AVERAGE(G1002:J1002)*4)</f>
        <v/>
      </c>
      <c r="L1002" s="306">
        <f>IF(C1002="","",IF(COUNT(G1002:J1002)=0,"",IF(COUNT(G1002:J1002)&lt;4,"موقت - اطلاعات ناقص",IF(K1002&gt;=17,"عالی",IF(K1002&gt;=14,"خوب",IF(K1002&gt;=10,"متوسط","ضعیف"))))))</f>
        <v/>
      </c>
      <c r="M1002" s="306" t="n">
        <v>2</v>
      </c>
      <c r="N1002" s="314">
        <f>IF(C1002="","",COUNT(G1002:J1002)/4)</f>
        <v/>
      </c>
      <c r="O1002" s="307" t="n"/>
    </row>
    <row r="1003" ht="24" customHeight="1">
      <c r="A1003" s="306" t="n">
        <v>999</v>
      </c>
      <c r="B1003" s="306" t="inlineStr">
        <is>
          <t>شهریور</t>
        </is>
      </c>
      <c r="C1003" s="306">
        <f>IF('دانش‌آموزان'!E88="","",'دانش‌آموزان'!B88)</f>
        <v/>
      </c>
      <c r="D1003" s="306">
        <f>IF('دانش‌آموزان'!C88="","",'دانش‌آموزان'!C88)</f>
        <v/>
      </c>
      <c r="E1003" s="306">
        <f>IF('دانش‌آموزان'!E88="","",'دانش‌آموزان'!E88&amp;" "&amp;'دانش‌آموزان'!F88)</f>
        <v/>
      </c>
      <c r="F1003" s="306">
        <f>IF('دانش‌آموزان'!I88="","",'دانش‌آموزان'!I88)</f>
        <v/>
      </c>
      <c r="G1003" s="307" t="n"/>
      <c r="H1003" s="307" t="n"/>
      <c r="I1003" s="307" t="n"/>
      <c r="J1003" s="307" t="n"/>
      <c r="K1003" s="313">
        <f>IF(COUNT(G1003:J1003)=0,"",AVERAGE(G1003:J1003)*4)</f>
        <v/>
      </c>
      <c r="L1003" s="306">
        <f>IF(C1003="","",IF(COUNT(G1003:J1003)=0,"",IF(COUNT(G1003:J1003)&lt;4,"موقت - اطلاعات ناقص",IF(K1003&gt;=17,"عالی",IF(K1003&gt;=14,"خوب",IF(K1003&gt;=10,"متوسط","ضعیف"))))))</f>
        <v/>
      </c>
      <c r="M1003" s="306" t="n">
        <v>3</v>
      </c>
      <c r="N1003" s="314">
        <f>IF(C1003="","",COUNT(G1003:J1003)/4)</f>
        <v/>
      </c>
      <c r="O1003" s="307" t="n"/>
    </row>
    <row r="1004" ht="24" customHeight="1">
      <c r="A1004" s="306" t="n">
        <v>1000</v>
      </c>
      <c r="B1004" s="306" t="inlineStr">
        <is>
          <t>مهر</t>
        </is>
      </c>
      <c r="C1004" s="306">
        <f>IF('دانش‌آموزان'!E88="","",'دانش‌آموزان'!B88)</f>
        <v/>
      </c>
      <c r="D1004" s="306">
        <f>IF('دانش‌آموزان'!C88="","",'دانش‌آموزان'!C88)</f>
        <v/>
      </c>
      <c r="E1004" s="306">
        <f>IF('دانش‌آموزان'!E88="","",'دانش‌آموزان'!E88&amp;" "&amp;'دانش‌آموزان'!F88)</f>
        <v/>
      </c>
      <c r="F1004" s="306">
        <f>IF('دانش‌آموزان'!I88="","",'دانش‌آموزان'!I88)</f>
        <v/>
      </c>
      <c r="G1004" s="307" t="n"/>
      <c r="H1004" s="307" t="n"/>
      <c r="I1004" s="307" t="n"/>
      <c r="J1004" s="307" t="n"/>
      <c r="K1004" s="313">
        <f>IF(COUNT(G1004:J1004)=0,"",AVERAGE(G1004:J1004)*4)</f>
        <v/>
      </c>
      <c r="L1004" s="306">
        <f>IF(C1004="","",IF(COUNT(G1004:J1004)=0,"",IF(COUNT(G1004:J1004)&lt;4,"موقت - اطلاعات ناقص",IF(K1004&gt;=17,"عالی",IF(K1004&gt;=14,"خوب",IF(K1004&gt;=10,"متوسط","ضعیف"))))))</f>
        <v/>
      </c>
      <c r="M1004" s="306" t="n">
        <v>4</v>
      </c>
      <c r="N1004" s="314">
        <f>IF(C1004="","",COUNT(G1004:J1004)/4)</f>
        <v/>
      </c>
      <c r="O1004" s="307" t="n"/>
    </row>
    <row r="1005" ht="24" customHeight="1">
      <c r="A1005" s="306" t="n">
        <v>1001</v>
      </c>
      <c r="B1005" s="306" t="inlineStr">
        <is>
          <t>آبان</t>
        </is>
      </c>
      <c r="C1005" s="306">
        <f>IF('دانش‌آموزان'!E88="","",'دانش‌آموزان'!B88)</f>
        <v/>
      </c>
      <c r="D1005" s="306">
        <f>IF('دانش‌آموزان'!C88="","",'دانش‌آموزان'!C88)</f>
        <v/>
      </c>
      <c r="E1005" s="306">
        <f>IF('دانش‌آموزان'!E88="","",'دانش‌آموزان'!E88&amp;" "&amp;'دانش‌آموزان'!F88)</f>
        <v/>
      </c>
      <c r="F1005" s="306">
        <f>IF('دانش‌آموزان'!I88="","",'دانش‌آموزان'!I88)</f>
        <v/>
      </c>
      <c r="G1005" s="307" t="n"/>
      <c r="H1005" s="307" t="n"/>
      <c r="I1005" s="307" t="n"/>
      <c r="J1005" s="307" t="n"/>
      <c r="K1005" s="313">
        <f>IF(COUNT(G1005:J1005)=0,"",AVERAGE(G1005:J1005)*4)</f>
        <v/>
      </c>
      <c r="L1005" s="306">
        <f>IF(C1005="","",IF(COUNT(G1005:J1005)=0,"",IF(COUNT(G1005:J1005)&lt;4,"موقت - اطلاعات ناقص",IF(K1005&gt;=17,"عالی",IF(K1005&gt;=14,"خوب",IF(K1005&gt;=10,"متوسط","ضعیف"))))))</f>
        <v/>
      </c>
      <c r="M1005" s="306" t="n">
        <v>5</v>
      </c>
      <c r="N1005" s="314">
        <f>IF(C1005="","",COUNT(G1005:J1005)/4)</f>
        <v/>
      </c>
      <c r="O1005" s="307" t="n"/>
    </row>
    <row r="1006" ht="24" customHeight="1">
      <c r="A1006" s="306" t="n">
        <v>1002</v>
      </c>
      <c r="B1006" s="306" t="inlineStr">
        <is>
          <t>آذر</t>
        </is>
      </c>
      <c r="C1006" s="306">
        <f>IF('دانش‌آموزان'!E88="","",'دانش‌آموزان'!B88)</f>
        <v/>
      </c>
      <c r="D1006" s="306">
        <f>IF('دانش‌آموزان'!C88="","",'دانش‌آموزان'!C88)</f>
        <v/>
      </c>
      <c r="E1006" s="306">
        <f>IF('دانش‌آموزان'!E88="","",'دانش‌آموزان'!E88&amp;" "&amp;'دانش‌آموزان'!F88)</f>
        <v/>
      </c>
      <c r="F1006" s="306">
        <f>IF('دانش‌آموزان'!I88="","",'دانش‌آموزان'!I88)</f>
        <v/>
      </c>
      <c r="G1006" s="307" t="n"/>
      <c r="H1006" s="307" t="n"/>
      <c r="I1006" s="307" t="n"/>
      <c r="J1006" s="307" t="n"/>
      <c r="K1006" s="313">
        <f>IF(COUNT(G1006:J1006)=0,"",AVERAGE(G1006:J1006)*4)</f>
        <v/>
      </c>
      <c r="L1006" s="306">
        <f>IF(C1006="","",IF(COUNT(G1006:J1006)=0,"",IF(COUNT(G1006:J1006)&lt;4,"موقت - اطلاعات ناقص",IF(K1006&gt;=17,"عالی",IF(K1006&gt;=14,"خوب",IF(K1006&gt;=10,"متوسط","ضعیف"))))))</f>
        <v/>
      </c>
      <c r="M1006" s="306" t="n">
        <v>6</v>
      </c>
      <c r="N1006" s="314">
        <f>IF(C1006="","",COUNT(G1006:J1006)/4)</f>
        <v/>
      </c>
      <c r="O1006" s="307" t="n"/>
    </row>
    <row r="1007" ht="24" customHeight="1">
      <c r="A1007" s="306" t="n">
        <v>1003</v>
      </c>
      <c r="B1007" s="306" t="inlineStr">
        <is>
          <t>دی</t>
        </is>
      </c>
      <c r="C1007" s="306">
        <f>IF('دانش‌آموزان'!E88="","",'دانش‌آموزان'!B88)</f>
        <v/>
      </c>
      <c r="D1007" s="306">
        <f>IF('دانش‌آموزان'!C88="","",'دانش‌آموزان'!C88)</f>
        <v/>
      </c>
      <c r="E1007" s="306">
        <f>IF('دانش‌آموزان'!E88="","",'دانش‌آموزان'!E88&amp;" "&amp;'دانش‌آموزان'!F88)</f>
        <v/>
      </c>
      <c r="F1007" s="306">
        <f>IF('دانش‌آموزان'!I88="","",'دانش‌آموزان'!I88)</f>
        <v/>
      </c>
      <c r="G1007" s="307" t="n"/>
      <c r="H1007" s="307" t="n"/>
      <c r="I1007" s="307" t="n"/>
      <c r="J1007" s="307" t="n"/>
      <c r="K1007" s="313">
        <f>IF(COUNT(G1007:J1007)=0,"",AVERAGE(G1007:J1007)*4)</f>
        <v/>
      </c>
      <c r="L1007" s="306">
        <f>IF(C1007="","",IF(COUNT(G1007:J1007)=0,"",IF(COUNT(G1007:J1007)&lt;4,"موقت - اطلاعات ناقص",IF(K1007&gt;=17,"عالی",IF(K1007&gt;=14,"خوب",IF(K1007&gt;=10,"متوسط","ضعیف"))))))</f>
        <v/>
      </c>
      <c r="M1007" s="306" t="n">
        <v>7</v>
      </c>
      <c r="N1007" s="314">
        <f>IF(C1007="","",COUNT(G1007:J1007)/4)</f>
        <v/>
      </c>
      <c r="O1007" s="307" t="n"/>
    </row>
    <row r="1008" ht="24" customHeight="1">
      <c r="A1008" s="306" t="n">
        <v>1004</v>
      </c>
      <c r="B1008" s="306" t="inlineStr">
        <is>
          <t>بهمن</t>
        </is>
      </c>
      <c r="C1008" s="306">
        <f>IF('دانش‌آموزان'!E88="","",'دانش‌آموزان'!B88)</f>
        <v/>
      </c>
      <c r="D1008" s="306">
        <f>IF('دانش‌آموزان'!C88="","",'دانش‌آموزان'!C88)</f>
        <v/>
      </c>
      <c r="E1008" s="306">
        <f>IF('دانش‌آموزان'!E88="","",'دانش‌آموزان'!E88&amp;" "&amp;'دانش‌آموزان'!F88)</f>
        <v/>
      </c>
      <c r="F1008" s="306">
        <f>IF('دانش‌آموزان'!I88="","",'دانش‌آموزان'!I88)</f>
        <v/>
      </c>
      <c r="G1008" s="307" t="n"/>
      <c r="H1008" s="307" t="n"/>
      <c r="I1008" s="307" t="n"/>
      <c r="J1008" s="307" t="n"/>
      <c r="K1008" s="313">
        <f>IF(COUNT(G1008:J1008)=0,"",AVERAGE(G1008:J1008)*4)</f>
        <v/>
      </c>
      <c r="L1008" s="306">
        <f>IF(C1008="","",IF(COUNT(G1008:J1008)=0,"",IF(COUNT(G1008:J1008)&lt;4,"موقت - اطلاعات ناقص",IF(K1008&gt;=17,"عالی",IF(K1008&gt;=14,"خوب",IF(K1008&gt;=10,"متوسط","ضعیف"))))))</f>
        <v/>
      </c>
      <c r="M1008" s="306" t="n">
        <v>8</v>
      </c>
      <c r="N1008" s="314">
        <f>IF(C1008="","",COUNT(G1008:J1008)/4)</f>
        <v/>
      </c>
      <c r="O1008" s="307" t="n"/>
    </row>
    <row r="1009" ht="24" customHeight="1">
      <c r="A1009" s="306" t="n">
        <v>1005</v>
      </c>
      <c r="B1009" s="306" t="inlineStr">
        <is>
          <t>اسفند</t>
        </is>
      </c>
      <c r="C1009" s="306">
        <f>IF('دانش‌آموزان'!E88="","",'دانش‌آموزان'!B88)</f>
        <v/>
      </c>
      <c r="D1009" s="306">
        <f>IF('دانش‌آموزان'!C88="","",'دانش‌آموزان'!C88)</f>
        <v/>
      </c>
      <c r="E1009" s="306">
        <f>IF('دانش‌آموزان'!E88="","",'دانش‌آموزان'!E88&amp;" "&amp;'دانش‌آموزان'!F88)</f>
        <v/>
      </c>
      <c r="F1009" s="306">
        <f>IF('دانش‌آموزان'!I88="","",'دانش‌آموزان'!I88)</f>
        <v/>
      </c>
      <c r="G1009" s="307" t="n"/>
      <c r="H1009" s="307" t="n"/>
      <c r="I1009" s="307" t="n"/>
      <c r="J1009" s="307" t="n"/>
      <c r="K1009" s="313">
        <f>IF(COUNT(G1009:J1009)=0,"",AVERAGE(G1009:J1009)*4)</f>
        <v/>
      </c>
      <c r="L1009" s="306">
        <f>IF(C1009="","",IF(COUNT(G1009:J1009)=0,"",IF(COUNT(G1009:J1009)&lt;4,"موقت - اطلاعات ناقص",IF(K1009&gt;=17,"عالی",IF(K1009&gt;=14,"خوب",IF(K1009&gt;=10,"متوسط","ضعیف"))))))</f>
        <v/>
      </c>
      <c r="M1009" s="306" t="n">
        <v>9</v>
      </c>
      <c r="N1009" s="314">
        <f>IF(C1009="","",COUNT(G1009:J1009)/4)</f>
        <v/>
      </c>
      <c r="O1009" s="307" t="n"/>
    </row>
    <row r="1010" ht="24" customHeight="1">
      <c r="A1010" s="306" t="n">
        <v>1006</v>
      </c>
      <c r="B1010" s="306" t="inlineStr">
        <is>
          <t>فروردین</t>
        </is>
      </c>
      <c r="C1010" s="306">
        <f>IF('دانش‌آموزان'!E88="","",'دانش‌آموزان'!B88)</f>
        <v/>
      </c>
      <c r="D1010" s="306">
        <f>IF('دانش‌آموزان'!C88="","",'دانش‌آموزان'!C88)</f>
        <v/>
      </c>
      <c r="E1010" s="306">
        <f>IF('دانش‌آموزان'!E88="","",'دانش‌آموزان'!E88&amp;" "&amp;'دانش‌آموزان'!F88)</f>
        <v/>
      </c>
      <c r="F1010" s="306">
        <f>IF('دانش‌آموزان'!I88="","",'دانش‌آموزان'!I88)</f>
        <v/>
      </c>
      <c r="G1010" s="307" t="n"/>
      <c r="H1010" s="307" t="n"/>
      <c r="I1010" s="307" t="n"/>
      <c r="J1010" s="307" t="n"/>
      <c r="K1010" s="313">
        <f>IF(COUNT(G1010:J1010)=0,"",AVERAGE(G1010:J1010)*4)</f>
        <v/>
      </c>
      <c r="L1010" s="306">
        <f>IF(C1010="","",IF(COUNT(G1010:J1010)=0,"",IF(COUNT(G1010:J1010)&lt;4,"موقت - اطلاعات ناقص",IF(K1010&gt;=17,"عالی",IF(K1010&gt;=14,"خوب",IF(K1010&gt;=10,"متوسط","ضعیف"))))))</f>
        <v/>
      </c>
      <c r="M1010" s="306" t="n">
        <v>10</v>
      </c>
      <c r="N1010" s="314">
        <f>IF(C1010="","",COUNT(G1010:J1010)/4)</f>
        <v/>
      </c>
      <c r="O1010" s="307" t="n"/>
    </row>
    <row r="1011" ht="24" customHeight="1">
      <c r="A1011" s="306" t="n">
        <v>1007</v>
      </c>
      <c r="B1011" s="306" t="inlineStr">
        <is>
          <t>اردیبهشت</t>
        </is>
      </c>
      <c r="C1011" s="306">
        <f>IF('دانش‌آموزان'!E88="","",'دانش‌آموزان'!B88)</f>
        <v/>
      </c>
      <c r="D1011" s="306">
        <f>IF('دانش‌آموزان'!C88="","",'دانش‌آموزان'!C88)</f>
        <v/>
      </c>
      <c r="E1011" s="306">
        <f>IF('دانش‌آموزان'!E88="","",'دانش‌آموزان'!E88&amp;" "&amp;'دانش‌آموزان'!F88)</f>
        <v/>
      </c>
      <c r="F1011" s="306">
        <f>IF('دانش‌آموزان'!I88="","",'دانش‌آموزان'!I88)</f>
        <v/>
      </c>
      <c r="G1011" s="307" t="n"/>
      <c r="H1011" s="307" t="n"/>
      <c r="I1011" s="307" t="n"/>
      <c r="J1011" s="307" t="n"/>
      <c r="K1011" s="313">
        <f>IF(COUNT(G1011:J1011)=0,"",AVERAGE(G1011:J1011)*4)</f>
        <v/>
      </c>
      <c r="L1011" s="306">
        <f>IF(C1011="","",IF(COUNT(G1011:J1011)=0,"",IF(COUNT(G1011:J1011)&lt;4,"موقت - اطلاعات ناقص",IF(K1011&gt;=17,"عالی",IF(K1011&gt;=14,"خوب",IF(K1011&gt;=10,"متوسط","ضعیف"))))))</f>
        <v/>
      </c>
      <c r="M1011" s="306" t="n">
        <v>11</v>
      </c>
      <c r="N1011" s="314">
        <f>IF(C1011="","",COUNT(G1011:J1011)/4)</f>
        <v/>
      </c>
      <c r="O1011" s="307" t="n"/>
    </row>
    <row r="1012" ht="24" customHeight="1">
      <c r="A1012" s="306" t="n">
        <v>1008</v>
      </c>
      <c r="B1012" s="306" t="inlineStr">
        <is>
          <t>خرداد</t>
        </is>
      </c>
      <c r="C1012" s="306">
        <f>IF('دانش‌آموزان'!E88="","",'دانش‌آموزان'!B88)</f>
        <v/>
      </c>
      <c r="D1012" s="306">
        <f>IF('دانش‌آموزان'!C88="","",'دانش‌آموزان'!C88)</f>
        <v/>
      </c>
      <c r="E1012" s="306">
        <f>IF('دانش‌آموزان'!E88="","",'دانش‌آموزان'!E88&amp;" "&amp;'دانش‌آموزان'!F88)</f>
        <v/>
      </c>
      <c r="F1012" s="306">
        <f>IF('دانش‌آموزان'!I88="","",'دانش‌آموزان'!I88)</f>
        <v/>
      </c>
      <c r="G1012" s="307" t="n"/>
      <c r="H1012" s="307" t="n"/>
      <c r="I1012" s="307" t="n"/>
      <c r="J1012" s="307" t="n"/>
      <c r="K1012" s="313">
        <f>IF(COUNT(G1012:J1012)=0,"",AVERAGE(G1012:J1012)*4)</f>
        <v/>
      </c>
      <c r="L1012" s="306">
        <f>IF(C1012="","",IF(COUNT(G1012:J1012)=0,"",IF(COUNT(G1012:J1012)&lt;4,"موقت - اطلاعات ناقص",IF(K1012&gt;=17,"عالی",IF(K1012&gt;=14,"خوب",IF(K1012&gt;=10,"متوسط","ضعیف"))))))</f>
        <v/>
      </c>
      <c r="M1012" s="306" t="n">
        <v>12</v>
      </c>
      <c r="N1012" s="314">
        <f>IF(C1012="","",COUNT(G1012:J1012)/4)</f>
        <v/>
      </c>
      <c r="O1012" s="307" t="n"/>
    </row>
    <row r="1013" ht="24" customHeight="1">
      <c r="A1013" s="306" t="n">
        <v>1009</v>
      </c>
      <c r="B1013" s="306" t="inlineStr">
        <is>
          <t>تیر</t>
        </is>
      </c>
      <c r="C1013" s="306">
        <f>IF('دانش‌آموزان'!E89="","",'دانش‌آموزان'!B89)</f>
        <v/>
      </c>
      <c r="D1013" s="306">
        <f>IF('دانش‌آموزان'!C89="","",'دانش‌آموزان'!C89)</f>
        <v/>
      </c>
      <c r="E1013" s="306">
        <f>IF('دانش‌آموزان'!E89="","",'دانش‌آموزان'!E89&amp;" "&amp;'دانش‌آموزان'!F89)</f>
        <v/>
      </c>
      <c r="F1013" s="306">
        <f>IF('دانش‌آموزان'!I89="","",'دانش‌آموزان'!I89)</f>
        <v/>
      </c>
      <c r="G1013" s="307" t="n"/>
      <c r="H1013" s="307" t="n"/>
      <c r="I1013" s="307" t="n"/>
      <c r="J1013" s="307" t="n"/>
      <c r="K1013" s="313">
        <f>IF(COUNT(G1013:J1013)=0,"",AVERAGE(G1013:J1013)*4)</f>
        <v/>
      </c>
      <c r="L1013" s="306">
        <f>IF(C1013="","",IF(COUNT(G1013:J1013)=0,"",IF(COUNT(G1013:J1013)&lt;4,"موقت - اطلاعات ناقص",IF(K1013&gt;=17,"عالی",IF(K1013&gt;=14,"خوب",IF(K1013&gt;=10,"متوسط","ضعیف"))))))</f>
        <v/>
      </c>
      <c r="M1013" s="306" t="n">
        <v>1</v>
      </c>
      <c r="N1013" s="314">
        <f>IF(C1013="","",COUNT(G1013:J1013)/4)</f>
        <v/>
      </c>
      <c r="O1013" s="307" t="n"/>
    </row>
    <row r="1014" ht="24" customHeight="1">
      <c r="A1014" s="306" t="n">
        <v>1010</v>
      </c>
      <c r="B1014" s="306" t="inlineStr">
        <is>
          <t>مرداد</t>
        </is>
      </c>
      <c r="C1014" s="306">
        <f>IF('دانش‌آموزان'!E89="","",'دانش‌آموزان'!B89)</f>
        <v/>
      </c>
      <c r="D1014" s="306">
        <f>IF('دانش‌آموزان'!C89="","",'دانش‌آموزان'!C89)</f>
        <v/>
      </c>
      <c r="E1014" s="306">
        <f>IF('دانش‌آموزان'!E89="","",'دانش‌آموزان'!E89&amp;" "&amp;'دانش‌آموزان'!F89)</f>
        <v/>
      </c>
      <c r="F1014" s="306">
        <f>IF('دانش‌آموزان'!I89="","",'دانش‌آموزان'!I89)</f>
        <v/>
      </c>
      <c r="G1014" s="307" t="n"/>
      <c r="H1014" s="307" t="n"/>
      <c r="I1014" s="307" t="n"/>
      <c r="J1014" s="307" t="n"/>
      <c r="K1014" s="313">
        <f>IF(COUNT(G1014:J1014)=0,"",AVERAGE(G1014:J1014)*4)</f>
        <v/>
      </c>
      <c r="L1014" s="306">
        <f>IF(C1014="","",IF(COUNT(G1014:J1014)=0,"",IF(COUNT(G1014:J1014)&lt;4,"موقت - اطلاعات ناقص",IF(K1014&gt;=17,"عالی",IF(K1014&gt;=14,"خوب",IF(K1014&gt;=10,"متوسط","ضعیف"))))))</f>
        <v/>
      </c>
      <c r="M1014" s="306" t="n">
        <v>2</v>
      </c>
      <c r="N1014" s="314">
        <f>IF(C1014="","",COUNT(G1014:J1014)/4)</f>
        <v/>
      </c>
      <c r="O1014" s="307" t="n"/>
    </row>
    <row r="1015" ht="24" customHeight="1">
      <c r="A1015" s="306" t="n">
        <v>1011</v>
      </c>
      <c r="B1015" s="306" t="inlineStr">
        <is>
          <t>شهریور</t>
        </is>
      </c>
      <c r="C1015" s="306">
        <f>IF('دانش‌آموزان'!E89="","",'دانش‌آموزان'!B89)</f>
        <v/>
      </c>
      <c r="D1015" s="306">
        <f>IF('دانش‌آموزان'!C89="","",'دانش‌آموزان'!C89)</f>
        <v/>
      </c>
      <c r="E1015" s="306">
        <f>IF('دانش‌آموزان'!E89="","",'دانش‌آموزان'!E89&amp;" "&amp;'دانش‌آموزان'!F89)</f>
        <v/>
      </c>
      <c r="F1015" s="306">
        <f>IF('دانش‌آموزان'!I89="","",'دانش‌آموزان'!I89)</f>
        <v/>
      </c>
      <c r="G1015" s="307" t="n"/>
      <c r="H1015" s="307" t="n"/>
      <c r="I1015" s="307" t="n"/>
      <c r="J1015" s="307" t="n"/>
      <c r="K1015" s="313">
        <f>IF(COUNT(G1015:J1015)=0,"",AVERAGE(G1015:J1015)*4)</f>
        <v/>
      </c>
      <c r="L1015" s="306">
        <f>IF(C1015="","",IF(COUNT(G1015:J1015)=0,"",IF(COUNT(G1015:J1015)&lt;4,"موقت - اطلاعات ناقص",IF(K1015&gt;=17,"عالی",IF(K1015&gt;=14,"خوب",IF(K1015&gt;=10,"متوسط","ضعیف"))))))</f>
        <v/>
      </c>
      <c r="M1015" s="306" t="n">
        <v>3</v>
      </c>
      <c r="N1015" s="314">
        <f>IF(C1015="","",COUNT(G1015:J1015)/4)</f>
        <v/>
      </c>
      <c r="O1015" s="307" t="n"/>
    </row>
    <row r="1016" ht="24" customHeight="1">
      <c r="A1016" s="306" t="n">
        <v>1012</v>
      </c>
      <c r="B1016" s="306" t="inlineStr">
        <is>
          <t>مهر</t>
        </is>
      </c>
      <c r="C1016" s="306">
        <f>IF('دانش‌آموزان'!E89="","",'دانش‌آموزان'!B89)</f>
        <v/>
      </c>
      <c r="D1016" s="306">
        <f>IF('دانش‌آموزان'!C89="","",'دانش‌آموزان'!C89)</f>
        <v/>
      </c>
      <c r="E1016" s="306">
        <f>IF('دانش‌آموزان'!E89="","",'دانش‌آموزان'!E89&amp;" "&amp;'دانش‌آموزان'!F89)</f>
        <v/>
      </c>
      <c r="F1016" s="306">
        <f>IF('دانش‌آموزان'!I89="","",'دانش‌آموزان'!I89)</f>
        <v/>
      </c>
      <c r="G1016" s="307" t="n"/>
      <c r="H1016" s="307" t="n"/>
      <c r="I1016" s="307" t="n"/>
      <c r="J1016" s="307" t="n"/>
      <c r="K1016" s="313">
        <f>IF(COUNT(G1016:J1016)=0,"",AVERAGE(G1016:J1016)*4)</f>
        <v/>
      </c>
      <c r="L1016" s="306">
        <f>IF(C1016="","",IF(COUNT(G1016:J1016)=0,"",IF(COUNT(G1016:J1016)&lt;4,"موقت - اطلاعات ناقص",IF(K1016&gt;=17,"عالی",IF(K1016&gt;=14,"خوب",IF(K1016&gt;=10,"متوسط","ضعیف"))))))</f>
        <v/>
      </c>
      <c r="M1016" s="306" t="n">
        <v>4</v>
      </c>
      <c r="N1016" s="314">
        <f>IF(C1016="","",COUNT(G1016:J1016)/4)</f>
        <v/>
      </c>
      <c r="O1016" s="307" t="n"/>
    </row>
    <row r="1017" ht="24" customHeight="1">
      <c r="A1017" s="306" t="n">
        <v>1013</v>
      </c>
      <c r="B1017" s="306" t="inlineStr">
        <is>
          <t>آبان</t>
        </is>
      </c>
      <c r="C1017" s="306">
        <f>IF('دانش‌آموزان'!E89="","",'دانش‌آموزان'!B89)</f>
        <v/>
      </c>
      <c r="D1017" s="306">
        <f>IF('دانش‌آموزان'!C89="","",'دانش‌آموزان'!C89)</f>
        <v/>
      </c>
      <c r="E1017" s="306">
        <f>IF('دانش‌آموزان'!E89="","",'دانش‌آموزان'!E89&amp;" "&amp;'دانش‌آموزان'!F89)</f>
        <v/>
      </c>
      <c r="F1017" s="306">
        <f>IF('دانش‌آموزان'!I89="","",'دانش‌آموزان'!I89)</f>
        <v/>
      </c>
      <c r="G1017" s="307" t="n"/>
      <c r="H1017" s="307" t="n"/>
      <c r="I1017" s="307" t="n"/>
      <c r="J1017" s="307" t="n"/>
      <c r="K1017" s="313">
        <f>IF(COUNT(G1017:J1017)=0,"",AVERAGE(G1017:J1017)*4)</f>
        <v/>
      </c>
      <c r="L1017" s="306">
        <f>IF(C1017="","",IF(COUNT(G1017:J1017)=0,"",IF(COUNT(G1017:J1017)&lt;4,"موقت - اطلاعات ناقص",IF(K1017&gt;=17,"عالی",IF(K1017&gt;=14,"خوب",IF(K1017&gt;=10,"متوسط","ضعیف"))))))</f>
        <v/>
      </c>
      <c r="M1017" s="306" t="n">
        <v>5</v>
      </c>
      <c r="N1017" s="314">
        <f>IF(C1017="","",COUNT(G1017:J1017)/4)</f>
        <v/>
      </c>
      <c r="O1017" s="307" t="n"/>
    </row>
    <row r="1018" ht="24" customHeight="1">
      <c r="A1018" s="306" t="n">
        <v>1014</v>
      </c>
      <c r="B1018" s="306" t="inlineStr">
        <is>
          <t>آذر</t>
        </is>
      </c>
      <c r="C1018" s="306">
        <f>IF('دانش‌آموزان'!E89="","",'دانش‌آموزان'!B89)</f>
        <v/>
      </c>
      <c r="D1018" s="306">
        <f>IF('دانش‌آموزان'!C89="","",'دانش‌آموزان'!C89)</f>
        <v/>
      </c>
      <c r="E1018" s="306">
        <f>IF('دانش‌آموزان'!E89="","",'دانش‌آموزان'!E89&amp;" "&amp;'دانش‌آموزان'!F89)</f>
        <v/>
      </c>
      <c r="F1018" s="306">
        <f>IF('دانش‌آموزان'!I89="","",'دانش‌آموزان'!I89)</f>
        <v/>
      </c>
      <c r="G1018" s="307" t="n"/>
      <c r="H1018" s="307" t="n"/>
      <c r="I1018" s="307" t="n"/>
      <c r="J1018" s="307" t="n"/>
      <c r="K1018" s="313">
        <f>IF(COUNT(G1018:J1018)=0,"",AVERAGE(G1018:J1018)*4)</f>
        <v/>
      </c>
      <c r="L1018" s="306">
        <f>IF(C1018="","",IF(COUNT(G1018:J1018)=0,"",IF(COUNT(G1018:J1018)&lt;4,"موقت - اطلاعات ناقص",IF(K1018&gt;=17,"عالی",IF(K1018&gt;=14,"خوب",IF(K1018&gt;=10,"متوسط","ضعیف"))))))</f>
        <v/>
      </c>
      <c r="M1018" s="306" t="n">
        <v>6</v>
      </c>
      <c r="N1018" s="314">
        <f>IF(C1018="","",COUNT(G1018:J1018)/4)</f>
        <v/>
      </c>
      <c r="O1018" s="307" t="n"/>
    </row>
    <row r="1019" ht="24" customHeight="1">
      <c r="A1019" s="306" t="n">
        <v>1015</v>
      </c>
      <c r="B1019" s="306" t="inlineStr">
        <is>
          <t>دی</t>
        </is>
      </c>
      <c r="C1019" s="306">
        <f>IF('دانش‌آموزان'!E89="","",'دانش‌آموزان'!B89)</f>
        <v/>
      </c>
      <c r="D1019" s="306">
        <f>IF('دانش‌آموزان'!C89="","",'دانش‌آموزان'!C89)</f>
        <v/>
      </c>
      <c r="E1019" s="306">
        <f>IF('دانش‌آموزان'!E89="","",'دانش‌آموزان'!E89&amp;" "&amp;'دانش‌آموزان'!F89)</f>
        <v/>
      </c>
      <c r="F1019" s="306">
        <f>IF('دانش‌آموزان'!I89="","",'دانش‌آموزان'!I89)</f>
        <v/>
      </c>
      <c r="G1019" s="307" t="n"/>
      <c r="H1019" s="307" t="n"/>
      <c r="I1019" s="307" t="n"/>
      <c r="J1019" s="307" t="n"/>
      <c r="K1019" s="313">
        <f>IF(COUNT(G1019:J1019)=0,"",AVERAGE(G1019:J1019)*4)</f>
        <v/>
      </c>
      <c r="L1019" s="306">
        <f>IF(C1019="","",IF(COUNT(G1019:J1019)=0,"",IF(COUNT(G1019:J1019)&lt;4,"موقت - اطلاعات ناقص",IF(K1019&gt;=17,"عالی",IF(K1019&gt;=14,"خوب",IF(K1019&gt;=10,"متوسط","ضعیف"))))))</f>
        <v/>
      </c>
      <c r="M1019" s="306" t="n">
        <v>7</v>
      </c>
      <c r="N1019" s="314">
        <f>IF(C1019="","",COUNT(G1019:J1019)/4)</f>
        <v/>
      </c>
      <c r="O1019" s="307" t="n"/>
    </row>
    <row r="1020" ht="24" customHeight="1">
      <c r="A1020" s="306" t="n">
        <v>1016</v>
      </c>
      <c r="B1020" s="306" t="inlineStr">
        <is>
          <t>بهمن</t>
        </is>
      </c>
      <c r="C1020" s="306">
        <f>IF('دانش‌آموزان'!E89="","",'دانش‌آموزان'!B89)</f>
        <v/>
      </c>
      <c r="D1020" s="306">
        <f>IF('دانش‌آموزان'!C89="","",'دانش‌آموزان'!C89)</f>
        <v/>
      </c>
      <c r="E1020" s="306">
        <f>IF('دانش‌آموزان'!E89="","",'دانش‌آموزان'!E89&amp;" "&amp;'دانش‌آموزان'!F89)</f>
        <v/>
      </c>
      <c r="F1020" s="306">
        <f>IF('دانش‌آموزان'!I89="","",'دانش‌آموزان'!I89)</f>
        <v/>
      </c>
      <c r="G1020" s="307" t="n"/>
      <c r="H1020" s="307" t="n"/>
      <c r="I1020" s="307" t="n"/>
      <c r="J1020" s="307" t="n"/>
      <c r="K1020" s="313">
        <f>IF(COUNT(G1020:J1020)=0,"",AVERAGE(G1020:J1020)*4)</f>
        <v/>
      </c>
      <c r="L1020" s="306">
        <f>IF(C1020="","",IF(COUNT(G1020:J1020)=0,"",IF(COUNT(G1020:J1020)&lt;4,"موقت - اطلاعات ناقص",IF(K1020&gt;=17,"عالی",IF(K1020&gt;=14,"خوب",IF(K1020&gt;=10,"متوسط","ضعیف"))))))</f>
        <v/>
      </c>
      <c r="M1020" s="306" t="n">
        <v>8</v>
      </c>
      <c r="N1020" s="314">
        <f>IF(C1020="","",COUNT(G1020:J1020)/4)</f>
        <v/>
      </c>
      <c r="O1020" s="307" t="n"/>
    </row>
    <row r="1021" ht="24" customHeight="1">
      <c r="A1021" s="306" t="n">
        <v>1017</v>
      </c>
      <c r="B1021" s="306" t="inlineStr">
        <is>
          <t>اسفند</t>
        </is>
      </c>
      <c r="C1021" s="306">
        <f>IF('دانش‌آموزان'!E89="","",'دانش‌آموزان'!B89)</f>
        <v/>
      </c>
      <c r="D1021" s="306">
        <f>IF('دانش‌آموزان'!C89="","",'دانش‌آموزان'!C89)</f>
        <v/>
      </c>
      <c r="E1021" s="306">
        <f>IF('دانش‌آموزان'!E89="","",'دانش‌آموزان'!E89&amp;" "&amp;'دانش‌آموزان'!F89)</f>
        <v/>
      </c>
      <c r="F1021" s="306">
        <f>IF('دانش‌آموزان'!I89="","",'دانش‌آموزان'!I89)</f>
        <v/>
      </c>
      <c r="G1021" s="307" t="n"/>
      <c r="H1021" s="307" t="n"/>
      <c r="I1021" s="307" t="n"/>
      <c r="J1021" s="307" t="n"/>
      <c r="K1021" s="313">
        <f>IF(COUNT(G1021:J1021)=0,"",AVERAGE(G1021:J1021)*4)</f>
        <v/>
      </c>
      <c r="L1021" s="306">
        <f>IF(C1021="","",IF(COUNT(G1021:J1021)=0,"",IF(COUNT(G1021:J1021)&lt;4,"موقت - اطلاعات ناقص",IF(K1021&gt;=17,"عالی",IF(K1021&gt;=14,"خوب",IF(K1021&gt;=10,"متوسط","ضعیف"))))))</f>
        <v/>
      </c>
      <c r="M1021" s="306" t="n">
        <v>9</v>
      </c>
      <c r="N1021" s="314">
        <f>IF(C1021="","",COUNT(G1021:J1021)/4)</f>
        <v/>
      </c>
      <c r="O1021" s="307" t="n"/>
    </row>
    <row r="1022" ht="24" customHeight="1">
      <c r="A1022" s="306" t="n">
        <v>1018</v>
      </c>
      <c r="B1022" s="306" t="inlineStr">
        <is>
          <t>فروردین</t>
        </is>
      </c>
      <c r="C1022" s="306">
        <f>IF('دانش‌آموزان'!E89="","",'دانش‌آموزان'!B89)</f>
        <v/>
      </c>
      <c r="D1022" s="306">
        <f>IF('دانش‌آموزان'!C89="","",'دانش‌آموزان'!C89)</f>
        <v/>
      </c>
      <c r="E1022" s="306">
        <f>IF('دانش‌آموزان'!E89="","",'دانش‌آموزان'!E89&amp;" "&amp;'دانش‌آموزان'!F89)</f>
        <v/>
      </c>
      <c r="F1022" s="306">
        <f>IF('دانش‌آموزان'!I89="","",'دانش‌آموزان'!I89)</f>
        <v/>
      </c>
      <c r="G1022" s="307" t="n"/>
      <c r="H1022" s="307" t="n"/>
      <c r="I1022" s="307" t="n"/>
      <c r="J1022" s="307" t="n"/>
      <c r="K1022" s="313">
        <f>IF(COUNT(G1022:J1022)=0,"",AVERAGE(G1022:J1022)*4)</f>
        <v/>
      </c>
      <c r="L1022" s="306">
        <f>IF(C1022="","",IF(COUNT(G1022:J1022)=0,"",IF(COUNT(G1022:J1022)&lt;4,"موقت - اطلاعات ناقص",IF(K1022&gt;=17,"عالی",IF(K1022&gt;=14,"خوب",IF(K1022&gt;=10,"متوسط","ضعیف"))))))</f>
        <v/>
      </c>
      <c r="M1022" s="306" t="n">
        <v>10</v>
      </c>
      <c r="N1022" s="314">
        <f>IF(C1022="","",COUNT(G1022:J1022)/4)</f>
        <v/>
      </c>
      <c r="O1022" s="307" t="n"/>
    </row>
    <row r="1023" ht="24" customHeight="1">
      <c r="A1023" s="306" t="n">
        <v>1019</v>
      </c>
      <c r="B1023" s="306" t="inlineStr">
        <is>
          <t>اردیبهشت</t>
        </is>
      </c>
      <c r="C1023" s="306">
        <f>IF('دانش‌آموزان'!E89="","",'دانش‌آموزان'!B89)</f>
        <v/>
      </c>
      <c r="D1023" s="306">
        <f>IF('دانش‌آموزان'!C89="","",'دانش‌آموزان'!C89)</f>
        <v/>
      </c>
      <c r="E1023" s="306">
        <f>IF('دانش‌آموزان'!E89="","",'دانش‌آموزان'!E89&amp;" "&amp;'دانش‌آموزان'!F89)</f>
        <v/>
      </c>
      <c r="F1023" s="306">
        <f>IF('دانش‌آموزان'!I89="","",'دانش‌آموزان'!I89)</f>
        <v/>
      </c>
      <c r="G1023" s="307" t="n"/>
      <c r="H1023" s="307" t="n"/>
      <c r="I1023" s="307" t="n"/>
      <c r="J1023" s="307" t="n"/>
      <c r="K1023" s="313">
        <f>IF(COUNT(G1023:J1023)=0,"",AVERAGE(G1023:J1023)*4)</f>
        <v/>
      </c>
      <c r="L1023" s="306">
        <f>IF(C1023="","",IF(COUNT(G1023:J1023)=0,"",IF(COUNT(G1023:J1023)&lt;4,"موقت - اطلاعات ناقص",IF(K1023&gt;=17,"عالی",IF(K1023&gt;=14,"خوب",IF(K1023&gt;=10,"متوسط","ضعیف"))))))</f>
        <v/>
      </c>
      <c r="M1023" s="306" t="n">
        <v>11</v>
      </c>
      <c r="N1023" s="314">
        <f>IF(C1023="","",COUNT(G1023:J1023)/4)</f>
        <v/>
      </c>
      <c r="O1023" s="307" t="n"/>
    </row>
    <row r="1024" ht="24" customHeight="1">
      <c r="A1024" s="306" t="n">
        <v>1020</v>
      </c>
      <c r="B1024" s="306" t="inlineStr">
        <is>
          <t>خرداد</t>
        </is>
      </c>
      <c r="C1024" s="306">
        <f>IF('دانش‌آموزان'!E89="","",'دانش‌آموزان'!B89)</f>
        <v/>
      </c>
      <c r="D1024" s="306">
        <f>IF('دانش‌آموزان'!C89="","",'دانش‌آموزان'!C89)</f>
        <v/>
      </c>
      <c r="E1024" s="306">
        <f>IF('دانش‌آموزان'!E89="","",'دانش‌آموزان'!E89&amp;" "&amp;'دانش‌آموزان'!F89)</f>
        <v/>
      </c>
      <c r="F1024" s="306">
        <f>IF('دانش‌آموزان'!I89="","",'دانش‌آموزان'!I89)</f>
        <v/>
      </c>
      <c r="G1024" s="307" t="n"/>
      <c r="H1024" s="307" t="n"/>
      <c r="I1024" s="307" t="n"/>
      <c r="J1024" s="307" t="n"/>
      <c r="K1024" s="313">
        <f>IF(COUNT(G1024:J1024)=0,"",AVERAGE(G1024:J1024)*4)</f>
        <v/>
      </c>
      <c r="L1024" s="306">
        <f>IF(C1024="","",IF(COUNT(G1024:J1024)=0,"",IF(COUNT(G1024:J1024)&lt;4,"موقت - اطلاعات ناقص",IF(K1024&gt;=17,"عالی",IF(K1024&gt;=14,"خوب",IF(K1024&gt;=10,"متوسط","ضعیف"))))))</f>
        <v/>
      </c>
      <c r="M1024" s="306" t="n">
        <v>12</v>
      </c>
      <c r="N1024" s="314">
        <f>IF(C1024="","",COUNT(G1024:J1024)/4)</f>
        <v/>
      </c>
      <c r="O1024" s="307" t="n"/>
    </row>
    <row r="1025" ht="24" customHeight="1">
      <c r="A1025" s="306" t="n">
        <v>1021</v>
      </c>
      <c r="B1025" s="306" t="inlineStr">
        <is>
          <t>تیر</t>
        </is>
      </c>
      <c r="C1025" s="306">
        <f>IF('دانش‌آموزان'!E90="","",'دانش‌آموزان'!B90)</f>
        <v/>
      </c>
      <c r="D1025" s="306">
        <f>IF('دانش‌آموزان'!C90="","",'دانش‌آموزان'!C90)</f>
        <v/>
      </c>
      <c r="E1025" s="306">
        <f>IF('دانش‌آموزان'!E90="","",'دانش‌آموزان'!E90&amp;" "&amp;'دانش‌آموزان'!F90)</f>
        <v/>
      </c>
      <c r="F1025" s="306">
        <f>IF('دانش‌آموزان'!I90="","",'دانش‌آموزان'!I90)</f>
        <v/>
      </c>
      <c r="G1025" s="307" t="n"/>
      <c r="H1025" s="307" t="n"/>
      <c r="I1025" s="307" t="n"/>
      <c r="J1025" s="307" t="n"/>
      <c r="K1025" s="313">
        <f>IF(COUNT(G1025:J1025)=0,"",AVERAGE(G1025:J1025)*4)</f>
        <v/>
      </c>
      <c r="L1025" s="306">
        <f>IF(C1025="","",IF(COUNT(G1025:J1025)=0,"",IF(COUNT(G1025:J1025)&lt;4,"موقت - اطلاعات ناقص",IF(K1025&gt;=17,"عالی",IF(K1025&gt;=14,"خوب",IF(K1025&gt;=10,"متوسط","ضعیف"))))))</f>
        <v/>
      </c>
      <c r="M1025" s="306" t="n">
        <v>1</v>
      </c>
      <c r="N1025" s="314">
        <f>IF(C1025="","",COUNT(G1025:J1025)/4)</f>
        <v/>
      </c>
      <c r="O1025" s="307" t="n"/>
    </row>
    <row r="1026" ht="24" customHeight="1">
      <c r="A1026" s="306" t="n">
        <v>1022</v>
      </c>
      <c r="B1026" s="306" t="inlineStr">
        <is>
          <t>مرداد</t>
        </is>
      </c>
      <c r="C1026" s="306">
        <f>IF('دانش‌آموزان'!E90="","",'دانش‌آموزان'!B90)</f>
        <v/>
      </c>
      <c r="D1026" s="306">
        <f>IF('دانش‌آموزان'!C90="","",'دانش‌آموزان'!C90)</f>
        <v/>
      </c>
      <c r="E1026" s="306">
        <f>IF('دانش‌آموزان'!E90="","",'دانش‌آموزان'!E90&amp;" "&amp;'دانش‌آموزان'!F90)</f>
        <v/>
      </c>
      <c r="F1026" s="306">
        <f>IF('دانش‌آموزان'!I90="","",'دانش‌آموزان'!I90)</f>
        <v/>
      </c>
      <c r="G1026" s="307" t="n"/>
      <c r="H1026" s="307" t="n"/>
      <c r="I1026" s="307" t="n"/>
      <c r="J1026" s="307" t="n"/>
      <c r="K1026" s="313">
        <f>IF(COUNT(G1026:J1026)=0,"",AVERAGE(G1026:J1026)*4)</f>
        <v/>
      </c>
      <c r="L1026" s="306">
        <f>IF(C1026="","",IF(COUNT(G1026:J1026)=0,"",IF(COUNT(G1026:J1026)&lt;4,"موقت - اطلاعات ناقص",IF(K1026&gt;=17,"عالی",IF(K1026&gt;=14,"خوب",IF(K1026&gt;=10,"متوسط","ضعیف"))))))</f>
        <v/>
      </c>
      <c r="M1026" s="306" t="n">
        <v>2</v>
      </c>
      <c r="N1026" s="314">
        <f>IF(C1026="","",COUNT(G1026:J1026)/4)</f>
        <v/>
      </c>
      <c r="O1026" s="307" t="n"/>
    </row>
    <row r="1027" ht="24" customHeight="1">
      <c r="A1027" s="306" t="n">
        <v>1023</v>
      </c>
      <c r="B1027" s="306" t="inlineStr">
        <is>
          <t>شهریور</t>
        </is>
      </c>
      <c r="C1027" s="306">
        <f>IF('دانش‌آموزان'!E90="","",'دانش‌آموزان'!B90)</f>
        <v/>
      </c>
      <c r="D1027" s="306">
        <f>IF('دانش‌آموزان'!C90="","",'دانش‌آموزان'!C90)</f>
        <v/>
      </c>
      <c r="E1027" s="306">
        <f>IF('دانش‌آموزان'!E90="","",'دانش‌آموزان'!E90&amp;" "&amp;'دانش‌آموزان'!F90)</f>
        <v/>
      </c>
      <c r="F1027" s="306">
        <f>IF('دانش‌آموزان'!I90="","",'دانش‌آموزان'!I90)</f>
        <v/>
      </c>
      <c r="G1027" s="307" t="n"/>
      <c r="H1027" s="307" t="n"/>
      <c r="I1027" s="307" t="n"/>
      <c r="J1027" s="307" t="n"/>
      <c r="K1027" s="313">
        <f>IF(COUNT(G1027:J1027)=0,"",AVERAGE(G1027:J1027)*4)</f>
        <v/>
      </c>
      <c r="L1027" s="306">
        <f>IF(C1027="","",IF(COUNT(G1027:J1027)=0,"",IF(COUNT(G1027:J1027)&lt;4,"موقت - اطلاعات ناقص",IF(K1027&gt;=17,"عالی",IF(K1027&gt;=14,"خوب",IF(K1027&gt;=10,"متوسط","ضعیف"))))))</f>
        <v/>
      </c>
      <c r="M1027" s="306" t="n">
        <v>3</v>
      </c>
      <c r="N1027" s="314">
        <f>IF(C1027="","",COUNT(G1027:J1027)/4)</f>
        <v/>
      </c>
      <c r="O1027" s="307" t="n"/>
    </row>
    <row r="1028" ht="24" customHeight="1">
      <c r="A1028" s="306" t="n">
        <v>1024</v>
      </c>
      <c r="B1028" s="306" t="inlineStr">
        <is>
          <t>مهر</t>
        </is>
      </c>
      <c r="C1028" s="306">
        <f>IF('دانش‌آموزان'!E90="","",'دانش‌آموزان'!B90)</f>
        <v/>
      </c>
      <c r="D1028" s="306">
        <f>IF('دانش‌آموزان'!C90="","",'دانش‌آموزان'!C90)</f>
        <v/>
      </c>
      <c r="E1028" s="306">
        <f>IF('دانش‌آموزان'!E90="","",'دانش‌آموزان'!E90&amp;" "&amp;'دانش‌آموزان'!F90)</f>
        <v/>
      </c>
      <c r="F1028" s="306">
        <f>IF('دانش‌آموزان'!I90="","",'دانش‌آموزان'!I90)</f>
        <v/>
      </c>
      <c r="G1028" s="307" t="n"/>
      <c r="H1028" s="307" t="n"/>
      <c r="I1028" s="307" t="n"/>
      <c r="J1028" s="307" t="n"/>
      <c r="K1028" s="313">
        <f>IF(COUNT(G1028:J1028)=0,"",AVERAGE(G1028:J1028)*4)</f>
        <v/>
      </c>
      <c r="L1028" s="306">
        <f>IF(C1028="","",IF(COUNT(G1028:J1028)=0,"",IF(COUNT(G1028:J1028)&lt;4,"موقت - اطلاعات ناقص",IF(K1028&gt;=17,"عالی",IF(K1028&gt;=14,"خوب",IF(K1028&gt;=10,"متوسط","ضعیف"))))))</f>
        <v/>
      </c>
      <c r="M1028" s="306" t="n">
        <v>4</v>
      </c>
      <c r="N1028" s="314">
        <f>IF(C1028="","",COUNT(G1028:J1028)/4)</f>
        <v/>
      </c>
      <c r="O1028" s="307" t="n"/>
    </row>
    <row r="1029" ht="24" customHeight="1">
      <c r="A1029" s="306" t="n">
        <v>1025</v>
      </c>
      <c r="B1029" s="306" t="inlineStr">
        <is>
          <t>آبان</t>
        </is>
      </c>
      <c r="C1029" s="306">
        <f>IF('دانش‌آموزان'!E90="","",'دانش‌آموزان'!B90)</f>
        <v/>
      </c>
      <c r="D1029" s="306">
        <f>IF('دانش‌آموزان'!C90="","",'دانش‌آموزان'!C90)</f>
        <v/>
      </c>
      <c r="E1029" s="306">
        <f>IF('دانش‌آموزان'!E90="","",'دانش‌آموزان'!E90&amp;" "&amp;'دانش‌آموزان'!F90)</f>
        <v/>
      </c>
      <c r="F1029" s="306">
        <f>IF('دانش‌آموزان'!I90="","",'دانش‌آموزان'!I90)</f>
        <v/>
      </c>
      <c r="G1029" s="307" t="n"/>
      <c r="H1029" s="307" t="n"/>
      <c r="I1029" s="307" t="n"/>
      <c r="J1029" s="307" t="n"/>
      <c r="K1029" s="313">
        <f>IF(COUNT(G1029:J1029)=0,"",AVERAGE(G1029:J1029)*4)</f>
        <v/>
      </c>
      <c r="L1029" s="306">
        <f>IF(C1029="","",IF(COUNT(G1029:J1029)=0,"",IF(COUNT(G1029:J1029)&lt;4,"موقت - اطلاعات ناقص",IF(K1029&gt;=17,"عالی",IF(K1029&gt;=14,"خوب",IF(K1029&gt;=10,"متوسط","ضعیف"))))))</f>
        <v/>
      </c>
      <c r="M1029" s="306" t="n">
        <v>5</v>
      </c>
      <c r="N1029" s="314">
        <f>IF(C1029="","",COUNT(G1029:J1029)/4)</f>
        <v/>
      </c>
      <c r="O1029" s="307" t="n"/>
    </row>
    <row r="1030" ht="24" customHeight="1">
      <c r="A1030" s="306" t="n">
        <v>1026</v>
      </c>
      <c r="B1030" s="306" t="inlineStr">
        <is>
          <t>آذر</t>
        </is>
      </c>
      <c r="C1030" s="306">
        <f>IF('دانش‌آموزان'!E90="","",'دانش‌آموزان'!B90)</f>
        <v/>
      </c>
      <c r="D1030" s="306">
        <f>IF('دانش‌آموزان'!C90="","",'دانش‌آموزان'!C90)</f>
        <v/>
      </c>
      <c r="E1030" s="306">
        <f>IF('دانش‌آموزان'!E90="","",'دانش‌آموزان'!E90&amp;" "&amp;'دانش‌آموزان'!F90)</f>
        <v/>
      </c>
      <c r="F1030" s="306">
        <f>IF('دانش‌آموزان'!I90="","",'دانش‌آموزان'!I90)</f>
        <v/>
      </c>
      <c r="G1030" s="307" t="n"/>
      <c r="H1030" s="307" t="n"/>
      <c r="I1030" s="307" t="n"/>
      <c r="J1030" s="307" t="n"/>
      <c r="K1030" s="313">
        <f>IF(COUNT(G1030:J1030)=0,"",AVERAGE(G1030:J1030)*4)</f>
        <v/>
      </c>
      <c r="L1030" s="306">
        <f>IF(C1030="","",IF(COUNT(G1030:J1030)=0,"",IF(COUNT(G1030:J1030)&lt;4,"موقت - اطلاعات ناقص",IF(K1030&gt;=17,"عالی",IF(K1030&gt;=14,"خوب",IF(K1030&gt;=10,"متوسط","ضعیف"))))))</f>
        <v/>
      </c>
      <c r="M1030" s="306" t="n">
        <v>6</v>
      </c>
      <c r="N1030" s="314">
        <f>IF(C1030="","",COUNT(G1030:J1030)/4)</f>
        <v/>
      </c>
      <c r="O1030" s="307" t="n"/>
    </row>
    <row r="1031" ht="24" customHeight="1">
      <c r="A1031" s="306" t="n">
        <v>1027</v>
      </c>
      <c r="B1031" s="306" t="inlineStr">
        <is>
          <t>دی</t>
        </is>
      </c>
      <c r="C1031" s="306">
        <f>IF('دانش‌آموزان'!E90="","",'دانش‌آموزان'!B90)</f>
        <v/>
      </c>
      <c r="D1031" s="306">
        <f>IF('دانش‌آموزان'!C90="","",'دانش‌آموزان'!C90)</f>
        <v/>
      </c>
      <c r="E1031" s="306">
        <f>IF('دانش‌آموزان'!E90="","",'دانش‌آموزان'!E90&amp;" "&amp;'دانش‌آموزان'!F90)</f>
        <v/>
      </c>
      <c r="F1031" s="306">
        <f>IF('دانش‌آموزان'!I90="","",'دانش‌آموزان'!I90)</f>
        <v/>
      </c>
      <c r="G1031" s="307" t="n"/>
      <c r="H1031" s="307" t="n"/>
      <c r="I1031" s="307" t="n"/>
      <c r="J1031" s="307" t="n"/>
      <c r="K1031" s="313">
        <f>IF(COUNT(G1031:J1031)=0,"",AVERAGE(G1031:J1031)*4)</f>
        <v/>
      </c>
      <c r="L1031" s="306">
        <f>IF(C1031="","",IF(COUNT(G1031:J1031)=0,"",IF(COUNT(G1031:J1031)&lt;4,"موقت - اطلاعات ناقص",IF(K1031&gt;=17,"عالی",IF(K1031&gt;=14,"خوب",IF(K1031&gt;=10,"متوسط","ضعیف"))))))</f>
        <v/>
      </c>
      <c r="M1031" s="306" t="n">
        <v>7</v>
      </c>
      <c r="N1031" s="314">
        <f>IF(C1031="","",COUNT(G1031:J1031)/4)</f>
        <v/>
      </c>
      <c r="O1031" s="307" t="n"/>
    </row>
    <row r="1032" ht="24" customHeight="1">
      <c r="A1032" s="306" t="n">
        <v>1028</v>
      </c>
      <c r="B1032" s="306" t="inlineStr">
        <is>
          <t>بهمن</t>
        </is>
      </c>
      <c r="C1032" s="306">
        <f>IF('دانش‌آموزان'!E90="","",'دانش‌آموزان'!B90)</f>
        <v/>
      </c>
      <c r="D1032" s="306">
        <f>IF('دانش‌آموزان'!C90="","",'دانش‌آموزان'!C90)</f>
        <v/>
      </c>
      <c r="E1032" s="306">
        <f>IF('دانش‌آموزان'!E90="","",'دانش‌آموزان'!E90&amp;" "&amp;'دانش‌آموزان'!F90)</f>
        <v/>
      </c>
      <c r="F1032" s="306">
        <f>IF('دانش‌آموزان'!I90="","",'دانش‌آموزان'!I90)</f>
        <v/>
      </c>
      <c r="G1032" s="307" t="n"/>
      <c r="H1032" s="307" t="n"/>
      <c r="I1032" s="307" t="n"/>
      <c r="J1032" s="307" t="n"/>
      <c r="K1032" s="313">
        <f>IF(COUNT(G1032:J1032)=0,"",AVERAGE(G1032:J1032)*4)</f>
        <v/>
      </c>
      <c r="L1032" s="306">
        <f>IF(C1032="","",IF(COUNT(G1032:J1032)=0,"",IF(COUNT(G1032:J1032)&lt;4,"موقت - اطلاعات ناقص",IF(K1032&gt;=17,"عالی",IF(K1032&gt;=14,"خوب",IF(K1032&gt;=10,"متوسط","ضعیف"))))))</f>
        <v/>
      </c>
      <c r="M1032" s="306" t="n">
        <v>8</v>
      </c>
      <c r="N1032" s="314">
        <f>IF(C1032="","",COUNT(G1032:J1032)/4)</f>
        <v/>
      </c>
      <c r="O1032" s="307" t="n"/>
    </row>
    <row r="1033" ht="24" customHeight="1">
      <c r="A1033" s="306" t="n">
        <v>1029</v>
      </c>
      <c r="B1033" s="306" t="inlineStr">
        <is>
          <t>اسفند</t>
        </is>
      </c>
      <c r="C1033" s="306">
        <f>IF('دانش‌آموزان'!E90="","",'دانش‌آموزان'!B90)</f>
        <v/>
      </c>
      <c r="D1033" s="306">
        <f>IF('دانش‌آموزان'!C90="","",'دانش‌آموزان'!C90)</f>
        <v/>
      </c>
      <c r="E1033" s="306">
        <f>IF('دانش‌آموزان'!E90="","",'دانش‌آموزان'!E90&amp;" "&amp;'دانش‌آموزان'!F90)</f>
        <v/>
      </c>
      <c r="F1033" s="306">
        <f>IF('دانش‌آموزان'!I90="","",'دانش‌آموزان'!I90)</f>
        <v/>
      </c>
      <c r="G1033" s="307" t="n"/>
      <c r="H1033" s="307" t="n"/>
      <c r="I1033" s="307" t="n"/>
      <c r="J1033" s="307" t="n"/>
      <c r="K1033" s="313">
        <f>IF(COUNT(G1033:J1033)=0,"",AVERAGE(G1033:J1033)*4)</f>
        <v/>
      </c>
      <c r="L1033" s="306">
        <f>IF(C1033="","",IF(COUNT(G1033:J1033)=0,"",IF(COUNT(G1033:J1033)&lt;4,"موقت - اطلاعات ناقص",IF(K1033&gt;=17,"عالی",IF(K1033&gt;=14,"خوب",IF(K1033&gt;=10,"متوسط","ضعیف"))))))</f>
        <v/>
      </c>
      <c r="M1033" s="306" t="n">
        <v>9</v>
      </c>
      <c r="N1033" s="314">
        <f>IF(C1033="","",COUNT(G1033:J1033)/4)</f>
        <v/>
      </c>
      <c r="O1033" s="307" t="n"/>
    </row>
    <row r="1034" ht="24" customHeight="1">
      <c r="A1034" s="306" t="n">
        <v>1030</v>
      </c>
      <c r="B1034" s="306" t="inlineStr">
        <is>
          <t>فروردین</t>
        </is>
      </c>
      <c r="C1034" s="306">
        <f>IF('دانش‌آموزان'!E90="","",'دانش‌آموزان'!B90)</f>
        <v/>
      </c>
      <c r="D1034" s="306">
        <f>IF('دانش‌آموزان'!C90="","",'دانش‌آموزان'!C90)</f>
        <v/>
      </c>
      <c r="E1034" s="306">
        <f>IF('دانش‌آموزان'!E90="","",'دانش‌آموزان'!E90&amp;" "&amp;'دانش‌آموزان'!F90)</f>
        <v/>
      </c>
      <c r="F1034" s="306">
        <f>IF('دانش‌آموزان'!I90="","",'دانش‌آموزان'!I90)</f>
        <v/>
      </c>
      <c r="G1034" s="307" t="n"/>
      <c r="H1034" s="307" t="n"/>
      <c r="I1034" s="307" t="n"/>
      <c r="J1034" s="307" t="n"/>
      <c r="K1034" s="313">
        <f>IF(COUNT(G1034:J1034)=0,"",AVERAGE(G1034:J1034)*4)</f>
        <v/>
      </c>
      <c r="L1034" s="306">
        <f>IF(C1034="","",IF(COUNT(G1034:J1034)=0,"",IF(COUNT(G1034:J1034)&lt;4,"موقت - اطلاعات ناقص",IF(K1034&gt;=17,"عالی",IF(K1034&gt;=14,"خوب",IF(K1034&gt;=10,"متوسط","ضعیف"))))))</f>
        <v/>
      </c>
      <c r="M1034" s="306" t="n">
        <v>10</v>
      </c>
      <c r="N1034" s="314">
        <f>IF(C1034="","",COUNT(G1034:J1034)/4)</f>
        <v/>
      </c>
      <c r="O1034" s="307" t="n"/>
    </row>
    <row r="1035" ht="24" customHeight="1">
      <c r="A1035" s="306" t="n">
        <v>1031</v>
      </c>
      <c r="B1035" s="306" t="inlineStr">
        <is>
          <t>اردیبهشت</t>
        </is>
      </c>
      <c r="C1035" s="306">
        <f>IF('دانش‌آموزان'!E90="","",'دانش‌آموزان'!B90)</f>
        <v/>
      </c>
      <c r="D1035" s="306">
        <f>IF('دانش‌آموزان'!C90="","",'دانش‌آموزان'!C90)</f>
        <v/>
      </c>
      <c r="E1035" s="306">
        <f>IF('دانش‌آموزان'!E90="","",'دانش‌آموزان'!E90&amp;" "&amp;'دانش‌آموزان'!F90)</f>
        <v/>
      </c>
      <c r="F1035" s="306">
        <f>IF('دانش‌آموزان'!I90="","",'دانش‌آموزان'!I90)</f>
        <v/>
      </c>
      <c r="G1035" s="307" t="n"/>
      <c r="H1035" s="307" t="n"/>
      <c r="I1035" s="307" t="n"/>
      <c r="J1035" s="307" t="n"/>
      <c r="K1035" s="313">
        <f>IF(COUNT(G1035:J1035)=0,"",AVERAGE(G1035:J1035)*4)</f>
        <v/>
      </c>
      <c r="L1035" s="306">
        <f>IF(C1035="","",IF(COUNT(G1035:J1035)=0,"",IF(COUNT(G1035:J1035)&lt;4,"موقت - اطلاعات ناقص",IF(K1035&gt;=17,"عالی",IF(K1035&gt;=14,"خوب",IF(K1035&gt;=10,"متوسط","ضعیف"))))))</f>
        <v/>
      </c>
      <c r="M1035" s="306" t="n">
        <v>11</v>
      </c>
      <c r="N1035" s="314">
        <f>IF(C1035="","",COUNT(G1035:J1035)/4)</f>
        <v/>
      </c>
      <c r="O1035" s="307" t="n"/>
    </row>
    <row r="1036" ht="24" customHeight="1">
      <c r="A1036" s="306" t="n">
        <v>1032</v>
      </c>
      <c r="B1036" s="306" t="inlineStr">
        <is>
          <t>خرداد</t>
        </is>
      </c>
      <c r="C1036" s="306">
        <f>IF('دانش‌آموزان'!E90="","",'دانش‌آموزان'!B90)</f>
        <v/>
      </c>
      <c r="D1036" s="306">
        <f>IF('دانش‌آموزان'!C90="","",'دانش‌آموزان'!C90)</f>
        <v/>
      </c>
      <c r="E1036" s="306">
        <f>IF('دانش‌آموزان'!E90="","",'دانش‌آموزان'!E90&amp;" "&amp;'دانش‌آموزان'!F90)</f>
        <v/>
      </c>
      <c r="F1036" s="306">
        <f>IF('دانش‌آموزان'!I90="","",'دانش‌آموزان'!I90)</f>
        <v/>
      </c>
      <c r="G1036" s="307" t="n"/>
      <c r="H1036" s="307" t="n"/>
      <c r="I1036" s="307" t="n"/>
      <c r="J1036" s="307" t="n"/>
      <c r="K1036" s="313">
        <f>IF(COUNT(G1036:J1036)=0,"",AVERAGE(G1036:J1036)*4)</f>
        <v/>
      </c>
      <c r="L1036" s="306">
        <f>IF(C1036="","",IF(COUNT(G1036:J1036)=0,"",IF(COUNT(G1036:J1036)&lt;4,"موقت - اطلاعات ناقص",IF(K1036&gt;=17,"عالی",IF(K1036&gt;=14,"خوب",IF(K1036&gt;=10,"متوسط","ضعیف"))))))</f>
        <v/>
      </c>
      <c r="M1036" s="306" t="n">
        <v>12</v>
      </c>
      <c r="N1036" s="314">
        <f>IF(C1036="","",COUNT(G1036:J1036)/4)</f>
        <v/>
      </c>
      <c r="O1036" s="307" t="n"/>
    </row>
    <row r="1037" ht="24" customHeight="1">
      <c r="A1037" s="306" t="n">
        <v>1033</v>
      </c>
      <c r="B1037" s="306" t="inlineStr">
        <is>
          <t>تیر</t>
        </is>
      </c>
      <c r="C1037" s="306">
        <f>IF('دانش‌آموزان'!E91="","",'دانش‌آموزان'!B91)</f>
        <v/>
      </c>
      <c r="D1037" s="306">
        <f>IF('دانش‌آموزان'!C91="","",'دانش‌آموزان'!C91)</f>
        <v/>
      </c>
      <c r="E1037" s="306">
        <f>IF('دانش‌آموزان'!E91="","",'دانش‌آموزان'!E91&amp;" "&amp;'دانش‌آموزان'!F91)</f>
        <v/>
      </c>
      <c r="F1037" s="306">
        <f>IF('دانش‌آموزان'!I91="","",'دانش‌آموزان'!I91)</f>
        <v/>
      </c>
      <c r="G1037" s="307" t="n"/>
      <c r="H1037" s="307" t="n"/>
      <c r="I1037" s="307" t="n"/>
      <c r="J1037" s="307" t="n"/>
      <c r="K1037" s="313">
        <f>IF(COUNT(G1037:J1037)=0,"",AVERAGE(G1037:J1037)*4)</f>
        <v/>
      </c>
      <c r="L1037" s="306">
        <f>IF(C1037="","",IF(COUNT(G1037:J1037)=0,"",IF(COUNT(G1037:J1037)&lt;4,"موقت - اطلاعات ناقص",IF(K1037&gt;=17,"عالی",IF(K1037&gt;=14,"خوب",IF(K1037&gt;=10,"متوسط","ضعیف"))))))</f>
        <v/>
      </c>
      <c r="M1037" s="306" t="n">
        <v>1</v>
      </c>
      <c r="N1037" s="314">
        <f>IF(C1037="","",COUNT(G1037:J1037)/4)</f>
        <v/>
      </c>
      <c r="O1037" s="307" t="n"/>
    </row>
    <row r="1038" ht="24" customHeight="1">
      <c r="A1038" s="306" t="n">
        <v>1034</v>
      </c>
      <c r="B1038" s="306" t="inlineStr">
        <is>
          <t>مرداد</t>
        </is>
      </c>
      <c r="C1038" s="306">
        <f>IF('دانش‌آموزان'!E91="","",'دانش‌آموزان'!B91)</f>
        <v/>
      </c>
      <c r="D1038" s="306">
        <f>IF('دانش‌آموزان'!C91="","",'دانش‌آموزان'!C91)</f>
        <v/>
      </c>
      <c r="E1038" s="306">
        <f>IF('دانش‌آموزان'!E91="","",'دانش‌آموزان'!E91&amp;" "&amp;'دانش‌آموزان'!F91)</f>
        <v/>
      </c>
      <c r="F1038" s="306">
        <f>IF('دانش‌آموزان'!I91="","",'دانش‌آموزان'!I91)</f>
        <v/>
      </c>
      <c r="G1038" s="307" t="n"/>
      <c r="H1038" s="307" t="n"/>
      <c r="I1038" s="307" t="n"/>
      <c r="J1038" s="307" t="n"/>
      <c r="K1038" s="313">
        <f>IF(COUNT(G1038:J1038)=0,"",AVERAGE(G1038:J1038)*4)</f>
        <v/>
      </c>
      <c r="L1038" s="306">
        <f>IF(C1038="","",IF(COUNT(G1038:J1038)=0,"",IF(COUNT(G1038:J1038)&lt;4,"موقت - اطلاعات ناقص",IF(K1038&gt;=17,"عالی",IF(K1038&gt;=14,"خوب",IF(K1038&gt;=10,"متوسط","ضعیف"))))))</f>
        <v/>
      </c>
      <c r="M1038" s="306" t="n">
        <v>2</v>
      </c>
      <c r="N1038" s="314">
        <f>IF(C1038="","",COUNT(G1038:J1038)/4)</f>
        <v/>
      </c>
      <c r="O1038" s="307" t="n"/>
    </row>
    <row r="1039" ht="24" customHeight="1">
      <c r="A1039" s="306" t="n">
        <v>1035</v>
      </c>
      <c r="B1039" s="306" t="inlineStr">
        <is>
          <t>شهریور</t>
        </is>
      </c>
      <c r="C1039" s="306">
        <f>IF('دانش‌آموزان'!E91="","",'دانش‌آموزان'!B91)</f>
        <v/>
      </c>
      <c r="D1039" s="306">
        <f>IF('دانش‌آموزان'!C91="","",'دانش‌آموزان'!C91)</f>
        <v/>
      </c>
      <c r="E1039" s="306">
        <f>IF('دانش‌آموزان'!E91="","",'دانش‌آموزان'!E91&amp;" "&amp;'دانش‌آموزان'!F91)</f>
        <v/>
      </c>
      <c r="F1039" s="306">
        <f>IF('دانش‌آموزان'!I91="","",'دانش‌آموزان'!I91)</f>
        <v/>
      </c>
      <c r="G1039" s="307" t="n"/>
      <c r="H1039" s="307" t="n"/>
      <c r="I1039" s="307" t="n"/>
      <c r="J1039" s="307" t="n"/>
      <c r="K1039" s="313">
        <f>IF(COUNT(G1039:J1039)=0,"",AVERAGE(G1039:J1039)*4)</f>
        <v/>
      </c>
      <c r="L1039" s="306">
        <f>IF(C1039="","",IF(COUNT(G1039:J1039)=0,"",IF(COUNT(G1039:J1039)&lt;4,"موقت - اطلاعات ناقص",IF(K1039&gt;=17,"عالی",IF(K1039&gt;=14,"خوب",IF(K1039&gt;=10,"متوسط","ضعیف"))))))</f>
        <v/>
      </c>
      <c r="M1039" s="306" t="n">
        <v>3</v>
      </c>
      <c r="N1039" s="314">
        <f>IF(C1039="","",COUNT(G1039:J1039)/4)</f>
        <v/>
      </c>
      <c r="O1039" s="307" t="n"/>
    </row>
    <row r="1040" ht="24" customHeight="1">
      <c r="A1040" s="306" t="n">
        <v>1036</v>
      </c>
      <c r="B1040" s="306" t="inlineStr">
        <is>
          <t>مهر</t>
        </is>
      </c>
      <c r="C1040" s="306">
        <f>IF('دانش‌آموزان'!E91="","",'دانش‌آموزان'!B91)</f>
        <v/>
      </c>
      <c r="D1040" s="306">
        <f>IF('دانش‌آموزان'!C91="","",'دانش‌آموزان'!C91)</f>
        <v/>
      </c>
      <c r="E1040" s="306">
        <f>IF('دانش‌آموزان'!E91="","",'دانش‌آموزان'!E91&amp;" "&amp;'دانش‌آموزان'!F91)</f>
        <v/>
      </c>
      <c r="F1040" s="306">
        <f>IF('دانش‌آموزان'!I91="","",'دانش‌آموزان'!I91)</f>
        <v/>
      </c>
      <c r="G1040" s="307" t="n"/>
      <c r="H1040" s="307" t="n"/>
      <c r="I1040" s="307" t="n"/>
      <c r="J1040" s="307" t="n"/>
      <c r="K1040" s="313">
        <f>IF(COUNT(G1040:J1040)=0,"",AVERAGE(G1040:J1040)*4)</f>
        <v/>
      </c>
      <c r="L1040" s="306">
        <f>IF(C1040="","",IF(COUNT(G1040:J1040)=0,"",IF(COUNT(G1040:J1040)&lt;4,"موقت - اطلاعات ناقص",IF(K1040&gt;=17,"عالی",IF(K1040&gt;=14,"خوب",IF(K1040&gt;=10,"متوسط","ضعیف"))))))</f>
        <v/>
      </c>
      <c r="M1040" s="306" t="n">
        <v>4</v>
      </c>
      <c r="N1040" s="314">
        <f>IF(C1040="","",COUNT(G1040:J1040)/4)</f>
        <v/>
      </c>
      <c r="O1040" s="307" t="n"/>
    </row>
    <row r="1041" ht="24" customHeight="1">
      <c r="A1041" s="306" t="n">
        <v>1037</v>
      </c>
      <c r="B1041" s="306" t="inlineStr">
        <is>
          <t>آبان</t>
        </is>
      </c>
      <c r="C1041" s="306">
        <f>IF('دانش‌آموزان'!E91="","",'دانش‌آموزان'!B91)</f>
        <v/>
      </c>
      <c r="D1041" s="306">
        <f>IF('دانش‌آموزان'!C91="","",'دانش‌آموزان'!C91)</f>
        <v/>
      </c>
      <c r="E1041" s="306">
        <f>IF('دانش‌آموزان'!E91="","",'دانش‌آموزان'!E91&amp;" "&amp;'دانش‌آموزان'!F91)</f>
        <v/>
      </c>
      <c r="F1041" s="306">
        <f>IF('دانش‌آموزان'!I91="","",'دانش‌آموزان'!I91)</f>
        <v/>
      </c>
      <c r="G1041" s="307" t="n"/>
      <c r="H1041" s="307" t="n"/>
      <c r="I1041" s="307" t="n"/>
      <c r="J1041" s="307" t="n"/>
      <c r="K1041" s="313">
        <f>IF(COUNT(G1041:J1041)=0,"",AVERAGE(G1041:J1041)*4)</f>
        <v/>
      </c>
      <c r="L1041" s="306">
        <f>IF(C1041="","",IF(COUNT(G1041:J1041)=0,"",IF(COUNT(G1041:J1041)&lt;4,"موقت - اطلاعات ناقص",IF(K1041&gt;=17,"عالی",IF(K1041&gt;=14,"خوب",IF(K1041&gt;=10,"متوسط","ضعیف"))))))</f>
        <v/>
      </c>
      <c r="M1041" s="306" t="n">
        <v>5</v>
      </c>
      <c r="N1041" s="314">
        <f>IF(C1041="","",COUNT(G1041:J1041)/4)</f>
        <v/>
      </c>
      <c r="O1041" s="307" t="n"/>
    </row>
    <row r="1042" ht="24" customHeight="1">
      <c r="A1042" s="306" t="n">
        <v>1038</v>
      </c>
      <c r="B1042" s="306" t="inlineStr">
        <is>
          <t>آذر</t>
        </is>
      </c>
      <c r="C1042" s="306">
        <f>IF('دانش‌آموزان'!E91="","",'دانش‌آموزان'!B91)</f>
        <v/>
      </c>
      <c r="D1042" s="306">
        <f>IF('دانش‌آموزان'!C91="","",'دانش‌آموزان'!C91)</f>
        <v/>
      </c>
      <c r="E1042" s="306">
        <f>IF('دانش‌آموزان'!E91="","",'دانش‌آموزان'!E91&amp;" "&amp;'دانش‌آموزان'!F91)</f>
        <v/>
      </c>
      <c r="F1042" s="306">
        <f>IF('دانش‌آموزان'!I91="","",'دانش‌آموزان'!I91)</f>
        <v/>
      </c>
      <c r="G1042" s="307" t="n"/>
      <c r="H1042" s="307" t="n"/>
      <c r="I1042" s="307" t="n"/>
      <c r="J1042" s="307" t="n"/>
      <c r="K1042" s="313">
        <f>IF(COUNT(G1042:J1042)=0,"",AVERAGE(G1042:J1042)*4)</f>
        <v/>
      </c>
      <c r="L1042" s="306">
        <f>IF(C1042="","",IF(COUNT(G1042:J1042)=0,"",IF(COUNT(G1042:J1042)&lt;4,"موقت - اطلاعات ناقص",IF(K1042&gt;=17,"عالی",IF(K1042&gt;=14,"خوب",IF(K1042&gt;=10,"متوسط","ضعیف"))))))</f>
        <v/>
      </c>
      <c r="M1042" s="306" t="n">
        <v>6</v>
      </c>
      <c r="N1042" s="314">
        <f>IF(C1042="","",COUNT(G1042:J1042)/4)</f>
        <v/>
      </c>
      <c r="O1042" s="307" t="n"/>
    </row>
    <row r="1043" ht="24" customHeight="1">
      <c r="A1043" s="306" t="n">
        <v>1039</v>
      </c>
      <c r="B1043" s="306" t="inlineStr">
        <is>
          <t>دی</t>
        </is>
      </c>
      <c r="C1043" s="306">
        <f>IF('دانش‌آموزان'!E91="","",'دانش‌آموزان'!B91)</f>
        <v/>
      </c>
      <c r="D1043" s="306">
        <f>IF('دانش‌آموزان'!C91="","",'دانش‌آموزان'!C91)</f>
        <v/>
      </c>
      <c r="E1043" s="306">
        <f>IF('دانش‌آموزان'!E91="","",'دانش‌آموزان'!E91&amp;" "&amp;'دانش‌آموزان'!F91)</f>
        <v/>
      </c>
      <c r="F1043" s="306">
        <f>IF('دانش‌آموزان'!I91="","",'دانش‌آموزان'!I91)</f>
        <v/>
      </c>
      <c r="G1043" s="307" t="n"/>
      <c r="H1043" s="307" t="n"/>
      <c r="I1043" s="307" t="n"/>
      <c r="J1043" s="307" t="n"/>
      <c r="K1043" s="313">
        <f>IF(COUNT(G1043:J1043)=0,"",AVERAGE(G1043:J1043)*4)</f>
        <v/>
      </c>
      <c r="L1043" s="306">
        <f>IF(C1043="","",IF(COUNT(G1043:J1043)=0,"",IF(COUNT(G1043:J1043)&lt;4,"موقت - اطلاعات ناقص",IF(K1043&gt;=17,"عالی",IF(K1043&gt;=14,"خوب",IF(K1043&gt;=10,"متوسط","ضعیف"))))))</f>
        <v/>
      </c>
      <c r="M1043" s="306" t="n">
        <v>7</v>
      </c>
      <c r="N1043" s="314">
        <f>IF(C1043="","",COUNT(G1043:J1043)/4)</f>
        <v/>
      </c>
      <c r="O1043" s="307" t="n"/>
    </row>
    <row r="1044" ht="24" customHeight="1">
      <c r="A1044" s="306" t="n">
        <v>1040</v>
      </c>
      <c r="B1044" s="306" t="inlineStr">
        <is>
          <t>بهمن</t>
        </is>
      </c>
      <c r="C1044" s="306">
        <f>IF('دانش‌آموزان'!E91="","",'دانش‌آموزان'!B91)</f>
        <v/>
      </c>
      <c r="D1044" s="306">
        <f>IF('دانش‌آموزان'!C91="","",'دانش‌آموزان'!C91)</f>
        <v/>
      </c>
      <c r="E1044" s="306">
        <f>IF('دانش‌آموزان'!E91="","",'دانش‌آموزان'!E91&amp;" "&amp;'دانش‌آموزان'!F91)</f>
        <v/>
      </c>
      <c r="F1044" s="306">
        <f>IF('دانش‌آموزان'!I91="","",'دانش‌آموزان'!I91)</f>
        <v/>
      </c>
      <c r="G1044" s="307" t="n"/>
      <c r="H1044" s="307" t="n"/>
      <c r="I1044" s="307" t="n"/>
      <c r="J1044" s="307" t="n"/>
      <c r="K1044" s="313">
        <f>IF(COUNT(G1044:J1044)=0,"",AVERAGE(G1044:J1044)*4)</f>
        <v/>
      </c>
      <c r="L1044" s="306">
        <f>IF(C1044="","",IF(COUNT(G1044:J1044)=0,"",IF(COUNT(G1044:J1044)&lt;4,"موقت - اطلاعات ناقص",IF(K1044&gt;=17,"عالی",IF(K1044&gt;=14,"خوب",IF(K1044&gt;=10,"متوسط","ضعیف"))))))</f>
        <v/>
      </c>
      <c r="M1044" s="306" t="n">
        <v>8</v>
      </c>
      <c r="N1044" s="314">
        <f>IF(C1044="","",COUNT(G1044:J1044)/4)</f>
        <v/>
      </c>
      <c r="O1044" s="307" t="n"/>
    </row>
    <row r="1045" ht="24" customHeight="1">
      <c r="A1045" s="306" t="n">
        <v>1041</v>
      </c>
      <c r="B1045" s="306" t="inlineStr">
        <is>
          <t>اسفند</t>
        </is>
      </c>
      <c r="C1045" s="306">
        <f>IF('دانش‌آموزان'!E91="","",'دانش‌آموزان'!B91)</f>
        <v/>
      </c>
      <c r="D1045" s="306">
        <f>IF('دانش‌آموزان'!C91="","",'دانش‌آموزان'!C91)</f>
        <v/>
      </c>
      <c r="E1045" s="306">
        <f>IF('دانش‌آموزان'!E91="","",'دانش‌آموزان'!E91&amp;" "&amp;'دانش‌آموزان'!F91)</f>
        <v/>
      </c>
      <c r="F1045" s="306">
        <f>IF('دانش‌آموزان'!I91="","",'دانش‌آموزان'!I91)</f>
        <v/>
      </c>
      <c r="G1045" s="307" t="n"/>
      <c r="H1045" s="307" t="n"/>
      <c r="I1045" s="307" t="n"/>
      <c r="J1045" s="307" t="n"/>
      <c r="K1045" s="313">
        <f>IF(COUNT(G1045:J1045)=0,"",AVERAGE(G1045:J1045)*4)</f>
        <v/>
      </c>
      <c r="L1045" s="306">
        <f>IF(C1045="","",IF(COUNT(G1045:J1045)=0,"",IF(COUNT(G1045:J1045)&lt;4,"موقت - اطلاعات ناقص",IF(K1045&gt;=17,"عالی",IF(K1045&gt;=14,"خوب",IF(K1045&gt;=10,"متوسط","ضعیف"))))))</f>
        <v/>
      </c>
      <c r="M1045" s="306" t="n">
        <v>9</v>
      </c>
      <c r="N1045" s="314">
        <f>IF(C1045="","",COUNT(G1045:J1045)/4)</f>
        <v/>
      </c>
      <c r="O1045" s="307" t="n"/>
    </row>
    <row r="1046" ht="24" customHeight="1">
      <c r="A1046" s="306" t="n">
        <v>1042</v>
      </c>
      <c r="B1046" s="306" t="inlineStr">
        <is>
          <t>فروردین</t>
        </is>
      </c>
      <c r="C1046" s="306">
        <f>IF('دانش‌آموزان'!E91="","",'دانش‌آموزان'!B91)</f>
        <v/>
      </c>
      <c r="D1046" s="306">
        <f>IF('دانش‌آموزان'!C91="","",'دانش‌آموزان'!C91)</f>
        <v/>
      </c>
      <c r="E1046" s="306">
        <f>IF('دانش‌آموزان'!E91="","",'دانش‌آموزان'!E91&amp;" "&amp;'دانش‌آموزان'!F91)</f>
        <v/>
      </c>
      <c r="F1046" s="306">
        <f>IF('دانش‌آموزان'!I91="","",'دانش‌آموزان'!I91)</f>
        <v/>
      </c>
      <c r="G1046" s="307" t="n"/>
      <c r="H1046" s="307" t="n"/>
      <c r="I1046" s="307" t="n"/>
      <c r="J1046" s="307" t="n"/>
      <c r="K1046" s="313">
        <f>IF(COUNT(G1046:J1046)=0,"",AVERAGE(G1046:J1046)*4)</f>
        <v/>
      </c>
      <c r="L1046" s="306">
        <f>IF(C1046="","",IF(COUNT(G1046:J1046)=0,"",IF(COUNT(G1046:J1046)&lt;4,"موقت - اطلاعات ناقص",IF(K1046&gt;=17,"عالی",IF(K1046&gt;=14,"خوب",IF(K1046&gt;=10,"متوسط","ضعیف"))))))</f>
        <v/>
      </c>
      <c r="M1046" s="306" t="n">
        <v>10</v>
      </c>
      <c r="N1046" s="314">
        <f>IF(C1046="","",COUNT(G1046:J1046)/4)</f>
        <v/>
      </c>
      <c r="O1046" s="307" t="n"/>
    </row>
    <row r="1047" ht="24" customHeight="1">
      <c r="A1047" s="306" t="n">
        <v>1043</v>
      </c>
      <c r="B1047" s="306" t="inlineStr">
        <is>
          <t>اردیبهشت</t>
        </is>
      </c>
      <c r="C1047" s="306">
        <f>IF('دانش‌آموزان'!E91="","",'دانش‌آموزان'!B91)</f>
        <v/>
      </c>
      <c r="D1047" s="306">
        <f>IF('دانش‌آموزان'!C91="","",'دانش‌آموزان'!C91)</f>
        <v/>
      </c>
      <c r="E1047" s="306">
        <f>IF('دانش‌آموزان'!E91="","",'دانش‌آموزان'!E91&amp;" "&amp;'دانش‌آموزان'!F91)</f>
        <v/>
      </c>
      <c r="F1047" s="306">
        <f>IF('دانش‌آموزان'!I91="","",'دانش‌آموزان'!I91)</f>
        <v/>
      </c>
      <c r="G1047" s="307" t="n"/>
      <c r="H1047" s="307" t="n"/>
      <c r="I1047" s="307" t="n"/>
      <c r="J1047" s="307" t="n"/>
      <c r="K1047" s="313">
        <f>IF(COUNT(G1047:J1047)=0,"",AVERAGE(G1047:J1047)*4)</f>
        <v/>
      </c>
      <c r="L1047" s="306">
        <f>IF(C1047="","",IF(COUNT(G1047:J1047)=0,"",IF(COUNT(G1047:J1047)&lt;4,"موقت - اطلاعات ناقص",IF(K1047&gt;=17,"عالی",IF(K1047&gt;=14,"خوب",IF(K1047&gt;=10,"متوسط","ضعیف"))))))</f>
        <v/>
      </c>
      <c r="M1047" s="306" t="n">
        <v>11</v>
      </c>
      <c r="N1047" s="314">
        <f>IF(C1047="","",COUNT(G1047:J1047)/4)</f>
        <v/>
      </c>
      <c r="O1047" s="307" t="n"/>
    </row>
    <row r="1048" ht="24" customHeight="1">
      <c r="A1048" s="306" t="n">
        <v>1044</v>
      </c>
      <c r="B1048" s="306" t="inlineStr">
        <is>
          <t>خرداد</t>
        </is>
      </c>
      <c r="C1048" s="306">
        <f>IF('دانش‌آموزان'!E91="","",'دانش‌آموزان'!B91)</f>
        <v/>
      </c>
      <c r="D1048" s="306">
        <f>IF('دانش‌آموزان'!C91="","",'دانش‌آموزان'!C91)</f>
        <v/>
      </c>
      <c r="E1048" s="306">
        <f>IF('دانش‌آموزان'!E91="","",'دانش‌آموزان'!E91&amp;" "&amp;'دانش‌آموزان'!F91)</f>
        <v/>
      </c>
      <c r="F1048" s="306">
        <f>IF('دانش‌آموزان'!I91="","",'دانش‌آموزان'!I91)</f>
        <v/>
      </c>
      <c r="G1048" s="307" t="n"/>
      <c r="H1048" s="307" t="n"/>
      <c r="I1048" s="307" t="n"/>
      <c r="J1048" s="307" t="n"/>
      <c r="K1048" s="313">
        <f>IF(COUNT(G1048:J1048)=0,"",AVERAGE(G1048:J1048)*4)</f>
        <v/>
      </c>
      <c r="L1048" s="306">
        <f>IF(C1048="","",IF(COUNT(G1048:J1048)=0,"",IF(COUNT(G1048:J1048)&lt;4,"موقت - اطلاعات ناقص",IF(K1048&gt;=17,"عالی",IF(K1048&gt;=14,"خوب",IF(K1048&gt;=10,"متوسط","ضعیف"))))))</f>
        <v/>
      </c>
      <c r="M1048" s="306" t="n">
        <v>12</v>
      </c>
      <c r="N1048" s="314">
        <f>IF(C1048="","",COUNT(G1048:J1048)/4)</f>
        <v/>
      </c>
      <c r="O1048" s="307" t="n"/>
    </row>
    <row r="1049" ht="24" customHeight="1">
      <c r="A1049" s="306" t="n">
        <v>1045</v>
      </c>
      <c r="B1049" s="306" t="inlineStr">
        <is>
          <t>تیر</t>
        </is>
      </c>
      <c r="C1049" s="306">
        <f>IF('دانش‌آموزان'!E92="","",'دانش‌آموزان'!B92)</f>
        <v/>
      </c>
      <c r="D1049" s="306">
        <f>IF('دانش‌آموزان'!C92="","",'دانش‌آموزان'!C92)</f>
        <v/>
      </c>
      <c r="E1049" s="306">
        <f>IF('دانش‌آموزان'!E92="","",'دانش‌آموزان'!E92&amp;" "&amp;'دانش‌آموزان'!F92)</f>
        <v/>
      </c>
      <c r="F1049" s="306">
        <f>IF('دانش‌آموزان'!I92="","",'دانش‌آموزان'!I92)</f>
        <v/>
      </c>
      <c r="G1049" s="307" t="n"/>
      <c r="H1049" s="307" t="n"/>
      <c r="I1049" s="307" t="n"/>
      <c r="J1049" s="307" t="n"/>
      <c r="K1049" s="313">
        <f>IF(COUNT(G1049:J1049)=0,"",AVERAGE(G1049:J1049)*4)</f>
        <v/>
      </c>
      <c r="L1049" s="306">
        <f>IF(C1049="","",IF(COUNT(G1049:J1049)=0,"",IF(COUNT(G1049:J1049)&lt;4,"موقت - اطلاعات ناقص",IF(K1049&gt;=17,"عالی",IF(K1049&gt;=14,"خوب",IF(K1049&gt;=10,"متوسط","ضعیف"))))))</f>
        <v/>
      </c>
      <c r="M1049" s="306" t="n">
        <v>1</v>
      </c>
      <c r="N1049" s="314">
        <f>IF(C1049="","",COUNT(G1049:J1049)/4)</f>
        <v/>
      </c>
      <c r="O1049" s="307" t="n"/>
    </row>
    <row r="1050" ht="24" customHeight="1">
      <c r="A1050" s="306" t="n">
        <v>1046</v>
      </c>
      <c r="B1050" s="306" t="inlineStr">
        <is>
          <t>مرداد</t>
        </is>
      </c>
      <c r="C1050" s="306">
        <f>IF('دانش‌آموزان'!E92="","",'دانش‌آموزان'!B92)</f>
        <v/>
      </c>
      <c r="D1050" s="306">
        <f>IF('دانش‌آموزان'!C92="","",'دانش‌آموزان'!C92)</f>
        <v/>
      </c>
      <c r="E1050" s="306">
        <f>IF('دانش‌آموزان'!E92="","",'دانش‌آموزان'!E92&amp;" "&amp;'دانش‌آموزان'!F92)</f>
        <v/>
      </c>
      <c r="F1050" s="306">
        <f>IF('دانش‌آموزان'!I92="","",'دانش‌آموزان'!I92)</f>
        <v/>
      </c>
      <c r="G1050" s="307" t="n"/>
      <c r="H1050" s="307" t="n"/>
      <c r="I1050" s="307" t="n"/>
      <c r="J1050" s="307" t="n"/>
      <c r="K1050" s="313">
        <f>IF(COUNT(G1050:J1050)=0,"",AVERAGE(G1050:J1050)*4)</f>
        <v/>
      </c>
      <c r="L1050" s="306">
        <f>IF(C1050="","",IF(COUNT(G1050:J1050)=0,"",IF(COUNT(G1050:J1050)&lt;4,"موقت - اطلاعات ناقص",IF(K1050&gt;=17,"عالی",IF(K1050&gt;=14,"خوب",IF(K1050&gt;=10,"متوسط","ضعیف"))))))</f>
        <v/>
      </c>
      <c r="M1050" s="306" t="n">
        <v>2</v>
      </c>
      <c r="N1050" s="314">
        <f>IF(C1050="","",COUNT(G1050:J1050)/4)</f>
        <v/>
      </c>
      <c r="O1050" s="307" t="n"/>
    </row>
    <row r="1051" ht="24" customHeight="1">
      <c r="A1051" s="306" t="n">
        <v>1047</v>
      </c>
      <c r="B1051" s="306" t="inlineStr">
        <is>
          <t>شهریور</t>
        </is>
      </c>
      <c r="C1051" s="306">
        <f>IF('دانش‌آموزان'!E92="","",'دانش‌آموزان'!B92)</f>
        <v/>
      </c>
      <c r="D1051" s="306">
        <f>IF('دانش‌آموزان'!C92="","",'دانش‌آموزان'!C92)</f>
        <v/>
      </c>
      <c r="E1051" s="306">
        <f>IF('دانش‌آموزان'!E92="","",'دانش‌آموزان'!E92&amp;" "&amp;'دانش‌آموزان'!F92)</f>
        <v/>
      </c>
      <c r="F1051" s="306">
        <f>IF('دانش‌آموزان'!I92="","",'دانش‌آموزان'!I92)</f>
        <v/>
      </c>
      <c r="G1051" s="307" t="n"/>
      <c r="H1051" s="307" t="n"/>
      <c r="I1051" s="307" t="n"/>
      <c r="J1051" s="307" t="n"/>
      <c r="K1051" s="313">
        <f>IF(COUNT(G1051:J1051)=0,"",AVERAGE(G1051:J1051)*4)</f>
        <v/>
      </c>
      <c r="L1051" s="306">
        <f>IF(C1051="","",IF(COUNT(G1051:J1051)=0,"",IF(COUNT(G1051:J1051)&lt;4,"موقت - اطلاعات ناقص",IF(K1051&gt;=17,"عالی",IF(K1051&gt;=14,"خوب",IF(K1051&gt;=10,"متوسط","ضعیف"))))))</f>
        <v/>
      </c>
      <c r="M1051" s="306" t="n">
        <v>3</v>
      </c>
      <c r="N1051" s="314">
        <f>IF(C1051="","",COUNT(G1051:J1051)/4)</f>
        <v/>
      </c>
      <c r="O1051" s="307" t="n"/>
    </row>
    <row r="1052" ht="24" customHeight="1">
      <c r="A1052" s="306" t="n">
        <v>1048</v>
      </c>
      <c r="B1052" s="306" t="inlineStr">
        <is>
          <t>مهر</t>
        </is>
      </c>
      <c r="C1052" s="306">
        <f>IF('دانش‌آموزان'!E92="","",'دانش‌آموزان'!B92)</f>
        <v/>
      </c>
      <c r="D1052" s="306">
        <f>IF('دانش‌آموزان'!C92="","",'دانش‌آموزان'!C92)</f>
        <v/>
      </c>
      <c r="E1052" s="306">
        <f>IF('دانش‌آموزان'!E92="","",'دانش‌آموزان'!E92&amp;" "&amp;'دانش‌آموزان'!F92)</f>
        <v/>
      </c>
      <c r="F1052" s="306">
        <f>IF('دانش‌آموزان'!I92="","",'دانش‌آموزان'!I92)</f>
        <v/>
      </c>
      <c r="G1052" s="307" t="n"/>
      <c r="H1052" s="307" t="n"/>
      <c r="I1052" s="307" t="n"/>
      <c r="J1052" s="307" t="n"/>
      <c r="K1052" s="313">
        <f>IF(COUNT(G1052:J1052)=0,"",AVERAGE(G1052:J1052)*4)</f>
        <v/>
      </c>
      <c r="L1052" s="306">
        <f>IF(C1052="","",IF(COUNT(G1052:J1052)=0,"",IF(COUNT(G1052:J1052)&lt;4,"موقت - اطلاعات ناقص",IF(K1052&gt;=17,"عالی",IF(K1052&gt;=14,"خوب",IF(K1052&gt;=10,"متوسط","ضعیف"))))))</f>
        <v/>
      </c>
      <c r="M1052" s="306" t="n">
        <v>4</v>
      </c>
      <c r="N1052" s="314">
        <f>IF(C1052="","",COUNT(G1052:J1052)/4)</f>
        <v/>
      </c>
      <c r="O1052" s="307" t="n"/>
    </row>
    <row r="1053" ht="24" customHeight="1">
      <c r="A1053" s="306" t="n">
        <v>1049</v>
      </c>
      <c r="B1053" s="306" t="inlineStr">
        <is>
          <t>آبان</t>
        </is>
      </c>
      <c r="C1053" s="306">
        <f>IF('دانش‌آموزان'!E92="","",'دانش‌آموزان'!B92)</f>
        <v/>
      </c>
      <c r="D1053" s="306">
        <f>IF('دانش‌آموزان'!C92="","",'دانش‌آموزان'!C92)</f>
        <v/>
      </c>
      <c r="E1053" s="306">
        <f>IF('دانش‌آموزان'!E92="","",'دانش‌آموزان'!E92&amp;" "&amp;'دانش‌آموزان'!F92)</f>
        <v/>
      </c>
      <c r="F1053" s="306">
        <f>IF('دانش‌آموزان'!I92="","",'دانش‌آموزان'!I92)</f>
        <v/>
      </c>
      <c r="G1053" s="307" t="n"/>
      <c r="H1053" s="307" t="n"/>
      <c r="I1053" s="307" t="n"/>
      <c r="J1053" s="307" t="n"/>
      <c r="K1053" s="313">
        <f>IF(COUNT(G1053:J1053)=0,"",AVERAGE(G1053:J1053)*4)</f>
        <v/>
      </c>
      <c r="L1053" s="306">
        <f>IF(C1053="","",IF(COUNT(G1053:J1053)=0,"",IF(COUNT(G1053:J1053)&lt;4,"موقت - اطلاعات ناقص",IF(K1053&gt;=17,"عالی",IF(K1053&gt;=14,"خوب",IF(K1053&gt;=10,"متوسط","ضعیف"))))))</f>
        <v/>
      </c>
      <c r="M1053" s="306" t="n">
        <v>5</v>
      </c>
      <c r="N1053" s="314">
        <f>IF(C1053="","",COUNT(G1053:J1053)/4)</f>
        <v/>
      </c>
      <c r="O1053" s="307" t="n"/>
    </row>
    <row r="1054" ht="24" customHeight="1">
      <c r="A1054" s="306" t="n">
        <v>1050</v>
      </c>
      <c r="B1054" s="306" t="inlineStr">
        <is>
          <t>آذر</t>
        </is>
      </c>
      <c r="C1054" s="306">
        <f>IF('دانش‌آموزان'!E92="","",'دانش‌آموزان'!B92)</f>
        <v/>
      </c>
      <c r="D1054" s="306">
        <f>IF('دانش‌آموزان'!C92="","",'دانش‌آموزان'!C92)</f>
        <v/>
      </c>
      <c r="E1054" s="306">
        <f>IF('دانش‌آموزان'!E92="","",'دانش‌آموزان'!E92&amp;" "&amp;'دانش‌آموزان'!F92)</f>
        <v/>
      </c>
      <c r="F1054" s="306">
        <f>IF('دانش‌آموزان'!I92="","",'دانش‌آموزان'!I92)</f>
        <v/>
      </c>
      <c r="G1054" s="307" t="n"/>
      <c r="H1054" s="307" t="n"/>
      <c r="I1054" s="307" t="n"/>
      <c r="J1054" s="307" t="n"/>
      <c r="K1054" s="313">
        <f>IF(COUNT(G1054:J1054)=0,"",AVERAGE(G1054:J1054)*4)</f>
        <v/>
      </c>
      <c r="L1054" s="306">
        <f>IF(C1054="","",IF(COUNT(G1054:J1054)=0,"",IF(COUNT(G1054:J1054)&lt;4,"موقت - اطلاعات ناقص",IF(K1054&gt;=17,"عالی",IF(K1054&gt;=14,"خوب",IF(K1054&gt;=10,"متوسط","ضعیف"))))))</f>
        <v/>
      </c>
      <c r="M1054" s="306" t="n">
        <v>6</v>
      </c>
      <c r="N1054" s="314">
        <f>IF(C1054="","",COUNT(G1054:J1054)/4)</f>
        <v/>
      </c>
      <c r="O1054" s="307" t="n"/>
    </row>
    <row r="1055" ht="24" customHeight="1">
      <c r="A1055" s="306" t="n">
        <v>1051</v>
      </c>
      <c r="B1055" s="306" t="inlineStr">
        <is>
          <t>دی</t>
        </is>
      </c>
      <c r="C1055" s="306">
        <f>IF('دانش‌آموزان'!E92="","",'دانش‌آموزان'!B92)</f>
        <v/>
      </c>
      <c r="D1055" s="306">
        <f>IF('دانش‌آموزان'!C92="","",'دانش‌آموزان'!C92)</f>
        <v/>
      </c>
      <c r="E1055" s="306">
        <f>IF('دانش‌آموزان'!E92="","",'دانش‌آموزان'!E92&amp;" "&amp;'دانش‌آموزان'!F92)</f>
        <v/>
      </c>
      <c r="F1055" s="306">
        <f>IF('دانش‌آموزان'!I92="","",'دانش‌آموزان'!I92)</f>
        <v/>
      </c>
      <c r="G1055" s="307" t="n"/>
      <c r="H1055" s="307" t="n"/>
      <c r="I1055" s="307" t="n"/>
      <c r="J1055" s="307" t="n"/>
      <c r="K1055" s="313">
        <f>IF(COUNT(G1055:J1055)=0,"",AVERAGE(G1055:J1055)*4)</f>
        <v/>
      </c>
      <c r="L1055" s="306">
        <f>IF(C1055="","",IF(COUNT(G1055:J1055)=0,"",IF(COUNT(G1055:J1055)&lt;4,"موقت - اطلاعات ناقص",IF(K1055&gt;=17,"عالی",IF(K1055&gt;=14,"خوب",IF(K1055&gt;=10,"متوسط","ضعیف"))))))</f>
        <v/>
      </c>
      <c r="M1055" s="306" t="n">
        <v>7</v>
      </c>
      <c r="N1055" s="314">
        <f>IF(C1055="","",COUNT(G1055:J1055)/4)</f>
        <v/>
      </c>
      <c r="O1055" s="307" t="n"/>
    </row>
    <row r="1056" ht="24" customHeight="1">
      <c r="A1056" s="306" t="n">
        <v>1052</v>
      </c>
      <c r="B1056" s="306" t="inlineStr">
        <is>
          <t>بهمن</t>
        </is>
      </c>
      <c r="C1056" s="306">
        <f>IF('دانش‌آموزان'!E92="","",'دانش‌آموزان'!B92)</f>
        <v/>
      </c>
      <c r="D1056" s="306">
        <f>IF('دانش‌آموزان'!C92="","",'دانش‌آموزان'!C92)</f>
        <v/>
      </c>
      <c r="E1056" s="306">
        <f>IF('دانش‌آموزان'!E92="","",'دانش‌آموزان'!E92&amp;" "&amp;'دانش‌آموزان'!F92)</f>
        <v/>
      </c>
      <c r="F1056" s="306">
        <f>IF('دانش‌آموزان'!I92="","",'دانش‌آموزان'!I92)</f>
        <v/>
      </c>
      <c r="G1056" s="307" t="n"/>
      <c r="H1056" s="307" t="n"/>
      <c r="I1056" s="307" t="n"/>
      <c r="J1056" s="307" t="n"/>
      <c r="K1056" s="313">
        <f>IF(COUNT(G1056:J1056)=0,"",AVERAGE(G1056:J1056)*4)</f>
        <v/>
      </c>
      <c r="L1056" s="306">
        <f>IF(C1056="","",IF(COUNT(G1056:J1056)=0,"",IF(COUNT(G1056:J1056)&lt;4,"موقت - اطلاعات ناقص",IF(K1056&gt;=17,"عالی",IF(K1056&gt;=14,"خوب",IF(K1056&gt;=10,"متوسط","ضعیف"))))))</f>
        <v/>
      </c>
      <c r="M1056" s="306" t="n">
        <v>8</v>
      </c>
      <c r="N1056" s="314">
        <f>IF(C1056="","",COUNT(G1056:J1056)/4)</f>
        <v/>
      </c>
      <c r="O1056" s="307" t="n"/>
    </row>
    <row r="1057" ht="24" customHeight="1">
      <c r="A1057" s="306" t="n">
        <v>1053</v>
      </c>
      <c r="B1057" s="306" t="inlineStr">
        <is>
          <t>اسفند</t>
        </is>
      </c>
      <c r="C1057" s="306">
        <f>IF('دانش‌آموزان'!E92="","",'دانش‌آموزان'!B92)</f>
        <v/>
      </c>
      <c r="D1057" s="306">
        <f>IF('دانش‌آموزان'!C92="","",'دانش‌آموزان'!C92)</f>
        <v/>
      </c>
      <c r="E1057" s="306">
        <f>IF('دانش‌آموزان'!E92="","",'دانش‌آموزان'!E92&amp;" "&amp;'دانش‌آموزان'!F92)</f>
        <v/>
      </c>
      <c r="F1057" s="306">
        <f>IF('دانش‌آموزان'!I92="","",'دانش‌آموزان'!I92)</f>
        <v/>
      </c>
      <c r="G1057" s="307" t="n"/>
      <c r="H1057" s="307" t="n"/>
      <c r="I1057" s="307" t="n"/>
      <c r="J1057" s="307" t="n"/>
      <c r="K1057" s="313">
        <f>IF(COUNT(G1057:J1057)=0,"",AVERAGE(G1057:J1057)*4)</f>
        <v/>
      </c>
      <c r="L1057" s="306">
        <f>IF(C1057="","",IF(COUNT(G1057:J1057)=0,"",IF(COUNT(G1057:J1057)&lt;4,"موقت - اطلاعات ناقص",IF(K1057&gt;=17,"عالی",IF(K1057&gt;=14,"خوب",IF(K1057&gt;=10,"متوسط","ضعیف"))))))</f>
        <v/>
      </c>
      <c r="M1057" s="306" t="n">
        <v>9</v>
      </c>
      <c r="N1057" s="314">
        <f>IF(C1057="","",COUNT(G1057:J1057)/4)</f>
        <v/>
      </c>
      <c r="O1057" s="307" t="n"/>
    </row>
    <row r="1058" ht="24" customHeight="1">
      <c r="A1058" s="306" t="n">
        <v>1054</v>
      </c>
      <c r="B1058" s="306" t="inlineStr">
        <is>
          <t>فروردین</t>
        </is>
      </c>
      <c r="C1058" s="306">
        <f>IF('دانش‌آموزان'!E92="","",'دانش‌آموزان'!B92)</f>
        <v/>
      </c>
      <c r="D1058" s="306">
        <f>IF('دانش‌آموزان'!C92="","",'دانش‌آموزان'!C92)</f>
        <v/>
      </c>
      <c r="E1058" s="306">
        <f>IF('دانش‌آموزان'!E92="","",'دانش‌آموزان'!E92&amp;" "&amp;'دانش‌آموزان'!F92)</f>
        <v/>
      </c>
      <c r="F1058" s="306">
        <f>IF('دانش‌آموزان'!I92="","",'دانش‌آموزان'!I92)</f>
        <v/>
      </c>
      <c r="G1058" s="307" t="n"/>
      <c r="H1058" s="307" t="n"/>
      <c r="I1058" s="307" t="n"/>
      <c r="J1058" s="307" t="n"/>
      <c r="K1058" s="313">
        <f>IF(COUNT(G1058:J1058)=0,"",AVERAGE(G1058:J1058)*4)</f>
        <v/>
      </c>
      <c r="L1058" s="306">
        <f>IF(C1058="","",IF(COUNT(G1058:J1058)=0,"",IF(COUNT(G1058:J1058)&lt;4,"موقت - اطلاعات ناقص",IF(K1058&gt;=17,"عالی",IF(K1058&gt;=14,"خوب",IF(K1058&gt;=10,"متوسط","ضعیف"))))))</f>
        <v/>
      </c>
      <c r="M1058" s="306" t="n">
        <v>10</v>
      </c>
      <c r="N1058" s="314">
        <f>IF(C1058="","",COUNT(G1058:J1058)/4)</f>
        <v/>
      </c>
      <c r="O1058" s="307" t="n"/>
    </row>
    <row r="1059" ht="24" customHeight="1">
      <c r="A1059" s="306" t="n">
        <v>1055</v>
      </c>
      <c r="B1059" s="306" t="inlineStr">
        <is>
          <t>اردیبهشت</t>
        </is>
      </c>
      <c r="C1059" s="306">
        <f>IF('دانش‌آموزان'!E92="","",'دانش‌آموزان'!B92)</f>
        <v/>
      </c>
      <c r="D1059" s="306">
        <f>IF('دانش‌آموزان'!C92="","",'دانش‌آموزان'!C92)</f>
        <v/>
      </c>
      <c r="E1059" s="306">
        <f>IF('دانش‌آموزان'!E92="","",'دانش‌آموزان'!E92&amp;" "&amp;'دانش‌آموزان'!F92)</f>
        <v/>
      </c>
      <c r="F1059" s="306">
        <f>IF('دانش‌آموزان'!I92="","",'دانش‌آموزان'!I92)</f>
        <v/>
      </c>
      <c r="G1059" s="307" t="n"/>
      <c r="H1059" s="307" t="n"/>
      <c r="I1059" s="307" t="n"/>
      <c r="J1059" s="307" t="n"/>
      <c r="K1059" s="313">
        <f>IF(COUNT(G1059:J1059)=0,"",AVERAGE(G1059:J1059)*4)</f>
        <v/>
      </c>
      <c r="L1059" s="306">
        <f>IF(C1059="","",IF(COUNT(G1059:J1059)=0,"",IF(COUNT(G1059:J1059)&lt;4,"موقت - اطلاعات ناقص",IF(K1059&gt;=17,"عالی",IF(K1059&gt;=14,"خوب",IF(K1059&gt;=10,"متوسط","ضعیف"))))))</f>
        <v/>
      </c>
      <c r="M1059" s="306" t="n">
        <v>11</v>
      </c>
      <c r="N1059" s="314">
        <f>IF(C1059="","",COUNT(G1059:J1059)/4)</f>
        <v/>
      </c>
      <c r="O1059" s="307" t="n"/>
    </row>
    <row r="1060" ht="24" customHeight="1">
      <c r="A1060" s="306" t="n">
        <v>1056</v>
      </c>
      <c r="B1060" s="306" t="inlineStr">
        <is>
          <t>خرداد</t>
        </is>
      </c>
      <c r="C1060" s="306">
        <f>IF('دانش‌آموزان'!E92="","",'دانش‌آموزان'!B92)</f>
        <v/>
      </c>
      <c r="D1060" s="306">
        <f>IF('دانش‌آموزان'!C92="","",'دانش‌آموزان'!C92)</f>
        <v/>
      </c>
      <c r="E1060" s="306">
        <f>IF('دانش‌آموزان'!E92="","",'دانش‌آموزان'!E92&amp;" "&amp;'دانش‌آموزان'!F92)</f>
        <v/>
      </c>
      <c r="F1060" s="306">
        <f>IF('دانش‌آموزان'!I92="","",'دانش‌آموزان'!I92)</f>
        <v/>
      </c>
      <c r="G1060" s="307" t="n"/>
      <c r="H1060" s="307" t="n"/>
      <c r="I1060" s="307" t="n"/>
      <c r="J1060" s="307" t="n"/>
      <c r="K1060" s="313">
        <f>IF(COUNT(G1060:J1060)=0,"",AVERAGE(G1060:J1060)*4)</f>
        <v/>
      </c>
      <c r="L1060" s="306">
        <f>IF(C1060="","",IF(COUNT(G1060:J1060)=0,"",IF(COUNT(G1060:J1060)&lt;4,"موقت - اطلاعات ناقص",IF(K1060&gt;=17,"عالی",IF(K1060&gt;=14,"خوب",IF(K1060&gt;=10,"متوسط","ضعیف"))))))</f>
        <v/>
      </c>
      <c r="M1060" s="306" t="n">
        <v>12</v>
      </c>
      <c r="N1060" s="314">
        <f>IF(C1060="","",COUNT(G1060:J1060)/4)</f>
        <v/>
      </c>
      <c r="O1060" s="307" t="n"/>
    </row>
    <row r="1061" ht="24" customHeight="1">
      <c r="A1061" s="306" t="n">
        <v>1057</v>
      </c>
      <c r="B1061" s="306" t="inlineStr">
        <is>
          <t>تیر</t>
        </is>
      </c>
      <c r="C1061" s="306">
        <f>IF('دانش‌آموزان'!E93="","",'دانش‌آموزان'!B93)</f>
        <v/>
      </c>
      <c r="D1061" s="306">
        <f>IF('دانش‌آموزان'!C93="","",'دانش‌آموزان'!C93)</f>
        <v/>
      </c>
      <c r="E1061" s="306">
        <f>IF('دانش‌آموزان'!E93="","",'دانش‌آموزان'!E93&amp;" "&amp;'دانش‌آموزان'!F93)</f>
        <v/>
      </c>
      <c r="F1061" s="306">
        <f>IF('دانش‌آموزان'!I93="","",'دانش‌آموزان'!I93)</f>
        <v/>
      </c>
      <c r="G1061" s="307" t="n"/>
      <c r="H1061" s="307" t="n"/>
      <c r="I1061" s="307" t="n"/>
      <c r="J1061" s="307" t="n"/>
      <c r="K1061" s="313">
        <f>IF(COUNT(G1061:J1061)=0,"",AVERAGE(G1061:J1061)*4)</f>
        <v/>
      </c>
      <c r="L1061" s="306">
        <f>IF(C1061="","",IF(COUNT(G1061:J1061)=0,"",IF(COUNT(G1061:J1061)&lt;4,"موقت - اطلاعات ناقص",IF(K1061&gt;=17,"عالی",IF(K1061&gt;=14,"خوب",IF(K1061&gt;=10,"متوسط","ضعیف"))))))</f>
        <v/>
      </c>
      <c r="M1061" s="306" t="n">
        <v>1</v>
      </c>
      <c r="N1061" s="314">
        <f>IF(C1061="","",COUNT(G1061:J1061)/4)</f>
        <v/>
      </c>
      <c r="O1061" s="307" t="n"/>
    </row>
    <row r="1062" ht="24" customHeight="1">
      <c r="A1062" s="306" t="n">
        <v>1058</v>
      </c>
      <c r="B1062" s="306" t="inlineStr">
        <is>
          <t>مرداد</t>
        </is>
      </c>
      <c r="C1062" s="306">
        <f>IF('دانش‌آموزان'!E93="","",'دانش‌آموزان'!B93)</f>
        <v/>
      </c>
      <c r="D1062" s="306">
        <f>IF('دانش‌آموزان'!C93="","",'دانش‌آموزان'!C93)</f>
        <v/>
      </c>
      <c r="E1062" s="306">
        <f>IF('دانش‌آموزان'!E93="","",'دانش‌آموزان'!E93&amp;" "&amp;'دانش‌آموزان'!F93)</f>
        <v/>
      </c>
      <c r="F1062" s="306">
        <f>IF('دانش‌آموزان'!I93="","",'دانش‌آموزان'!I93)</f>
        <v/>
      </c>
      <c r="G1062" s="307" t="n"/>
      <c r="H1062" s="307" t="n"/>
      <c r="I1062" s="307" t="n"/>
      <c r="J1062" s="307" t="n"/>
      <c r="K1062" s="313">
        <f>IF(COUNT(G1062:J1062)=0,"",AVERAGE(G1062:J1062)*4)</f>
        <v/>
      </c>
      <c r="L1062" s="306">
        <f>IF(C1062="","",IF(COUNT(G1062:J1062)=0,"",IF(COUNT(G1062:J1062)&lt;4,"موقت - اطلاعات ناقص",IF(K1062&gt;=17,"عالی",IF(K1062&gt;=14,"خوب",IF(K1062&gt;=10,"متوسط","ضعیف"))))))</f>
        <v/>
      </c>
      <c r="M1062" s="306" t="n">
        <v>2</v>
      </c>
      <c r="N1062" s="314">
        <f>IF(C1062="","",COUNT(G1062:J1062)/4)</f>
        <v/>
      </c>
      <c r="O1062" s="307" t="n"/>
    </row>
    <row r="1063" ht="24" customHeight="1">
      <c r="A1063" s="306" t="n">
        <v>1059</v>
      </c>
      <c r="B1063" s="306" t="inlineStr">
        <is>
          <t>شهریور</t>
        </is>
      </c>
      <c r="C1063" s="306">
        <f>IF('دانش‌آموزان'!E93="","",'دانش‌آموزان'!B93)</f>
        <v/>
      </c>
      <c r="D1063" s="306">
        <f>IF('دانش‌آموزان'!C93="","",'دانش‌آموزان'!C93)</f>
        <v/>
      </c>
      <c r="E1063" s="306">
        <f>IF('دانش‌آموزان'!E93="","",'دانش‌آموزان'!E93&amp;" "&amp;'دانش‌آموزان'!F93)</f>
        <v/>
      </c>
      <c r="F1063" s="306">
        <f>IF('دانش‌آموزان'!I93="","",'دانش‌آموزان'!I93)</f>
        <v/>
      </c>
      <c r="G1063" s="307" t="n"/>
      <c r="H1063" s="307" t="n"/>
      <c r="I1063" s="307" t="n"/>
      <c r="J1063" s="307" t="n"/>
      <c r="K1063" s="313">
        <f>IF(COUNT(G1063:J1063)=0,"",AVERAGE(G1063:J1063)*4)</f>
        <v/>
      </c>
      <c r="L1063" s="306">
        <f>IF(C1063="","",IF(COUNT(G1063:J1063)=0,"",IF(COUNT(G1063:J1063)&lt;4,"موقت - اطلاعات ناقص",IF(K1063&gt;=17,"عالی",IF(K1063&gt;=14,"خوب",IF(K1063&gt;=10,"متوسط","ضعیف"))))))</f>
        <v/>
      </c>
      <c r="M1063" s="306" t="n">
        <v>3</v>
      </c>
      <c r="N1063" s="314">
        <f>IF(C1063="","",COUNT(G1063:J1063)/4)</f>
        <v/>
      </c>
      <c r="O1063" s="307" t="n"/>
    </row>
    <row r="1064" ht="24" customHeight="1">
      <c r="A1064" s="306" t="n">
        <v>1060</v>
      </c>
      <c r="B1064" s="306" t="inlineStr">
        <is>
          <t>مهر</t>
        </is>
      </c>
      <c r="C1064" s="306">
        <f>IF('دانش‌آموزان'!E93="","",'دانش‌آموزان'!B93)</f>
        <v/>
      </c>
      <c r="D1064" s="306">
        <f>IF('دانش‌آموزان'!C93="","",'دانش‌آموزان'!C93)</f>
        <v/>
      </c>
      <c r="E1064" s="306">
        <f>IF('دانش‌آموزان'!E93="","",'دانش‌آموزان'!E93&amp;" "&amp;'دانش‌آموزان'!F93)</f>
        <v/>
      </c>
      <c r="F1064" s="306">
        <f>IF('دانش‌آموزان'!I93="","",'دانش‌آموزان'!I93)</f>
        <v/>
      </c>
      <c r="G1064" s="307" t="n"/>
      <c r="H1064" s="307" t="n"/>
      <c r="I1064" s="307" t="n"/>
      <c r="J1064" s="307" t="n"/>
      <c r="K1064" s="313">
        <f>IF(COUNT(G1064:J1064)=0,"",AVERAGE(G1064:J1064)*4)</f>
        <v/>
      </c>
      <c r="L1064" s="306">
        <f>IF(C1064="","",IF(COUNT(G1064:J1064)=0,"",IF(COUNT(G1064:J1064)&lt;4,"موقت - اطلاعات ناقص",IF(K1064&gt;=17,"عالی",IF(K1064&gt;=14,"خوب",IF(K1064&gt;=10,"متوسط","ضعیف"))))))</f>
        <v/>
      </c>
      <c r="M1064" s="306" t="n">
        <v>4</v>
      </c>
      <c r="N1064" s="314">
        <f>IF(C1064="","",COUNT(G1064:J1064)/4)</f>
        <v/>
      </c>
      <c r="O1064" s="307" t="n"/>
    </row>
    <row r="1065" ht="24" customHeight="1">
      <c r="A1065" s="306" t="n">
        <v>1061</v>
      </c>
      <c r="B1065" s="306" t="inlineStr">
        <is>
          <t>آبان</t>
        </is>
      </c>
      <c r="C1065" s="306">
        <f>IF('دانش‌آموزان'!E93="","",'دانش‌آموزان'!B93)</f>
        <v/>
      </c>
      <c r="D1065" s="306">
        <f>IF('دانش‌آموزان'!C93="","",'دانش‌آموزان'!C93)</f>
        <v/>
      </c>
      <c r="E1065" s="306">
        <f>IF('دانش‌آموزان'!E93="","",'دانش‌آموزان'!E93&amp;" "&amp;'دانش‌آموزان'!F93)</f>
        <v/>
      </c>
      <c r="F1065" s="306">
        <f>IF('دانش‌آموزان'!I93="","",'دانش‌آموزان'!I93)</f>
        <v/>
      </c>
      <c r="G1065" s="307" t="n"/>
      <c r="H1065" s="307" t="n"/>
      <c r="I1065" s="307" t="n"/>
      <c r="J1065" s="307" t="n"/>
      <c r="K1065" s="313">
        <f>IF(COUNT(G1065:J1065)=0,"",AVERAGE(G1065:J1065)*4)</f>
        <v/>
      </c>
      <c r="L1065" s="306">
        <f>IF(C1065="","",IF(COUNT(G1065:J1065)=0,"",IF(COUNT(G1065:J1065)&lt;4,"موقت - اطلاعات ناقص",IF(K1065&gt;=17,"عالی",IF(K1065&gt;=14,"خوب",IF(K1065&gt;=10,"متوسط","ضعیف"))))))</f>
        <v/>
      </c>
      <c r="M1065" s="306" t="n">
        <v>5</v>
      </c>
      <c r="N1065" s="314">
        <f>IF(C1065="","",COUNT(G1065:J1065)/4)</f>
        <v/>
      </c>
      <c r="O1065" s="307" t="n"/>
    </row>
    <row r="1066" ht="24" customHeight="1">
      <c r="A1066" s="306" t="n">
        <v>1062</v>
      </c>
      <c r="B1066" s="306" t="inlineStr">
        <is>
          <t>آذر</t>
        </is>
      </c>
      <c r="C1066" s="306">
        <f>IF('دانش‌آموزان'!E93="","",'دانش‌آموزان'!B93)</f>
        <v/>
      </c>
      <c r="D1066" s="306">
        <f>IF('دانش‌آموزان'!C93="","",'دانش‌آموزان'!C93)</f>
        <v/>
      </c>
      <c r="E1066" s="306">
        <f>IF('دانش‌آموزان'!E93="","",'دانش‌آموزان'!E93&amp;" "&amp;'دانش‌آموزان'!F93)</f>
        <v/>
      </c>
      <c r="F1066" s="306">
        <f>IF('دانش‌آموزان'!I93="","",'دانش‌آموزان'!I93)</f>
        <v/>
      </c>
      <c r="G1066" s="307" t="n"/>
      <c r="H1066" s="307" t="n"/>
      <c r="I1066" s="307" t="n"/>
      <c r="J1066" s="307" t="n"/>
      <c r="K1066" s="313">
        <f>IF(COUNT(G1066:J1066)=0,"",AVERAGE(G1066:J1066)*4)</f>
        <v/>
      </c>
      <c r="L1066" s="306">
        <f>IF(C1066="","",IF(COUNT(G1066:J1066)=0,"",IF(COUNT(G1066:J1066)&lt;4,"موقت - اطلاعات ناقص",IF(K1066&gt;=17,"عالی",IF(K1066&gt;=14,"خوب",IF(K1066&gt;=10,"متوسط","ضعیف"))))))</f>
        <v/>
      </c>
      <c r="M1066" s="306" t="n">
        <v>6</v>
      </c>
      <c r="N1066" s="314">
        <f>IF(C1066="","",COUNT(G1066:J1066)/4)</f>
        <v/>
      </c>
      <c r="O1066" s="307" t="n"/>
    </row>
    <row r="1067" ht="24" customHeight="1">
      <c r="A1067" s="306" t="n">
        <v>1063</v>
      </c>
      <c r="B1067" s="306" t="inlineStr">
        <is>
          <t>دی</t>
        </is>
      </c>
      <c r="C1067" s="306">
        <f>IF('دانش‌آموزان'!E93="","",'دانش‌آموزان'!B93)</f>
        <v/>
      </c>
      <c r="D1067" s="306">
        <f>IF('دانش‌آموزان'!C93="","",'دانش‌آموزان'!C93)</f>
        <v/>
      </c>
      <c r="E1067" s="306">
        <f>IF('دانش‌آموزان'!E93="","",'دانش‌آموزان'!E93&amp;" "&amp;'دانش‌آموزان'!F93)</f>
        <v/>
      </c>
      <c r="F1067" s="306">
        <f>IF('دانش‌آموزان'!I93="","",'دانش‌آموزان'!I93)</f>
        <v/>
      </c>
      <c r="G1067" s="307" t="n"/>
      <c r="H1067" s="307" t="n"/>
      <c r="I1067" s="307" t="n"/>
      <c r="J1067" s="307" t="n"/>
      <c r="K1067" s="313">
        <f>IF(COUNT(G1067:J1067)=0,"",AVERAGE(G1067:J1067)*4)</f>
        <v/>
      </c>
      <c r="L1067" s="306">
        <f>IF(C1067="","",IF(COUNT(G1067:J1067)=0,"",IF(COUNT(G1067:J1067)&lt;4,"موقت - اطلاعات ناقص",IF(K1067&gt;=17,"عالی",IF(K1067&gt;=14,"خوب",IF(K1067&gt;=10,"متوسط","ضعیف"))))))</f>
        <v/>
      </c>
      <c r="M1067" s="306" t="n">
        <v>7</v>
      </c>
      <c r="N1067" s="314">
        <f>IF(C1067="","",COUNT(G1067:J1067)/4)</f>
        <v/>
      </c>
      <c r="O1067" s="307" t="n"/>
    </row>
    <row r="1068" ht="24" customHeight="1">
      <c r="A1068" s="306" t="n">
        <v>1064</v>
      </c>
      <c r="B1068" s="306" t="inlineStr">
        <is>
          <t>بهمن</t>
        </is>
      </c>
      <c r="C1068" s="306">
        <f>IF('دانش‌آموزان'!E93="","",'دانش‌آموزان'!B93)</f>
        <v/>
      </c>
      <c r="D1068" s="306">
        <f>IF('دانش‌آموزان'!C93="","",'دانش‌آموزان'!C93)</f>
        <v/>
      </c>
      <c r="E1068" s="306">
        <f>IF('دانش‌آموزان'!E93="","",'دانش‌آموزان'!E93&amp;" "&amp;'دانش‌آموزان'!F93)</f>
        <v/>
      </c>
      <c r="F1068" s="306">
        <f>IF('دانش‌آموزان'!I93="","",'دانش‌آموزان'!I93)</f>
        <v/>
      </c>
      <c r="G1068" s="307" t="n"/>
      <c r="H1068" s="307" t="n"/>
      <c r="I1068" s="307" t="n"/>
      <c r="J1068" s="307" t="n"/>
      <c r="K1068" s="313">
        <f>IF(COUNT(G1068:J1068)=0,"",AVERAGE(G1068:J1068)*4)</f>
        <v/>
      </c>
      <c r="L1068" s="306">
        <f>IF(C1068="","",IF(COUNT(G1068:J1068)=0,"",IF(COUNT(G1068:J1068)&lt;4,"موقت - اطلاعات ناقص",IF(K1068&gt;=17,"عالی",IF(K1068&gt;=14,"خوب",IF(K1068&gt;=10,"متوسط","ضعیف"))))))</f>
        <v/>
      </c>
      <c r="M1068" s="306" t="n">
        <v>8</v>
      </c>
      <c r="N1068" s="314">
        <f>IF(C1068="","",COUNT(G1068:J1068)/4)</f>
        <v/>
      </c>
      <c r="O1068" s="307" t="n"/>
    </row>
    <row r="1069" ht="24" customHeight="1">
      <c r="A1069" s="306" t="n">
        <v>1065</v>
      </c>
      <c r="B1069" s="306" t="inlineStr">
        <is>
          <t>اسفند</t>
        </is>
      </c>
      <c r="C1069" s="306">
        <f>IF('دانش‌آموزان'!E93="","",'دانش‌آموزان'!B93)</f>
        <v/>
      </c>
      <c r="D1069" s="306">
        <f>IF('دانش‌آموزان'!C93="","",'دانش‌آموزان'!C93)</f>
        <v/>
      </c>
      <c r="E1069" s="306">
        <f>IF('دانش‌آموزان'!E93="","",'دانش‌آموزان'!E93&amp;" "&amp;'دانش‌آموزان'!F93)</f>
        <v/>
      </c>
      <c r="F1069" s="306">
        <f>IF('دانش‌آموزان'!I93="","",'دانش‌آموزان'!I93)</f>
        <v/>
      </c>
      <c r="G1069" s="307" t="n"/>
      <c r="H1069" s="307" t="n"/>
      <c r="I1069" s="307" t="n"/>
      <c r="J1069" s="307" t="n"/>
      <c r="K1069" s="313">
        <f>IF(COUNT(G1069:J1069)=0,"",AVERAGE(G1069:J1069)*4)</f>
        <v/>
      </c>
      <c r="L1069" s="306">
        <f>IF(C1069="","",IF(COUNT(G1069:J1069)=0,"",IF(COUNT(G1069:J1069)&lt;4,"موقت - اطلاعات ناقص",IF(K1069&gt;=17,"عالی",IF(K1069&gt;=14,"خوب",IF(K1069&gt;=10,"متوسط","ضعیف"))))))</f>
        <v/>
      </c>
      <c r="M1069" s="306" t="n">
        <v>9</v>
      </c>
      <c r="N1069" s="314">
        <f>IF(C1069="","",COUNT(G1069:J1069)/4)</f>
        <v/>
      </c>
      <c r="O1069" s="307" t="n"/>
    </row>
    <row r="1070" ht="24" customHeight="1">
      <c r="A1070" s="306" t="n">
        <v>1066</v>
      </c>
      <c r="B1070" s="306" t="inlineStr">
        <is>
          <t>فروردین</t>
        </is>
      </c>
      <c r="C1070" s="306">
        <f>IF('دانش‌آموزان'!E93="","",'دانش‌آموزان'!B93)</f>
        <v/>
      </c>
      <c r="D1070" s="306">
        <f>IF('دانش‌آموزان'!C93="","",'دانش‌آموزان'!C93)</f>
        <v/>
      </c>
      <c r="E1070" s="306">
        <f>IF('دانش‌آموزان'!E93="","",'دانش‌آموزان'!E93&amp;" "&amp;'دانش‌آموزان'!F93)</f>
        <v/>
      </c>
      <c r="F1070" s="306">
        <f>IF('دانش‌آموزان'!I93="","",'دانش‌آموزان'!I93)</f>
        <v/>
      </c>
      <c r="G1070" s="307" t="n"/>
      <c r="H1070" s="307" t="n"/>
      <c r="I1070" s="307" t="n"/>
      <c r="J1070" s="307" t="n"/>
      <c r="K1070" s="313">
        <f>IF(COUNT(G1070:J1070)=0,"",AVERAGE(G1070:J1070)*4)</f>
        <v/>
      </c>
      <c r="L1070" s="306">
        <f>IF(C1070="","",IF(COUNT(G1070:J1070)=0,"",IF(COUNT(G1070:J1070)&lt;4,"موقت - اطلاعات ناقص",IF(K1070&gt;=17,"عالی",IF(K1070&gt;=14,"خوب",IF(K1070&gt;=10,"متوسط","ضعیف"))))))</f>
        <v/>
      </c>
      <c r="M1070" s="306" t="n">
        <v>10</v>
      </c>
      <c r="N1070" s="314">
        <f>IF(C1070="","",COUNT(G1070:J1070)/4)</f>
        <v/>
      </c>
      <c r="O1070" s="307" t="n"/>
    </row>
    <row r="1071" ht="24" customHeight="1">
      <c r="A1071" s="306" t="n">
        <v>1067</v>
      </c>
      <c r="B1071" s="306" t="inlineStr">
        <is>
          <t>اردیبهشت</t>
        </is>
      </c>
      <c r="C1071" s="306">
        <f>IF('دانش‌آموزان'!E93="","",'دانش‌آموزان'!B93)</f>
        <v/>
      </c>
      <c r="D1071" s="306">
        <f>IF('دانش‌آموزان'!C93="","",'دانش‌آموزان'!C93)</f>
        <v/>
      </c>
      <c r="E1071" s="306">
        <f>IF('دانش‌آموزان'!E93="","",'دانش‌آموزان'!E93&amp;" "&amp;'دانش‌آموزان'!F93)</f>
        <v/>
      </c>
      <c r="F1071" s="306">
        <f>IF('دانش‌آموزان'!I93="","",'دانش‌آموزان'!I93)</f>
        <v/>
      </c>
      <c r="G1071" s="307" t="n"/>
      <c r="H1071" s="307" t="n"/>
      <c r="I1071" s="307" t="n"/>
      <c r="J1071" s="307" t="n"/>
      <c r="K1071" s="313">
        <f>IF(COUNT(G1071:J1071)=0,"",AVERAGE(G1071:J1071)*4)</f>
        <v/>
      </c>
      <c r="L1071" s="306">
        <f>IF(C1071="","",IF(COUNT(G1071:J1071)=0,"",IF(COUNT(G1071:J1071)&lt;4,"موقت - اطلاعات ناقص",IF(K1071&gt;=17,"عالی",IF(K1071&gt;=14,"خوب",IF(K1071&gt;=10,"متوسط","ضعیف"))))))</f>
        <v/>
      </c>
      <c r="M1071" s="306" t="n">
        <v>11</v>
      </c>
      <c r="N1071" s="314">
        <f>IF(C1071="","",COUNT(G1071:J1071)/4)</f>
        <v/>
      </c>
      <c r="O1071" s="307" t="n"/>
    </row>
    <row r="1072" ht="24" customHeight="1">
      <c r="A1072" s="306" t="n">
        <v>1068</v>
      </c>
      <c r="B1072" s="306" t="inlineStr">
        <is>
          <t>خرداد</t>
        </is>
      </c>
      <c r="C1072" s="306">
        <f>IF('دانش‌آموزان'!E93="","",'دانش‌آموزان'!B93)</f>
        <v/>
      </c>
      <c r="D1072" s="306">
        <f>IF('دانش‌آموزان'!C93="","",'دانش‌آموزان'!C93)</f>
        <v/>
      </c>
      <c r="E1072" s="306">
        <f>IF('دانش‌آموزان'!E93="","",'دانش‌آموزان'!E93&amp;" "&amp;'دانش‌آموزان'!F93)</f>
        <v/>
      </c>
      <c r="F1072" s="306">
        <f>IF('دانش‌آموزان'!I93="","",'دانش‌آموزان'!I93)</f>
        <v/>
      </c>
      <c r="G1072" s="307" t="n"/>
      <c r="H1072" s="307" t="n"/>
      <c r="I1072" s="307" t="n"/>
      <c r="J1072" s="307" t="n"/>
      <c r="K1072" s="313">
        <f>IF(COUNT(G1072:J1072)=0,"",AVERAGE(G1072:J1072)*4)</f>
        <v/>
      </c>
      <c r="L1072" s="306">
        <f>IF(C1072="","",IF(COUNT(G1072:J1072)=0,"",IF(COUNT(G1072:J1072)&lt;4,"موقت - اطلاعات ناقص",IF(K1072&gt;=17,"عالی",IF(K1072&gt;=14,"خوب",IF(K1072&gt;=10,"متوسط","ضعیف"))))))</f>
        <v/>
      </c>
      <c r="M1072" s="306" t="n">
        <v>12</v>
      </c>
      <c r="N1072" s="314">
        <f>IF(C1072="","",COUNT(G1072:J1072)/4)</f>
        <v/>
      </c>
      <c r="O1072" s="307" t="n"/>
    </row>
    <row r="1073" ht="24" customHeight="1">
      <c r="A1073" s="306" t="n">
        <v>1069</v>
      </c>
      <c r="B1073" s="306" t="inlineStr">
        <is>
          <t>تیر</t>
        </is>
      </c>
      <c r="C1073" s="306">
        <f>IF('دانش‌آموزان'!E94="","",'دانش‌آموزان'!B94)</f>
        <v/>
      </c>
      <c r="D1073" s="306">
        <f>IF('دانش‌آموزان'!C94="","",'دانش‌آموزان'!C94)</f>
        <v/>
      </c>
      <c r="E1073" s="306">
        <f>IF('دانش‌آموزان'!E94="","",'دانش‌آموزان'!E94&amp;" "&amp;'دانش‌آموزان'!F94)</f>
        <v/>
      </c>
      <c r="F1073" s="306">
        <f>IF('دانش‌آموزان'!I94="","",'دانش‌آموزان'!I94)</f>
        <v/>
      </c>
      <c r="G1073" s="307" t="n"/>
      <c r="H1073" s="307" t="n"/>
      <c r="I1073" s="307" t="n"/>
      <c r="J1073" s="307" t="n"/>
      <c r="K1073" s="313">
        <f>IF(COUNT(G1073:J1073)=0,"",AVERAGE(G1073:J1073)*4)</f>
        <v/>
      </c>
      <c r="L1073" s="306">
        <f>IF(C1073="","",IF(COUNT(G1073:J1073)=0,"",IF(COUNT(G1073:J1073)&lt;4,"موقت - اطلاعات ناقص",IF(K1073&gt;=17,"عالی",IF(K1073&gt;=14,"خوب",IF(K1073&gt;=10,"متوسط","ضعیف"))))))</f>
        <v/>
      </c>
      <c r="M1073" s="306" t="n">
        <v>1</v>
      </c>
      <c r="N1073" s="314">
        <f>IF(C1073="","",COUNT(G1073:J1073)/4)</f>
        <v/>
      </c>
      <c r="O1073" s="307" t="n"/>
    </row>
    <row r="1074" ht="24" customHeight="1">
      <c r="A1074" s="306" t="n">
        <v>1070</v>
      </c>
      <c r="B1074" s="306" t="inlineStr">
        <is>
          <t>مرداد</t>
        </is>
      </c>
      <c r="C1074" s="306">
        <f>IF('دانش‌آموزان'!E94="","",'دانش‌آموزان'!B94)</f>
        <v/>
      </c>
      <c r="D1074" s="306">
        <f>IF('دانش‌آموزان'!C94="","",'دانش‌آموزان'!C94)</f>
        <v/>
      </c>
      <c r="E1074" s="306">
        <f>IF('دانش‌آموزان'!E94="","",'دانش‌آموزان'!E94&amp;" "&amp;'دانش‌آموزان'!F94)</f>
        <v/>
      </c>
      <c r="F1074" s="306">
        <f>IF('دانش‌آموزان'!I94="","",'دانش‌آموزان'!I94)</f>
        <v/>
      </c>
      <c r="G1074" s="307" t="n"/>
      <c r="H1074" s="307" t="n"/>
      <c r="I1074" s="307" t="n"/>
      <c r="J1074" s="307" t="n"/>
      <c r="K1074" s="313">
        <f>IF(COUNT(G1074:J1074)=0,"",AVERAGE(G1074:J1074)*4)</f>
        <v/>
      </c>
      <c r="L1074" s="306">
        <f>IF(C1074="","",IF(COUNT(G1074:J1074)=0,"",IF(COUNT(G1074:J1074)&lt;4,"موقت - اطلاعات ناقص",IF(K1074&gt;=17,"عالی",IF(K1074&gt;=14,"خوب",IF(K1074&gt;=10,"متوسط","ضعیف"))))))</f>
        <v/>
      </c>
      <c r="M1074" s="306" t="n">
        <v>2</v>
      </c>
      <c r="N1074" s="314">
        <f>IF(C1074="","",COUNT(G1074:J1074)/4)</f>
        <v/>
      </c>
      <c r="O1074" s="307" t="n"/>
    </row>
    <row r="1075" ht="24" customHeight="1">
      <c r="A1075" s="306" t="n">
        <v>1071</v>
      </c>
      <c r="B1075" s="306" t="inlineStr">
        <is>
          <t>شهریور</t>
        </is>
      </c>
      <c r="C1075" s="306">
        <f>IF('دانش‌آموزان'!E94="","",'دانش‌آموزان'!B94)</f>
        <v/>
      </c>
      <c r="D1075" s="306">
        <f>IF('دانش‌آموزان'!C94="","",'دانش‌آموزان'!C94)</f>
        <v/>
      </c>
      <c r="E1075" s="306">
        <f>IF('دانش‌آموزان'!E94="","",'دانش‌آموزان'!E94&amp;" "&amp;'دانش‌آموزان'!F94)</f>
        <v/>
      </c>
      <c r="F1075" s="306">
        <f>IF('دانش‌آموزان'!I94="","",'دانش‌آموزان'!I94)</f>
        <v/>
      </c>
      <c r="G1075" s="307" t="n"/>
      <c r="H1075" s="307" t="n"/>
      <c r="I1075" s="307" t="n"/>
      <c r="J1075" s="307" t="n"/>
      <c r="K1075" s="313">
        <f>IF(COUNT(G1075:J1075)=0,"",AVERAGE(G1075:J1075)*4)</f>
        <v/>
      </c>
      <c r="L1075" s="306">
        <f>IF(C1075="","",IF(COUNT(G1075:J1075)=0,"",IF(COUNT(G1075:J1075)&lt;4,"موقت - اطلاعات ناقص",IF(K1075&gt;=17,"عالی",IF(K1075&gt;=14,"خوب",IF(K1075&gt;=10,"متوسط","ضعیف"))))))</f>
        <v/>
      </c>
      <c r="M1075" s="306" t="n">
        <v>3</v>
      </c>
      <c r="N1075" s="314">
        <f>IF(C1075="","",COUNT(G1075:J1075)/4)</f>
        <v/>
      </c>
      <c r="O1075" s="307" t="n"/>
    </row>
    <row r="1076" ht="24" customHeight="1">
      <c r="A1076" s="306" t="n">
        <v>1072</v>
      </c>
      <c r="B1076" s="306" t="inlineStr">
        <is>
          <t>مهر</t>
        </is>
      </c>
      <c r="C1076" s="306">
        <f>IF('دانش‌آموزان'!E94="","",'دانش‌آموزان'!B94)</f>
        <v/>
      </c>
      <c r="D1076" s="306">
        <f>IF('دانش‌آموزان'!C94="","",'دانش‌آموزان'!C94)</f>
        <v/>
      </c>
      <c r="E1076" s="306">
        <f>IF('دانش‌آموزان'!E94="","",'دانش‌آموزان'!E94&amp;" "&amp;'دانش‌آموزان'!F94)</f>
        <v/>
      </c>
      <c r="F1076" s="306">
        <f>IF('دانش‌آموزان'!I94="","",'دانش‌آموزان'!I94)</f>
        <v/>
      </c>
      <c r="G1076" s="307" t="n"/>
      <c r="H1076" s="307" t="n"/>
      <c r="I1076" s="307" t="n"/>
      <c r="J1076" s="307" t="n"/>
      <c r="K1076" s="313">
        <f>IF(COUNT(G1076:J1076)=0,"",AVERAGE(G1076:J1076)*4)</f>
        <v/>
      </c>
      <c r="L1076" s="306">
        <f>IF(C1076="","",IF(COUNT(G1076:J1076)=0,"",IF(COUNT(G1076:J1076)&lt;4,"موقت - اطلاعات ناقص",IF(K1076&gt;=17,"عالی",IF(K1076&gt;=14,"خوب",IF(K1076&gt;=10,"متوسط","ضعیف"))))))</f>
        <v/>
      </c>
      <c r="M1076" s="306" t="n">
        <v>4</v>
      </c>
      <c r="N1076" s="314">
        <f>IF(C1076="","",COUNT(G1076:J1076)/4)</f>
        <v/>
      </c>
      <c r="O1076" s="307" t="n"/>
    </row>
    <row r="1077" ht="24" customHeight="1">
      <c r="A1077" s="306" t="n">
        <v>1073</v>
      </c>
      <c r="B1077" s="306" t="inlineStr">
        <is>
          <t>آبان</t>
        </is>
      </c>
      <c r="C1077" s="306">
        <f>IF('دانش‌آموزان'!E94="","",'دانش‌آموزان'!B94)</f>
        <v/>
      </c>
      <c r="D1077" s="306">
        <f>IF('دانش‌آموزان'!C94="","",'دانش‌آموزان'!C94)</f>
        <v/>
      </c>
      <c r="E1077" s="306">
        <f>IF('دانش‌آموزان'!E94="","",'دانش‌آموزان'!E94&amp;" "&amp;'دانش‌آموزان'!F94)</f>
        <v/>
      </c>
      <c r="F1077" s="306">
        <f>IF('دانش‌آموزان'!I94="","",'دانش‌آموزان'!I94)</f>
        <v/>
      </c>
      <c r="G1077" s="307" t="n"/>
      <c r="H1077" s="307" t="n"/>
      <c r="I1077" s="307" t="n"/>
      <c r="J1077" s="307" t="n"/>
      <c r="K1077" s="313">
        <f>IF(COUNT(G1077:J1077)=0,"",AVERAGE(G1077:J1077)*4)</f>
        <v/>
      </c>
      <c r="L1077" s="306">
        <f>IF(C1077="","",IF(COUNT(G1077:J1077)=0,"",IF(COUNT(G1077:J1077)&lt;4,"موقت - اطلاعات ناقص",IF(K1077&gt;=17,"عالی",IF(K1077&gt;=14,"خوب",IF(K1077&gt;=10,"متوسط","ضعیف"))))))</f>
        <v/>
      </c>
      <c r="M1077" s="306" t="n">
        <v>5</v>
      </c>
      <c r="N1077" s="314">
        <f>IF(C1077="","",COUNT(G1077:J1077)/4)</f>
        <v/>
      </c>
      <c r="O1077" s="307" t="n"/>
    </row>
    <row r="1078" ht="24" customHeight="1">
      <c r="A1078" s="306" t="n">
        <v>1074</v>
      </c>
      <c r="B1078" s="306" t="inlineStr">
        <is>
          <t>آذر</t>
        </is>
      </c>
      <c r="C1078" s="306">
        <f>IF('دانش‌آموزان'!E94="","",'دانش‌آموزان'!B94)</f>
        <v/>
      </c>
      <c r="D1078" s="306">
        <f>IF('دانش‌آموزان'!C94="","",'دانش‌آموزان'!C94)</f>
        <v/>
      </c>
      <c r="E1078" s="306">
        <f>IF('دانش‌آموزان'!E94="","",'دانش‌آموزان'!E94&amp;" "&amp;'دانش‌آموزان'!F94)</f>
        <v/>
      </c>
      <c r="F1078" s="306">
        <f>IF('دانش‌آموزان'!I94="","",'دانش‌آموزان'!I94)</f>
        <v/>
      </c>
      <c r="G1078" s="307" t="n"/>
      <c r="H1078" s="307" t="n"/>
      <c r="I1078" s="307" t="n"/>
      <c r="J1078" s="307" t="n"/>
      <c r="K1078" s="313">
        <f>IF(COUNT(G1078:J1078)=0,"",AVERAGE(G1078:J1078)*4)</f>
        <v/>
      </c>
      <c r="L1078" s="306">
        <f>IF(C1078="","",IF(COUNT(G1078:J1078)=0,"",IF(COUNT(G1078:J1078)&lt;4,"موقت - اطلاعات ناقص",IF(K1078&gt;=17,"عالی",IF(K1078&gt;=14,"خوب",IF(K1078&gt;=10,"متوسط","ضعیف"))))))</f>
        <v/>
      </c>
      <c r="M1078" s="306" t="n">
        <v>6</v>
      </c>
      <c r="N1078" s="314">
        <f>IF(C1078="","",COUNT(G1078:J1078)/4)</f>
        <v/>
      </c>
      <c r="O1078" s="307" t="n"/>
    </row>
    <row r="1079" ht="24" customHeight="1">
      <c r="A1079" s="306" t="n">
        <v>1075</v>
      </c>
      <c r="B1079" s="306" t="inlineStr">
        <is>
          <t>دی</t>
        </is>
      </c>
      <c r="C1079" s="306">
        <f>IF('دانش‌آموزان'!E94="","",'دانش‌آموزان'!B94)</f>
        <v/>
      </c>
      <c r="D1079" s="306">
        <f>IF('دانش‌آموزان'!C94="","",'دانش‌آموزان'!C94)</f>
        <v/>
      </c>
      <c r="E1079" s="306">
        <f>IF('دانش‌آموزان'!E94="","",'دانش‌آموزان'!E94&amp;" "&amp;'دانش‌آموزان'!F94)</f>
        <v/>
      </c>
      <c r="F1079" s="306">
        <f>IF('دانش‌آموزان'!I94="","",'دانش‌آموزان'!I94)</f>
        <v/>
      </c>
      <c r="G1079" s="307" t="n"/>
      <c r="H1079" s="307" t="n"/>
      <c r="I1079" s="307" t="n"/>
      <c r="J1079" s="307" t="n"/>
      <c r="K1079" s="313">
        <f>IF(COUNT(G1079:J1079)=0,"",AVERAGE(G1079:J1079)*4)</f>
        <v/>
      </c>
      <c r="L1079" s="306">
        <f>IF(C1079="","",IF(COUNT(G1079:J1079)=0,"",IF(COUNT(G1079:J1079)&lt;4,"موقت - اطلاعات ناقص",IF(K1079&gt;=17,"عالی",IF(K1079&gt;=14,"خوب",IF(K1079&gt;=10,"متوسط","ضعیف"))))))</f>
        <v/>
      </c>
      <c r="M1079" s="306" t="n">
        <v>7</v>
      </c>
      <c r="N1079" s="314">
        <f>IF(C1079="","",COUNT(G1079:J1079)/4)</f>
        <v/>
      </c>
      <c r="O1079" s="307" t="n"/>
    </row>
    <row r="1080" ht="24" customHeight="1">
      <c r="A1080" s="306" t="n">
        <v>1076</v>
      </c>
      <c r="B1080" s="306" t="inlineStr">
        <is>
          <t>بهمن</t>
        </is>
      </c>
      <c r="C1080" s="306">
        <f>IF('دانش‌آموزان'!E94="","",'دانش‌آموزان'!B94)</f>
        <v/>
      </c>
      <c r="D1080" s="306">
        <f>IF('دانش‌آموزان'!C94="","",'دانش‌آموزان'!C94)</f>
        <v/>
      </c>
      <c r="E1080" s="306">
        <f>IF('دانش‌آموزان'!E94="","",'دانش‌آموزان'!E94&amp;" "&amp;'دانش‌آموزان'!F94)</f>
        <v/>
      </c>
      <c r="F1080" s="306">
        <f>IF('دانش‌آموزان'!I94="","",'دانش‌آموزان'!I94)</f>
        <v/>
      </c>
      <c r="G1080" s="307" t="n"/>
      <c r="H1080" s="307" t="n"/>
      <c r="I1080" s="307" t="n"/>
      <c r="J1080" s="307" t="n"/>
      <c r="K1080" s="313">
        <f>IF(COUNT(G1080:J1080)=0,"",AVERAGE(G1080:J1080)*4)</f>
        <v/>
      </c>
      <c r="L1080" s="306">
        <f>IF(C1080="","",IF(COUNT(G1080:J1080)=0,"",IF(COUNT(G1080:J1080)&lt;4,"موقت - اطلاعات ناقص",IF(K1080&gt;=17,"عالی",IF(K1080&gt;=14,"خوب",IF(K1080&gt;=10,"متوسط","ضعیف"))))))</f>
        <v/>
      </c>
      <c r="M1080" s="306" t="n">
        <v>8</v>
      </c>
      <c r="N1080" s="314">
        <f>IF(C1080="","",COUNT(G1080:J1080)/4)</f>
        <v/>
      </c>
      <c r="O1080" s="307" t="n"/>
    </row>
    <row r="1081" ht="24" customHeight="1">
      <c r="A1081" s="306" t="n">
        <v>1077</v>
      </c>
      <c r="B1081" s="306" t="inlineStr">
        <is>
          <t>اسفند</t>
        </is>
      </c>
      <c r="C1081" s="306">
        <f>IF('دانش‌آموزان'!E94="","",'دانش‌آموزان'!B94)</f>
        <v/>
      </c>
      <c r="D1081" s="306">
        <f>IF('دانش‌آموزان'!C94="","",'دانش‌آموزان'!C94)</f>
        <v/>
      </c>
      <c r="E1081" s="306">
        <f>IF('دانش‌آموزان'!E94="","",'دانش‌آموزان'!E94&amp;" "&amp;'دانش‌آموزان'!F94)</f>
        <v/>
      </c>
      <c r="F1081" s="306">
        <f>IF('دانش‌آموزان'!I94="","",'دانش‌آموزان'!I94)</f>
        <v/>
      </c>
      <c r="G1081" s="307" t="n"/>
      <c r="H1081" s="307" t="n"/>
      <c r="I1081" s="307" t="n"/>
      <c r="J1081" s="307" t="n"/>
      <c r="K1081" s="313">
        <f>IF(COUNT(G1081:J1081)=0,"",AVERAGE(G1081:J1081)*4)</f>
        <v/>
      </c>
      <c r="L1081" s="306">
        <f>IF(C1081="","",IF(COUNT(G1081:J1081)=0,"",IF(COUNT(G1081:J1081)&lt;4,"موقت - اطلاعات ناقص",IF(K1081&gt;=17,"عالی",IF(K1081&gt;=14,"خوب",IF(K1081&gt;=10,"متوسط","ضعیف"))))))</f>
        <v/>
      </c>
      <c r="M1081" s="306" t="n">
        <v>9</v>
      </c>
      <c r="N1081" s="314">
        <f>IF(C1081="","",COUNT(G1081:J1081)/4)</f>
        <v/>
      </c>
      <c r="O1081" s="307" t="n"/>
    </row>
    <row r="1082" ht="24" customHeight="1">
      <c r="A1082" s="306" t="n">
        <v>1078</v>
      </c>
      <c r="B1082" s="306" t="inlineStr">
        <is>
          <t>فروردین</t>
        </is>
      </c>
      <c r="C1082" s="306">
        <f>IF('دانش‌آموزان'!E94="","",'دانش‌آموزان'!B94)</f>
        <v/>
      </c>
      <c r="D1082" s="306">
        <f>IF('دانش‌آموزان'!C94="","",'دانش‌آموزان'!C94)</f>
        <v/>
      </c>
      <c r="E1082" s="306">
        <f>IF('دانش‌آموزان'!E94="","",'دانش‌آموزان'!E94&amp;" "&amp;'دانش‌آموزان'!F94)</f>
        <v/>
      </c>
      <c r="F1082" s="306">
        <f>IF('دانش‌آموزان'!I94="","",'دانش‌آموزان'!I94)</f>
        <v/>
      </c>
      <c r="G1082" s="307" t="n"/>
      <c r="H1082" s="307" t="n"/>
      <c r="I1082" s="307" t="n"/>
      <c r="J1082" s="307" t="n"/>
      <c r="K1082" s="313">
        <f>IF(COUNT(G1082:J1082)=0,"",AVERAGE(G1082:J1082)*4)</f>
        <v/>
      </c>
      <c r="L1082" s="306">
        <f>IF(C1082="","",IF(COUNT(G1082:J1082)=0,"",IF(COUNT(G1082:J1082)&lt;4,"موقت - اطلاعات ناقص",IF(K1082&gt;=17,"عالی",IF(K1082&gt;=14,"خوب",IF(K1082&gt;=10,"متوسط","ضعیف"))))))</f>
        <v/>
      </c>
      <c r="M1082" s="306" t="n">
        <v>10</v>
      </c>
      <c r="N1082" s="314">
        <f>IF(C1082="","",COUNT(G1082:J1082)/4)</f>
        <v/>
      </c>
      <c r="O1082" s="307" t="n"/>
    </row>
    <row r="1083" ht="24" customHeight="1">
      <c r="A1083" s="306" t="n">
        <v>1079</v>
      </c>
      <c r="B1083" s="306" t="inlineStr">
        <is>
          <t>اردیبهشت</t>
        </is>
      </c>
      <c r="C1083" s="306">
        <f>IF('دانش‌آموزان'!E94="","",'دانش‌آموزان'!B94)</f>
        <v/>
      </c>
      <c r="D1083" s="306">
        <f>IF('دانش‌آموزان'!C94="","",'دانش‌آموزان'!C94)</f>
        <v/>
      </c>
      <c r="E1083" s="306">
        <f>IF('دانش‌آموزان'!E94="","",'دانش‌آموزان'!E94&amp;" "&amp;'دانش‌آموزان'!F94)</f>
        <v/>
      </c>
      <c r="F1083" s="306">
        <f>IF('دانش‌آموزان'!I94="","",'دانش‌آموزان'!I94)</f>
        <v/>
      </c>
      <c r="G1083" s="307" t="n"/>
      <c r="H1083" s="307" t="n"/>
      <c r="I1083" s="307" t="n"/>
      <c r="J1083" s="307" t="n"/>
      <c r="K1083" s="313">
        <f>IF(COUNT(G1083:J1083)=0,"",AVERAGE(G1083:J1083)*4)</f>
        <v/>
      </c>
      <c r="L1083" s="306">
        <f>IF(C1083="","",IF(COUNT(G1083:J1083)=0,"",IF(COUNT(G1083:J1083)&lt;4,"موقت - اطلاعات ناقص",IF(K1083&gt;=17,"عالی",IF(K1083&gt;=14,"خوب",IF(K1083&gt;=10,"متوسط","ضعیف"))))))</f>
        <v/>
      </c>
      <c r="M1083" s="306" t="n">
        <v>11</v>
      </c>
      <c r="N1083" s="314">
        <f>IF(C1083="","",COUNT(G1083:J1083)/4)</f>
        <v/>
      </c>
      <c r="O1083" s="307" t="n"/>
    </row>
    <row r="1084" ht="24" customHeight="1">
      <c r="A1084" s="306" t="n">
        <v>1080</v>
      </c>
      <c r="B1084" s="306" t="inlineStr">
        <is>
          <t>خرداد</t>
        </is>
      </c>
      <c r="C1084" s="306">
        <f>IF('دانش‌آموزان'!E94="","",'دانش‌آموزان'!B94)</f>
        <v/>
      </c>
      <c r="D1084" s="306">
        <f>IF('دانش‌آموزان'!C94="","",'دانش‌آموزان'!C94)</f>
        <v/>
      </c>
      <c r="E1084" s="306">
        <f>IF('دانش‌آموزان'!E94="","",'دانش‌آموزان'!E94&amp;" "&amp;'دانش‌آموزان'!F94)</f>
        <v/>
      </c>
      <c r="F1084" s="306">
        <f>IF('دانش‌آموزان'!I94="","",'دانش‌آموزان'!I94)</f>
        <v/>
      </c>
      <c r="G1084" s="307" t="n"/>
      <c r="H1084" s="307" t="n"/>
      <c r="I1084" s="307" t="n"/>
      <c r="J1084" s="307" t="n"/>
      <c r="K1084" s="313">
        <f>IF(COUNT(G1084:J1084)=0,"",AVERAGE(G1084:J1084)*4)</f>
        <v/>
      </c>
      <c r="L1084" s="306">
        <f>IF(C1084="","",IF(COUNT(G1084:J1084)=0,"",IF(COUNT(G1084:J1084)&lt;4,"موقت - اطلاعات ناقص",IF(K1084&gt;=17,"عالی",IF(K1084&gt;=14,"خوب",IF(K1084&gt;=10,"متوسط","ضعیف"))))))</f>
        <v/>
      </c>
      <c r="M1084" s="306" t="n">
        <v>12</v>
      </c>
      <c r="N1084" s="314">
        <f>IF(C1084="","",COUNT(G1084:J1084)/4)</f>
        <v/>
      </c>
      <c r="O1084" s="307" t="n"/>
    </row>
    <row r="1085" ht="24" customHeight="1">
      <c r="A1085" s="306" t="n">
        <v>1081</v>
      </c>
      <c r="B1085" s="306" t="inlineStr">
        <is>
          <t>تیر</t>
        </is>
      </c>
      <c r="C1085" s="306">
        <f>IF('دانش‌آموزان'!E95="","",'دانش‌آموزان'!B95)</f>
        <v/>
      </c>
      <c r="D1085" s="306">
        <f>IF('دانش‌آموزان'!C95="","",'دانش‌آموزان'!C95)</f>
        <v/>
      </c>
      <c r="E1085" s="306">
        <f>IF('دانش‌آموزان'!E95="","",'دانش‌آموزان'!E95&amp;" "&amp;'دانش‌آموزان'!F95)</f>
        <v/>
      </c>
      <c r="F1085" s="306">
        <f>IF('دانش‌آموزان'!I95="","",'دانش‌آموزان'!I95)</f>
        <v/>
      </c>
      <c r="G1085" s="307" t="n"/>
      <c r="H1085" s="307" t="n"/>
      <c r="I1085" s="307" t="n"/>
      <c r="J1085" s="307" t="n"/>
      <c r="K1085" s="313">
        <f>IF(COUNT(G1085:J1085)=0,"",AVERAGE(G1085:J1085)*4)</f>
        <v/>
      </c>
      <c r="L1085" s="306">
        <f>IF(C1085="","",IF(COUNT(G1085:J1085)=0,"",IF(COUNT(G1085:J1085)&lt;4,"موقت - اطلاعات ناقص",IF(K1085&gt;=17,"عالی",IF(K1085&gt;=14,"خوب",IF(K1085&gt;=10,"متوسط","ضعیف"))))))</f>
        <v/>
      </c>
      <c r="M1085" s="306" t="n">
        <v>1</v>
      </c>
      <c r="N1085" s="314">
        <f>IF(C1085="","",COUNT(G1085:J1085)/4)</f>
        <v/>
      </c>
      <c r="O1085" s="307" t="n"/>
    </row>
    <row r="1086" ht="24" customHeight="1">
      <c r="A1086" s="306" t="n">
        <v>1082</v>
      </c>
      <c r="B1086" s="306" t="inlineStr">
        <is>
          <t>مرداد</t>
        </is>
      </c>
      <c r="C1086" s="306">
        <f>IF('دانش‌آموزان'!E95="","",'دانش‌آموزان'!B95)</f>
        <v/>
      </c>
      <c r="D1086" s="306">
        <f>IF('دانش‌آموزان'!C95="","",'دانش‌آموزان'!C95)</f>
        <v/>
      </c>
      <c r="E1086" s="306">
        <f>IF('دانش‌آموزان'!E95="","",'دانش‌آموزان'!E95&amp;" "&amp;'دانش‌آموزان'!F95)</f>
        <v/>
      </c>
      <c r="F1086" s="306">
        <f>IF('دانش‌آموزان'!I95="","",'دانش‌آموزان'!I95)</f>
        <v/>
      </c>
      <c r="G1086" s="307" t="n"/>
      <c r="H1086" s="307" t="n"/>
      <c r="I1086" s="307" t="n"/>
      <c r="J1086" s="307" t="n"/>
      <c r="K1086" s="313">
        <f>IF(COUNT(G1086:J1086)=0,"",AVERAGE(G1086:J1086)*4)</f>
        <v/>
      </c>
      <c r="L1086" s="306">
        <f>IF(C1086="","",IF(COUNT(G1086:J1086)=0,"",IF(COUNT(G1086:J1086)&lt;4,"موقت - اطلاعات ناقص",IF(K1086&gt;=17,"عالی",IF(K1086&gt;=14,"خوب",IF(K1086&gt;=10,"متوسط","ضعیف"))))))</f>
        <v/>
      </c>
      <c r="M1086" s="306" t="n">
        <v>2</v>
      </c>
      <c r="N1086" s="314">
        <f>IF(C1086="","",COUNT(G1086:J1086)/4)</f>
        <v/>
      </c>
      <c r="O1086" s="307" t="n"/>
    </row>
    <row r="1087" ht="24" customHeight="1">
      <c r="A1087" s="306" t="n">
        <v>1083</v>
      </c>
      <c r="B1087" s="306" t="inlineStr">
        <is>
          <t>شهریور</t>
        </is>
      </c>
      <c r="C1087" s="306">
        <f>IF('دانش‌آموزان'!E95="","",'دانش‌آموزان'!B95)</f>
        <v/>
      </c>
      <c r="D1087" s="306">
        <f>IF('دانش‌آموزان'!C95="","",'دانش‌آموزان'!C95)</f>
        <v/>
      </c>
      <c r="E1087" s="306">
        <f>IF('دانش‌آموزان'!E95="","",'دانش‌آموزان'!E95&amp;" "&amp;'دانش‌آموزان'!F95)</f>
        <v/>
      </c>
      <c r="F1087" s="306">
        <f>IF('دانش‌آموزان'!I95="","",'دانش‌آموزان'!I95)</f>
        <v/>
      </c>
      <c r="G1087" s="307" t="n"/>
      <c r="H1087" s="307" t="n"/>
      <c r="I1087" s="307" t="n"/>
      <c r="J1087" s="307" t="n"/>
      <c r="K1087" s="313">
        <f>IF(COUNT(G1087:J1087)=0,"",AVERAGE(G1087:J1087)*4)</f>
        <v/>
      </c>
      <c r="L1087" s="306">
        <f>IF(C1087="","",IF(COUNT(G1087:J1087)=0,"",IF(COUNT(G1087:J1087)&lt;4,"موقت - اطلاعات ناقص",IF(K1087&gt;=17,"عالی",IF(K1087&gt;=14,"خوب",IF(K1087&gt;=10,"متوسط","ضعیف"))))))</f>
        <v/>
      </c>
      <c r="M1087" s="306" t="n">
        <v>3</v>
      </c>
      <c r="N1087" s="314">
        <f>IF(C1087="","",COUNT(G1087:J1087)/4)</f>
        <v/>
      </c>
      <c r="O1087" s="307" t="n"/>
    </row>
    <row r="1088" ht="24" customHeight="1">
      <c r="A1088" s="306" t="n">
        <v>1084</v>
      </c>
      <c r="B1088" s="306" t="inlineStr">
        <is>
          <t>مهر</t>
        </is>
      </c>
      <c r="C1088" s="306">
        <f>IF('دانش‌آموزان'!E95="","",'دانش‌آموزان'!B95)</f>
        <v/>
      </c>
      <c r="D1088" s="306">
        <f>IF('دانش‌آموزان'!C95="","",'دانش‌آموزان'!C95)</f>
        <v/>
      </c>
      <c r="E1088" s="306">
        <f>IF('دانش‌آموزان'!E95="","",'دانش‌آموزان'!E95&amp;" "&amp;'دانش‌آموزان'!F95)</f>
        <v/>
      </c>
      <c r="F1088" s="306">
        <f>IF('دانش‌آموزان'!I95="","",'دانش‌آموزان'!I95)</f>
        <v/>
      </c>
      <c r="G1088" s="307" t="n"/>
      <c r="H1088" s="307" t="n"/>
      <c r="I1088" s="307" t="n"/>
      <c r="J1088" s="307" t="n"/>
      <c r="K1088" s="313">
        <f>IF(COUNT(G1088:J1088)=0,"",AVERAGE(G1088:J1088)*4)</f>
        <v/>
      </c>
      <c r="L1088" s="306">
        <f>IF(C1088="","",IF(COUNT(G1088:J1088)=0,"",IF(COUNT(G1088:J1088)&lt;4,"موقت - اطلاعات ناقص",IF(K1088&gt;=17,"عالی",IF(K1088&gt;=14,"خوب",IF(K1088&gt;=10,"متوسط","ضعیف"))))))</f>
        <v/>
      </c>
      <c r="M1088" s="306" t="n">
        <v>4</v>
      </c>
      <c r="N1088" s="314">
        <f>IF(C1088="","",COUNT(G1088:J1088)/4)</f>
        <v/>
      </c>
      <c r="O1088" s="307" t="n"/>
    </row>
    <row r="1089" ht="24" customHeight="1">
      <c r="A1089" s="306" t="n">
        <v>1085</v>
      </c>
      <c r="B1089" s="306" t="inlineStr">
        <is>
          <t>آبان</t>
        </is>
      </c>
      <c r="C1089" s="306">
        <f>IF('دانش‌آموزان'!E95="","",'دانش‌آموزان'!B95)</f>
        <v/>
      </c>
      <c r="D1089" s="306">
        <f>IF('دانش‌آموزان'!C95="","",'دانش‌آموزان'!C95)</f>
        <v/>
      </c>
      <c r="E1089" s="306">
        <f>IF('دانش‌آموزان'!E95="","",'دانش‌آموزان'!E95&amp;" "&amp;'دانش‌آموزان'!F95)</f>
        <v/>
      </c>
      <c r="F1089" s="306">
        <f>IF('دانش‌آموزان'!I95="","",'دانش‌آموزان'!I95)</f>
        <v/>
      </c>
      <c r="G1089" s="307" t="n"/>
      <c r="H1089" s="307" t="n"/>
      <c r="I1089" s="307" t="n"/>
      <c r="J1089" s="307" t="n"/>
      <c r="K1089" s="313">
        <f>IF(COUNT(G1089:J1089)=0,"",AVERAGE(G1089:J1089)*4)</f>
        <v/>
      </c>
      <c r="L1089" s="306">
        <f>IF(C1089="","",IF(COUNT(G1089:J1089)=0,"",IF(COUNT(G1089:J1089)&lt;4,"موقت - اطلاعات ناقص",IF(K1089&gt;=17,"عالی",IF(K1089&gt;=14,"خوب",IF(K1089&gt;=10,"متوسط","ضعیف"))))))</f>
        <v/>
      </c>
      <c r="M1089" s="306" t="n">
        <v>5</v>
      </c>
      <c r="N1089" s="314">
        <f>IF(C1089="","",COUNT(G1089:J1089)/4)</f>
        <v/>
      </c>
      <c r="O1089" s="307" t="n"/>
    </row>
    <row r="1090" ht="24" customHeight="1">
      <c r="A1090" s="306" t="n">
        <v>1086</v>
      </c>
      <c r="B1090" s="306" t="inlineStr">
        <is>
          <t>آذر</t>
        </is>
      </c>
      <c r="C1090" s="306">
        <f>IF('دانش‌آموزان'!E95="","",'دانش‌آموزان'!B95)</f>
        <v/>
      </c>
      <c r="D1090" s="306">
        <f>IF('دانش‌آموزان'!C95="","",'دانش‌آموزان'!C95)</f>
        <v/>
      </c>
      <c r="E1090" s="306">
        <f>IF('دانش‌آموزان'!E95="","",'دانش‌آموزان'!E95&amp;" "&amp;'دانش‌آموزان'!F95)</f>
        <v/>
      </c>
      <c r="F1090" s="306">
        <f>IF('دانش‌آموزان'!I95="","",'دانش‌آموزان'!I95)</f>
        <v/>
      </c>
      <c r="G1090" s="307" t="n"/>
      <c r="H1090" s="307" t="n"/>
      <c r="I1090" s="307" t="n"/>
      <c r="J1090" s="307" t="n"/>
      <c r="K1090" s="313">
        <f>IF(COUNT(G1090:J1090)=0,"",AVERAGE(G1090:J1090)*4)</f>
        <v/>
      </c>
      <c r="L1090" s="306">
        <f>IF(C1090="","",IF(COUNT(G1090:J1090)=0,"",IF(COUNT(G1090:J1090)&lt;4,"موقت - اطلاعات ناقص",IF(K1090&gt;=17,"عالی",IF(K1090&gt;=14,"خوب",IF(K1090&gt;=10,"متوسط","ضعیف"))))))</f>
        <v/>
      </c>
      <c r="M1090" s="306" t="n">
        <v>6</v>
      </c>
      <c r="N1090" s="314">
        <f>IF(C1090="","",COUNT(G1090:J1090)/4)</f>
        <v/>
      </c>
      <c r="O1090" s="307" t="n"/>
    </row>
    <row r="1091" ht="24" customHeight="1">
      <c r="A1091" s="306" t="n">
        <v>1087</v>
      </c>
      <c r="B1091" s="306" t="inlineStr">
        <is>
          <t>دی</t>
        </is>
      </c>
      <c r="C1091" s="306">
        <f>IF('دانش‌آموزان'!E95="","",'دانش‌آموزان'!B95)</f>
        <v/>
      </c>
      <c r="D1091" s="306">
        <f>IF('دانش‌آموزان'!C95="","",'دانش‌آموزان'!C95)</f>
        <v/>
      </c>
      <c r="E1091" s="306">
        <f>IF('دانش‌آموزان'!E95="","",'دانش‌آموزان'!E95&amp;" "&amp;'دانش‌آموزان'!F95)</f>
        <v/>
      </c>
      <c r="F1091" s="306">
        <f>IF('دانش‌آموزان'!I95="","",'دانش‌آموزان'!I95)</f>
        <v/>
      </c>
      <c r="G1091" s="307" t="n"/>
      <c r="H1091" s="307" t="n"/>
      <c r="I1091" s="307" t="n"/>
      <c r="J1091" s="307" t="n"/>
      <c r="K1091" s="313">
        <f>IF(COUNT(G1091:J1091)=0,"",AVERAGE(G1091:J1091)*4)</f>
        <v/>
      </c>
      <c r="L1091" s="306">
        <f>IF(C1091="","",IF(COUNT(G1091:J1091)=0,"",IF(COUNT(G1091:J1091)&lt;4,"موقت - اطلاعات ناقص",IF(K1091&gt;=17,"عالی",IF(K1091&gt;=14,"خوب",IF(K1091&gt;=10,"متوسط","ضعیف"))))))</f>
        <v/>
      </c>
      <c r="M1091" s="306" t="n">
        <v>7</v>
      </c>
      <c r="N1091" s="314">
        <f>IF(C1091="","",COUNT(G1091:J1091)/4)</f>
        <v/>
      </c>
      <c r="O1091" s="307" t="n"/>
    </row>
    <row r="1092" ht="24" customHeight="1">
      <c r="A1092" s="306" t="n">
        <v>1088</v>
      </c>
      <c r="B1092" s="306" t="inlineStr">
        <is>
          <t>بهمن</t>
        </is>
      </c>
      <c r="C1092" s="306">
        <f>IF('دانش‌آموزان'!E95="","",'دانش‌آموزان'!B95)</f>
        <v/>
      </c>
      <c r="D1092" s="306">
        <f>IF('دانش‌آموزان'!C95="","",'دانش‌آموزان'!C95)</f>
        <v/>
      </c>
      <c r="E1092" s="306">
        <f>IF('دانش‌آموزان'!E95="","",'دانش‌آموزان'!E95&amp;" "&amp;'دانش‌آموزان'!F95)</f>
        <v/>
      </c>
      <c r="F1092" s="306">
        <f>IF('دانش‌آموزان'!I95="","",'دانش‌آموزان'!I95)</f>
        <v/>
      </c>
      <c r="G1092" s="307" t="n"/>
      <c r="H1092" s="307" t="n"/>
      <c r="I1092" s="307" t="n"/>
      <c r="J1092" s="307" t="n"/>
      <c r="K1092" s="313">
        <f>IF(COUNT(G1092:J1092)=0,"",AVERAGE(G1092:J1092)*4)</f>
        <v/>
      </c>
      <c r="L1092" s="306">
        <f>IF(C1092="","",IF(COUNT(G1092:J1092)=0,"",IF(COUNT(G1092:J1092)&lt;4,"موقت - اطلاعات ناقص",IF(K1092&gt;=17,"عالی",IF(K1092&gt;=14,"خوب",IF(K1092&gt;=10,"متوسط","ضعیف"))))))</f>
        <v/>
      </c>
      <c r="M1092" s="306" t="n">
        <v>8</v>
      </c>
      <c r="N1092" s="314">
        <f>IF(C1092="","",COUNT(G1092:J1092)/4)</f>
        <v/>
      </c>
      <c r="O1092" s="307" t="n"/>
    </row>
    <row r="1093" ht="24" customHeight="1">
      <c r="A1093" s="306" t="n">
        <v>1089</v>
      </c>
      <c r="B1093" s="306" t="inlineStr">
        <is>
          <t>اسفند</t>
        </is>
      </c>
      <c r="C1093" s="306">
        <f>IF('دانش‌آموزان'!E95="","",'دانش‌آموزان'!B95)</f>
        <v/>
      </c>
      <c r="D1093" s="306">
        <f>IF('دانش‌آموزان'!C95="","",'دانش‌آموزان'!C95)</f>
        <v/>
      </c>
      <c r="E1093" s="306">
        <f>IF('دانش‌آموزان'!E95="","",'دانش‌آموزان'!E95&amp;" "&amp;'دانش‌آموزان'!F95)</f>
        <v/>
      </c>
      <c r="F1093" s="306">
        <f>IF('دانش‌آموزان'!I95="","",'دانش‌آموزان'!I95)</f>
        <v/>
      </c>
      <c r="G1093" s="307" t="n"/>
      <c r="H1093" s="307" t="n"/>
      <c r="I1093" s="307" t="n"/>
      <c r="J1093" s="307" t="n"/>
      <c r="K1093" s="313">
        <f>IF(COUNT(G1093:J1093)=0,"",AVERAGE(G1093:J1093)*4)</f>
        <v/>
      </c>
      <c r="L1093" s="306">
        <f>IF(C1093="","",IF(COUNT(G1093:J1093)=0,"",IF(COUNT(G1093:J1093)&lt;4,"موقت - اطلاعات ناقص",IF(K1093&gt;=17,"عالی",IF(K1093&gt;=14,"خوب",IF(K1093&gt;=10,"متوسط","ضعیف"))))))</f>
        <v/>
      </c>
      <c r="M1093" s="306" t="n">
        <v>9</v>
      </c>
      <c r="N1093" s="314">
        <f>IF(C1093="","",COUNT(G1093:J1093)/4)</f>
        <v/>
      </c>
      <c r="O1093" s="307" t="n"/>
    </row>
    <row r="1094" ht="24" customHeight="1">
      <c r="A1094" s="306" t="n">
        <v>1090</v>
      </c>
      <c r="B1094" s="306" t="inlineStr">
        <is>
          <t>فروردین</t>
        </is>
      </c>
      <c r="C1094" s="306">
        <f>IF('دانش‌آموزان'!E95="","",'دانش‌آموزان'!B95)</f>
        <v/>
      </c>
      <c r="D1094" s="306">
        <f>IF('دانش‌آموزان'!C95="","",'دانش‌آموزان'!C95)</f>
        <v/>
      </c>
      <c r="E1094" s="306">
        <f>IF('دانش‌آموزان'!E95="","",'دانش‌آموزان'!E95&amp;" "&amp;'دانش‌آموزان'!F95)</f>
        <v/>
      </c>
      <c r="F1094" s="306">
        <f>IF('دانش‌آموزان'!I95="","",'دانش‌آموزان'!I95)</f>
        <v/>
      </c>
      <c r="G1094" s="307" t="n"/>
      <c r="H1094" s="307" t="n"/>
      <c r="I1094" s="307" t="n"/>
      <c r="J1094" s="307" t="n"/>
      <c r="K1094" s="313">
        <f>IF(COUNT(G1094:J1094)=0,"",AVERAGE(G1094:J1094)*4)</f>
        <v/>
      </c>
      <c r="L1094" s="306">
        <f>IF(C1094="","",IF(COUNT(G1094:J1094)=0,"",IF(COUNT(G1094:J1094)&lt;4,"موقت - اطلاعات ناقص",IF(K1094&gt;=17,"عالی",IF(K1094&gt;=14,"خوب",IF(K1094&gt;=10,"متوسط","ضعیف"))))))</f>
        <v/>
      </c>
      <c r="M1094" s="306" t="n">
        <v>10</v>
      </c>
      <c r="N1094" s="314">
        <f>IF(C1094="","",COUNT(G1094:J1094)/4)</f>
        <v/>
      </c>
      <c r="O1094" s="307" t="n"/>
    </row>
    <row r="1095" ht="24" customHeight="1">
      <c r="A1095" s="306" t="n">
        <v>1091</v>
      </c>
      <c r="B1095" s="306" t="inlineStr">
        <is>
          <t>اردیبهشت</t>
        </is>
      </c>
      <c r="C1095" s="306">
        <f>IF('دانش‌آموزان'!E95="","",'دانش‌آموزان'!B95)</f>
        <v/>
      </c>
      <c r="D1095" s="306">
        <f>IF('دانش‌آموزان'!C95="","",'دانش‌آموزان'!C95)</f>
        <v/>
      </c>
      <c r="E1095" s="306">
        <f>IF('دانش‌آموزان'!E95="","",'دانش‌آموزان'!E95&amp;" "&amp;'دانش‌آموزان'!F95)</f>
        <v/>
      </c>
      <c r="F1095" s="306">
        <f>IF('دانش‌آموزان'!I95="","",'دانش‌آموزان'!I95)</f>
        <v/>
      </c>
      <c r="G1095" s="307" t="n"/>
      <c r="H1095" s="307" t="n"/>
      <c r="I1095" s="307" t="n"/>
      <c r="J1095" s="307" t="n"/>
      <c r="K1095" s="313">
        <f>IF(COUNT(G1095:J1095)=0,"",AVERAGE(G1095:J1095)*4)</f>
        <v/>
      </c>
      <c r="L1095" s="306">
        <f>IF(C1095="","",IF(COUNT(G1095:J1095)=0,"",IF(COUNT(G1095:J1095)&lt;4,"موقت - اطلاعات ناقص",IF(K1095&gt;=17,"عالی",IF(K1095&gt;=14,"خوب",IF(K1095&gt;=10,"متوسط","ضعیف"))))))</f>
        <v/>
      </c>
      <c r="M1095" s="306" t="n">
        <v>11</v>
      </c>
      <c r="N1095" s="314">
        <f>IF(C1095="","",COUNT(G1095:J1095)/4)</f>
        <v/>
      </c>
      <c r="O1095" s="307" t="n"/>
    </row>
    <row r="1096" ht="24" customHeight="1">
      <c r="A1096" s="306" t="n">
        <v>1092</v>
      </c>
      <c r="B1096" s="306" t="inlineStr">
        <is>
          <t>خرداد</t>
        </is>
      </c>
      <c r="C1096" s="306">
        <f>IF('دانش‌آموزان'!E95="","",'دانش‌آموزان'!B95)</f>
        <v/>
      </c>
      <c r="D1096" s="306">
        <f>IF('دانش‌آموزان'!C95="","",'دانش‌آموزان'!C95)</f>
        <v/>
      </c>
      <c r="E1096" s="306">
        <f>IF('دانش‌آموزان'!E95="","",'دانش‌آموزان'!E95&amp;" "&amp;'دانش‌آموزان'!F95)</f>
        <v/>
      </c>
      <c r="F1096" s="306">
        <f>IF('دانش‌آموزان'!I95="","",'دانش‌آموزان'!I95)</f>
        <v/>
      </c>
      <c r="G1096" s="307" t="n"/>
      <c r="H1096" s="307" t="n"/>
      <c r="I1096" s="307" t="n"/>
      <c r="J1096" s="307" t="n"/>
      <c r="K1096" s="313">
        <f>IF(COUNT(G1096:J1096)=0,"",AVERAGE(G1096:J1096)*4)</f>
        <v/>
      </c>
      <c r="L1096" s="306">
        <f>IF(C1096="","",IF(COUNT(G1096:J1096)=0,"",IF(COUNT(G1096:J1096)&lt;4,"موقت - اطلاعات ناقص",IF(K1096&gt;=17,"عالی",IF(K1096&gt;=14,"خوب",IF(K1096&gt;=10,"متوسط","ضعیف"))))))</f>
        <v/>
      </c>
      <c r="M1096" s="306" t="n">
        <v>12</v>
      </c>
      <c r="N1096" s="314">
        <f>IF(C1096="","",COUNT(G1096:J1096)/4)</f>
        <v/>
      </c>
      <c r="O1096" s="307" t="n"/>
    </row>
    <row r="1097" ht="24" customHeight="1">
      <c r="A1097" s="306" t="n">
        <v>1093</v>
      </c>
      <c r="B1097" s="306" t="inlineStr">
        <is>
          <t>تیر</t>
        </is>
      </c>
      <c r="C1097" s="306">
        <f>IF('دانش‌آموزان'!E96="","",'دانش‌آموزان'!B96)</f>
        <v/>
      </c>
      <c r="D1097" s="306">
        <f>IF('دانش‌آموزان'!C96="","",'دانش‌آموزان'!C96)</f>
        <v/>
      </c>
      <c r="E1097" s="306">
        <f>IF('دانش‌آموزان'!E96="","",'دانش‌آموزان'!E96&amp;" "&amp;'دانش‌آموزان'!F96)</f>
        <v/>
      </c>
      <c r="F1097" s="306">
        <f>IF('دانش‌آموزان'!I96="","",'دانش‌آموزان'!I96)</f>
        <v/>
      </c>
      <c r="G1097" s="307" t="n"/>
      <c r="H1097" s="307" t="n"/>
      <c r="I1097" s="307" t="n"/>
      <c r="J1097" s="307" t="n"/>
      <c r="K1097" s="313">
        <f>IF(COUNT(G1097:J1097)=0,"",AVERAGE(G1097:J1097)*4)</f>
        <v/>
      </c>
      <c r="L1097" s="306">
        <f>IF(C1097="","",IF(COUNT(G1097:J1097)=0,"",IF(COUNT(G1097:J1097)&lt;4,"موقت - اطلاعات ناقص",IF(K1097&gt;=17,"عالی",IF(K1097&gt;=14,"خوب",IF(K1097&gt;=10,"متوسط","ضعیف"))))))</f>
        <v/>
      </c>
      <c r="M1097" s="306" t="n">
        <v>1</v>
      </c>
      <c r="N1097" s="314">
        <f>IF(C1097="","",COUNT(G1097:J1097)/4)</f>
        <v/>
      </c>
      <c r="O1097" s="307" t="n"/>
    </row>
    <row r="1098" ht="24" customHeight="1">
      <c r="A1098" s="306" t="n">
        <v>1094</v>
      </c>
      <c r="B1098" s="306" t="inlineStr">
        <is>
          <t>مرداد</t>
        </is>
      </c>
      <c r="C1098" s="306">
        <f>IF('دانش‌آموزان'!E96="","",'دانش‌آموزان'!B96)</f>
        <v/>
      </c>
      <c r="D1098" s="306">
        <f>IF('دانش‌آموزان'!C96="","",'دانش‌آموزان'!C96)</f>
        <v/>
      </c>
      <c r="E1098" s="306">
        <f>IF('دانش‌آموزان'!E96="","",'دانش‌آموزان'!E96&amp;" "&amp;'دانش‌آموزان'!F96)</f>
        <v/>
      </c>
      <c r="F1098" s="306">
        <f>IF('دانش‌آموزان'!I96="","",'دانش‌آموزان'!I96)</f>
        <v/>
      </c>
      <c r="G1098" s="307" t="n"/>
      <c r="H1098" s="307" t="n"/>
      <c r="I1098" s="307" t="n"/>
      <c r="J1098" s="307" t="n"/>
      <c r="K1098" s="313">
        <f>IF(COUNT(G1098:J1098)=0,"",AVERAGE(G1098:J1098)*4)</f>
        <v/>
      </c>
      <c r="L1098" s="306">
        <f>IF(C1098="","",IF(COUNT(G1098:J1098)=0,"",IF(COUNT(G1098:J1098)&lt;4,"موقت - اطلاعات ناقص",IF(K1098&gt;=17,"عالی",IF(K1098&gt;=14,"خوب",IF(K1098&gt;=10,"متوسط","ضعیف"))))))</f>
        <v/>
      </c>
      <c r="M1098" s="306" t="n">
        <v>2</v>
      </c>
      <c r="N1098" s="314">
        <f>IF(C1098="","",COUNT(G1098:J1098)/4)</f>
        <v/>
      </c>
      <c r="O1098" s="307" t="n"/>
    </row>
    <row r="1099" ht="24" customHeight="1">
      <c r="A1099" s="306" t="n">
        <v>1095</v>
      </c>
      <c r="B1099" s="306" t="inlineStr">
        <is>
          <t>شهریور</t>
        </is>
      </c>
      <c r="C1099" s="306">
        <f>IF('دانش‌آموزان'!E96="","",'دانش‌آموزان'!B96)</f>
        <v/>
      </c>
      <c r="D1099" s="306">
        <f>IF('دانش‌آموزان'!C96="","",'دانش‌آموزان'!C96)</f>
        <v/>
      </c>
      <c r="E1099" s="306">
        <f>IF('دانش‌آموزان'!E96="","",'دانش‌آموزان'!E96&amp;" "&amp;'دانش‌آموزان'!F96)</f>
        <v/>
      </c>
      <c r="F1099" s="306">
        <f>IF('دانش‌آموزان'!I96="","",'دانش‌آموزان'!I96)</f>
        <v/>
      </c>
      <c r="G1099" s="307" t="n"/>
      <c r="H1099" s="307" t="n"/>
      <c r="I1099" s="307" t="n"/>
      <c r="J1099" s="307" t="n"/>
      <c r="K1099" s="313">
        <f>IF(COUNT(G1099:J1099)=0,"",AVERAGE(G1099:J1099)*4)</f>
        <v/>
      </c>
      <c r="L1099" s="306">
        <f>IF(C1099="","",IF(COUNT(G1099:J1099)=0,"",IF(COUNT(G1099:J1099)&lt;4,"موقت - اطلاعات ناقص",IF(K1099&gt;=17,"عالی",IF(K1099&gt;=14,"خوب",IF(K1099&gt;=10,"متوسط","ضعیف"))))))</f>
        <v/>
      </c>
      <c r="M1099" s="306" t="n">
        <v>3</v>
      </c>
      <c r="N1099" s="314">
        <f>IF(C1099="","",COUNT(G1099:J1099)/4)</f>
        <v/>
      </c>
      <c r="O1099" s="307" t="n"/>
    </row>
    <row r="1100" ht="24" customHeight="1">
      <c r="A1100" s="306" t="n">
        <v>1096</v>
      </c>
      <c r="B1100" s="306" t="inlineStr">
        <is>
          <t>مهر</t>
        </is>
      </c>
      <c r="C1100" s="306">
        <f>IF('دانش‌آموزان'!E96="","",'دانش‌آموزان'!B96)</f>
        <v/>
      </c>
      <c r="D1100" s="306">
        <f>IF('دانش‌آموزان'!C96="","",'دانش‌آموزان'!C96)</f>
        <v/>
      </c>
      <c r="E1100" s="306">
        <f>IF('دانش‌آموزان'!E96="","",'دانش‌آموزان'!E96&amp;" "&amp;'دانش‌آموزان'!F96)</f>
        <v/>
      </c>
      <c r="F1100" s="306">
        <f>IF('دانش‌آموزان'!I96="","",'دانش‌آموزان'!I96)</f>
        <v/>
      </c>
      <c r="G1100" s="307" t="n"/>
      <c r="H1100" s="307" t="n"/>
      <c r="I1100" s="307" t="n"/>
      <c r="J1100" s="307" t="n"/>
      <c r="K1100" s="313">
        <f>IF(COUNT(G1100:J1100)=0,"",AVERAGE(G1100:J1100)*4)</f>
        <v/>
      </c>
      <c r="L1100" s="306">
        <f>IF(C1100="","",IF(COUNT(G1100:J1100)=0,"",IF(COUNT(G1100:J1100)&lt;4,"موقت - اطلاعات ناقص",IF(K1100&gt;=17,"عالی",IF(K1100&gt;=14,"خوب",IF(K1100&gt;=10,"متوسط","ضعیف"))))))</f>
        <v/>
      </c>
      <c r="M1100" s="306" t="n">
        <v>4</v>
      </c>
      <c r="N1100" s="314">
        <f>IF(C1100="","",COUNT(G1100:J1100)/4)</f>
        <v/>
      </c>
      <c r="O1100" s="307" t="n"/>
    </row>
    <row r="1101" ht="24" customHeight="1">
      <c r="A1101" s="306" t="n">
        <v>1097</v>
      </c>
      <c r="B1101" s="306" t="inlineStr">
        <is>
          <t>آبان</t>
        </is>
      </c>
      <c r="C1101" s="306">
        <f>IF('دانش‌آموزان'!E96="","",'دانش‌آموزان'!B96)</f>
        <v/>
      </c>
      <c r="D1101" s="306">
        <f>IF('دانش‌آموزان'!C96="","",'دانش‌آموزان'!C96)</f>
        <v/>
      </c>
      <c r="E1101" s="306">
        <f>IF('دانش‌آموزان'!E96="","",'دانش‌آموزان'!E96&amp;" "&amp;'دانش‌آموزان'!F96)</f>
        <v/>
      </c>
      <c r="F1101" s="306">
        <f>IF('دانش‌آموزان'!I96="","",'دانش‌آموزان'!I96)</f>
        <v/>
      </c>
      <c r="G1101" s="307" t="n"/>
      <c r="H1101" s="307" t="n"/>
      <c r="I1101" s="307" t="n"/>
      <c r="J1101" s="307" t="n"/>
      <c r="K1101" s="313">
        <f>IF(COUNT(G1101:J1101)=0,"",AVERAGE(G1101:J1101)*4)</f>
        <v/>
      </c>
      <c r="L1101" s="306">
        <f>IF(C1101="","",IF(COUNT(G1101:J1101)=0,"",IF(COUNT(G1101:J1101)&lt;4,"موقت - اطلاعات ناقص",IF(K1101&gt;=17,"عالی",IF(K1101&gt;=14,"خوب",IF(K1101&gt;=10,"متوسط","ضعیف"))))))</f>
        <v/>
      </c>
      <c r="M1101" s="306" t="n">
        <v>5</v>
      </c>
      <c r="N1101" s="314">
        <f>IF(C1101="","",COUNT(G1101:J1101)/4)</f>
        <v/>
      </c>
      <c r="O1101" s="307" t="n"/>
    </row>
    <row r="1102" ht="24" customHeight="1">
      <c r="A1102" s="306" t="n">
        <v>1098</v>
      </c>
      <c r="B1102" s="306" t="inlineStr">
        <is>
          <t>آذر</t>
        </is>
      </c>
      <c r="C1102" s="306">
        <f>IF('دانش‌آموزان'!E96="","",'دانش‌آموزان'!B96)</f>
        <v/>
      </c>
      <c r="D1102" s="306">
        <f>IF('دانش‌آموزان'!C96="","",'دانش‌آموزان'!C96)</f>
        <v/>
      </c>
      <c r="E1102" s="306">
        <f>IF('دانش‌آموزان'!E96="","",'دانش‌آموزان'!E96&amp;" "&amp;'دانش‌آموزان'!F96)</f>
        <v/>
      </c>
      <c r="F1102" s="306">
        <f>IF('دانش‌آموزان'!I96="","",'دانش‌آموزان'!I96)</f>
        <v/>
      </c>
      <c r="G1102" s="307" t="n"/>
      <c r="H1102" s="307" t="n"/>
      <c r="I1102" s="307" t="n"/>
      <c r="J1102" s="307" t="n"/>
      <c r="K1102" s="313">
        <f>IF(COUNT(G1102:J1102)=0,"",AVERAGE(G1102:J1102)*4)</f>
        <v/>
      </c>
      <c r="L1102" s="306">
        <f>IF(C1102="","",IF(COUNT(G1102:J1102)=0,"",IF(COUNT(G1102:J1102)&lt;4,"موقت - اطلاعات ناقص",IF(K1102&gt;=17,"عالی",IF(K1102&gt;=14,"خوب",IF(K1102&gt;=10,"متوسط","ضعیف"))))))</f>
        <v/>
      </c>
      <c r="M1102" s="306" t="n">
        <v>6</v>
      </c>
      <c r="N1102" s="314">
        <f>IF(C1102="","",COUNT(G1102:J1102)/4)</f>
        <v/>
      </c>
      <c r="O1102" s="307" t="n"/>
    </row>
    <row r="1103" ht="24" customHeight="1">
      <c r="A1103" s="306" t="n">
        <v>1099</v>
      </c>
      <c r="B1103" s="306" t="inlineStr">
        <is>
          <t>دی</t>
        </is>
      </c>
      <c r="C1103" s="306">
        <f>IF('دانش‌آموزان'!E96="","",'دانش‌آموزان'!B96)</f>
        <v/>
      </c>
      <c r="D1103" s="306">
        <f>IF('دانش‌آموزان'!C96="","",'دانش‌آموزان'!C96)</f>
        <v/>
      </c>
      <c r="E1103" s="306">
        <f>IF('دانش‌آموزان'!E96="","",'دانش‌آموزان'!E96&amp;" "&amp;'دانش‌آموزان'!F96)</f>
        <v/>
      </c>
      <c r="F1103" s="306">
        <f>IF('دانش‌آموزان'!I96="","",'دانش‌آموزان'!I96)</f>
        <v/>
      </c>
      <c r="G1103" s="307" t="n"/>
      <c r="H1103" s="307" t="n"/>
      <c r="I1103" s="307" t="n"/>
      <c r="J1103" s="307" t="n"/>
      <c r="K1103" s="313">
        <f>IF(COUNT(G1103:J1103)=0,"",AVERAGE(G1103:J1103)*4)</f>
        <v/>
      </c>
      <c r="L1103" s="306">
        <f>IF(C1103="","",IF(COUNT(G1103:J1103)=0,"",IF(COUNT(G1103:J1103)&lt;4,"موقت - اطلاعات ناقص",IF(K1103&gt;=17,"عالی",IF(K1103&gt;=14,"خوب",IF(K1103&gt;=10,"متوسط","ضعیف"))))))</f>
        <v/>
      </c>
      <c r="M1103" s="306" t="n">
        <v>7</v>
      </c>
      <c r="N1103" s="314">
        <f>IF(C1103="","",COUNT(G1103:J1103)/4)</f>
        <v/>
      </c>
      <c r="O1103" s="307" t="n"/>
    </row>
    <row r="1104" ht="24" customHeight="1">
      <c r="A1104" s="306" t="n">
        <v>1100</v>
      </c>
      <c r="B1104" s="306" t="inlineStr">
        <is>
          <t>بهمن</t>
        </is>
      </c>
      <c r="C1104" s="306">
        <f>IF('دانش‌آموزان'!E96="","",'دانش‌آموزان'!B96)</f>
        <v/>
      </c>
      <c r="D1104" s="306">
        <f>IF('دانش‌آموزان'!C96="","",'دانش‌آموزان'!C96)</f>
        <v/>
      </c>
      <c r="E1104" s="306">
        <f>IF('دانش‌آموزان'!E96="","",'دانش‌آموزان'!E96&amp;" "&amp;'دانش‌آموزان'!F96)</f>
        <v/>
      </c>
      <c r="F1104" s="306">
        <f>IF('دانش‌آموزان'!I96="","",'دانش‌آموزان'!I96)</f>
        <v/>
      </c>
      <c r="G1104" s="307" t="n"/>
      <c r="H1104" s="307" t="n"/>
      <c r="I1104" s="307" t="n"/>
      <c r="J1104" s="307" t="n"/>
      <c r="K1104" s="313">
        <f>IF(COUNT(G1104:J1104)=0,"",AVERAGE(G1104:J1104)*4)</f>
        <v/>
      </c>
      <c r="L1104" s="306">
        <f>IF(C1104="","",IF(COUNT(G1104:J1104)=0,"",IF(COUNT(G1104:J1104)&lt;4,"موقت - اطلاعات ناقص",IF(K1104&gt;=17,"عالی",IF(K1104&gt;=14,"خوب",IF(K1104&gt;=10,"متوسط","ضعیف"))))))</f>
        <v/>
      </c>
      <c r="M1104" s="306" t="n">
        <v>8</v>
      </c>
      <c r="N1104" s="314">
        <f>IF(C1104="","",COUNT(G1104:J1104)/4)</f>
        <v/>
      </c>
      <c r="O1104" s="307" t="n"/>
    </row>
    <row r="1105" ht="24" customHeight="1">
      <c r="A1105" s="306" t="n">
        <v>1101</v>
      </c>
      <c r="B1105" s="306" t="inlineStr">
        <is>
          <t>اسفند</t>
        </is>
      </c>
      <c r="C1105" s="306">
        <f>IF('دانش‌آموزان'!E96="","",'دانش‌آموزان'!B96)</f>
        <v/>
      </c>
      <c r="D1105" s="306">
        <f>IF('دانش‌آموزان'!C96="","",'دانش‌آموزان'!C96)</f>
        <v/>
      </c>
      <c r="E1105" s="306">
        <f>IF('دانش‌آموزان'!E96="","",'دانش‌آموزان'!E96&amp;" "&amp;'دانش‌آموزان'!F96)</f>
        <v/>
      </c>
      <c r="F1105" s="306">
        <f>IF('دانش‌آموزان'!I96="","",'دانش‌آموزان'!I96)</f>
        <v/>
      </c>
      <c r="G1105" s="307" t="n"/>
      <c r="H1105" s="307" t="n"/>
      <c r="I1105" s="307" t="n"/>
      <c r="J1105" s="307" t="n"/>
      <c r="K1105" s="313">
        <f>IF(COUNT(G1105:J1105)=0,"",AVERAGE(G1105:J1105)*4)</f>
        <v/>
      </c>
      <c r="L1105" s="306">
        <f>IF(C1105="","",IF(COUNT(G1105:J1105)=0,"",IF(COUNT(G1105:J1105)&lt;4,"موقت - اطلاعات ناقص",IF(K1105&gt;=17,"عالی",IF(K1105&gt;=14,"خوب",IF(K1105&gt;=10,"متوسط","ضعیف"))))))</f>
        <v/>
      </c>
      <c r="M1105" s="306" t="n">
        <v>9</v>
      </c>
      <c r="N1105" s="314">
        <f>IF(C1105="","",COUNT(G1105:J1105)/4)</f>
        <v/>
      </c>
      <c r="O1105" s="307" t="n"/>
    </row>
    <row r="1106" ht="24" customHeight="1">
      <c r="A1106" s="306" t="n">
        <v>1102</v>
      </c>
      <c r="B1106" s="306" t="inlineStr">
        <is>
          <t>فروردین</t>
        </is>
      </c>
      <c r="C1106" s="306">
        <f>IF('دانش‌آموزان'!E96="","",'دانش‌آموزان'!B96)</f>
        <v/>
      </c>
      <c r="D1106" s="306">
        <f>IF('دانش‌آموزان'!C96="","",'دانش‌آموزان'!C96)</f>
        <v/>
      </c>
      <c r="E1106" s="306">
        <f>IF('دانش‌آموزان'!E96="","",'دانش‌آموزان'!E96&amp;" "&amp;'دانش‌آموزان'!F96)</f>
        <v/>
      </c>
      <c r="F1106" s="306">
        <f>IF('دانش‌آموزان'!I96="","",'دانش‌آموزان'!I96)</f>
        <v/>
      </c>
      <c r="G1106" s="307" t="n"/>
      <c r="H1106" s="307" t="n"/>
      <c r="I1106" s="307" t="n"/>
      <c r="J1106" s="307" t="n"/>
      <c r="K1106" s="313">
        <f>IF(COUNT(G1106:J1106)=0,"",AVERAGE(G1106:J1106)*4)</f>
        <v/>
      </c>
      <c r="L1106" s="306">
        <f>IF(C1106="","",IF(COUNT(G1106:J1106)=0,"",IF(COUNT(G1106:J1106)&lt;4,"موقت - اطلاعات ناقص",IF(K1106&gt;=17,"عالی",IF(K1106&gt;=14,"خوب",IF(K1106&gt;=10,"متوسط","ضعیف"))))))</f>
        <v/>
      </c>
      <c r="M1106" s="306" t="n">
        <v>10</v>
      </c>
      <c r="N1106" s="314">
        <f>IF(C1106="","",COUNT(G1106:J1106)/4)</f>
        <v/>
      </c>
      <c r="O1106" s="307" t="n"/>
    </row>
    <row r="1107" ht="24" customHeight="1">
      <c r="A1107" s="306" t="n">
        <v>1103</v>
      </c>
      <c r="B1107" s="306" t="inlineStr">
        <is>
          <t>اردیبهشت</t>
        </is>
      </c>
      <c r="C1107" s="306">
        <f>IF('دانش‌آموزان'!E96="","",'دانش‌آموزان'!B96)</f>
        <v/>
      </c>
      <c r="D1107" s="306">
        <f>IF('دانش‌آموزان'!C96="","",'دانش‌آموزان'!C96)</f>
        <v/>
      </c>
      <c r="E1107" s="306">
        <f>IF('دانش‌آموزان'!E96="","",'دانش‌آموزان'!E96&amp;" "&amp;'دانش‌آموزان'!F96)</f>
        <v/>
      </c>
      <c r="F1107" s="306">
        <f>IF('دانش‌آموزان'!I96="","",'دانش‌آموزان'!I96)</f>
        <v/>
      </c>
      <c r="G1107" s="307" t="n"/>
      <c r="H1107" s="307" t="n"/>
      <c r="I1107" s="307" t="n"/>
      <c r="J1107" s="307" t="n"/>
      <c r="K1107" s="313">
        <f>IF(COUNT(G1107:J1107)=0,"",AVERAGE(G1107:J1107)*4)</f>
        <v/>
      </c>
      <c r="L1107" s="306">
        <f>IF(C1107="","",IF(COUNT(G1107:J1107)=0,"",IF(COUNT(G1107:J1107)&lt;4,"موقت - اطلاعات ناقص",IF(K1107&gt;=17,"عالی",IF(K1107&gt;=14,"خوب",IF(K1107&gt;=10,"متوسط","ضعیف"))))))</f>
        <v/>
      </c>
      <c r="M1107" s="306" t="n">
        <v>11</v>
      </c>
      <c r="N1107" s="314">
        <f>IF(C1107="","",COUNT(G1107:J1107)/4)</f>
        <v/>
      </c>
      <c r="O1107" s="307" t="n"/>
    </row>
    <row r="1108" ht="24" customHeight="1">
      <c r="A1108" s="306" t="n">
        <v>1104</v>
      </c>
      <c r="B1108" s="306" t="inlineStr">
        <is>
          <t>خرداد</t>
        </is>
      </c>
      <c r="C1108" s="306">
        <f>IF('دانش‌آموزان'!E96="","",'دانش‌آموزان'!B96)</f>
        <v/>
      </c>
      <c r="D1108" s="306">
        <f>IF('دانش‌آموزان'!C96="","",'دانش‌آموزان'!C96)</f>
        <v/>
      </c>
      <c r="E1108" s="306">
        <f>IF('دانش‌آموزان'!E96="","",'دانش‌آموزان'!E96&amp;" "&amp;'دانش‌آموزان'!F96)</f>
        <v/>
      </c>
      <c r="F1108" s="306">
        <f>IF('دانش‌آموزان'!I96="","",'دانش‌آموزان'!I96)</f>
        <v/>
      </c>
      <c r="G1108" s="307" t="n"/>
      <c r="H1108" s="307" t="n"/>
      <c r="I1108" s="307" t="n"/>
      <c r="J1108" s="307" t="n"/>
      <c r="K1108" s="313">
        <f>IF(COUNT(G1108:J1108)=0,"",AVERAGE(G1108:J1108)*4)</f>
        <v/>
      </c>
      <c r="L1108" s="306">
        <f>IF(C1108="","",IF(COUNT(G1108:J1108)=0,"",IF(COUNT(G1108:J1108)&lt;4,"موقت - اطلاعات ناقص",IF(K1108&gt;=17,"عالی",IF(K1108&gt;=14,"خوب",IF(K1108&gt;=10,"متوسط","ضعیف"))))))</f>
        <v/>
      </c>
      <c r="M1108" s="306" t="n">
        <v>12</v>
      </c>
      <c r="N1108" s="314">
        <f>IF(C1108="","",COUNT(G1108:J1108)/4)</f>
        <v/>
      </c>
      <c r="O1108" s="307" t="n"/>
    </row>
    <row r="1109" ht="24" customHeight="1">
      <c r="A1109" s="306" t="n">
        <v>1105</v>
      </c>
      <c r="B1109" s="306" t="inlineStr">
        <is>
          <t>تیر</t>
        </is>
      </c>
      <c r="C1109" s="306">
        <f>IF('دانش‌آموزان'!E97="","",'دانش‌آموزان'!B97)</f>
        <v/>
      </c>
      <c r="D1109" s="306">
        <f>IF('دانش‌آموزان'!C97="","",'دانش‌آموزان'!C97)</f>
        <v/>
      </c>
      <c r="E1109" s="306">
        <f>IF('دانش‌آموزان'!E97="","",'دانش‌آموزان'!E97&amp;" "&amp;'دانش‌آموزان'!F97)</f>
        <v/>
      </c>
      <c r="F1109" s="306">
        <f>IF('دانش‌آموزان'!I97="","",'دانش‌آموزان'!I97)</f>
        <v/>
      </c>
      <c r="G1109" s="307" t="n"/>
      <c r="H1109" s="307" t="n"/>
      <c r="I1109" s="307" t="n"/>
      <c r="J1109" s="307" t="n"/>
      <c r="K1109" s="313">
        <f>IF(COUNT(G1109:J1109)=0,"",AVERAGE(G1109:J1109)*4)</f>
        <v/>
      </c>
      <c r="L1109" s="306">
        <f>IF(C1109="","",IF(COUNT(G1109:J1109)=0,"",IF(COUNT(G1109:J1109)&lt;4,"موقت - اطلاعات ناقص",IF(K1109&gt;=17,"عالی",IF(K1109&gt;=14,"خوب",IF(K1109&gt;=10,"متوسط","ضعیف"))))))</f>
        <v/>
      </c>
      <c r="M1109" s="306" t="n">
        <v>1</v>
      </c>
      <c r="N1109" s="314">
        <f>IF(C1109="","",COUNT(G1109:J1109)/4)</f>
        <v/>
      </c>
      <c r="O1109" s="307" t="n"/>
    </row>
    <row r="1110" ht="24" customHeight="1">
      <c r="A1110" s="306" t="n">
        <v>1106</v>
      </c>
      <c r="B1110" s="306" t="inlineStr">
        <is>
          <t>مرداد</t>
        </is>
      </c>
      <c r="C1110" s="306">
        <f>IF('دانش‌آموزان'!E97="","",'دانش‌آموزان'!B97)</f>
        <v/>
      </c>
      <c r="D1110" s="306">
        <f>IF('دانش‌آموزان'!C97="","",'دانش‌آموزان'!C97)</f>
        <v/>
      </c>
      <c r="E1110" s="306">
        <f>IF('دانش‌آموزان'!E97="","",'دانش‌آموزان'!E97&amp;" "&amp;'دانش‌آموزان'!F97)</f>
        <v/>
      </c>
      <c r="F1110" s="306">
        <f>IF('دانش‌آموزان'!I97="","",'دانش‌آموزان'!I97)</f>
        <v/>
      </c>
      <c r="G1110" s="307" t="n"/>
      <c r="H1110" s="307" t="n"/>
      <c r="I1110" s="307" t="n"/>
      <c r="J1110" s="307" t="n"/>
      <c r="K1110" s="313">
        <f>IF(COUNT(G1110:J1110)=0,"",AVERAGE(G1110:J1110)*4)</f>
        <v/>
      </c>
      <c r="L1110" s="306">
        <f>IF(C1110="","",IF(COUNT(G1110:J1110)=0,"",IF(COUNT(G1110:J1110)&lt;4,"موقت - اطلاعات ناقص",IF(K1110&gt;=17,"عالی",IF(K1110&gt;=14,"خوب",IF(K1110&gt;=10,"متوسط","ضعیف"))))))</f>
        <v/>
      </c>
      <c r="M1110" s="306" t="n">
        <v>2</v>
      </c>
      <c r="N1110" s="314">
        <f>IF(C1110="","",COUNT(G1110:J1110)/4)</f>
        <v/>
      </c>
      <c r="O1110" s="307" t="n"/>
    </row>
    <row r="1111" ht="24" customHeight="1">
      <c r="A1111" s="306" t="n">
        <v>1107</v>
      </c>
      <c r="B1111" s="306" t="inlineStr">
        <is>
          <t>شهریور</t>
        </is>
      </c>
      <c r="C1111" s="306">
        <f>IF('دانش‌آموزان'!E97="","",'دانش‌آموزان'!B97)</f>
        <v/>
      </c>
      <c r="D1111" s="306">
        <f>IF('دانش‌آموزان'!C97="","",'دانش‌آموزان'!C97)</f>
        <v/>
      </c>
      <c r="E1111" s="306">
        <f>IF('دانش‌آموزان'!E97="","",'دانش‌آموزان'!E97&amp;" "&amp;'دانش‌آموزان'!F97)</f>
        <v/>
      </c>
      <c r="F1111" s="306">
        <f>IF('دانش‌آموزان'!I97="","",'دانش‌آموزان'!I97)</f>
        <v/>
      </c>
      <c r="G1111" s="307" t="n"/>
      <c r="H1111" s="307" t="n"/>
      <c r="I1111" s="307" t="n"/>
      <c r="J1111" s="307" t="n"/>
      <c r="K1111" s="313">
        <f>IF(COUNT(G1111:J1111)=0,"",AVERAGE(G1111:J1111)*4)</f>
        <v/>
      </c>
      <c r="L1111" s="306">
        <f>IF(C1111="","",IF(COUNT(G1111:J1111)=0,"",IF(COUNT(G1111:J1111)&lt;4,"موقت - اطلاعات ناقص",IF(K1111&gt;=17,"عالی",IF(K1111&gt;=14,"خوب",IF(K1111&gt;=10,"متوسط","ضعیف"))))))</f>
        <v/>
      </c>
      <c r="M1111" s="306" t="n">
        <v>3</v>
      </c>
      <c r="N1111" s="314">
        <f>IF(C1111="","",COUNT(G1111:J1111)/4)</f>
        <v/>
      </c>
      <c r="O1111" s="307" t="n"/>
    </row>
    <row r="1112" ht="24" customHeight="1">
      <c r="A1112" s="306" t="n">
        <v>1108</v>
      </c>
      <c r="B1112" s="306" t="inlineStr">
        <is>
          <t>مهر</t>
        </is>
      </c>
      <c r="C1112" s="306">
        <f>IF('دانش‌آموزان'!E97="","",'دانش‌آموزان'!B97)</f>
        <v/>
      </c>
      <c r="D1112" s="306">
        <f>IF('دانش‌آموزان'!C97="","",'دانش‌آموزان'!C97)</f>
        <v/>
      </c>
      <c r="E1112" s="306">
        <f>IF('دانش‌آموزان'!E97="","",'دانش‌آموزان'!E97&amp;" "&amp;'دانش‌آموزان'!F97)</f>
        <v/>
      </c>
      <c r="F1112" s="306">
        <f>IF('دانش‌آموزان'!I97="","",'دانش‌آموزان'!I97)</f>
        <v/>
      </c>
      <c r="G1112" s="307" t="n"/>
      <c r="H1112" s="307" t="n"/>
      <c r="I1112" s="307" t="n"/>
      <c r="J1112" s="307" t="n"/>
      <c r="K1112" s="313">
        <f>IF(COUNT(G1112:J1112)=0,"",AVERAGE(G1112:J1112)*4)</f>
        <v/>
      </c>
      <c r="L1112" s="306">
        <f>IF(C1112="","",IF(COUNT(G1112:J1112)=0,"",IF(COUNT(G1112:J1112)&lt;4,"موقت - اطلاعات ناقص",IF(K1112&gt;=17,"عالی",IF(K1112&gt;=14,"خوب",IF(K1112&gt;=10,"متوسط","ضعیف"))))))</f>
        <v/>
      </c>
      <c r="M1112" s="306" t="n">
        <v>4</v>
      </c>
      <c r="N1112" s="314">
        <f>IF(C1112="","",COUNT(G1112:J1112)/4)</f>
        <v/>
      </c>
      <c r="O1112" s="307" t="n"/>
    </row>
    <row r="1113" ht="24" customHeight="1">
      <c r="A1113" s="306" t="n">
        <v>1109</v>
      </c>
      <c r="B1113" s="306" t="inlineStr">
        <is>
          <t>آبان</t>
        </is>
      </c>
      <c r="C1113" s="306">
        <f>IF('دانش‌آموزان'!E97="","",'دانش‌آموزان'!B97)</f>
        <v/>
      </c>
      <c r="D1113" s="306">
        <f>IF('دانش‌آموزان'!C97="","",'دانش‌آموزان'!C97)</f>
        <v/>
      </c>
      <c r="E1113" s="306">
        <f>IF('دانش‌آموزان'!E97="","",'دانش‌آموزان'!E97&amp;" "&amp;'دانش‌آموزان'!F97)</f>
        <v/>
      </c>
      <c r="F1113" s="306">
        <f>IF('دانش‌آموزان'!I97="","",'دانش‌آموزان'!I97)</f>
        <v/>
      </c>
      <c r="G1113" s="307" t="n"/>
      <c r="H1113" s="307" t="n"/>
      <c r="I1113" s="307" t="n"/>
      <c r="J1113" s="307" t="n"/>
      <c r="K1113" s="313">
        <f>IF(COUNT(G1113:J1113)=0,"",AVERAGE(G1113:J1113)*4)</f>
        <v/>
      </c>
      <c r="L1113" s="306">
        <f>IF(C1113="","",IF(COUNT(G1113:J1113)=0,"",IF(COUNT(G1113:J1113)&lt;4,"موقت - اطلاعات ناقص",IF(K1113&gt;=17,"عالی",IF(K1113&gt;=14,"خوب",IF(K1113&gt;=10,"متوسط","ضعیف"))))))</f>
        <v/>
      </c>
      <c r="M1113" s="306" t="n">
        <v>5</v>
      </c>
      <c r="N1113" s="314">
        <f>IF(C1113="","",COUNT(G1113:J1113)/4)</f>
        <v/>
      </c>
      <c r="O1113" s="307" t="n"/>
    </row>
    <row r="1114" ht="24" customHeight="1">
      <c r="A1114" s="306" t="n">
        <v>1110</v>
      </c>
      <c r="B1114" s="306" t="inlineStr">
        <is>
          <t>آذر</t>
        </is>
      </c>
      <c r="C1114" s="306">
        <f>IF('دانش‌آموزان'!E97="","",'دانش‌آموزان'!B97)</f>
        <v/>
      </c>
      <c r="D1114" s="306">
        <f>IF('دانش‌آموزان'!C97="","",'دانش‌آموزان'!C97)</f>
        <v/>
      </c>
      <c r="E1114" s="306">
        <f>IF('دانش‌آموزان'!E97="","",'دانش‌آموزان'!E97&amp;" "&amp;'دانش‌آموزان'!F97)</f>
        <v/>
      </c>
      <c r="F1114" s="306">
        <f>IF('دانش‌آموزان'!I97="","",'دانش‌آموزان'!I97)</f>
        <v/>
      </c>
      <c r="G1114" s="307" t="n"/>
      <c r="H1114" s="307" t="n"/>
      <c r="I1114" s="307" t="n"/>
      <c r="J1114" s="307" t="n"/>
      <c r="K1114" s="313">
        <f>IF(COUNT(G1114:J1114)=0,"",AVERAGE(G1114:J1114)*4)</f>
        <v/>
      </c>
      <c r="L1114" s="306">
        <f>IF(C1114="","",IF(COUNT(G1114:J1114)=0,"",IF(COUNT(G1114:J1114)&lt;4,"موقت - اطلاعات ناقص",IF(K1114&gt;=17,"عالی",IF(K1114&gt;=14,"خوب",IF(K1114&gt;=10,"متوسط","ضعیف"))))))</f>
        <v/>
      </c>
      <c r="M1114" s="306" t="n">
        <v>6</v>
      </c>
      <c r="N1114" s="314">
        <f>IF(C1114="","",COUNT(G1114:J1114)/4)</f>
        <v/>
      </c>
      <c r="O1114" s="307" t="n"/>
    </row>
    <row r="1115" ht="24" customHeight="1">
      <c r="A1115" s="306" t="n">
        <v>1111</v>
      </c>
      <c r="B1115" s="306" t="inlineStr">
        <is>
          <t>دی</t>
        </is>
      </c>
      <c r="C1115" s="306">
        <f>IF('دانش‌آموزان'!E97="","",'دانش‌آموزان'!B97)</f>
        <v/>
      </c>
      <c r="D1115" s="306">
        <f>IF('دانش‌آموزان'!C97="","",'دانش‌آموزان'!C97)</f>
        <v/>
      </c>
      <c r="E1115" s="306">
        <f>IF('دانش‌آموزان'!E97="","",'دانش‌آموزان'!E97&amp;" "&amp;'دانش‌آموزان'!F97)</f>
        <v/>
      </c>
      <c r="F1115" s="306">
        <f>IF('دانش‌آموزان'!I97="","",'دانش‌آموزان'!I97)</f>
        <v/>
      </c>
      <c r="G1115" s="307" t="n"/>
      <c r="H1115" s="307" t="n"/>
      <c r="I1115" s="307" t="n"/>
      <c r="J1115" s="307" t="n"/>
      <c r="K1115" s="313">
        <f>IF(COUNT(G1115:J1115)=0,"",AVERAGE(G1115:J1115)*4)</f>
        <v/>
      </c>
      <c r="L1115" s="306">
        <f>IF(C1115="","",IF(COUNT(G1115:J1115)=0,"",IF(COUNT(G1115:J1115)&lt;4,"موقت - اطلاعات ناقص",IF(K1115&gt;=17,"عالی",IF(K1115&gt;=14,"خوب",IF(K1115&gt;=10,"متوسط","ضعیف"))))))</f>
        <v/>
      </c>
      <c r="M1115" s="306" t="n">
        <v>7</v>
      </c>
      <c r="N1115" s="314">
        <f>IF(C1115="","",COUNT(G1115:J1115)/4)</f>
        <v/>
      </c>
      <c r="O1115" s="307" t="n"/>
    </row>
    <row r="1116" ht="24" customHeight="1">
      <c r="A1116" s="306" t="n">
        <v>1112</v>
      </c>
      <c r="B1116" s="306" t="inlineStr">
        <is>
          <t>بهمن</t>
        </is>
      </c>
      <c r="C1116" s="306">
        <f>IF('دانش‌آموزان'!E97="","",'دانش‌آموزان'!B97)</f>
        <v/>
      </c>
      <c r="D1116" s="306">
        <f>IF('دانش‌آموزان'!C97="","",'دانش‌آموزان'!C97)</f>
        <v/>
      </c>
      <c r="E1116" s="306">
        <f>IF('دانش‌آموزان'!E97="","",'دانش‌آموزان'!E97&amp;" "&amp;'دانش‌آموزان'!F97)</f>
        <v/>
      </c>
      <c r="F1116" s="306">
        <f>IF('دانش‌آموزان'!I97="","",'دانش‌آموزان'!I97)</f>
        <v/>
      </c>
      <c r="G1116" s="307" t="n"/>
      <c r="H1116" s="307" t="n"/>
      <c r="I1116" s="307" t="n"/>
      <c r="J1116" s="307" t="n"/>
      <c r="K1116" s="313">
        <f>IF(COUNT(G1116:J1116)=0,"",AVERAGE(G1116:J1116)*4)</f>
        <v/>
      </c>
      <c r="L1116" s="306">
        <f>IF(C1116="","",IF(COUNT(G1116:J1116)=0,"",IF(COUNT(G1116:J1116)&lt;4,"موقت - اطلاعات ناقص",IF(K1116&gt;=17,"عالی",IF(K1116&gt;=14,"خوب",IF(K1116&gt;=10,"متوسط","ضعیف"))))))</f>
        <v/>
      </c>
      <c r="M1116" s="306" t="n">
        <v>8</v>
      </c>
      <c r="N1116" s="314">
        <f>IF(C1116="","",COUNT(G1116:J1116)/4)</f>
        <v/>
      </c>
      <c r="O1116" s="307" t="n"/>
    </row>
    <row r="1117" ht="24" customHeight="1">
      <c r="A1117" s="306" t="n">
        <v>1113</v>
      </c>
      <c r="B1117" s="306" t="inlineStr">
        <is>
          <t>اسفند</t>
        </is>
      </c>
      <c r="C1117" s="306">
        <f>IF('دانش‌آموزان'!E97="","",'دانش‌آموزان'!B97)</f>
        <v/>
      </c>
      <c r="D1117" s="306">
        <f>IF('دانش‌آموزان'!C97="","",'دانش‌آموزان'!C97)</f>
        <v/>
      </c>
      <c r="E1117" s="306">
        <f>IF('دانش‌آموزان'!E97="","",'دانش‌آموزان'!E97&amp;" "&amp;'دانش‌آموزان'!F97)</f>
        <v/>
      </c>
      <c r="F1117" s="306">
        <f>IF('دانش‌آموزان'!I97="","",'دانش‌آموزان'!I97)</f>
        <v/>
      </c>
      <c r="G1117" s="307" t="n"/>
      <c r="H1117" s="307" t="n"/>
      <c r="I1117" s="307" t="n"/>
      <c r="J1117" s="307" t="n"/>
      <c r="K1117" s="313">
        <f>IF(COUNT(G1117:J1117)=0,"",AVERAGE(G1117:J1117)*4)</f>
        <v/>
      </c>
      <c r="L1117" s="306">
        <f>IF(C1117="","",IF(COUNT(G1117:J1117)=0,"",IF(COUNT(G1117:J1117)&lt;4,"موقت - اطلاعات ناقص",IF(K1117&gt;=17,"عالی",IF(K1117&gt;=14,"خوب",IF(K1117&gt;=10,"متوسط","ضعیف"))))))</f>
        <v/>
      </c>
      <c r="M1117" s="306" t="n">
        <v>9</v>
      </c>
      <c r="N1117" s="314">
        <f>IF(C1117="","",COUNT(G1117:J1117)/4)</f>
        <v/>
      </c>
      <c r="O1117" s="307" t="n"/>
    </row>
    <row r="1118" ht="24" customHeight="1">
      <c r="A1118" s="306" t="n">
        <v>1114</v>
      </c>
      <c r="B1118" s="306" t="inlineStr">
        <is>
          <t>فروردین</t>
        </is>
      </c>
      <c r="C1118" s="306">
        <f>IF('دانش‌آموزان'!E97="","",'دانش‌آموزان'!B97)</f>
        <v/>
      </c>
      <c r="D1118" s="306">
        <f>IF('دانش‌آموزان'!C97="","",'دانش‌آموزان'!C97)</f>
        <v/>
      </c>
      <c r="E1118" s="306">
        <f>IF('دانش‌آموزان'!E97="","",'دانش‌آموزان'!E97&amp;" "&amp;'دانش‌آموزان'!F97)</f>
        <v/>
      </c>
      <c r="F1118" s="306">
        <f>IF('دانش‌آموزان'!I97="","",'دانش‌آموزان'!I97)</f>
        <v/>
      </c>
      <c r="G1118" s="307" t="n"/>
      <c r="H1118" s="307" t="n"/>
      <c r="I1118" s="307" t="n"/>
      <c r="J1118" s="307" t="n"/>
      <c r="K1118" s="313">
        <f>IF(COUNT(G1118:J1118)=0,"",AVERAGE(G1118:J1118)*4)</f>
        <v/>
      </c>
      <c r="L1118" s="306">
        <f>IF(C1118="","",IF(COUNT(G1118:J1118)=0,"",IF(COUNT(G1118:J1118)&lt;4,"موقت - اطلاعات ناقص",IF(K1118&gt;=17,"عالی",IF(K1118&gt;=14,"خوب",IF(K1118&gt;=10,"متوسط","ضعیف"))))))</f>
        <v/>
      </c>
      <c r="M1118" s="306" t="n">
        <v>10</v>
      </c>
      <c r="N1118" s="314">
        <f>IF(C1118="","",COUNT(G1118:J1118)/4)</f>
        <v/>
      </c>
      <c r="O1118" s="307" t="n"/>
    </row>
    <row r="1119" ht="24" customHeight="1">
      <c r="A1119" s="306" t="n">
        <v>1115</v>
      </c>
      <c r="B1119" s="306" t="inlineStr">
        <is>
          <t>اردیبهشت</t>
        </is>
      </c>
      <c r="C1119" s="306">
        <f>IF('دانش‌آموزان'!E97="","",'دانش‌آموزان'!B97)</f>
        <v/>
      </c>
      <c r="D1119" s="306">
        <f>IF('دانش‌آموزان'!C97="","",'دانش‌آموزان'!C97)</f>
        <v/>
      </c>
      <c r="E1119" s="306">
        <f>IF('دانش‌آموزان'!E97="","",'دانش‌آموزان'!E97&amp;" "&amp;'دانش‌آموزان'!F97)</f>
        <v/>
      </c>
      <c r="F1119" s="306">
        <f>IF('دانش‌آموزان'!I97="","",'دانش‌آموزان'!I97)</f>
        <v/>
      </c>
      <c r="G1119" s="307" t="n"/>
      <c r="H1119" s="307" t="n"/>
      <c r="I1119" s="307" t="n"/>
      <c r="J1119" s="307" t="n"/>
      <c r="K1119" s="313">
        <f>IF(COUNT(G1119:J1119)=0,"",AVERAGE(G1119:J1119)*4)</f>
        <v/>
      </c>
      <c r="L1119" s="306">
        <f>IF(C1119="","",IF(COUNT(G1119:J1119)=0,"",IF(COUNT(G1119:J1119)&lt;4,"موقت - اطلاعات ناقص",IF(K1119&gt;=17,"عالی",IF(K1119&gt;=14,"خوب",IF(K1119&gt;=10,"متوسط","ضعیف"))))))</f>
        <v/>
      </c>
      <c r="M1119" s="306" t="n">
        <v>11</v>
      </c>
      <c r="N1119" s="314">
        <f>IF(C1119="","",COUNT(G1119:J1119)/4)</f>
        <v/>
      </c>
      <c r="O1119" s="307" t="n"/>
    </row>
    <row r="1120" ht="24" customHeight="1">
      <c r="A1120" s="306" t="n">
        <v>1116</v>
      </c>
      <c r="B1120" s="306" t="inlineStr">
        <is>
          <t>خرداد</t>
        </is>
      </c>
      <c r="C1120" s="306">
        <f>IF('دانش‌آموزان'!E97="","",'دانش‌آموزان'!B97)</f>
        <v/>
      </c>
      <c r="D1120" s="306">
        <f>IF('دانش‌آموزان'!C97="","",'دانش‌آموزان'!C97)</f>
        <v/>
      </c>
      <c r="E1120" s="306">
        <f>IF('دانش‌آموزان'!E97="","",'دانش‌آموزان'!E97&amp;" "&amp;'دانش‌آموزان'!F97)</f>
        <v/>
      </c>
      <c r="F1120" s="306">
        <f>IF('دانش‌آموزان'!I97="","",'دانش‌آموزان'!I97)</f>
        <v/>
      </c>
      <c r="G1120" s="307" t="n"/>
      <c r="H1120" s="307" t="n"/>
      <c r="I1120" s="307" t="n"/>
      <c r="J1120" s="307" t="n"/>
      <c r="K1120" s="313">
        <f>IF(COUNT(G1120:J1120)=0,"",AVERAGE(G1120:J1120)*4)</f>
        <v/>
      </c>
      <c r="L1120" s="306">
        <f>IF(C1120="","",IF(COUNT(G1120:J1120)=0,"",IF(COUNT(G1120:J1120)&lt;4,"موقت - اطلاعات ناقص",IF(K1120&gt;=17,"عالی",IF(K1120&gt;=14,"خوب",IF(K1120&gt;=10,"متوسط","ضعیف"))))))</f>
        <v/>
      </c>
      <c r="M1120" s="306" t="n">
        <v>12</v>
      </c>
      <c r="N1120" s="314">
        <f>IF(C1120="","",COUNT(G1120:J1120)/4)</f>
        <v/>
      </c>
      <c r="O1120" s="307" t="n"/>
    </row>
    <row r="1121" ht="24" customHeight="1">
      <c r="A1121" s="306" t="n">
        <v>1117</v>
      </c>
      <c r="B1121" s="306" t="inlineStr">
        <is>
          <t>تیر</t>
        </is>
      </c>
      <c r="C1121" s="306">
        <f>IF('دانش‌آموزان'!E98="","",'دانش‌آموزان'!B98)</f>
        <v/>
      </c>
      <c r="D1121" s="306">
        <f>IF('دانش‌آموزان'!C98="","",'دانش‌آموزان'!C98)</f>
        <v/>
      </c>
      <c r="E1121" s="306">
        <f>IF('دانش‌آموزان'!E98="","",'دانش‌آموزان'!E98&amp;" "&amp;'دانش‌آموزان'!F98)</f>
        <v/>
      </c>
      <c r="F1121" s="306">
        <f>IF('دانش‌آموزان'!I98="","",'دانش‌آموزان'!I98)</f>
        <v/>
      </c>
      <c r="G1121" s="307" t="n"/>
      <c r="H1121" s="307" t="n"/>
      <c r="I1121" s="307" t="n"/>
      <c r="J1121" s="307" t="n"/>
      <c r="K1121" s="313">
        <f>IF(COUNT(G1121:J1121)=0,"",AVERAGE(G1121:J1121)*4)</f>
        <v/>
      </c>
      <c r="L1121" s="306">
        <f>IF(C1121="","",IF(COUNT(G1121:J1121)=0,"",IF(COUNT(G1121:J1121)&lt;4,"موقت - اطلاعات ناقص",IF(K1121&gt;=17,"عالی",IF(K1121&gt;=14,"خوب",IF(K1121&gt;=10,"متوسط","ضعیف"))))))</f>
        <v/>
      </c>
      <c r="M1121" s="306" t="n">
        <v>1</v>
      </c>
      <c r="N1121" s="314">
        <f>IF(C1121="","",COUNT(G1121:J1121)/4)</f>
        <v/>
      </c>
      <c r="O1121" s="307" t="n"/>
    </row>
    <row r="1122" ht="24" customHeight="1">
      <c r="A1122" s="306" t="n">
        <v>1118</v>
      </c>
      <c r="B1122" s="306" t="inlineStr">
        <is>
          <t>مرداد</t>
        </is>
      </c>
      <c r="C1122" s="306">
        <f>IF('دانش‌آموزان'!E98="","",'دانش‌آموزان'!B98)</f>
        <v/>
      </c>
      <c r="D1122" s="306">
        <f>IF('دانش‌آموزان'!C98="","",'دانش‌آموزان'!C98)</f>
        <v/>
      </c>
      <c r="E1122" s="306">
        <f>IF('دانش‌آموزان'!E98="","",'دانش‌آموزان'!E98&amp;" "&amp;'دانش‌آموزان'!F98)</f>
        <v/>
      </c>
      <c r="F1122" s="306">
        <f>IF('دانش‌آموزان'!I98="","",'دانش‌آموزان'!I98)</f>
        <v/>
      </c>
      <c r="G1122" s="307" t="n"/>
      <c r="H1122" s="307" t="n"/>
      <c r="I1122" s="307" t="n"/>
      <c r="J1122" s="307" t="n"/>
      <c r="K1122" s="313">
        <f>IF(COUNT(G1122:J1122)=0,"",AVERAGE(G1122:J1122)*4)</f>
        <v/>
      </c>
      <c r="L1122" s="306">
        <f>IF(C1122="","",IF(COUNT(G1122:J1122)=0,"",IF(COUNT(G1122:J1122)&lt;4,"موقت - اطلاعات ناقص",IF(K1122&gt;=17,"عالی",IF(K1122&gt;=14,"خوب",IF(K1122&gt;=10,"متوسط","ضعیف"))))))</f>
        <v/>
      </c>
      <c r="M1122" s="306" t="n">
        <v>2</v>
      </c>
      <c r="N1122" s="314">
        <f>IF(C1122="","",COUNT(G1122:J1122)/4)</f>
        <v/>
      </c>
      <c r="O1122" s="307" t="n"/>
    </row>
    <row r="1123" ht="24" customHeight="1">
      <c r="A1123" s="306" t="n">
        <v>1119</v>
      </c>
      <c r="B1123" s="306" t="inlineStr">
        <is>
          <t>شهریور</t>
        </is>
      </c>
      <c r="C1123" s="306">
        <f>IF('دانش‌آموزان'!E98="","",'دانش‌آموزان'!B98)</f>
        <v/>
      </c>
      <c r="D1123" s="306">
        <f>IF('دانش‌آموزان'!C98="","",'دانش‌آموزان'!C98)</f>
        <v/>
      </c>
      <c r="E1123" s="306">
        <f>IF('دانش‌آموزان'!E98="","",'دانش‌آموزان'!E98&amp;" "&amp;'دانش‌آموزان'!F98)</f>
        <v/>
      </c>
      <c r="F1123" s="306">
        <f>IF('دانش‌آموزان'!I98="","",'دانش‌آموزان'!I98)</f>
        <v/>
      </c>
      <c r="G1123" s="307" t="n"/>
      <c r="H1123" s="307" t="n"/>
      <c r="I1123" s="307" t="n"/>
      <c r="J1123" s="307" t="n"/>
      <c r="K1123" s="313">
        <f>IF(COUNT(G1123:J1123)=0,"",AVERAGE(G1123:J1123)*4)</f>
        <v/>
      </c>
      <c r="L1123" s="306">
        <f>IF(C1123="","",IF(COUNT(G1123:J1123)=0,"",IF(COUNT(G1123:J1123)&lt;4,"موقت - اطلاعات ناقص",IF(K1123&gt;=17,"عالی",IF(K1123&gt;=14,"خوب",IF(K1123&gt;=10,"متوسط","ضعیف"))))))</f>
        <v/>
      </c>
      <c r="M1123" s="306" t="n">
        <v>3</v>
      </c>
      <c r="N1123" s="314">
        <f>IF(C1123="","",COUNT(G1123:J1123)/4)</f>
        <v/>
      </c>
      <c r="O1123" s="307" t="n"/>
    </row>
    <row r="1124" ht="24" customHeight="1">
      <c r="A1124" s="306" t="n">
        <v>1120</v>
      </c>
      <c r="B1124" s="306" t="inlineStr">
        <is>
          <t>مهر</t>
        </is>
      </c>
      <c r="C1124" s="306">
        <f>IF('دانش‌آموزان'!E98="","",'دانش‌آموزان'!B98)</f>
        <v/>
      </c>
      <c r="D1124" s="306">
        <f>IF('دانش‌آموزان'!C98="","",'دانش‌آموزان'!C98)</f>
        <v/>
      </c>
      <c r="E1124" s="306">
        <f>IF('دانش‌آموزان'!E98="","",'دانش‌آموزان'!E98&amp;" "&amp;'دانش‌آموزان'!F98)</f>
        <v/>
      </c>
      <c r="F1124" s="306">
        <f>IF('دانش‌آموزان'!I98="","",'دانش‌آموزان'!I98)</f>
        <v/>
      </c>
      <c r="G1124" s="307" t="n"/>
      <c r="H1124" s="307" t="n"/>
      <c r="I1124" s="307" t="n"/>
      <c r="J1124" s="307" t="n"/>
      <c r="K1124" s="313">
        <f>IF(COUNT(G1124:J1124)=0,"",AVERAGE(G1124:J1124)*4)</f>
        <v/>
      </c>
      <c r="L1124" s="306">
        <f>IF(C1124="","",IF(COUNT(G1124:J1124)=0,"",IF(COUNT(G1124:J1124)&lt;4,"موقت - اطلاعات ناقص",IF(K1124&gt;=17,"عالی",IF(K1124&gt;=14,"خوب",IF(K1124&gt;=10,"متوسط","ضعیف"))))))</f>
        <v/>
      </c>
      <c r="M1124" s="306" t="n">
        <v>4</v>
      </c>
      <c r="N1124" s="314">
        <f>IF(C1124="","",COUNT(G1124:J1124)/4)</f>
        <v/>
      </c>
      <c r="O1124" s="307" t="n"/>
    </row>
    <row r="1125" ht="24" customHeight="1">
      <c r="A1125" s="306" t="n">
        <v>1121</v>
      </c>
      <c r="B1125" s="306" t="inlineStr">
        <is>
          <t>آبان</t>
        </is>
      </c>
      <c r="C1125" s="306">
        <f>IF('دانش‌آموزان'!E98="","",'دانش‌آموزان'!B98)</f>
        <v/>
      </c>
      <c r="D1125" s="306">
        <f>IF('دانش‌آموزان'!C98="","",'دانش‌آموزان'!C98)</f>
        <v/>
      </c>
      <c r="E1125" s="306">
        <f>IF('دانش‌آموزان'!E98="","",'دانش‌آموزان'!E98&amp;" "&amp;'دانش‌آموزان'!F98)</f>
        <v/>
      </c>
      <c r="F1125" s="306">
        <f>IF('دانش‌آموزان'!I98="","",'دانش‌آموزان'!I98)</f>
        <v/>
      </c>
      <c r="G1125" s="307" t="n"/>
      <c r="H1125" s="307" t="n"/>
      <c r="I1125" s="307" t="n"/>
      <c r="J1125" s="307" t="n"/>
      <c r="K1125" s="313">
        <f>IF(COUNT(G1125:J1125)=0,"",AVERAGE(G1125:J1125)*4)</f>
        <v/>
      </c>
      <c r="L1125" s="306">
        <f>IF(C1125="","",IF(COUNT(G1125:J1125)=0,"",IF(COUNT(G1125:J1125)&lt;4,"موقت - اطلاعات ناقص",IF(K1125&gt;=17,"عالی",IF(K1125&gt;=14,"خوب",IF(K1125&gt;=10,"متوسط","ضعیف"))))))</f>
        <v/>
      </c>
      <c r="M1125" s="306" t="n">
        <v>5</v>
      </c>
      <c r="N1125" s="314">
        <f>IF(C1125="","",COUNT(G1125:J1125)/4)</f>
        <v/>
      </c>
      <c r="O1125" s="307" t="n"/>
    </row>
    <row r="1126" ht="24" customHeight="1">
      <c r="A1126" s="306" t="n">
        <v>1122</v>
      </c>
      <c r="B1126" s="306" t="inlineStr">
        <is>
          <t>آذر</t>
        </is>
      </c>
      <c r="C1126" s="306">
        <f>IF('دانش‌آموزان'!E98="","",'دانش‌آموزان'!B98)</f>
        <v/>
      </c>
      <c r="D1126" s="306">
        <f>IF('دانش‌آموزان'!C98="","",'دانش‌آموزان'!C98)</f>
        <v/>
      </c>
      <c r="E1126" s="306">
        <f>IF('دانش‌آموزان'!E98="","",'دانش‌آموزان'!E98&amp;" "&amp;'دانش‌آموزان'!F98)</f>
        <v/>
      </c>
      <c r="F1126" s="306">
        <f>IF('دانش‌آموزان'!I98="","",'دانش‌آموزان'!I98)</f>
        <v/>
      </c>
      <c r="G1126" s="307" t="n"/>
      <c r="H1126" s="307" t="n"/>
      <c r="I1126" s="307" t="n"/>
      <c r="J1126" s="307" t="n"/>
      <c r="K1126" s="313">
        <f>IF(COUNT(G1126:J1126)=0,"",AVERAGE(G1126:J1126)*4)</f>
        <v/>
      </c>
      <c r="L1126" s="306">
        <f>IF(C1126="","",IF(COUNT(G1126:J1126)=0,"",IF(COUNT(G1126:J1126)&lt;4,"موقت - اطلاعات ناقص",IF(K1126&gt;=17,"عالی",IF(K1126&gt;=14,"خوب",IF(K1126&gt;=10,"متوسط","ضعیف"))))))</f>
        <v/>
      </c>
      <c r="M1126" s="306" t="n">
        <v>6</v>
      </c>
      <c r="N1126" s="314">
        <f>IF(C1126="","",COUNT(G1126:J1126)/4)</f>
        <v/>
      </c>
      <c r="O1126" s="307" t="n"/>
    </row>
    <row r="1127" ht="24" customHeight="1">
      <c r="A1127" s="306" t="n">
        <v>1123</v>
      </c>
      <c r="B1127" s="306" t="inlineStr">
        <is>
          <t>دی</t>
        </is>
      </c>
      <c r="C1127" s="306">
        <f>IF('دانش‌آموزان'!E98="","",'دانش‌آموزان'!B98)</f>
        <v/>
      </c>
      <c r="D1127" s="306">
        <f>IF('دانش‌آموزان'!C98="","",'دانش‌آموزان'!C98)</f>
        <v/>
      </c>
      <c r="E1127" s="306">
        <f>IF('دانش‌آموزان'!E98="","",'دانش‌آموزان'!E98&amp;" "&amp;'دانش‌آموزان'!F98)</f>
        <v/>
      </c>
      <c r="F1127" s="306">
        <f>IF('دانش‌آموزان'!I98="","",'دانش‌آموزان'!I98)</f>
        <v/>
      </c>
      <c r="G1127" s="307" t="n"/>
      <c r="H1127" s="307" t="n"/>
      <c r="I1127" s="307" t="n"/>
      <c r="J1127" s="307" t="n"/>
      <c r="K1127" s="313">
        <f>IF(COUNT(G1127:J1127)=0,"",AVERAGE(G1127:J1127)*4)</f>
        <v/>
      </c>
      <c r="L1127" s="306">
        <f>IF(C1127="","",IF(COUNT(G1127:J1127)=0,"",IF(COUNT(G1127:J1127)&lt;4,"موقت - اطلاعات ناقص",IF(K1127&gt;=17,"عالی",IF(K1127&gt;=14,"خوب",IF(K1127&gt;=10,"متوسط","ضعیف"))))))</f>
        <v/>
      </c>
      <c r="M1127" s="306" t="n">
        <v>7</v>
      </c>
      <c r="N1127" s="314">
        <f>IF(C1127="","",COUNT(G1127:J1127)/4)</f>
        <v/>
      </c>
      <c r="O1127" s="307" t="n"/>
    </row>
    <row r="1128" ht="24" customHeight="1">
      <c r="A1128" s="306" t="n">
        <v>1124</v>
      </c>
      <c r="B1128" s="306" t="inlineStr">
        <is>
          <t>بهمن</t>
        </is>
      </c>
      <c r="C1128" s="306">
        <f>IF('دانش‌آموزان'!E98="","",'دانش‌آموزان'!B98)</f>
        <v/>
      </c>
      <c r="D1128" s="306">
        <f>IF('دانش‌آموزان'!C98="","",'دانش‌آموزان'!C98)</f>
        <v/>
      </c>
      <c r="E1128" s="306">
        <f>IF('دانش‌آموزان'!E98="","",'دانش‌آموزان'!E98&amp;" "&amp;'دانش‌آموزان'!F98)</f>
        <v/>
      </c>
      <c r="F1128" s="306">
        <f>IF('دانش‌آموزان'!I98="","",'دانش‌آموزان'!I98)</f>
        <v/>
      </c>
      <c r="G1128" s="307" t="n"/>
      <c r="H1128" s="307" t="n"/>
      <c r="I1128" s="307" t="n"/>
      <c r="J1128" s="307" t="n"/>
      <c r="K1128" s="313">
        <f>IF(COUNT(G1128:J1128)=0,"",AVERAGE(G1128:J1128)*4)</f>
        <v/>
      </c>
      <c r="L1128" s="306">
        <f>IF(C1128="","",IF(COUNT(G1128:J1128)=0,"",IF(COUNT(G1128:J1128)&lt;4,"موقت - اطلاعات ناقص",IF(K1128&gt;=17,"عالی",IF(K1128&gt;=14,"خوب",IF(K1128&gt;=10,"متوسط","ضعیف"))))))</f>
        <v/>
      </c>
      <c r="M1128" s="306" t="n">
        <v>8</v>
      </c>
      <c r="N1128" s="314">
        <f>IF(C1128="","",COUNT(G1128:J1128)/4)</f>
        <v/>
      </c>
      <c r="O1128" s="307" t="n"/>
    </row>
    <row r="1129" ht="24" customHeight="1">
      <c r="A1129" s="306" t="n">
        <v>1125</v>
      </c>
      <c r="B1129" s="306" t="inlineStr">
        <is>
          <t>اسفند</t>
        </is>
      </c>
      <c r="C1129" s="306">
        <f>IF('دانش‌آموزان'!E98="","",'دانش‌آموزان'!B98)</f>
        <v/>
      </c>
      <c r="D1129" s="306">
        <f>IF('دانش‌آموزان'!C98="","",'دانش‌آموزان'!C98)</f>
        <v/>
      </c>
      <c r="E1129" s="306">
        <f>IF('دانش‌آموزان'!E98="","",'دانش‌آموزان'!E98&amp;" "&amp;'دانش‌آموزان'!F98)</f>
        <v/>
      </c>
      <c r="F1129" s="306">
        <f>IF('دانش‌آموزان'!I98="","",'دانش‌آموزان'!I98)</f>
        <v/>
      </c>
      <c r="G1129" s="307" t="n"/>
      <c r="H1129" s="307" t="n"/>
      <c r="I1129" s="307" t="n"/>
      <c r="J1129" s="307" t="n"/>
      <c r="K1129" s="313">
        <f>IF(COUNT(G1129:J1129)=0,"",AVERAGE(G1129:J1129)*4)</f>
        <v/>
      </c>
      <c r="L1129" s="306">
        <f>IF(C1129="","",IF(COUNT(G1129:J1129)=0,"",IF(COUNT(G1129:J1129)&lt;4,"موقت - اطلاعات ناقص",IF(K1129&gt;=17,"عالی",IF(K1129&gt;=14,"خوب",IF(K1129&gt;=10,"متوسط","ضعیف"))))))</f>
        <v/>
      </c>
      <c r="M1129" s="306" t="n">
        <v>9</v>
      </c>
      <c r="N1129" s="314">
        <f>IF(C1129="","",COUNT(G1129:J1129)/4)</f>
        <v/>
      </c>
      <c r="O1129" s="307" t="n"/>
    </row>
    <row r="1130" ht="24" customHeight="1">
      <c r="A1130" s="306" t="n">
        <v>1126</v>
      </c>
      <c r="B1130" s="306" t="inlineStr">
        <is>
          <t>فروردین</t>
        </is>
      </c>
      <c r="C1130" s="306">
        <f>IF('دانش‌آموزان'!E98="","",'دانش‌آموزان'!B98)</f>
        <v/>
      </c>
      <c r="D1130" s="306">
        <f>IF('دانش‌آموزان'!C98="","",'دانش‌آموزان'!C98)</f>
        <v/>
      </c>
      <c r="E1130" s="306">
        <f>IF('دانش‌آموزان'!E98="","",'دانش‌آموزان'!E98&amp;" "&amp;'دانش‌آموزان'!F98)</f>
        <v/>
      </c>
      <c r="F1130" s="306">
        <f>IF('دانش‌آموزان'!I98="","",'دانش‌آموزان'!I98)</f>
        <v/>
      </c>
      <c r="G1130" s="307" t="n"/>
      <c r="H1130" s="307" t="n"/>
      <c r="I1130" s="307" t="n"/>
      <c r="J1130" s="307" t="n"/>
      <c r="K1130" s="313">
        <f>IF(COUNT(G1130:J1130)=0,"",AVERAGE(G1130:J1130)*4)</f>
        <v/>
      </c>
      <c r="L1130" s="306">
        <f>IF(C1130="","",IF(COUNT(G1130:J1130)=0,"",IF(COUNT(G1130:J1130)&lt;4,"موقت - اطلاعات ناقص",IF(K1130&gt;=17,"عالی",IF(K1130&gt;=14,"خوب",IF(K1130&gt;=10,"متوسط","ضعیف"))))))</f>
        <v/>
      </c>
      <c r="M1130" s="306" t="n">
        <v>10</v>
      </c>
      <c r="N1130" s="314">
        <f>IF(C1130="","",COUNT(G1130:J1130)/4)</f>
        <v/>
      </c>
      <c r="O1130" s="307" t="n"/>
    </row>
    <row r="1131" ht="24" customHeight="1">
      <c r="A1131" s="306" t="n">
        <v>1127</v>
      </c>
      <c r="B1131" s="306" t="inlineStr">
        <is>
          <t>اردیبهشت</t>
        </is>
      </c>
      <c r="C1131" s="306">
        <f>IF('دانش‌آموزان'!E98="","",'دانش‌آموزان'!B98)</f>
        <v/>
      </c>
      <c r="D1131" s="306">
        <f>IF('دانش‌آموزان'!C98="","",'دانش‌آموزان'!C98)</f>
        <v/>
      </c>
      <c r="E1131" s="306">
        <f>IF('دانش‌آموزان'!E98="","",'دانش‌آموزان'!E98&amp;" "&amp;'دانش‌آموزان'!F98)</f>
        <v/>
      </c>
      <c r="F1131" s="306">
        <f>IF('دانش‌آموزان'!I98="","",'دانش‌آموزان'!I98)</f>
        <v/>
      </c>
      <c r="G1131" s="307" t="n"/>
      <c r="H1131" s="307" t="n"/>
      <c r="I1131" s="307" t="n"/>
      <c r="J1131" s="307" t="n"/>
      <c r="K1131" s="313">
        <f>IF(COUNT(G1131:J1131)=0,"",AVERAGE(G1131:J1131)*4)</f>
        <v/>
      </c>
      <c r="L1131" s="306">
        <f>IF(C1131="","",IF(COUNT(G1131:J1131)=0,"",IF(COUNT(G1131:J1131)&lt;4,"موقت - اطلاعات ناقص",IF(K1131&gt;=17,"عالی",IF(K1131&gt;=14,"خوب",IF(K1131&gt;=10,"متوسط","ضعیف"))))))</f>
        <v/>
      </c>
      <c r="M1131" s="306" t="n">
        <v>11</v>
      </c>
      <c r="N1131" s="314">
        <f>IF(C1131="","",COUNT(G1131:J1131)/4)</f>
        <v/>
      </c>
      <c r="O1131" s="307" t="n"/>
    </row>
    <row r="1132" ht="24" customHeight="1">
      <c r="A1132" s="306" t="n">
        <v>1128</v>
      </c>
      <c r="B1132" s="306" t="inlineStr">
        <is>
          <t>خرداد</t>
        </is>
      </c>
      <c r="C1132" s="306">
        <f>IF('دانش‌آموزان'!E98="","",'دانش‌آموزان'!B98)</f>
        <v/>
      </c>
      <c r="D1132" s="306">
        <f>IF('دانش‌آموزان'!C98="","",'دانش‌آموزان'!C98)</f>
        <v/>
      </c>
      <c r="E1132" s="306">
        <f>IF('دانش‌آموزان'!E98="","",'دانش‌آموزان'!E98&amp;" "&amp;'دانش‌آموزان'!F98)</f>
        <v/>
      </c>
      <c r="F1132" s="306">
        <f>IF('دانش‌آموزان'!I98="","",'دانش‌آموزان'!I98)</f>
        <v/>
      </c>
      <c r="G1132" s="307" t="n"/>
      <c r="H1132" s="307" t="n"/>
      <c r="I1132" s="307" t="n"/>
      <c r="J1132" s="307" t="n"/>
      <c r="K1132" s="313">
        <f>IF(COUNT(G1132:J1132)=0,"",AVERAGE(G1132:J1132)*4)</f>
        <v/>
      </c>
      <c r="L1132" s="306">
        <f>IF(C1132="","",IF(COUNT(G1132:J1132)=0,"",IF(COUNT(G1132:J1132)&lt;4,"موقت - اطلاعات ناقص",IF(K1132&gt;=17,"عالی",IF(K1132&gt;=14,"خوب",IF(K1132&gt;=10,"متوسط","ضعیف"))))))</f>
        <v/>
      </c>
      <c r="M1132" s="306" t="n">
        <v>12</v>
      </c>
      <c r="N1132" s="314">
        <f>IF(C1132="","",COUNT(G1132:J1132)/4)</f>
        <v/>
      </c>
      <c r="O1132" s="307" t="n"/>
    </row>
    <row r="1133" ht="24" customHeight="1">
      <c r="A1133" s="306" t="n">
        <v>1129</v>
      </c>
      <c r="B1133" s="306" t="inlineStr">
        <is>
          <t>تیر</t>
        </is>
      </c>
      <c r="C1133" s="306">
        <f>IF('دانش‌آموزان'!E99="","",'دانش‌آموزان'!B99)</f>
        <v/>
      </c>
      <c r="D1133" s="306">
        <f>IF('دانش‌آموزان'!C99="","",'دانش‌آموزان'!C99)</f>
        <v/>
      </c>
      <c r="E1133" s="306">
        <f>IF('دانش‌آموزان'!E99="","",'دانش‌آموزان'!E99&amp;" "&amp;'دانش‌آموزان'!F99)</f>
        <v/>
      </c>
      <c r="F1133" s="306">
        <f>IF('دانش‌آموزان'!I99="","",'دانش‌آموزان'!I99)</f>
        <v/>
      </c>
      <c r="G1133" s="307" t="n"/>
      <c r="H1133" s="307" t="n"/>
      <c r="I1133" s="307" t="n"/>
      <c r="J1133" s="307" t="n"/>
      <c r="K1133" s="313">
        <f>IF(COUNT(G1133:J1133)=0,"",AVERAGE(G1133:J1133)*4)</f>
        <v/>
      </c>
      <c r="L1133" s="306">
        <f>IF(C1133="","",IF(COUNT(G1133:J1133)=0,"",IF(COUNT(G1133:J1133)&lt;4,"موقت - اطلاعات ناقص",IF(K1133&gt;=17,"عالی",IF(K1133&gt;=14,"خوب",IF(K1133&gt;=10,"متوسط","ضعیف"))))))</f>
        <v/>
      </c>
      <c r="M1133" s="306" t="n">
        <v>1</v>
      </c>
      <c r="N1133" s="314">
        <f>IF(C1133="","",COUNT(G1133:J1133)/4)</f>
        <v/>
      </c>
      <c r="O1133" s="307" t="n"/>
    </row>
    <row r="1134" ht="24" customHeight="1">
      <c r="A1134" s="306" t="n">
        <v>1130</v>
      </c>
      <c r="B1134" s="306" t="inlineStr">
        <is>
          <t>مرداد</t>
        </is>
      </c>
      <c r="C1134" s="306">
        <f>IF('دانش‌آموزان'!E99="","",'دانش‌آموزان'!B99)</f>
        <v/>
      </c>
      <c r="D1134" s="306">
        <f>IF('دانش‌آموزان'!C99="","",'دانش‌آموزان'!C99)</f>
        <v/>
      </c>
      <c r="E1134" s="306">
        <f>IF('دانش‌آموزان'!E99="","",'دانش‌آموزان'!E99&amp;" "&amp;'دانش‌آموزان'!F99)</f>
        <v/>
      </c>
      <c r="F1134" s="306">
        <f>IF('دانش‌آموزان'!I99="","",'دانش‌آموزان'!I99)</f>
        <v/>
      </c>
      <c r="G1134" s="307" t="n"/>
      <c r="H1134" s="307" t="n"/>
      <c r="I1134" s="307" t="n"/>
      <c r="J1134" s="307" t="n"/>
      <c r="K1134" s="313">
        <f>IF(COUNT(G1134:J1134)=0,"",AVERAGE(G1134:J1134)*4)</f>
        <v/>
      </c>
      <c r="L1134" s="306">
        <f>IF(C1134="","",IF(COUNT(G1134:J1134)=0,"",IF(COUNT(G1134:J1134)&lt;4,"موقت - اطلاعات ناقص",IF(K1134&gt;=17,"عالی",IF(K1134&gt;=14,"خوب",IF(K1134&gt;=10,"متوسط","ضعیف"))))))</f>
        <v/>
      </c>
      <c r="M1134" s="306" t="n">
        <v>2</v>
      </c>
      <c r="N1134" s="314">
        <f>IF(C1134="","",COUNT(G1134:J1134)/4)</f>
        <v/>
      </c>
      <c r="O1134" s="307" t="n"/>
    </row>
    <row r="1135" ht="24" customHeight="1">
      <c r="A1135" s="306" t="n">
        <v>1131</v>
      </c>
      <c r="B1135" s="306" t="inlineStr">
        <is>
          <t>شهریور</t>
        </is>
      </c>
      <c r="C1135" s="306">
        <f>IF('دانش‌آموزان'!E99="","",'دانش‌آموزان'!B99)</f>
        <v/>
      </c>
      <c r="D1135" s="306">
        <f>IF('دانش‌آموزان'!C99="","",'دانش‌آموزان'!C99)</f>
        <v/>
      </c>
      <c r="E1135" s="306">
        <f>IF('دانش‌آموزان'!E99="","",'دانش‌آموزان'!E99&amp;" "&amp;'دانش‌آموزان'!F99)</f>
        <v/>
      </c>
      <c r="F1135" s="306">
        <f>IF('دانش‌آموزان'!I99="","",'دانش‌آموزان'!I99)</f>
        <v/>
      </c>
      <c r="G1135" s="307" t="n"/>
      <c r="H1135" s="307" t="n"/>
      <c r="I1135" s="307" t="n"/>
      <c r="J1135" s="307" t="n"/>
      <c r="K1135" s="313">
        <f>IF(COUNT(G1135:J1135)=0,"",AVERAGE(G1135:J1135)*4)</f>
        <v/>
      </c>
      <c r="L1135" s="306">
        <f>IF(C1135="","",IF(COUNT(G1135:J1135)=0,"",IF(COUNT(G1135:J1135)&lt;4,"موقت - اطلاعات ناقص",IF(K1135&gt;=17,"عالی",IF(K1135&gt;=14,"خوب",IF(K1135&gt;=10,"متوسط","ضعیف"))))))</f>
        <v/>
      </c>
      <c r="M1135" s="306" t="n">
        <v>3</v>
      </c>
      <c r="N1135" s="314">
        <f>IF(C1135="","",COUNT(G1135:J1135)/4)</f>
        <v/>
      </c>
      <c r="O1135" s="307" t="n"/>
    </row>
    <row r="1136" ht="24" customHeight="1">
      <c r="A1136" s="306" t="n">
        <v>1132</v>
      </c>
      <c r="B1136" s="306" t="inlineStr">
        <is>
          <t>مهر</t>
        </is>
      </c>
      <c r="C1136" s="306">
        <f>IF('دانش‌آموزان'!E99="","",'دانش‌آموزان'!B99)</f>
        <v/>
      </c>
      <c r="D1136" s="306">
        <f>IF('دانش‌آموزان'!C99="","",'دانش‌آموزان'!C99)</f>
        <v/>
      </c>
      <c r="E1136" s="306">
        <f>IF('دانش‌آموزان'!E99="","",'دانش‌آموزان'!E99&amp;" "&amp;'دانش‌آموزان'!F99)</f>
        <v/>
      </c>
      <c r="F1136" s="306">
        <f>IF('دانش‌آموزان'!I99="","",'دانش‌آموزان'!I99)</f>
        <v/>
      </c>
      <c r="G1136" s="307" t="n"/>
      <c r="H1136" s="307" t="n"/>
      <c r="I1136" s="307" t="n"/>
      <c r="J1136" s="307" t="n"/>
      <c r="K1136" s="313">
        <f>IF(COUNT(G1136:J1136)=0,"",AVERAGE(G1136:J1136)*4)</f>
        <v/>
      </c>
      <c r="L1136" s="306">
        <f>IF(C1136="","",IF(COUNT(G1136:J1136)=0,"",IF(COUNT(G1136:J1136)&lt;4,"موقت - اطلاعات ناقص",IF(K1136&gt;=17,"عالی",IF(K1136&gt;=14,"خوب",IF(K1136&gt;=10,"متوسط","ضعیف"))))))</f>
        <v/>
      </c>
      <c r="M1136" s="306" t="n">
        <v>4</v>
      </c>
      <c r="N1136" s="314">
        <f>IF(C1136="","",COUNT(G1136:J1136)/4)</f>
        <v/>
      </c>
      <c r="O1136" s="307" t="n"/>
    </row>
    <row r="1137" ht="24" customHeight="1">
      <c r="A1137" s="306" t="n">
        <v>1133</v>
      </c>
      <c r="B1137" s="306" t="inlineStr">
        <is>
          <t>آبان</t>
        </is>
      </c>
      <c r="C1137" s="306">
        <f>IF('دانش‌آموزان'!E99="","",'دانش‌آموزان'!B99)</f>
        <v/>
      </c>
      <c r="D1137" s="306">
        <f>IF('دانش‌آموزان'!C99="","",'دانش‌آموزان'!C99)</f>
        <v/>
      </c>
      <c r="E1137" s="306">
        <f>IF('دانش‌آموزان'!E99="","",'دانش‌آموزان'!E99&amp;" "&amp;'دانش‌آموزان'!F99)</f>
        <v/>
      </c>
      <c r="F1137" s="306">
        <f>IF('دانش‌آموزان'!I99="","",'دانش‌آموزان'!I99)</f>
        <v/>
      </c>
      <c r="G1137" s="307" t="n"/>
      <c r="H1137" s="307" t="n"/>
      <c r="I1137" s="307" t="n"/>
      <c r="J1137" s="307" t="n"/>
      <c r="K1137" s="313">
        <f>IF(COUNT(G1137:J1137)=0,"",AVERAGE(G1137:J1137)*4)</f>
        <v/>
      </c>
      <c r="L1137" s="306">
        <f>IF(C1137="","",IF(COUNT(G1137:J1137)=0,"",IF(COUNT(G1137:J1137)&lt;4,"موقت - اطلاعات ناقص",IF(K1137&gt;=17,"عالی",IF(K1137&gt;=14,"خوب",IF(K1137&gt;=10,"متوسط","ضعیف"))))))</f>
        <v/>
      </c>
      <c r="M1137" s="306" t="n">
        <v>5</v>
      </c>
      <c r="N1137" s="314">
        <f>IF(C1137="","",COUNT(G1137:J1137)/4)</f>
        <v/>
      </c>
      <c r="O1137" s="307" t="n"/>
    </row>
    <row r="1138" ht="24" customHeight="1">
      <c r="A1138" s="306" t="n">
        <v>1134</v>
      </c>
      <c r="B1138" s="306" t="inlineStr">
        <is>
          <t>آذر</t>
        </is>
      </c>
      <c r="C1138" s="306">
        <f>IF('دانش‌آموزان'!E99="","",'دانش‌آموزان'!B99)</f>
        <v/>
      </c>
      <c r="D1138" s="306">
        <f>IF('دانش‌آموزان'!C99="","",'دانش‌آموزان'!C99)</f>
        <v/>
      </c>
      <c r="E1138" s="306">
        <f>IF('دانش‌آموزان'!E99="","",'دانش‌آموزان'!E99&amp;" "&amp;'دانش‌آموزان'!F99)</f>
        <v/>
      </c>
      <c r="F1138" s="306">
        <f>IF('دانش‌آموزان'!I99="","",'دانش‌آموزان'!I99)</f>
        <v/>
      </c>
      <c r="G1138" s="307" t="n"/>
      <c r="H1138" s="307" t="n"/>
      <c r="I1138" s="307" t="n"/>
      <c r="J1138" s="307" t="n"/>
      <c r="K1138" s="313">
        <f>IF(COUNT(G1138:J1138)=0,"",AVERAGE(G1138:J1138)*4)</f>
        <v/>
      </c>
      <c r="L1138" s="306">
        <f>IF(C1138="","",IF(COUNT(G1138:J1138)=0,"",IF(COUNT(G1138:J1138)&lt;4,"موقت - اطلاعات ناقص",IF(K1138&gt;=17,"عالی",IF(K1138&gt;=14,"خوب",IF(K1138&gt;=10,"متوسط","ضعیف"))))))</f>
        <v/>
      </c>
      <c r="M1138" s="306" t="n">
        <v>6</v>
      </c>
      <c r="N1138" s="314">
        <f>IF(C1138="","",COUNT(G1138:J1138)/4)</f>
        <v/>
      </c>
      <c r="O1138" s="307" t="n"/>
    </row>
    <row r="1139" ht="24" customHeight="1">
      <c r="A1139" s="306" t="n">
        <v>1135</v>
      </c>
      <c r="B1139" s="306" t="inlineStr">
        <is>
          <t>دی</t>
        </is>
      </c>
      <c r="C1139" s="306">
        <f>IF('دانش‌آموزان'!E99="","",'دانش‌آموزان'!B99)</f>
        <v/>
      </c>
      <c r="D1139" s="306">
        <f>IF('دانش‌آموزان'!C99="","",'دانش‌آموزان'!C99)</f>
        <v/>
      </c>
      <c r="E1139" s="306">
        <f>IF('دانش‌آموزان'!E99="","",'دانش‌آموزان'!E99&amp;" "&amp;'دانش‌آموزان'!F99)</f>
        <v/>
      </c>
      <c r="F1139" s="306">
        <f>IF('دانش‌آموزان'!I99="","",'دانش‌آموزان'!I99)</f>
        <v/>
      </c>
      <c r="G1139" s="307" t="n"/>
      <c r="H1139" s="307" t="n"/>
      <c r="I1139" s="307" t="n"/>
      <c r="J1139" s="307" t="n"/>
      <c r="K1139" s="313">
        <f>IF(COUNT(G1139:J1139)=0,"",AVERAGE(G1139:J1139)*4)</f>
        <v/>
      </c>
      <c r="L1139" s="306">
        <f>IF(C1139="","",IF(COUNT(G1139:J1139)=0,"",IF(COUNT(G1139:J1139)&lt;4,"موقت - اطلاعات ناقص",IF(K1139&gt;=17,"عالی",IF(K1139&gt;=14,"خوب",IF(K1139&gt;=10,"متوسط","ضعیف"))))))</f>
        <v/>
      </c>
      <c r="M1139" s="306" t="n">
        <v>7</v>
      </c>
      <c r="N1139" s="314">
        <f>IF(C1139="","",COUNT(G1139:J1139)/4)</f>
        <v/>
      </c>
      <c r="O1139" s="307" t="n"/>
    </row>
    <row r="1140" ht="24" customHeight="1">
      <c r="A1140" s="306" t="n">
        <v>1136</v>
      </c>
      <c r="B1140" s="306" t="inlineStr">
        <is>
          <t>بهمن</t>
        </is>
      </c>
      <c r="C1140" s="306">
        <f>IF('دانش‌آموزان'!E99="","",'دانش‌آموزان'!B99)</f>
        <v/>
      </c>
      <c r="D1140" s="306">
        <f>IF('دانش‌آموزان'!C99="","",'دانش‌آموزان'!C99)</f>
        <v/>
      </c>
      <c r="E1140" s="306">
        <f>IF('دانش‌آموزان'!E99="","",'دانش‌آموزان'!E99&amp;" "&amp;'دانش‌آموزان'!F99)</f>
        <v/>
      </c>
      <c r="F1140" s="306">
        <f>IF('دانش‌آموزان'!I99="","",'دانش‌آموزان'!I99)</f>
        <v/>
      </c>
      <c r="G1140" s="307" t="n"/>
      <c r="H1140" s="307" t="n"/>
      <c r="I1140" s="307" t="n"/>
      <c r="J1140" s="307" t="n"/>
      <c r="K1140" s="313">
        <f>IF(COUNT(G1140:J1140)=0,"",AVERAGE(G1140:J1140)*4)</f>
        <v/>
      </c>
      <c r="L1140" s="306">
        <f>IF(C1140="","",IF(COUNT(G1140:J1140)=0,"",IF(COUNT(G1140:J1140)&lt;4,"موقت - اطلاعات ناقص",IF(K1140&gt;=17,"عالی",IF(K1140&gt;=14,"خوب",IF(K1140&gt;=10,"متوسط","ضعیف"))))))</f>
        <v/>
      </c>
      <c r="M1140" s="306" t="n">
        <v>8</v>
      </c>
      <c r="N1140" s="314">
        <f>IF(C1140="","",COUNT(G1140:J1140)/4)</f>
        <v/>
      </c>
      <c r="O1140" s="307" t="n"/>
    </row>
    <row r="1141" ht="24" customHeight="1">
      <c r="A1141" s="306" t="n">
        <v>1137</v>
      </c>
      <c r="B1141" s="306" t="inlineStr">
        <is>
          <t>اسفند</t>
        </is>
      </c>
      <c r="C1141" s="306">
        <f>IF('دانش‌آموزان'!E99="","",'دانش‌آموزان'!B99)</f>
        <v/>
      </c>
      <c r="D1141" s="306">
        <f>IF('دانش‌آموزان'!C99="","",'دانش‌آموزان'!C99)</f>
        <v/>
      </c>
      <c r="E1141" s="306">
        <f>IF('دانش‌آموزان'!E99="","",'دانش‌آموزان'!E99&amp;" "&amp;'دانش‌آموزان'!F99)</f>
        <v/>
      </c>
      <c r="F1141" s="306">
        <f>IF('دانش‌آموزان'!I99="","",'دانش‌آموزان'!I99)</f>
        <v/>
      </c>
      <c r="G1141" s="307" t="n"/>
      <c r="H1141" s="307" t="n"/>
      <c r="I1141" s="307" t="n"/>
      <c r="J1141" s="307" t="n"/>
      <c r="K1141" s="313">
        <f>IF(COUNT(G1141:J1141)=0,"",AVERAGE(G1141:J1141)*4)</f>
        <v/>
      </c>
      <c r="L1141" s="306">
        <f>IF(C1141="","",IF(COUNT(G1141:J1141)=0,"",IF(COUNT(G1141:J1141)&lt;4,"موقت - اطلاعات ناقص",IF(K1141&gt;=17,"عالی",IF(K1141&gt;=14,"خوب",IF(K1141&gt;=10,"متوسط","ضعیف"))))))</f>
        <v/>
      </c>
      <c r="M1141" s="306" t="n">
        <v>9</v>
      </c>
      <c r="N1141" s="314">
        <f>IF(C1141="","",COUNT(G1141:J1141)/4)</f>
        <v/>
      </c>
      <c r="O1141" s="307" t="n"/>
    </row>
    <row r="1142" ht="24" customHeight="1">
      <c r="A1142" s="306" t="n">
        <v>1138</v>
      </c>
      <c r="B1142" s="306" t="inlineStr">
        <is>
          <t>فروردین</t>
        </is>
      </c>
      <c r="C1142" s="306">
        <f>IF('دانش‌آموزان'!E99="","",'دانش‌آموزان'!B99)</f>
        <v/>
      </c>
      <c r="D1142" s="306">
        <f>IF('دانش‌آموزان'!C99="","",'دانش‌آموزان'!C99)</f>
        <v/>
      </c>
      <c r="E1142" s="306">
        <f>IF('دانش‌آموزان'!E99="","",'دانش‌آموزان'!E99&amp;" "&amp;'دانش‌آموزان'!F99)</f>
        <v/>
      </c>
      <c r="F1142" s="306">
        <f>IF('دانش‌آموزان'!I99="","",'دانش‌آموزان'!I99)</f>
        <v/>
      </c>
      <c r="G1142" s="307" t="n"/>
      <c r="H1142" s="307" t="n"/>
      <c r="I1142" s="307" t="n"/>
      <c r="J1142" s="307" t="n"/>
      <c r="K1142" s="313">
        <f>IF(COUNT(G1142:J1142)=0,"",AVERAGE(G1142:J1142)*4)</f>
        <v/>
      </c>
      <c r="L1142" s="306">
        <f>IF(C1142="","",IF(COUNT(G1142:J1142)=0,"",IF(COUNT(G1142:J1142)&lt;4,"موقت - اطلاعات ناقص",IF(K1142&gt;=17,"عالی",IF(K1142&gt;=14,"خوب",IF(K1142&gt;=10,"متوسط","ضعیف"))))))</f>
        <v/>
      </c>
      <c r="M1142" s="306" t="n">
        <v>10</v>
      </c>
      <c r="N1142" s="314">
        <f>IF(C1142="","",COUNT(G1142:J1142)/4)</f>
        <v/>
      </c>
      <c r="O1142" s="307" t="n"/>
    </row>
    <row r="1143" ht="24" customHeight="1">
      <c r="A1143" s="306" t="n">
        <v>1139</v>
      </c>
      <c r="B1143" s="306" t="inlineStr">
        <is>
          <t>اردیبهشت</t>
        </is>
      </c>
      <c r="C1143" s="306">
        <f>IF('دانش‌آموزان'!E99="","",'دانش‌آموزان'!B99)</f>
        <v/>
      </c>
      <c r="D1143" s="306">
        <f>IF('دانش‌آموزان'!C99="","",'دانش‌آموزان'!C99)</f>
        <v/>
      </c>
      <c r="E1143" s="306">
        <f>IF('دانش‌آموزان'!E99="","",'دانش‌آموزان'!E99&amp;" "&amp;'دانش‌آموزان'!F99)</f>
        <v/>
      </c>
      <c r="F1143" s="306">
        <f>IF('دانش‌آموزان'!I99="","",'دانش‌آموزان'!I99)</f>
        <v/>
      </c>
      <c r="G1143" s="307" t="n"/>
      <c r="H1143" s="307" t="n"/>
      <c r="I1143" s="307" t="n"/>
      <c r="J1143" s="307" t="n"/>
      <c r="K1143" s="313">
        <f>IF(COUNT(G1143:J1143)=0,"",AVERAGE(G1143:J1143)*4)</f>
        <v/>
      </c>
      <c r="L1143" s="306">
        <f>IF(C1143="","",IF(COUNT(G1143:J1143)=0,"",IF(COUNT(G1143:J1143)&lt;4,"موقت - اطلاعات ناقص",IF(K1143&gt;=17,"عالی",IF(K1143&gt;=14,"خوب",IF(K1143&gt;=10,"متوسط","ضعیف"))))))</f>
        <v/>
      </c>
      <c r="M1143" s="306" t="n">
        <v>11</v>
      </c>
      <c r="N1143" s="314">
        <f>IF(C1143="","",COUNT(G1143:J1143)/4)</f>
        <v/>
      </c>
      <c r="O1143" s="307" t="n"/>
    </row>
    <row r="1144" ht="24" customHeight="1">
      <c r="A1144" s="306" t="n">
        <v>1140</v>
      </c>
      <c r="B1144" s="306" t="inlineStr">
        <is>
          <t>خرداد</t>
        </is>
      </c>
      <c r="C1144" s="306">
        <f>IF('دانش‌آموزان'!E99="","",'دانش‌آموزان'!B99)</f>
        <v/>
      </c>
      <c r="D1144" s="306">
        <f>IF('دانش‌آموزان'!C99="","",'دانش‌آموزان'!C99)</f>
        <v/>
      </c>
      <c r="E1144" s="306">
        <f>IF('دانش‌آموزان'!E99="","",'دانش‌آموزان'!E99&amp;" "&amp;'دانش‌آموزان'!F99)</f>
        <v/>
      </c>
      <c r="F1144" s="306">
        <f>IF('دانش‌آموزان'!I99="","",'دانش‌آموزان'!I99)</f>
        <v/>
      </c>
      <c r="G1144" s="307" t="n"/>
      <c r="H1144" s="307" t="n"/>
      <c r="I1144" s="307" t="n"/>
      <c r="J1144" s="307" t="n"/>
      <c r="K1144" s="313">
        <f>IF(COUNT(G1144:J1144)=0,"",AVERAGE(G1144:J1144)*4)</f>
        <v/>
      </c>
      <c r="L1144" s="306">
        <f>IF(C1144="","",IF(COUNT(G1144:J1144)=0,"",IF(COUNT(G1144:J1144)&lt;4,"موقت - اطلاعات ناقص",IF(K1144&gt;=17,"عالی",IF(K1144&gt;=14,"خوب",IF(K1144&gt;=10,"متوسط","ضعیف"))))))</f>
        <v/>
      </c>
      <c r="M1144" s="306" t="n">
        <v>12</v>
      </c>
      <c r="N1144" s="314">
        <f>IF(C1144="","",COUNT(G1144:J1144)/4)</f>
        <v/>
      </c>
      <c r="O1144" s="307" t="n"/>
    </row>
    <row r="1145" ht="24" customHeight="1">
      <c r="A1145" s="306" t="n">
        <v>1141</v>
      </c>
      <c r="B1145" s="306" t="inlineStr">
        <is>
          <t>تیر</t>
        </is>
      </c>
      <c r="C1145" s="306">
        <f>IF('دانش‌آموزان'!E100="","",'دانش‌آموزان'!B100)</f>
        <v/>
      </c>
      <c r="D1145" s="306">
        <f>IF('دانش‌آموزان'!C100="","",'دانش‌آموزان'!C100)</f>
        <v/>
      </c>
      <c r="E1145" s="306">
        <f>IF('دانش‌آموزان'!E100="","",'دانش‌آموزان'!E100&amp;" "&amp;'دانش‌آموزان'!F100)</f>
        <v/>
      </c>
      <c r="F1145" s="306">
        <f>IF('دانش‌آموزان'!I100="","",'دانش‌آموزان'!I100)</f>
        <v/>
      </c>
      <c r="G1145" s="307" t="n"/>
      <c r="H1145" s="307" t="n"/>
      <c r="I1145" s="307" t="n"/>
      <c r="J1145" s="307" t="n"/>
      <c r="K1145" s="313">
        <f>IF(COUNT(G1145:J1145)=0,"",AVERAGE(G1145:J1145)*4)</f>
        <v/>
      </c>
      <c r="L1145" s="306">
        <f>IF(C1145="","",IF(COUNT(G1145:J1145)=0,"",IF(COUNT(G1145:J1145)&lt;4,"موقت - اطلاعات ناقص",IF(K1145&gt;=17,"عالی",IF(K1145&gt;=14,"خوب",IF(K1145&gt;=10,"متوسط","ضعیف"))))))</f>
        <v/>
      </c>
      <c r="M1145" s="306" t="n">
        <v>1</v>
      </c>
      <c r="N1145" s="314">
        <f>IF(C1145="","",COUNT(G1145:J1145)/4)</f>
        <v/>
      </c>
      <c r="O1145" s="307" t="n"/>
    </row>
    <row r="1146" ht="24" customHeight="1">
      <c r="A1146" s="306" t="n">
        <v>1142</v>
      </c>
      <c r="B1146" s="306" t="inlineStr">
        <is>
          <t>مرداد</t>
        </is>
      </c>
      <c r="C1146" s="306">
        <f>IF('دانش‌آموزان'!E100="","",'دانش‌آموزان'!B100)</f>
        <v/>
      </c>
      <c r="D1146" s="306">
        <f>IF('دانش‌آموزان'!C100="","",'دانش‌آموزان'!C100)</f>
        <v/>
      </c>
      <c r="E1146" s="306">
        <f>IF('دانش‌آموزان'!E100="","",'دانش‌آموزان'!E100&amp;" "&amp;'دانش‌آموزان'!F100)</f>
        <v/>
      </c>
      <c r="F1146" s="306">
        <f>IF('دانش‌آموزان'!I100="","",'دانش‌آموزان'!I100)</f>
        <v/>
      </c>
      <c r="G1146" s="307" t="n"/>
      <c r="H1146" s="307" t="n"/>
      <c r="I1146" s="307" t="n"/>
      <c r="J1146" s="307" t="n"/>
      <c r="K1146" s="313">
        <f>IF(COUNT(G1146:J1146)=0,"",AVERAGE(G1146:J1146)*4)</f>
        <v/>
      </c>
      <c r="L1146" s="306">
        <f>IF(C1146="","",IF(COUNT(G1146:J1146)=0,"",IF(COUNT(G1146:J1146)&lt;4,"موقت - اطلاعات ناقص",IF(K1146&gt;=17,"عالی",IF(K1146&gt;=14,"خوب",IF(K1146&gt;=10,"متوسط","ضعیف"))))))</f>
        <v/>
      </c>
      <c r="M1146" s="306" t="n">
        <v>2</v>
      </c>
      <c r="N1146" s="314">
        <f>IF(C1146="","",COUNT(G1146:J1146)/4)</f>
        <v/>
      </c>
      <c r="O1146" s="307" t="n"/>
    </row>
    <row r="1147" ht="24" customHeight="1">
      <c r="A1147" s="306" t="n">
        <v>1143</v>
      </c>
      <c r="B1147" s="306" t="inlineStr">
        <is>
          <t>شهریور</t>
        </is>
      </c>
      <c r="C1147" s="306">
        <f>IF('دانش‌آموزان'!E100="","",'دانش‌آموزان'!B100)</f>
        <v/>
      </c>
      <c r="D1147" s="306">
        <f>IF('دانش‌آموزان'!C100="","",'دانش‌آموزان'!C100)</f>
        <v/>
      </c>
      <c r="E1147" s="306">
        <f>IF('دانش‌آموزان'!E100="","",'دانش‌آموزان'!E100&amp;" "&amp;'دانش‌آموزان'!F100)</f>
        <v/>
      </c>
      <c r="F1147" s="306">
        <f>IF('دانش‌آموزان'!I100="","",'دانش‌آموزان'!I100)</f>
        <v/>
      </c>
      <c r="G1147" s="307" t="n"/>
      <c r="H1147" s="307" t="n"/>
      <c r="I1147" s="307" t="n"/>
      <c r="J1147" s="307" t="n"/>
      <c r="K1147" s="313">
        <f>IF(COUNT(G1147:J1147)=0,"",AVERAGE(G1147:J1147)*4)</f>
        <v/>
      </c>
      <c r="L1147" s="306">
        <f>IF(C1147="","",IF(COUNT(G1147:J1147)=0,"",IF(COUNT(G1147:J1147)&lt;4,"موقت - اطلاعات ناقص",IF(K1147&gt;=17,"عالی",IF(K1147&gt;=14,"خوب",IF(K1147&gt;=10,"متوسط","ضعیف"))))))</f>
        <v/>
      </c>
      <c r="M1147" s="306" t="n">
        <v>3</v>
      </c>
      <c r="N1147" s="314">
        <f>IF(C1147="","",COUNT(G1147:J1147)/4)</f>
        <v/>
      </c>
      <c r="O1147" s="307" t="n"/>
    </row>
    <row r="1148" ht="24" customHeight="1">
      <c r="A1148" s="306" t="n">
        <v>1144</v>
      </c>
      <c r="B1148" s="306" t="inlineStr">
        <is>
          <t>مهر</t>
        </is>
      </c>
      <c r="C1148" s="306">
        <f>IF('دانش‌آموزان'!E100="","",'دانش‌آموزان'!B100)</f>
        <v/>
      </c>
      <c r="D1148" s="306">
        <f>IF('دانش‌آموزان'!C100="","",'دانش‌آموزان'!C100)</f>
        <v/>
      </c>
      <c r="E1148" s="306">
        <f>IF('دانش‌آموزان'!E100="","",'دانش‌آموزان'!E100&amp;" "&amp;'دانش‌آموزان'!F100)</f>
        <v/>
      </c>
      <c r="F1148" s="306">
        <f>IF('دانش‌آموزان'!I100="","",'دانش‌آموزان'!I100)</f>
        <v/>
      </c>
      <c r="G1148" s="307" t="n"/>
      <c r="H1148" s="307" t="n"/>
      <c r="I1148" s="307" t="n"/>
      <c r="J1148" s="307" t="n"/>
      <c r="K1148" s="313">
        <f>IF(COUNT(G1148:J1148)=0,"",AVERAGE(G1148:J1148)*4)</f>
        <v/>
      </c>
      <c r="L1148" s="306">
        <f>IF(C1148="","",IF(COUNT(G1148:J1148)=0,"",IF(COUNT(G1148:J1148)&lt;4,"موقت - اطلاعات ناقص",IF(K1148&gt;=17,"عالی",IF(K1148&gt;=14,"خوب",IF(K1148&gt;=10,"متوسط","ضعیف"))))))</f>
        <v/>
      </c>
      <c r="M1148" s="306" t="n">
        <v>4</v>
      </c>
      <c r="N1148" s="314">
        <f>IF(C1148="","",COUNT(G1148:J1148)/4)</f>
        <v/>
      </c>
      <c r="O1148" s="307" t="n"/>
    </row>
    <row r="1149" ht="24" customHeight="1">
      <c r="A1149" s="306" t="n">
        <v>1145</v>
      </c>
      <c r="B1149" s="306" t="inlineStr">
        <is>
          <t>آبان</t>
        </is>
      </c>
      <c r="C1149" s="306">
        <f>IF('دانش‌آموزان'!E100="","",'دانش‌آموزان'!B100)</f>
        <v/>
      </c>
      <c r="D1149" s="306">
        <f>IF('دانش‌آموزان'!C100="","",'دانش‌آموزان'!C100)</f>
        <v/>
      </c>
      <c r="E1149" s="306">
        <f>IF('دانش‌آموزان'!E100="","",'دانش‌آموزان'!E100&amp;" "&amp;'دانش‌آموزان'!F100)</f>
        <v/>
      </c>
      <c r="F1149" s="306">
        <f>IF('دانش‌آموزان'!I100="","",'دانش‌آموزان'!I100)</f>
        <v/>
      </c>
      <c r="G1149" s="307" t="n"/>
      <c r="H1149" s="307" t="n"/>
      <c r="I1149" s="307" t="n"/>
      <c r="J1149" s="307" t="n"/>
      <c r="K1149" s="313">
        <f>IF(COUNT(G1149:J1149)=0,"",AVERAGE(G1149:J1149)*4)</f>
        <v/>
      </c>
      <c r="L1149" s="306">
        <f>IF(C1149="","",IF(COUNT(G1149:J1149)=0,"",IF(COUNT(G1149:J1149)&lt;4,"موقت - اطلاعات ناقص",IF(K1149&gt;=17,"عالی",IF(K1149&gt;=14,"خوب",IF(K1149&gt;=10,"متوسط","ضعیف"))))))</f>
        <v/>
      </c>
      <c r="M1149" s="306" t="n">
        <v>5</v>
      </c>
      <c r="N1149" s="314">
        <f>IF(C1149="","",COUNT(G1149:J1149)/4)</f>
        <v/>
      </c>
      <c r="O1149" s="307" t="n"/>
    </row>
    <row r="1150" ht="24" customHeight="1">
      <c r="A1150" s="306" t="n">
        <v>1146</v>
      </c>
      <c r="B1150" s="306" t="inlineStr">
        <is>
          <t>آذر</t>
        </is>
      </c>
      <c r="C1150" s="306">
        <f>IF('دانش‌آموزان'!E100="","",'دانش‌آموزان'!B100)</f>
        <v/>
      </c>
      <c r="D1150" s="306">
        <f>IF('دانش‌آموزان'!C100="","",'دانش‌آموزان'!C100)</f>
        <v/>
      </c>
      <c r="E1150" s="306">
        <f>IF('دانش‌آموزان'!E100="","",'دانش‌آموزان'!E100&amp;" "&amp;'دانش‌آموزان'!F100)</f>
        <v/>
      </c>
      <c r="F1150" s="306">
        <f>IF('دانش‌آموزان'!I100="","",'دانش‌آموزان'!I100)</f>
        <v/>
      </c>
      <c r="G1150" s="307" t="n"/>
      <c r="H1150" s="307" t="n"/>
      <c r="I1150" s="307" t="n"/>
      <c r="J1150" s="307" t="n"/>
      <c r="K1150" s="313">
        <f>IF(COUNT(G1150:J1150)=0,"",AVERAGE(G1150:J1150)*4)</f>
        <v/>
      </c>
      <c r="L1150" s="306">
        <f>IF(C1150="","",IF(COUNT(G1150:J1150)=0,"",IF(COUNT(G1150:J1150)&lt;4,"موقت - اطلاعات ناقص",IF(K1150&gt;=17,"عالی",IF(K1150&gt;=14,"خوب",IF(K1150&gt;=10,"متوسط","ضعیف"))))))</f>
        <v/>
      </c>
      <c r="M1150" s="306" t="n">
        <v>6</v>
      </c>
      <c r="N1150" s="314">
        <f>IF(C1150="","",COUNT(G1150:J1150)/4)</f>
        <v/>
      </c>
      <c r="O1150" s="307" t="n"/>
    </row>
    <row r="1151" ht="24" customHeight="1">
      <c r="A1151" s="306" t="n">
        <v>1147</v>
      </c>
      <c r="B1151" s="306" t="inlineStr">
        <is>
          <t>دی</t>
        </is>
      </c>
      <c r="C1151" s="306">
        <f>IF('دانش‌آموزان'!E100="","",'دانش‌آموزان'!B100)</f>
        <v/>
      </c>
      <c r="D1151" s="306">
        <f>IF('دانش‌آموزان'!C100="","",'دانش‌آموزان'!C100)</f>
        <v/>
      </c>
      <c r="E1151" s="306">
        <f>IF('دانش‌آموزان'!E100="","",'دانش‌آموزان'!E100&amp;" "&amp;'دانش‌آموزان'!F100)</f>
        <v/>
      </c>
      <c r="F1151" s="306">
        <f>IF('دانش‌آموزان'!I100="","",'دانش‌آموزان'!I100)</f>
        <v/>
      </c>
      <c r="G1151" s="307" t="n"/>
      <c r="H1151" s="307" t="n"/>
      <c r="I1151" s="307" t="n"/>
      <c r="J1151" s="307" t="n"/>
      <c r="K1151" s="313">
        <f>IF(COUNT(G1151:J1151)=0,"",AVERAGE(G1151:J1151)*4)</f>
        <v/>
      </c>
      <c r="L1151" s="306">
        <f>IF(C1151="","",IF(COUNT(G1151:J1151)=0,"",IF(COUNT(G1151:J1151)&lt;4,"موقت - اطلاعات ناقص",IF(K1151&gt;=17,"عالی",IF(K1151&gt;=14,"خوب",IF(K1151&gt;=10,"متوسط","ضعیف"))))))</f>
        <v/>
      </c>
      <c r="M1151" s="306" t="n">
        <v>7</v>
      </c>
      <c r="N1151" s="314">
        <f>IF(C1151="","",COUNT(G1151:J1151)/4)</f>
        <v/>
      </c>
      <c r="O1151" s="307" t="n"/>
    </row>
    <row r="1152" ht="24" customHeight="1">
      <c r="A1152" s="306" t="n">
        <v>1148</v>
      </c>
      <c r="B1152" s="306" t="inlineStr">
        <is>
          <t>بهمن</t>
        </is>
      </c>
      <c r="C1152" s="306">
        <f>IF('دانش‌آموزان'!E100="","",'دانش‌آموزان'!B100)</f>
        <v/>
      </c>
      <c r="D1152" s="306">
        <f>IF('دانش‌آموزان'!C100="","",'دانش‌آموزان'!C100)</f>
        <v/>
      </c>
      <c r="E1152" s="306">
        <f>IF('دانش‌آموزان'!E100="","",'دانش‌آموزان'!E100&amp;" "&amp;'دانش‌آموزان'!F100)</f>
        <v/>
      </c>
      <c r="F1152" s="306">
        <f>IF('دانش‌آموزان'!I100="","",'دانش‌آموزان'!I100)</f>
        <v/>
      </c>
      <c r="G1152" s="307" t="n"/>
      <c r="H1152" s="307" t="n"/>
      <c r="I1152" s="307" t="n"/>
      <c r="J1152" s="307" t="n"/>
      <c r="K1152" s="313">
        <f>IF(COUNT(G1152:J1152)=0,"",AVERAGE(G1152:J1152)*4)</f>
        <v/>
      </c>
      <c r="L1152" s="306">
        <f>IF(C1152="","",IF(COUNT(G1152:J1152)=0,"",IF(COUNT(G1152:J1152)&lt;4,"موقت - اطلاعات ناقص",IF(K1152&gt;=17,"عالی",IF(K1152&gt;=14,"خوب",IF(K1152&gt;=10,"متوسط","ضعیف"))))))</f>
        <v/>
      </c>
      <c r="M1152" s="306" t="n">
        <v>8</v>
      </c>
      <c r="N1152" s="314">
        <f>IF(C1152="","",COUNT(G1152:J1152)/4)</f>
        <v/>
      </c>
      <c r="O1152" s="307" t="n"/>
    </row>
    <row r="1153" ht="24" customHeight="1">
      <c r="A1153" s="306" t="n">
        <v>1149</v>
      </c>
      <c r="B1153" s="306" t="inlineStr">
        <is>
          <t>اسفند</t>
        </is>
      </c>
      <c r="C1153" s="306">
        <f>IF('دانش‌آموزان'!E100="","",'دانش‌آموزان'!B100)</f>
        <v/>
      </c>
      <c r="D1153" s="306">
        <f>IF('دانش‌آموزان'!C100="","",'دانش‌آموزان'!C100)</f>
        <v/>
      </c>
      <c r="E1153" s="306">
        <f>IF('دانش‌آموزان'!E100="","",'دانش‌آموزان'!E100&amp;" "&amp;'دانش‌آموزان'!F100)</f>
        <v/>
      </c>
      <c r="F1153" s="306">
        <f>IF('دانش‌آموزان'!I100="","",'دانش‌آموزان'!I100)</f>
        <v/>
      </c>
      <c r="G1153" s="307" t="n"/>
      <c r="H1153" s="307" t="n"/>
      <c r="I1153" s="307" t="n"/>
      <c r="J1153" s="307" t="n"/>
      <c r="K1153" s="313">
        <f>IF(COUNT(G1153:J1153)=0,"",AVERAGE(G1153:J1153)*4)</f>
        <v/>
      </c>
      <c r="L1153" s="306">
        <f>IF(C1153="","",IF(COUNT(G1153:J1153)=0,"",IF(COUNT(G1153:J1153)&lt;4,"موقت - اطلاعات ناقص",IF(K1153&gt;=17,"عالی",IF(K1153&gt;=14,"خوب",IF(K1153&gt;=10,"متوسط","ضعیف"))))))</f>
        <v/>
      </c>
      <c r="M1153" s="306" t="n">
        <v>9</v>
      </c>
      <c r="N1153" s="314">
        <f>IF(C1153="","",COUNT(G1153:J1153)/4)</f>
        <v/>
      </c>
      <c r="O1153" s="307" t="n"/>
    </row>
    <row r="1154" ht="24" customHeight="1">
      <c r="A1154" s="306" t="n">
        <v>1150</v>
      </c>
      <c r="B1154" s="306" t="inlineStr">
        <is>
          <t>فروردین</t>
        </is>
      </c>
      <c r="C1154" s="306">
        <f>IF('دانش‌آموزان'!E100="","",'دانش‌آموزان'!B100)</f>
        <v/>
      </c>
      <c r="D1154" s="306">
        <f>IF('دانش‌آموزان'!C100="","",'دانش‌آموزان'!C100)</f>
        <v/>
      </c>
      <c r="E1154" s="306">
        <f>IF('دانش‌آموزان'!E100="","",'دانش‌آموزان'!E100&amp;" "&amp;'دانش‌آموزان'!F100)</f>
        <v/>
      </c>
      <c r="F1154" s="306">
        <f>IF('دانش‌آموزان'!I100="","",'دانش‌آموزان'!I100)</f>
        <v/>
      </c>
      <c r="G1154" s="307" t="n"/>
      <c r="H1154" s="307" t="n"/>
      <c r="I1154" s="307" t="n"/>
      <c r="J1154" s="307" t="n"/>
      <c r="K1154" s="313">
        <f>IF(COUNT(G1154:J1154)=0,"",AVERAGE(G1154:J1154)*4)</f>
        <v/>
      </c>
      <c r="L1154" s="306">
        <f>IF(C1154="","",IF(COUNT(G1154:J1154)=0,"",IF(COUNT(G1154:J1154)&lt;4,"موقت - اطلاعات ناقص",IF(K1154&gt;=17,"عالی",IF(K1154&gt;=14,"خوب",IF(K1154&gt;=10,"متوسط","ضعیف"))))))</f>
        <v/>
      </c>
      <c r="M1154" s="306" t="n">
        <v>10</v>
      </c>
      <c r="N1154" s="314">
        <f>IF(C1154="","",COUNT(G1154:J1154)/4)</f>
        <v/>
      </c>
      <c r="O1154" s="307" t="n"/>
    </row>
    <row r="1155" ht="24" customHeight="1">
      <c r="A1155" s="306" t="n">
        <v>1151</v>
      </c>
      <c r="B1155" s="306" t="inlineStr">
        <is>
          <t>اردیبهشت</t>
        </is>
      </c>
      <c r="C1155" s="306">
        <f>IF('دانش‌آموزان'!E100="","",'دانش‌آموزان'!B100)</f>
        <v/>
      </c>
      <c r="D1155" s="306">
        <f>IF('دانش‌آموزان'!C100="","",'دانش‌آموزان'!C100)</f>
        <v/>
      </c>
      <c r="E1155" s="306">
        <f>IF('دانش‌آموزان'!E100="","",'دانش‌آموزان'!E100&amp;" "&amp;'دانش‌آموزان'!F100)</f>
        <v/>
      </c>
      <c r="F1155" s="306">
        <f>IF('دانش‌آموزان'!I100="","",'دانش‌آموزان'!I100)</f>
        <v/>
      </c>
      <c r="G1155" s="307" t="n"/>
      <c r="H1155" s="307" t="n"/>
      <c r="I1155" s="307" t="n"/>
      <c r="J1155" s="307" t="n"/>
      <c r="K1155" s="313">
        <f>IF(COUNT(G1155:J1155)=0,"",AVERAGE(G1155:J1155)*4)</f>
        <v/>
      </c>
      <c r="L1155" s="306">
        <f>IF(C1155="","",IF(COUNT(G1155:J1155)=0,"",IF(COUNT(G1155:J1155)&lt;4,"موقت - اطلاعات ناقص",IF(K1155&gt;=17,"عالی",IF(K1155&gt;=14,"خوب",IF(K1155&gt;=10,"متوسط","ضعیف"))))))</f>
        <v/>
      </c>
      <c r="M1155" s="306" t="n">
        <v>11</v>
      </c>
      <c r="N1155" s="314">
        <f>IF(C1155="","",COUNT(G1155:J1155)/4)</f>
        <v/>
      </c>
      <c r="O1155" s="307" t="n"/>
    </row>
    <row r="1156" ht="24" customHeight="1">
      <c r="A1156" s="306" t="n">
        <v>1152</v>
      </c>
      <c r="B1156" s="306" t="inlineStr">
        <is>
          <t>خرداد</t>
        </is>
      </c>
      <c r="C1156" s="306">
        <f>IF('دانش‌آموزان'!E100="","",'دانش‌آموزان'!B100)</f>
        <v/>
      </c>
      <c r="D1156" s="306">
        <f>IF('دانش‌آموزان'!C100="","",'دانش‌آموزان'!C100)</f>
        <v/>
      </c>
      <c r="E1156" s="306">
        <f>IF('دانش‌آموزان'!E100="","",'دانش‌آموزان'!E100&amp;" "&amp;'دانش‌آموزان'!F100)</f>
        <v/>
      </c>
      <c r="F1156" s="306">
        <f>IF('دانش‌آموزان'!I100="","",'دانش‌آموزان'!I100)</f>
        <v/>
      </c>
      <c r="G1156" s="307" t="n"/>
      <c r="H1156" s="307" t="n"/>
      <c r="I1156" s="307" t="n"/>
      <c r="J1156" s="307" t="n"/>
      <c r="K1156" s="313">
        <f>IF(COUNT(G1156:J1156)=0,"",AVERAGE(G1156:J1156)*4)</f>
        <v/>
      </c>
      <c r="L1156" s="306">
        <f>IF(C1156="","",IF(COUNT(G1156:J1156)=0,"",IF(COUNT(G1156:J1156)&lt;4,"موقت - اطلاعات ناقص",IF(K1156&gt;=17,"عالی",IF(K1156&gt;=14,"خوب",IF(K1156&gt;=10,"متوسط","ضعیف"))))))</f>
        <v/>
      </c>
      <c r="M1156" s="306" t="n">
        <v>12</v>
      </c>
      <c r="N1156" s="314">
        <f>IF(C1156="","",COUNT(G1156:J1156)/4)</f>
        <v/>
      </c>
      <c r="O1156" s="307" t="n"/>
    </row>
    <row r="1157" ht="24" customHeight="1">
      <c r="A1157" s="306" t="n">
        <v>1153</v>
      </c>
      <c r="B1157" s="306" t="inlineStr">
        <is>
          <t>تیر</t>
        </is>
      </c>
      <c r="C1157" s="306">
        <f>IF('دانش‌آموزان'!E101="","",'دانش‌آموزان'!B101)</f>
        <v/>
      </c>
      <c r="D1157" s="306">
        <f>IF('دانش‌آموزان'!C101="","",'دانش‌آموزان'!C101)</f>
        <v/>
      </c>
      <c r="E1157" s="306">
        <f>IF('دانش‌آموزان'!E101="","",'دانش‌آموزان'!E101&amp;" "&amp;'دانش‌آموزان'!F101)</f>
        <v/>
      </c>
      <c r="F1157" s="306">
        <f>IF('دانش‌آموزان'!I101="","",'دانش‌آموزان'!I101)</f>
        <v/>
      </c>
      <c r="G1157" s="307" t="n"/>
      <c r="H1157" s="307" t="n"/>
      <c r="I1157" s="307" t="n"/>
      <c r="J1157" s="307" t="n"/>
      <c r="K1157" s="313">
        <f>IF(COUNT(G1157:J1157)=0,"",AVERAGE(G1157:J1157)*4)</f>
        <v/>
      </c>
      <c r="L1157" s="306">
        <f>IF(C1157="","",IF(COUNT(G1157:J1157)=0,"",IF(COUNT(G1157:J1157)&lt;4,"موقت - اطلاعات ناقص",IF(K1157&gt;=17,"عالی",IF(K1157&gt;=14,"خوب",IF(K1157&gt;=10,"متوسط","ضعیف"))))))</f>
        <v/>
      </c>
      <c r="M1157" s="306" t="n">
        <v>1</v>
      </c>
      <c r="N1157" s="314">
        <f>IF(C1157="","",COUNT(G1157:J1157)/4)</f>
        <v/>
      </c>
      <c r="O1157" s="307" t="n"/>
    </row>
    <row r="1158" ht="24" customHeight="1">
      <c r="A1158" s="306" t="n">
        <v>1154</v>
      </c>
      <c r="B1158" s="306" t="inlineStr">
        <is>
          <t>مرداد</t>
        </is>
      </c>
      <c r="C1158" s="306">
        <f>IF('دانش‌آموزان'!E101="","",'دانش‌آموزان'!B101)</f>
        <v/>
      </c>
      <c r="D1158" s="306">
        <f>IF('دانش‌آموزان'!C101="","",'دانش‌آموزان'!C101)</f>
        <v/>
      </c>
      <c r="E1158" s="306">
        <f>IF('دانش‌آموزان'!E101="","",'دانش‌آموزان'!E101&amp;" "&amp;'دانش‌آموزان'!F101)</f>
        <v/>
      </c>
      <c r="F1158" s="306">
        <f>IF('دانش‌آموزان'!I101="","",'دانش‌آموزان'!I101)</f>
        <v/>
      </c>
      <c r="G1158" s="307" t="n"/>
      <c r="H1158" s="307" t="n"/>
      <c r="I1158" s="307" t="n"/>
      <c r="J1158" s="307" t="n"/>
      <c r="K1158" s="313">
        <f>IF(COUNT(G1158:J1158)=0,"",AVERAGE(G1158:J1158)*4)</f>
        <v/>
      </c>
      <c r="L1158" s="306">
        <f>IF(C1158="","",IF(COUNT(G1158:J1158)=0,"",IF(COUNT(G1158:J1158)&lt;4,"موقت - اطلاعات ناقص",IF(K1158&gt;=17,"عالی",IF(K1158&gt;=14,"خوب",IF(K1158&gt;=10,"متوسط","ضعیف"))))))</f>
        <v/>
      </c>
      <c r="M1158" s="306" t="n">
        <v>2</v>
      </c>
      <c r="N1158" s="314">
        <f>IF(C1158="","",COUNT(G1158:J1158)/4)</f>
        <v/>
      </c>
      <c r="O1158" s="307" t="n"/>
    </row>
    <row r="1159" ht="24" customHeight="1">
      <c r="A1159" s="306" t="n">
        <v>1155</v>
      </c>
      <c r="B1159" s="306" t="inlineStr">
        <is>
          <t>شهریور</t>
        </is>
      </c>
      <c r="C1159" s="306">
        <f>IF('دانش‌آموزان'!E101="","",'دانش‌آموزان'!B101)</f>
        <v/>
      </c>
      <c r="D1159" s="306">
        <f>IF('دانش‌آموزان'!C101="","",'دانش‌آموزان'!C101)</f>
        <v/>
      </c>
      <c r="E1159" s="306">
        <f>IF('دانش‌آموزان'!E101="","",'دانش‌آموزان'!E101&amp;" "&amp;'دانش‌آموزان'!F101)</f>
        <v/>
      </c>
      <c r="F1159" s="306">
        <f>IF('دانش‌آموزان'!I101="","",'دانش‌آموزان'!I101)</f>
        <v/>
      </c>
      <c r="G1159" s="307" t="n"/>
      <c r="H1159" s="307" t="n"/>
      <c r="I1159" s="307" t="n"/>
      <c r="J1159" s="307" t="n"/>
      <c r="K1159" s="313">
        <f>IF(COUNT(G1159:J1159)=0,"",AVERAGE(G1159:J1159)*4)</f>
        <v/>
      </c>
      <c r="L1159" s="306">
        <f>IF(C1159="","",IF(COUNT(G1159:J1159)=0,"",IF(COUNT(G1159:J1159)&lt;4,"موقت - اطلاعات ناقص",IF(K1159&gt;=17,"عالی",IF(K1159&gt;=14,"خوب",IF(K1159&gt;=10,"متوسط","ضعیف"))))))</f>
        <v/>
      </c>
      <c r="M1159" s="306" t="n">
        <v>3</v>
      </c>
      <c r="N1159" s="314">
        <f>IF(C1159="","",COUNT(G1159:J1159)/4)</f>
        <v/>
      </c>
      <c r="O1159" s="307" t="n"/>
    </row>
    <row r="1160" ht="24" customHeight="1">
      <c r="A1160" s="306" t="n">
        <v>1156</v>
      </c>
      <c r="B1160" s="306" t="inlineStr">
        <is>
          <t>مهر</t>
        </is>
      </c>
      <c r="C1160" s="306">
        <f>IF('دانش‌آموزان'!E101="","",'دانش‌آموزان'!B101)</f>
        <v/>
      </c>
      <c r="D1160" s="306">
        <f>IF('دانش‌آموزان'!C101="","",'دانش‌آموزان'!C101)</f>
        <v/>
      </c>
      <c r="E1160" s="306">
        <f>IF('دانش‌آموزان'!E101="","",'دانش‌آموزان'!E101&amp;" "&amp;'دانش‌آموزان'!F101)</f>
        <v/>
      </c>
      <c r="F1160" s="306">
        <f>IF('دانش‌آموزان'!I101="","",'دانش‌آموزان'!I101)</f>
        <v/>
      </c>
      <c r="G1160" s="307" t="n"/>
      <c r="H1160" s="307" t="n"/>
      <c r="I1160" s="307" t="n"/>
      <c r="J1160" s="307" t="n"/>
      <c r="K1160" s="313">
        <f>IF(COUNT(G1160:J1160)=0,"",AVERAGE(G1160:J1160)*4)</f>
        <v/>
      </c>
      <c r="L1160" s="306">
        <f>IF(C1160="","",IF(COUNT(G1160:J1160)=0,"",IF(COUNT(G1160:J1160)&lt;4,"موقت - اطلاعات ناقص",IF(K1160&gt;=17,"عالی",IF(K1160&gt;=14,"خوب",IF(K1160&gt;=10,"متوسط","ضعیف"))))))</f>
        <v/>
      </c>
      <c r="M1160" s="306" t="n">
        <v>4</v>
      </c>
      <c r="N1160" s="314">
        <f>IF(C1160="","",COUNT(G1160:J1160)/4)</f>
        <v/>
      </c>
      <c r="O1160" s="307" t="n"/>
    </row>
    <row r="1161" ht="24" customHeight="1">
      <c r="A1161" s="306" t="n">
        <v>1157</v>
      </c>
      <c r="B1161" s="306" t="inlineStr">
        <is>
          <t>آبان</t>
        </is>
      </c>
      <c r="C1161" s="306">
        <f>IF('دانش‌آموزان'!E101="","",'دانش‌آموزان'!B101)</f>
        <v/>
      </c>
      <c r="D1161" s="306">
        <f>IF('دانش‌آموزان'!C101="","",'دانش‌آموزان'!C101)</f>
        <v/>
      </c>
      <c r="E1161" s="306">
        <f>IF('دانش‌آموزان'!E101="","",'دانش‌آموزان'!E101&amp;" "&amp;'دانش‌آموزان'!F101)</f>
        <v/>
      </c>
      <c r="F1161" s="306">
        <f>IF('دانش‌آموزان'!I101="","",'دانش‌آموزان'!I101)</f>
        <v/>
      </c>
      <c r="G1161" s="307" t="n"/>
      <c r="H1161" s="307" t="n"/>
      <c r="I1161" s="307" t="n"/>
      <c r="J1161" s="307" t="n"/>
      <c r="K1161" s="313">
        <f>IF(COUNT(G1161:J1161)=0,"",AVERAGE(G1161:J1161)*4)</f>
        <v/>
      </c>
      <c r="L1161" s="306">
        <f>IF(C1161="","",IF(COUNT(G1161:J1161)=0,"",IF(COUNT(G1161:J1161)&lt;4,"موقت - اطلاعات ناقص",IF(K1161&gt;=17,"عالی",IF(K1161&gt;=14,"خوب",IF(K1161&gt;=10,"متوسط","ضعیف"))))))</f>
        <v/>
      </c>
      <c r="M1161" s="306" t="n">
        <v>5</v>
      </c>
      <c r="N1161" s="314">
        <f>IF(C1161="","",COUNT(G1161:J1161)/4)</f>
        <v/>
      </c>
      <c r="O1161" s="307" t="n"/>
    </row>
    <row r="1162" ht="24" customHeight="1">
      <c r="A1162" s="306" t="n">
        <v>1158</v>
      </c>
      <c r="B1162" s="306" t="inlineStr">
        <is>
          <t>آذر</t>
        </is>
      </c>
      <c r="C1162" s="306">
        <f>IF('دانش‌آموزان'!E101="","",'دانش‌آموزان'!B101)</f>
        <v/>
      </c>
      <c r="D1162" s="306">
        <f>IF('دانش‌آموزان'!C101="","",'دانش‌آموزان'!C101)</f>
        <v/>
      </c>
      <c r="E1162" s="306">
        <f>IF('دانش‌آموزان'!E101="","",'دانش‌آموزان'!E101&amp;" "&amp;'دانش‌آموزان'!F101)</f>
        <v/>
      </c>
      <c r="F1162" s="306">
        <f>IF('دانش‌آموزان'!I101="","",'دانش‌آموزان'!I101)</f>
        <v/>
      </c>
      <c r="G1162" s="307" t="n"/>
      <c r="H1162" s="307" t="n"/>
      <c r="I1162" s="307" t="n"/>
      <c r="J1162" s="307" t="n"/>
      <c r="K1162" s="313">
        <f>IF(COUNT(G1162:J1162)=0,"",AVERAGE(G1162:J1162)*4)</f>
        <v/>
      </c>
      <c r="L1162" s="306">
        <f>IF(C1162="","",IF(COUNT(G1162:J1162)=0,"",IF(COUNT(G1162:J1162)&lt;4,"موقت - اطلاعات ناقص",IF(K1162&gt;=17,"عالی",IF(K1162&gt;=14,"خوب",IF(K1162&gt;=10,"متوسط","ضعیف"))))))</f>
        <v/>
      </c>
      <c r="M1162" s="306" t="n">
        <v>6</v>
      </c>
      <c r="N1162" s="314">
        <f>IF(C1162="","",COUNT(G1162:J1162)/4)</f>
        <v/>
      </c>
      <c r="O1162" s="307" t="n"/>
    </row>
    <row r="1163" ht="24" customHeight="1">
      <c r="A1163" s="306" t="n">
        <v>1159</v>
      </c>
      <c r="B1163" s="306" t="inlineStr">
        <is>
          <t>دی</t>
        </is>
      </c>
      <c r="C1163" s="306">
        <f>IF('دانش‌آموزان'!E101="","",'دانش‌آموزان'!B101)</f>
        <v/>
      </c>
      <c r="D1163" s="306">
        <f>IF('دانش‌آموزان'!C101="","",'دانش‌آموزان'!C101)</f>
        <v/>
      </c>
      <c r="E1163" s="306">
        <f>IF('دانش‌آموزان'!E101="","",'دانش‌آموزان'!E101&amp;" "&amp;'دانش‌آموزان'!F101)</f>
        <v/>
      </c>
      <c r="F1163" s="306">
        <f>IF('دانش‌آموزان'!I101="","",'دانش‌آموزان'!I101)</f>
        <v/>
      </c>
      <c r="G1163" s="307" t="n"/>
      <c r="H1163" s="307" t="n"/>
      <c r="I1163" s="307" t="n"/>
      <c r="J1163" s="307" t="n"/>
      <c r="K1163" s="313">
        <f>IF(COUNT(G1163:J1163)=0,"",AVERAGE(G1163:J1163)*4)</f>
        <v/>
      </c>
      <c r="L1163" s="306">
        <f>IF(C1163="","",IF(COUNT(G1163:J1163)=0,"",IF(COUNT(G1163:J1163)&lt;4,"موقت - اطلاعات ناقص",IF(K1163&gt;=17,"عالی",IF(K1163&gt;=14,"خوب",IF(K1163&gt;=10,"متوسط","ضعیف"))))))</f>
        <v/>
      </c>
      <c r="M1163" s="306" t="n">
        <v>7</v>
      </c>
      <c r="N1163" s="314">
        <f>IF(C1163="","",COUNT(G1163:J1163)/4)</f>
        <v/>
      </c>
      <c r="O1163" s="307" t="n"/>
    </row>
    <row r="1164" ht="24" customHeight="1">
      <c r="A1164" s="306" t="n">
        <v>1160</v>
      </c>
      <c r="B1164" s="306" t="inlineStr">
        <is>
          <t>بهمن</t>
        </is>
      </c>
      <c r="C1164" s="306">
        <f>IF('دانش‌آموزان'!E101="","",'دانش‌آموزان'!B101)</f>
        <v/>
      </c>
      <c r="D1164" s="306">
        <f>IF('دانش‌آموزان'!C101="","",'دانش‌آموزان'!C101)</f>
        <v/>
      </c>
      <c r="E1164" s="306">
        <f>IF('دانش‌آموزان'!E101="","",'دانش‌آموزان'!E101&amp;" "&amp;'دانش‌آموزان'!F101)</f>
        <v/>
      </c>
      <c r="F1164" s="306">
        <f>IF('دانش‌آموزان'!I101="","",'دانش‌آموزان'!I101)</f>
        <v/>
      </c>
      <c r="G1164" s="307" t="n"/>
      <c r="H1164" s="307" t="n"/>
      <c r="I1164" s="307" t="n"/>
      <c r="J1164" s="307" t="n"/>
      <c r="K1164" s="313">
        <f>IF(COUNT(G1164:J1164)=0,"",AVERAGE(G1164:J1164)*4)</f>
        <v/>
      </c>
      <c r="L1164" s="306">
        <f>IF(C1164="","",IF(COUNT(G1164:J1164)=0,"",IF(COUNT(G1164:J1164)&lt;4,"موقت - اطلاعات ناقص",IF(K1164&gt;=17,"عالی",IF(K1164&gt;=14,"خوب",IF(K1164&gt;=10,"متوسط","ضعیف"))))))</f>
        <v/>
      </c>
      <c r="M1164" s="306" t="n">
        <v>8</v>
      </c>
      <c r="N1164" s="314">
        <f>IF(C1164="","",COUNT(G1164:J1164)/4)</f>
        <v/>
      </c>
      <c r="O1164" s="307" t="n"/>
    </row>
    <row r="1165" ht="24" customHeight="1">
      <c r="A1165" s="306" t="n">
        <v>1161</v>
      </c>
      <c r="B1165" s="306" t="inlineStr">
        <is>
          <t>اسفند</t>
        </is>
      </c>
      <c r="C1165" s="306">
        <f>IF('دانش‌آموزان'!E101="","",'دانش‌آموزان'!B101)</f>
        <v/>
      </c>
      <c r="D1165" s="306">
        <f>IF('دانش‌آموزان'!C101="","",'دانش‌آموزان'!C101)</f>
        <v/>
      </c>
      <c r="E1165" s="306">
        <f>IF('دانش‌آموزان'!E101="","",'دانش‌آموزان'!E101&amp;" "&amp;'دانش‌آموزان'!F101)</f>
        <v/>
      </c>
      <c r="F1165" s="306">
        <f>IF('دانش‌آموزان'!I101="","",'دانش‌آموزان'!I101)</f>
        <v/>
      </c>
      <c r="G1165" s="307" t="n"/>
      <c r="H1165" s="307" t="n"/>
      <c r="I1165" s="307" t="n"/>
      <c r="J1165" s="307" t="n"/>
      <c r="K1165" s="313">
        <f>IF(COUNT(G1165:J1165)=0,"",AVERAGE(G1165:J1165)*4)</f>
        <v/>
      </c>
      <c r="L1165" s="306">
        <f>IF(C1165="","",IF(COUNT(G1165:J1165)=0,"",IF(COUNT(G1165:J1165)&lt;4,"موقت - اطلاعات ناقص",IF(K1165&gt;=17,"عالی",IF(K1165&gt;=14,"خوب",IF(K1165&gt;=10,"متوسط","ضعیف"))))))</f>
        <v/>
      </c>
      <c r="M1165" s="306" t="n">
        <v>9</v>
      </c>
      <c r="N1165" s="314">
        <f>IF(C1165="","",COUNT(G1165:J1165)/4)</f>
        <v/>
      </c>
      <c r="O1165" s="307" t="n"/>
    </row>
    <row r="1166" ht="24" customHeight="1">
      <c r="A1166" s="306" t="n">
        <v>1162</v>
      </c>
      <c r="B1166" s="306" t="inlineStr">
        <is>
          <t>فروردین</t>
        </is>
      </c>
      <c r="C1166" s="306">
        <f>IF('دانش‌آموزان'!E101="","",'دانش‌آموزان'!B101)</f>
        <v/>
      </c>
      <c r="D1166" s="306">
        <f>IF('دانش‌آموزان'!C101="","",'دانش‌آموزان'!C101)</f>
        <v/>
      </c>
      <c r="E1166" s="306">
        <f>IF('دانش‌آموزان'!E101="","",'دانش‌آموزان'!E101&amp;" "&amp;'دانش‌آموزان'!F101)</f>
        <v/>
      </c>
      <c r="F1166" s="306">
        <f>IF('دانش‌آموزان'!I101="","",'دانش‌آموزان'!I101)</f>
        <v/>
      </c>
      <c r="G1166" s="307" t="n"/>
      <c r="H1166" s="307" t="n"/>
      <c r="I1166" s="307" t="n"/>
      <c r="J1166" s="307" t="n"/>
      <c r="K1166" s="313">
        <f>IF(COUNT(G1166:J1166)=0,"",AVERAGE(G1166:J1166)*4)</f>
        <v/>
      </c>
      <c r="L1166" s="306">
        <f>IF(C1166="","",IF(COUNT(G1166:J1166)=0,"",IF(COUNT(G1166:J1166)&lt;4,"موقت - اطلاعات ناقص",IF(K1166&gt;=17,"عالی",IF(K1166&gt;=14,"خوب",IF(K1166&gt;=10,"متوسط","ضعیف"))))))</f>
        <v/>
      </c>
      <c r="M1166" s="306" t="n">
        <v>10</v>
      </c>
      <c r="N1166" s="314">
        <f>IF(C1166="","",COUNT(G1166:J1166)/4)</f>
        <v/>
      </c>
      <c r="O1166" s="307" t="n"/>
    </row>
    <row r="1167" ht="24" customHeight="1">
      <c r="A1167" s="306" t="n">
        <v>1163</v>
      </c>
      <c r="B1167" s="306" t="inlineStr">
        <is>
          <t>اردیبهشت</t>
        </is>
      </c>
      <c r="C1167" s="306">
        <f>IF('دانش‌آموزان'!E101="","",'دانش‌آموزان'!B101)</f>
        <v/>
      </c>
      <c r="D1167" s="306">
        <f>IF('دانش‌آموزان'!C101="","",'دانش‌آموزان'!C101)</f>
        <v/>
      </c>
      <c r="E1167" s="306">
        <f>IF('دانش‌آموزان'!E101="","",'دانش‌آموزان'!E101&amp;" "&amp;'دانش‌آموزان'!F101)</f>
        <v/>
      </c>
      <c r="F1167" s="306">
        <f>IF('دانش‌آموزان'!I101="","",'دانش‌آموزان'!I101)</f>
        <v/>
      </c>
      <c r="G1167" s="307" t="n"/>
      <c r="H1167" s="307" t="n"/>
      <c r="I1167" s="307" t="n"/>
      <c r="J1167" s="307" t="n"/>
      <c r="K1167" s="313">
        <f>IF(COUNT(G1167:J1167)=0,"",AVERAGE(G1167:J1167)*4)</f>
        <v/>
      </c>
      <c r="L1167" s="306">
        <f>IF(C1167="","",IF(COUNT(G1167:J1167)=0,"",IF(COUNT(G1167:J1167)&lt;4,"موقت - اطلاعات ناقص",IF(K1167&gt;=17,"عالی",IF(K1167&gt;=14,"خوب",IF(K1167&gt;=10,"متوسط","ضعیف"))))))</f>
        <v/>
      </c>
      <c r="M1167" s="306" t="n">
        <v>11</v>
      </c>
      <c r="N1167" s="314">
        <f>IF(C1167="","",COUNT(G1167:J1167)/4)</f>
        <v/>
      </c>
      <c r="O1167" s="307" t="n"/>
    </row>
    <row r="1168" ht="24" customHeight="1">
      <c r="A1168" s="306" t="n">
        <v>1164</v>
      </c>
      <c r="B1168" s="306" t="inlineStr">
        <is>
          <t>خرداد</t>
        </is>
      </c>
      <c r="C1168" s="306">
        <f>IF('دانش‌آموزان'!E101="","",'دانش‌آموزان'!B101)</f>
        <v/>
      </c>
      <c r="D1168" s="306">
        <f>IF('دانش‌آموزان'!C101="","",'دانش‌آموزان'!C101)</f>
        <v/>
      </c>
      <c r="E1168" s="306">
        <f>IF('دانش‌آموزان'!E101="","",'دانش‌آموزان'!E101&amp;" "&amp;'دانش‌آموزان'!F101)</f>
        <v/>
      </c>
      <c r="F1168" s="306">
        <f>IF('دانش‌آموزان'!I101="","",'دانش‌آموزان'!I101)</f>
        <v/>
      </c>
      <c r="G1168" s="307" t="n"/>
      <c r="H1168" s="307" t="n"/>
      <c r="I1168" s="307" t="n"/>
      <c r="J1168" s="307" t="n"/>
      <c r="K1168" s="313">
        <f>IF(COUNT(G1168:J1168)=0,"",AVERAGE(G1168:J1168)*4)</f>
        <v/>
      </c>
      <c r="L1168" s="306">
        <f>IF(C1168="","",IF(COUNT(G1168:J1168)=0,"",IF(COUNT(G1168:J1168)&lt;4,"موقت - اطلاعات ناقص",IF(K1168&gt;=17,"عالی",IF(K1168&gt;=14,"خوب",IF(K1168&gt;=10,"متوسط","ضعیف"))))))</f>
        <v/>
      </c>
      <c r="M1168" s="306" t="n">
        <v>12</v>
      </c>
      <c r="N1168" s="314">
        <f>IF(C1168="","",COUNT(G1168:J1168)/4)</f>
        <v/>
      </c>
      <c r="O1168" s="307" t="n"/>
    </row>
    <row r="1169" ht="24" customHeight="1">
      <c r="A1169" s="306" t="n">
        <v>1165</v>
      </c>
      <c r="B1169" s="306" t="inlineStr">
        <is>
          <t>تیر</t>
        </is>
      </c>
      <c r="C1169" s="306">
        <f>IF('دانش‌آموزان'!E102="","",'دانش‌آموزان'!B102)</f>
        <v/>
      </c>
      <c r="D1169" s="306">
        <f>IF('دانش‌آموزان'!C102="","",'دانش‌آموزان'!C102)</f>
        <v/>
      </c>
      <c r="E1169" s="306">
        <f>IF('دانش‌آموزان'!E102="","",'دانش‌آموزان'!E102&amp;" "&amp;'دانش‌آموزان'!F102)</f>
        <v/>
      </c>
      <c r="F1169" s="306">
        <f>IF('دانش‌آموزان'!I102="","",'دانش‌آموزان'!I102)</f>
        <v/>
      </c>
      <c r="G1169" s="307" t="n"/>
      <c r="H1169" s="307" t="n"/>
      <c r="I1169" s="307" t="n"/>
      <c r="J1169" s="307" t="n"/>
      <c r="K1169" s="313">
        <f>IF(COUNT(G1169:J1169)=0,"",AVERAGE(G1169:J1169)*4)</f>
        <v/>
      </c>
      <c r="L1169" s="306">
        <f>IF(C1169="","",IF(COUNT(G1169:J1169)=0,"",IF(COUNT(G1169:J1169)&lt;4,"موقت - اطلاعات ناقص",IF(K1169&gt;=17,"عالی",IF(K1169&gt;=14,"خوب",IF(K1169&gt;=10,"متوسط","ضعیف"))))))</f>
        <v/>
      </c>
      <c r="M1169" s="306" t="n">
        <v>1</v>
      </c>
      <c r="N1169" s="314">
        <f>IF(C1169="","",COUNT(G1169:J1169)/4)</f>
        <v/>
      </c>
      <c r="O1169" s="307" t="n"/>
    </row>
    <row r="1170" ht="24" customHeight="1">
      <c r="A1170" s="306" t="n">
        <v>1166</v>
      </c>
      <c r="B1170" s="306" t="inlineStr">
        <is>
          <t>مرداد</t>
        </is>
      </c>
      <c r="C1170" s="306">
        <f>IF('دانش‌آموزان'!E102="","",'دانش‌آموزان'!B102)</f>
        <v/>
      </c>
      <c r="D1170" s="306">
        <f>IF('دانش‌آموزان'!C102="","",'دانش‌آموزان'!C102)</f>
        <v/>
      </c>
      <c r="E1170" s="306">
        <f>IF('دانش‌آموزان'!E102="","",'دانش‌آموزان'!E102&amp;" "&amp;'دانش‌آموزان'!F102)</f>
        <v/>
      </c>
      <c r="F1170" s="306">
        <f>IF('دانش‌آموزان'!I102="","",'دانش‌آموزان'!I102)</f>
        <v/>
      </c>
      <c r="G1170" s="307" t="n"/>
      <c r="H1170" s="307" t="n"/>
      <c r="I1170" s="307" t="n"/>
      <c r="J1170" s="307" t="n"/>
      <c r="K1170" s="313">
        <f>IF(COUNT(G1170:J1170)=0,"",AVERAGE(G1170:J1170)*4)</f>
        <v/>
      </c>
      <c r="L1170" s="306">
        <f>IF(C1170="","",IF(COUNT(G1170:J1170)=0,"",IF(COUNT(G1170:J1170)&lt;4,"موقت - اطلاعات ناقص",IF(K1170&gt;=17,"عالی",IF(K1170&gt;=14,"خوب",IF(K1170&gt;=10,"متوسط","ضعیف"))))))</f>
        <v/>
      </c>
      <c r="M1170" s="306" t="n">
        <v>2</v>
      </c>
      <c r="N1170" s="314">
        <f>IF(C1170="","",COUNT(G1170:J1170)/4)</f>
        <v/>
      </c>
      <c r="O1170" s="307" t="n"/>
    </row>
    <row r="1171" ht="24" customHeight="1">
      <c r="A1171" s="306" t="n">
        <v>1167</v>
      </c>
      <c r="B1171" s="306" t="inlineStr">
        <is>
          <t>شهریور</t>
        </is>
      </c>
      <c r="C1171" s="306">
        <f>IF('دانش‌آموزان'!E102="","",'دانش‌آموزان'!B102)</f>
        <v/>
      </c>
      <c r="D1171" s="306">
        <f>IF('دانش‌آموزان'!C102="","",'دانش‌آموزان'!C102)</f>
        <v/>
      </c>
      <c r="E1171" s="306">
        <f>IF('دانش‌آموزان'!E102="","",'دانش‌آموزان'!E102&amp;" "&amp;'دانش‌آموزان'!F102)</f>
        <v/>
      </c>
      <c r="F1171" s="306">
        <f>IF('دانش‌آموزان'!I102="","",'دانش‌آموزان'!I102)</f>
        <v/>
      </c>
      <c r="G1171" s="307" t="n"/>
      <c r="H1171" s="307" t="n"/>
      <c r="I1171" s="307" t="n"/>
      <c r="J1171" s="307" t="n"/>
      <c r="K1171" s="313">
        <f>IF(COUNT(G1171:J1171)=0,"",AVERAGE(G1171:J1171)*4)</f>
        <v/>
      </c>
      <c r="L1171" s="306">
        <f>IF(C1171="","",IF(COUNT(G1171:J1171)=0,"",IF(COUNT(G1171:J1171)&lt;4,"موقت - اطلاعات ناقص",IF(K1171&gt;=17,"عالی",IF(K1171&gt;=14,"خوب",IF(K1171&gt;=10,"متوسط","ضعیف"))))))</f>
        <v/>
      </c>
      <c r="M1171" s="306" t="n">
        <v>3</v>
      </c>
      <c r="N1171" s="314">
        <f>IF(C1171="","",COUNT(G1171:J1171)/4)</f>
        <v/>
      </c>
      <c r="O1171" s="307" t="n"/>
    </row>
    <row r="1172" ht="24" customHeight="1">
      <c r="A1172" s="306" t="n">
        <v>1168</v>
      </c>
      <c r="B1172" s="306" t="inlineStr">
        <is>
          <t>مهر</t>
        </is>
      </c>
      <c r="C1172" s="306">
        <f>IF('دانش‌آموزان'!E102="","",'دانش‌آموزان'!B102)</f>
        <v/>
      </c>
      <c r="D1172" s="306">
        <f>IF('دانش‌آموزان'!C102="","",'دانش‌آموزان'!C102)</f>
        <v/>
      </c>
      <c r="E1172" s="306">
        <f>IF('دانش‌آموزان'!E102="","",'دانش‌آموزان'!E102&amp;" "&amp;'دانش‌آموزان'!F102)</f>
        <v/>
      </c>
      <c r="F1172" s="306">
        <f>IF('دانش‌آموزان'!I102="","",'دانش‌آموزان'!I102)</f>
        <v/>
      </c>
      <c r="G1172" s="307" t="n"/>
      <c r="H1172" s="307" t="n"/>
      <c r="I1172" s="307" t="n"/>
      <c r="J1172" s="307" t="n"/>
      <c r="K1172" s="313">
        <f>IF(COUNT(G1172:J1172)=0,"",AVERAGE(G1172:J1172)*4)</f>
        <v/>
      </c>
      <c r="L1172" s="306">
        <f>IF(C1172="","",IF(COUNT(G1172:J1172)=0,"",IF(COUNT(G1172:J1172)&lt;4,"موقت - اطلاعات ناقص",IF(K1172&gt;=17,"عالی",IF(K1172&gt;=14,"خوب",IF(K1172&gt;=10,"متوسط","ضعیف"))))))</f>
        <v/>
      </c>
      <c r="M1172" s="306" t="n">
        <v>4</v>
      </c>
      <c r="N1172" s="314">
        <f>IF(C1172="","",COUNT(G1172:J1172)/4)</f>
        <v/>
      </c>
      <c r="O1172" s="307" t="n"/>
    </row>
    <row r="1173" ht="24" customHeight="1">
      <c r="A1173" s="306" t="n">
        <v>1169</v>
      </c>
      <c r="B1173" s="306" t="inlineStr">
        <is>
          <t>آبان</t>
        </is>
      </c>
      <c r="C1173" s="306">
        <f>IF('دانش‌آموزان'!E102="","",'دانش‌آموزان'!B102)</f>
        <v/>
      </c>
      <c r="D1173" s="306">
        <f>IF('دانش‌آموزان'!C102="","",'دانش‌آموزان'!C102)</f>
        <v/>
      </c>
      <c r="E1173" s="306">
        <f>IF('دانش‌آموزان'!E102="","",'دانش‌آموزان'!E102&amp;" "&amp;'دانش‌آموزان'!F102)</f>
        <v/>
      </c>
      <c r="F1173" s="306">
        <f>IF('دانش‌آموزان'!I102="","",'دانش‌آموزان'!I102)</f>
        <v/>
      </c>
      <c r="G1173" s="307" t="n"/>
      <c r="H1173" s="307" t="n"/>
      <c r="I1173" s="307" t="n"/>
      <c r="J1173" s="307" t="n"/>
      <c r="K1173" s="313">
        <f>IF(COUNT(G1173:J1173)=0,"",AVERAGE(G1173:J1173)*4)</f>
        <v/>
      </c>
      <c r="L1173" s="306">
        <f>IF(C1173="","",IF(COUNT(G1173:J1173)=0,"",IF(COUNT(G1173:J1173)&lt;4,"موقت - اطلاعات ناقص",IF(K1173&gt;=17,"عالی",IF(K1173&gt;=14,"خوب",IF(K1173&gt;=10,"متوسط","ضعیف"))))))</f>
        <v/>
      </c>
      <c r="M1173" s="306" t="n">
        <v>5</v>
      </c>
      <c r="N1173" s="314">
        <f>IF(C1173="","",COUNT(G1173:J1173)/4)</f>
        <v/>
      </c>
      <c r="O1173" s="307" t="n"/>
    </row>
    <row r="1174" ht="24" customHeight="1">
      <c r="A1174" s="306" t="n">
        <v>1170</v>
      </c>
      <c r="B1174" s="306" t="inlineStr">
        <is>
          <t>آذر</t>
        </is>
      </c>
      <c r="C1174" s="306">
        <f>IF('دانش‌آموزان'!E102="","",'دانش‌آموزان'!B102)</f>
        <v/>
      </c>
      <c r="D1174" s="306">
        <f>IF('دانش‌آموزان'!C102="","",'دانش‌آموزان'!C102)</f>
        <v/>
      </c>
      <c r="E1174" s="306">
        <f>IF('دانش‌آموزان'!E102="","",'دانش‌آموزان'!E102&amp;" "&amp;'دانش‌آموزان'!F102)</f>
        <v/>
      </c>
      <c r="F1174" s="306">
        <f>IF('دانش‌آموزان'!I102="","",'دانش‌آموزان'!I102)</f>
        <v/>
      </c>
      <c r="G1174" s="307" t="n"/>
      <c r="H1174" s="307" t="n"/>
      <c r="I1174" s="307" t="n"/>
      <c r="J1174" s="307" t="n"/>
      <c r="K1174" s="313">
        <f>IF(COUNT(G1174:J1174)=0,"",AVERAGE(G1174:J1174)*4)</f>
        <v/>
      </c>
      <c r="L1174" s="306">
        <f>IF(C1174="","",IF(COUNT(G1174:J1174)=0,"",IF(COUNT(G1174:J1174)&lt;4,"موقت - اطلاعات ناقص",IF(K1174&gt;=17,"عالی",IF(K1174&gt;=14,"خوب",IF(K1174&gt;=10,"متوسط","ضعیف"))))))</f>
        <v/>
      </c>
      <c r="M1174" s="306" t="n">
        <v>6</v>
      </c>
      <c r="N1174" s="314">
        <f>IF(C1174="","",COUNT(G1174:J1174)/4)</f>
        <v/>
      </c>
      <c r="O1174" s="307" t="n"/>
    </row>
    <row r="1175" ht="24" customHeight="1">
      <c r="A1175" s="306" t="n">
        <v>1171</v>
      </c>
      <c r="B1175" s="306" t="inlineStr">
        <is>
          <t>دی</t>
        </is>
      </c>
      <c r="C1175" s="306">
        <f>IF('دانش‌آموزان'!E102="","",'دانش‌آموزان'!B102)</f>
        <v/>
      </c>
      <c r="D1175" s="306">
        <f>IF('دانش‌آموزان'!C102="","",'دانش‌آموزان'!C102)</f>
        <v/>
      </c>
      <c r="E1175" s="306">
        <f>IF('دانش‌آموزان'!E102="","",'دانش‌آموزان'!E102&amp;" "&amp;'دانش‌آموزان'!F102)</f>
        <v/>
      </c>
      <c r="F1175" s="306">
        <f>IF('دانش‌آموزان'!I102="","",'دانش‌آموزان'!I102)</f>
        <v/>
      </c>
      <c r="G1175" s="307" t="n"/>
      <c r="H1175" s="307" t="n"/>
      <c r="I1175" s="307" t="n"/>
      <c r="J1175" s="307" t="n"/>
      <c r="K1175" s="313">
        <f>IF(COUNT(G1175:J1175)=0,"",AVERAGE(G1175:J1175)*4)</f>
        <v/>
      </c>
      <c r="L1175" s="306">
        <f>IF(C1175="","",IF(COUNT(G1175:J1175)=0,"",IF(COUNT(G1175:J1175)&lt;4,"موقت - اطلاعات ناقص",IF(K1175&gt;=17,"عالی",IF(K1175&gt;=14,"خوب",IF(K1175&gt;=10,"متوسط","ضعیف"))))))</f>
        <v/>
      </c>
      <c r="M1175" s="306" t="n">
        <v>7</v>
      </c>
      <c r="N1175" s="314">
        <f>IF(C1175="","",COUNT(G1175:J1175)/4)</f>
        <v/>
      </c>
      <c r="O1175" s="307" t="n"/>
    </row>
    <row r="1176" ht="24" customHeight="1">
      <c r="A1176" s="306" t="n">
        <v>1172</v>
      </c>
      <c r="B1176" s="306" t="inlineStr">
        <is>
          <t>بهمن</t>
        </is>
      </c>
      <c r="C1176" s="306">
        <f>IF('دانش‌آموزان'!E102="","",'دانش‌آموزان'!B102)</f>
        <v/>
      </c>
      <c r="D1176" s="306">
        <f>IF('دانش‌آموزان'!C102="","",'دانش‌آموزان'!C102)</f>
        <v/>
      </c>
      <c r="E1176" s="306">
        <f>IF('دانش‌آموزان'!E102="","",'دانش‌آموزان'!E102&amp;" "&amp;'دانش‌آموزان'!F102)</f>
        <v/>
      </c>
      <c r="F1176" s="306">
        <f>IF('دانش‌آموزان'!I102="","",'دانش‌آموزان'!I102)</f>
        <v/>
      </c>
      <c r="G1176" s="307" t="n"/>
      <c r="H1176" s="307" t="n"/>
      <c r="I1176" s="307" t="n"/>
      <c r="J1176" s="307" t="n"/>
      <c r="K1176" s="313">
        <f>IF(COUNT(G1176:J1176)=0,"",AVERAGE(G1176:J1176)*4)</f>
        <v/>
      </c>
      <c r="L1176" s="306">
        <f>IF(C1176="","",IF(COUNT(G1176:J1176)=0,"",IF(COUNT(G1176:J1176)&lt;4,"موقت - اطلاعات ناقص",IF(K1176&gt;=17,"عالی",IF(K1176&gt;=14,"خوب",IF(K1176&gt;=10,"متوسط","ضعیف"))))))</f>
        <v/>
      </c>
      <c r="M1176" s="306" t="n">
        <v>8</v>
      </c>
      <c r="N1176" s="314">
        <f>IF(C1176="","",COUNT(G1176:J1176)/4)</f>
        <v/>
      </c>
      <c r="O1176" s="307" t="n"/>
    </row>
    <row r="1177" ht="24" customHeight="1">
      <c r="A1177" s="306" t="n">
        <v>1173</v>
      </c>
      <c r="B1177" s="306" t="inlineStr">
        <is>
          <t>اسفند</t>
        </is>
      </c>
      <c r="C1177" s="306">
        <f>IF('دانش‌آموزان'!E102="","",'دانش‌آموزان'!B102)</f>
        <v/>
      </c>
      <c r="D1177" s="306">
        <f>IF('دانش‌آموزان'!C102="","",'دانش‌آموزان'!C102)</f>
        <v/>
      </c>
      <c r="E1177" s="306">
        <f>IF('دانش‌آموزان'!E102="","",'دانش‌آموزان'!E102&amp;" "&amp;'دانش‌آموزان'!F102)</f>
        <v/>
      </c>
      <c r="F1177" s="306">
        <f>IF('دانش‌آموزان'!I102="","",'دانش‌آموزان'!I102)</f>
        <v/>
      </c>
      <c r="G1177" s="307" t="n"/>
      <c r="H1177" s="307" t="n"/>
      <c r="I1177" s="307" t="n"/>
      <c r="J1177" s="307" t="n"/>
      <c r="K1177" s="313">
        <f>IF(COUNT(G1177:J1177)=0,"",AVERAGE(G1177:J1177)*4)</f>
        <v/>
      </c>
      <c r="L1177" s="306">
        <f>IF(C1177="","",IF(COUNT(G1177:J1177)=0,"",IF(COUNT(G1177:J1177)&lt;4,"موقت - اطلاعات ناقص",IF(K1177&gt;=17,"عالی",IF(K1177&gt;=14,"خوب",IF(K1177&gt;=10,"متوسط","ضعیف"))))))</f>
        <v/>
      </c>
      <c r="M1177" s="306" t="n">
        <v>9</v>
      </c>
      <c r="N1177" s="314">
        <f>IF(C1177="","",COUNT(G1177:J1177)/4)</f>
        <v/>
      </c>
      <c r="O1177" s="307" t="n"/>
    </row>
    <row r="1178" ht="24" customHeight="1">
      <c r="A1178" s="306" t="n">
        <v>1174</v>
      </c>
      <c r="B1178" s="306" t="inlineStr">
        <is>
          <t>فروردین</t>
        </is>
      </c>
      <c r="C1178" s="306">
        <f>IF('دانش‌آموزان'!E102="","",'دانش‌آموزان'!B102)</f>
        <v/>
      </c>
      <c r="D1178" s="306">
        <f>IF('دانش‌آموزان'!C102="","",'دانش‌آموزان'!C102)</f>
        <v/>
      </c>
      <c r="E1178" s="306">
        <f>IF('دانش‌آموزان'!E102="","",'دانش‌آموزان'!E102&amp;" "&amp;'دانش‌آموزان'!F102)</f>
        <v/>
      </c>
      <c r="F1178" s="306">
        <f>IF('دانش‌آموزان'!I102="","",'دانش‌آموزان'!I102)</f>
        <v/>
      </c>
      <c r="G1178" s="307" t="n"/>
      <c r="H1178" s="307" t="n"/>
      <c r="I1178" s="307" t="n"/>
      <c r="J1178" s="307" t="n"/>
      <c r="K1178" s="313">
        <f>IF(COUNT(G1178:J1178)=0,"",AVERAGE(G1178:J1178)*4)</f>
        <v/>
      </c>
      <c r="L1178" s="306">
        <f>IF(C1178="","",IF(COUNT(G1178:J1178)=0,"",IF(COUNT(G1178:J1178)&lt;4,"موقت - اطلاعات ناقص",IF(K1178&gt;=17,"عالی",IF(K1178&gt;=14,"خوب",IF(K1178&gt;=10,"متوسط","ضعیف"))))))</f>
        <v/>
      </c>
      <c r="M1178" s="306" t="n">
        <v>10</v>
      </c>
      <c r="N1178" s="314">
        <f>IF(C1178="","",COUNT(G1178:J1178)/4)</f>
        <v/>
      </c>
      <c r="O1178" s="307" t="n"/>
    </row>
    <row r="1179" ht="24" customHeight="1">
      <c r="A1179" s="306" t="n">
        <v>1175</v>
      </c>
      <c r="B1179" s="306" t="inlineStr">
        <is>
          <t>اردیبهشت</t>
        </is>
      </c>
      <c r="C1179" s="306">
        <f>IF('دانش‌آموزان'!E102="","",'دانش‌آموزان'!B102)</f>
        <v/>
      </c>
      <c r="D1179" s="306">
        <f>IF('دانش‌آموزان'!C102="","",'دانش‌آموزان'!C102)</f>
        <v/>
      </c>
      <c r="E1179" s="306">
        <f>IF('دانش‌آموزان'!E102="","",'دانش‌آموزان'!E102&amp;" "&amp;'دانش‌آموزان'!F102)</f>
        <v/>
      </c>
      <c r="F1179" s="306">
        <f>IF('دانش‌آموزان'!I102="","",'دانش‌آموزان'!I102)</f>
        <v/>
      </c>
      <c r="G1179" s="307" t="n"/>
      <c r="H1179" s="307" t="n"/>
      <c r="I1179" s="307" t="n"/>
      <c r="J1179" s="307" t="n"/>
      <c r="K1179" s="313">
        <f>IF(COUNT(G1179:J1179)=0,"",AVERAGE(G1179:J1179)*4)</f>
        <v/>
      </c>
      <c r="L1179" s="306">
        <f>IF(C1179="","",IF(COUNT(G1179:J1179)=0,"",IF(COUNT(G1179:J1179)&lt;4,"موقت - اطلاعات ناقص",IF(K1179&gt;=17,"عالی",IF(K1179&gt;=14,"خوب",IF(K1179&gt;=10,"متوسط","ضعیف"))))))</f>
        <v/>
      </c>
      <c r="M1179" s="306" t="n">
        <v>11</v>
      </c>
      <c r="N1179" s="314">
        <f>IF(C1179="","",COUNT(G1179:J1179)/4)</f>
        <v/>
      </c>
      <c r="O1179" s="307" t="n"/>
    </row>
    <row r="1180" ht="24" customHeight="1">
      <c r="A1180" s="306" t="n">
        <v>1176</v>
      </c>
      <c r="B1180" s="306" t="inlineStr">
        <is>
          <t>خرداد</t>
        </is>
      </c>
      <c r="C1180" s="306">
        <f>IF('دانش‌آموزان'!E102="","",'دانش‌آموزان'!B102)</f>
        <v/>
      </c>
      <c r="D1180" s="306">
        <f>IF('دانش‌آموزان'!C102="","",'دانش‌آموزان'!C102)</f>
        <v/>
      </c>
      <c r="E1180" s="306">
        <f>IF('دانش‌آموزان'!E102="","",'دانش‌آموزان'!E102&amp;" "&amp;'دانش‌آموزان'!F102)</f>
        <v/>
      </c>
      <c r="F1180" s="306">
        <f>IF('دانش‌آموزان'!I102="","",'دانش‌آموزان'!I102)</f>
        <v/>
      </c>
      <c r="G1180" s="307" t="n"/>
      <c r="H1180" s="307" t="n"/>
      <c r="I1180" s="307" t="n"/>
      <c r="J1180" s="307" t="n"/>
      <c r="K1180" s="313">
        <f>IF(COUNT(G1180:J1180)=0,"",AVERAGE(G1180:J1180)*4)</f>
        <v/>
      </c>
      <c r="L1180" s="306">
        <f>IF(C1180="","",IF(COUNT(G1180:J1180)=0,"",IF(COUNT(G1180:J1180)&lt;4,"موقت - اطلاعات ناقص",IF(K1180&gt;=17,"عالی",IF(K1180&gt;=14,"خوب",IF(K1180&gt;=10,"متوسط","ضعیف"))))))</f>
        <v/>
      </c>
      <c r="M1180" s="306" t="n">
        <v>12</v>
      </c>
      <c r="N1180" s="314">
        <f>IF(C1180="","",COUNT(G1180:J1180)/4)</f>
        <v/>
      </c>
      <c r="O1180" s="307" t="n"/>
    </row>
    <row r="1181" ht="24" customHeight="1">
      <c r="A1181" s="306" t="n">
        <v>1177</v>
      </c>
      <c r="B1181" s="306" t="inlineStr">
        <is>
          <t>تیر</t>
        </is>
      </c>
      <c r="C1181" s="306">
        <f>IF('دانش‌آموزان'!E103="","",'دانش‌آموزان'!B103)</f>
        <v/>
      </c>
      <c r="D1181" s="306">
        <f>IF('دانش‌آموزان'!C103="","",'دانش‌آموزان'!C103)</f>
        <v/>
      </c>
      <c r="E1181" s="306">
        <f>IF('دانش‌آموزان'!E103="","",'دانش‌آموزان'!E103&amp;" "&amp;'دانش‌آموزان'!F103)</f>
        <v/>
      </c>
      <c r="F1181" s="306">
        <f>IF('دانش‌آموزان'!I103="","",'دانش‌آموزان'!I103)</f>
        <v/>
      </c>
      <c r="G1181" s="307" t="n"/>
      <c r="H1181" s="307" t="n"/>
      <c r="I1181" s="307" t="n"/>
      <c r="J1181" s="307" t="n"/>
      <c r="K1181" s="313">
        <f>IF(COUNT(G1181:J1181)=0,"",AVERAGE(G1181:J1181)*4)</f>
        <v/>
      </c>
      <c r="L1181" s="306">
        <f>IF(C1181="","",IF(COUNT(G1181:J1181)=0,"",IF(COUNT(G1181:J1181)&lt;4,"موقت - اطلاعات ناقص",IF(K1181&gt;=17,"عالی",IF(K1181&gt;=14,"خوب",IF(K1181&gt;=10,"متوسط","ضعیف"))))))</f>
        <v/>
      </c>
      <c r="M1181" s="306" t="n">
        <v>1</v>
      </c>
      <c r="N1181" s="314">
        <f>IF(C1181="","",COUNT(G1181:J1181)/4)</f>
        <v/>
      </c>
      <c r="O1181" s="307" t="n"/>
    </row>
    <row r="1182" ht="24" customHeight="1">
      <c r="A1182" s="306" t="n">
        <v>1178</v>
      </c>
      <c r="B1182" s="306" t="inlineStr">
        <is>
          <t>مرداد</t>
        </is>
      </c>
      <c r="C1182" s="306">
        <f>IF('دانش‌آموزان'!E103="","",'دانش‌آموزان'!B103)</f>
        <v/>
      </c>
      <c r="D1182" s="306">
        <f>IF('دانش‌آموزان'!C103="","",'دانش‌آموزان'!C103)</f>
        <v/>
      </c>
      <c r="E1182" s="306">
        <f>IF('دانش‌آموزان'!E103="","",'دانش‌آموزان'!E103&amp;" "&amp;'دانش‌آموزان'!F103)</f>
        <v/>
      </c>
      <c r="F1182" s="306">
        <f>IF('دانش‌آموزان'!I103="","",'دانش‌آموزان'!I103)</f>
        <v/>
      </c>
      <c r="G1182" s="307" t="n"/>
      <c r="H1182" s="307" t="n"/>
      <c r="I1182" s="307" t="n"/>
      <c r="J1182" s="307" t="n"/>
      <c r="K1182" s="313">
        <f>IF(COUNT(G1182:J1182)=0,"",AVERAGE(G1182:J1182)*4)</f>
        <v/>
      </c>
      <c r="L1182" s="306">
        <f>IF(C1182="","",IF(COUNT(G1182:J1182)=0,"",IF(COUNT(G1182:J1182)&lt;4,"موقت - اطلاعات ناقص",IF(K1182&gt;=17,"عالی",IF(K1182&gt;=14,"خوب",IF(K1182&gt;=10,"متوسط","ضعیف"))))))</f>
        <v/>
      </c>
      <c r="M1182" s="306" t="n">
        <v>2</v>
      </c>
      <c r="N1182" s="314">
        <f>IF(C1182="","",COUNT(G1182:J1182)/4)</f>
        <v/>
      </c>
      <c r="O1182" s="307" t="n"/>
    </row>
    <row r="1183" ht="24" customHeight="1">
      <c r="A1183" s="306" t="n">
        <v>1179</v>
      </c>
      <c r="B1183" s="306" t="inlineStr">
        <is>
          <t>شهریور</t>
        </is>
      </c>
      <c r="C1183" s="306">
        <f>IF('دانش‌آموزان'!E103="","",'دانش‌آموزان'!B103)</f>
        <v/>
      </c>
      <c r="D1183" s="306">
        <f>IF('دانش‌آموزان'!C103="","",'دانش‌آموزان'!C103)</f>
        <v/>
      </c>
      <c r="E1183" s="306">
        <f>IF('دانش‌آموزان'!E103="","",'دانش‌آموزان'!E103&amp;" "&amp;'دانش‌آموزان'!F103)</f>
        <v/>
      </c>
      <c r="F1183" s="306">
        <f>IF('دانش‌آموزان'!I103="","",'دانش‌آموزان'!I103)</f>
        <v/>
      </c>
      <c r="G1183" s="307" t="n"/>
      <c r="H1183" s="307" t="n"/>
      <c r="I1183" s="307" t="n"/>
      <c r="J1183" s="307" t="n"/>
      <c r="K1183" s="313">
        <f>IF(COUNT(G1183:J1183)=0,"",AVERAGE(G1183:J1183)*4)</f>
        <v/>
      </c>
      <c r="L1183" s="306">
        <f>IF(C1183="","",IF(COUNT(G1183:J1183)=0,"",IF(COUNT(G1183:J1183)&lt;4,"موقت - اطلاعات ناقص",IF(K1183&gt;=17,"عالی",IF(K1183&gt;=14,"خوب",IF(K1183&gt;=10,"متوسط","ضعیف"))))))</f>
        <v/>
      </c>
      <c r="M1183" s="306" t="n">
        <v>3</v>
      </c>
      <c r="N1183" s="314">
        <f>IF(C1183="","",COUNT(G1183:J1183)/4)</f>
        <v/>
      </c>
      <c r="O1183" s="307" t="n"/>
    </row>
    <row r="1184" ht="24" customHeight="1">
      <c r="A1184" s="306" t="n">
        <v>1180</v>
      </c>
      <c r="B1184" s="306" t="inlineStr">
        <is>
          <t>مهر</t>
        </is>
      </c>
      <c r="C1184" s="306">
        <f>IF('دانش‌آموزان'!E103="","",'دانش‌آموزان'!B103)</f>
        <v/>
      </c>
      <c r="D1184" s="306">
        <f>IF('دانش‌آموزان'!C103="","",'دانش‌آموزان'!C103)</f>
        <v/>
      </c>
      <c r="E1184" s="306">
        <f>IF('دانش‌آموزان'!E103="","",'دانش‌آموزان'!E103&amp;" "&amp;'دانش‌آموزان'!F103)</f>
        <v/>
      </c>
      <c r="F1184" s="306">
        <f>IF('دانش‌آموزان'!I103="","",'دانش‌آموزان'!I103)</f>
        <v/>
      </c>
      <c r="G1184" s="307" t="n"/>
      <c r="H1184" s="307" t="n"/>
      <c r="I1184" s="307" t="n"/>
      <c r="J1184" s="307" t="n"/>
      <c r="K1184" s="313">
        <f>IF(COUNT(G1184:J1184)=0,"",AVERAGE(G1184:J1184)*4)</f>
        <v/>
      </c>
      <c r="L1184" s="306">
        <f>IF(C1184="","",IF(COUNT(G1184:J1184)=0,"",IF(COUNT(G1184:J1184)&lt;4,"موقت - اطلاعات ناقص",IF(K1184&gt;=17,"عالی",IF(K1184&gt;=14,"خوب",IF(K1184&gt;=10,"متوسط","ضعیف"))))))</f>
        <v/>
      </c>
      <c r="M1184" s="306" t="n">
        <v>4</v>
      </c>
      <c r="N1184" s="314">
        <f>IF(C1184="","",COUNT(G1184:J1184)/4)</f>
        <v/>
      </c>
      <c r="O1184" s="307" t="n"/>
    </row>
    <row r="1185" ht="24" customHeight="1">
      <c r="A1185" s="306" t="n">
        <v>1181</v>
      </c>
      <c r="B1185" s="306" t="inlineStr">
        <is>
          <t>آبان</t>
        </is>
      </c>
      <c r="C1185" s="306">
        <f>IF('دانش‌آموزان'!E103="","",'دانش‌آموزان'!B103)</f>
        <v/>
      </c>
      <c r="D1185" s="306">
        <f>IF('دانش‌آموزان'!C103="","",'دانش‌آموزان'!C103)</f>
        <v/>
      </c>
      <c r="E1185" s="306">
        <f>IF('دانش‌آموزان'!E103="","",'دانش‌آموزان'!E103&amp;" "&amp;'دانش‌آموزان'!F103)</f>
        <v/>
      </c>
      <c r="F1185" s="306">
        <f>IF('دانش‌آموزان'!I103="","",'دانش‌آموزان'!I103)</f>
        <v/>
      </c>
      <c r="G1185" s="307" t="n"/>
      <c r="H1185" s="307" t="n"/>
      <c r="I1185" s="307" t="n"/>
      <c r="J1185" s="307" t="n"/>
      <c r="K1185" s="313">
        <f>IF(COUNT(G1185:J1185)=0,"",AVERAGE(G1185:J1185)*4)</f>
        <v/>
      </c>
      <c r="L1185" s="306">
        <f>IF(C1185="","",IF(COUNT(G1185:J1185)=0,"",IF(COUNT(G1185:J1185)&lt;4,"موقت - اطلاعات ناقص",IF(K1185&gt;=17,"عالی",IF(K1185&gt;=14,"خوب",IF(K1185&gt;=10,"متوسط","ضعیف"))))))</f>
        <v/>
      </c>
      <c r="M1185" s="306" t="n">
        <v>5</v>
      </c>
      <c r="N1185" s="314">
        <f>IF(C1185="","",COUNT(G1185:J1185)/4)</f>
        <v/>
      </c>
      <c r="O1185" s="307" t="n"/>
    </row>
    <row r="1186" ht="24" customHeight="1">
      <c r="A1186" s="306" t="n">
        <v>1182</v>
      </c>
      <c r="B1186" s="306" t="inlineStr">
        <is>
          <t>آذر</t>
        </is>
      </c>
      <c r="C1186" s="306">
        <f>IF('دانش‌آموزان'!E103="","",'دانش‌آموزان'!B103)</f>
        <v/>
      </c>
      <c r="D1186" s="306">
        <f>IF('دانش‌آموزان'!C103="","",'دانش‌آموزان'!C103)</f>
        <v/>
      </c>
      <c r="E1186" s="306">
        <f>IF('دانش‌آموزان'!E103="","",'دانش‌آموزان'!E103&amp;" "&amp;'دانش‌آموزان'!F103)</f>
        <v/>
      </c>
      <c r="F1186" s="306">
        <f>IF('دانش‌آموزان'!I103="","",'دانش‌آموزان'!I103)</f>
        <v/>
      </c>
      <c r="G1186" s="307" t="n"/>
      <c r="H1186" s="307" t="n"/>
      <c r="I1186" s="307" t="n"/>
      <c r="J1186" s="307" t="n"/>
      <c r="K1186" s="313">
        <f>IF(COUNT(G1186:J1186)=0,"",AVERAGE(G1186:J1186)*4)</f>
        <v/>
      </c>
      <c r="L1186" s="306">
        <f>IF(C1186="","",IF(COUNT(G1186:J1186)=0,"",IF(COUNT(G1186:J1186)&lt;4,"موقت - اطلاعات ناقص",IF(K1186&gt;=17,"عالی",IF(K1186&gt;=14,"خوب",IF(K1186&gt;=10,"متوسط","ضعیف"))))))</f>
        <v/>
      </c>
      <c r="M1186" s="306" t="n">
        <v>6</v>
      </c>
      <c r="N1186" s="314">
        <f>IF(C1186="","",COUNT(G1186:J1186)/4)</f>
        <v/>
      </c>
      <c r="O1186" s="307" t="n"/>
    </row>
    <row r="1187" ht="24" customHeight="1">
      <c r="A1187" s="306" t="n">
        <v>1183</v>
      </c>
      <c r="B1187" s="306" t="inlineStr">
        <is>
          <t>دی</t>
        </is>
      </c>
      <c r="C1187" s="306">
        <f>IF('دانش‌آموزان'!E103="","",'دانش‌آموزان'!B103)</f>
        <v/>
      </c>
      <c r="D1187" s="306">
        <f>IF('دانش‌آموزان'!C103="","",'دانش‌آموزان'!C103)</f>
        <v/>
      </c>
      <c r="E1187" s="306">
        <f>IF('دانش‌آموزان'!E103="","",'دانش‌آموزان'!E103&amp;" "&amp;'دانش‌آموزان'!F103)</f>
        <v/>
      </c>
      <c r="F1187" s="306">
        <f>IF('دانش‌آموزان'!I103="","",'دانش‌آموزان'!I103)</f>
        <v/>
      </c>
      <c r="G1187" s="307" t="n"/>
      <c r="H1187" s="307" t="n"/>
      <c r="I1187" s="307" t="n"/>
      <c r="J1187" s="307" t="n"/>
      <c r="K1187" s="313">
        <f>IF(COUNT(G1187:J1187)=0,"",AVERAGE(G1187:J1187)*4)</f>
        <v/>
      </c>
      <c r="L1187" s="306">
        <f>IF(C1187="","",IF(COUNT(G1187:J1187)=0,"",IF(COUNT(G1187:J1187)&lt;4,"موقت - اطلاعات ناقص",IF(K1187&gt;=17,"عالی",IF(K1187&gt;=14,"خوب",IF(K1187&gt;=10,"متوسط","ضعیف"))))))</f>
        <v/>
      </c>
      <c r="M1187" s="306" t="n">
        <v>7</v>
      </c>
      <c r="N1187" s="314">
        <f>IF(C1187="","",COUNT(G1187:J1187)/4)</f>
        <v/>
      </c>
      <c r="O1187" s="307" t="n"/>
    </row>
    <row r="1188" ht="24" customHeight="1">
      <c r="A1188" s="306" t="n">
        <v>1184</v>
      </c>
      <c r="B1188" s="306" t="inlineStr">
        <is>
          <t>بهمن</t>
        </is>
      </c>
      <c r="C1188" s="306">
        <f>IF('دانش‌آموزان'!E103="","",'دانش‌آموزان'!B103)</f>
        <v/>
      </c>
      <c r="D1188" s="306">
        <f>IF('دانش‌آموزان'!C103="","",'دانش‌آموزان'!C103)</f>
        <v/>
      </c>
      <c r="E1188" s="306">
        <f>IF('دانش‌آموزان'!E103="","",'دانش‌آموزان'!E103&amp;" "&amp;'دانش‌آموزان'!F103)</f>
        <v/>
      </c>
      <c r="F1188" s="306">
        <f>IF('دانش‌آموزان'!I103="","",'دانش‌آموزان'!I103)</f>
        <v/>
      </c>
      <c r="G1188" s="307" t="n"/>
      <c r="H1188" s="307" t="n"/>
      <c r="I1188" s="307" t="n"/>
      <c r="J1188" s="307" t="n"/>
      <c r="K1188" s="313">
        <f>IF(COUNT(G1188:J1188)=0,"",AVERAGE(G1188:J1188)*4)</f>
        <v/>
      </c>
      <c r="L1188" s="306">
        <f>IF(C1188="","",IF(COUNT(G1188:J1188)=0,"",IF(COUNT(G1188:J1188)&lt;4,"موقت - اطلاعات ناقص",IF(K1188&gt;=17,"عالی",IF(K1188&gt;=14,"خوب",IF(K1188&gt;=10,"متوسط","ضعیف"))))))</f>
        <v/>
      </c>
      <c r="M1188" s="306" t="n">
        <v>8</v>
      </c>
      <c r="N1188" s="314">
        <f>IF(C1188="","",COUNT(G1188:J1188)/4)</f>
        <v/>
      </c>
      <c r="O1188" s="307" t="n"/>
    </row>
    <row r="1189" ht="24" customHeight="1">
      <c r="A1189" s="306" t="n">
        <v>1185</v>
      </c>
      <c r="B1189" s="306" t="inlineStr">
        <is>
          <t>اسفند</t>
        </is>
      </c>
      <c r="C1189" s="306">
        <f>IF('دانش‌آموزان'!E103="","",'دانش‌آموزان'!B103)</f>
        <v/>
      </c>
      <c r="D1189" s="306">
        <f>IF('دانش‌آموزان'!C103="","",'دانش‌آموزان'!C103)</f>
        <v/>
      </c>
      <c r="E1189" s="306">
        <f>IF('دانش‌آموزان'!E103="","",'دانش‌آموزان'!E103&amp;" "&amp;'دانش‌آموزان'!F103)</f>
        <v/>
      </c>
      <c r="F1189" s="306">
        <f>IF('دانش‌آموزان'!I103="","",'دانش‌آموزان'!I103)</f>
        <v/>
      </c>
      <c r="G1189" s="307" t="n"/>
      <c r="H1189" s="307" t="n"/>
      <c r="I1189" s="307" t="n"/>
      <c r="J1189" s="307" t="n"/>
      <c r="K1189" s="313">
        <f>IF(COUNT(G1189:J1189)=0,"",AVERAGE(G1189:J1189)*4)</f>
        <v/>
      </c>
      <c r="L1189" s="306">
        <f>IF(C1189="","",IF(COUNT(G1189:J1189)=0,"",IF(COUNT(G1189:J1189)&lt;4,"موقت - اطلاعات ناقص",IF(K1189&gt;=17,"عالی",IF(K1189&gt;=14,"خوب",IF(K1189&gt;=10,"متوسط","ضعیف"))))))</f>
        <v/>
      </c>
      <c r="M1189" s="306" t="n">
        <v>9</v>
      </c>
      <c r="N1189" s="314">
        <f>IF(C1189="","",COUNT(G1189:J1189)/4)</f>
        <v/>
      </c>
      <c r="O1189" s="307" t="n"/>
    </row>
    <row r="1190" ht="24" customHeight="1">
      <c r="A1190" s="306" t="n">
        <v>1186</v>
      </c>
      <c r="B1190" s="306" t="inlineStr">
        <is>
          <t>فروردین</t>
        </is>
      </c>
      <c r="C1190" s="306">
        <f>IF('دانش‌آموزان'!E103="","",'دانش‌آموزان'!B103)</f>
        <v/>
      </c>
      <c r="D1190" s="306">
        <f>IF('دانش‌آموزان'!C103="","",'دانش‌آموزان'!C103)</f>
        <v/>
      </c>
      <c r="E1190" s="306">
        <f>IF('دانش‌آموزان'!E103="","",'دانش‌آموزان'!E103&amp;" "&amp;'دانش‌آموزان'!F103)</f>
        <v/>
      </c>
      <c r="F1190" s="306">
        <f>IF('دانش‌آموزان'!I103="","",'دانش‌آموزان'!I103)</f>
        <v/>
      </c>
      <c r="G1190" s="307" t="n"/>
      <c r="H1190" s="307" t="n"/>
      <c r="I1190" s="307" t="n"/>
      <c r="J1190" s="307" t="n"/>
      <c r="K1190" s="313">
        <f>IF(COUNT(G1190:J1190)=0,"",AVERAGE(G1190:J1190)*4)</f>
        <v/>
      </c>
      <c r="L1190" s="306">
        <f>IF(C1190="","",IF(COUNT(G1190:J1190)=0,"",IF(COUNT(G1190:J1190)&lt;4,"موقت - اطلاعات ناقص",IF(K1190&gt;=17,"عالی",IF(K1190&gt;=14,"خوب",IF(K1190&gt;=10,"متوسط","ضعیف"))))))</f>
        <v/>
      </c>
      <c r="M1190" s="306" t="n">
        <v>10</v>
      </c>
      <c r="N1190" s="314">
        <f>IF(C1190="","",COUNT(G1190:J1190)/4)</f>
        <v/>
      </c>
      <c r="O1190" s="307" t="n"/>
    </row>
    <row r="1191" ht="24" customHeight="1">
      <c r="A1191" s="306" t="n">
        <v>1187</v>
      </c>
      <c r="B1191" s="306" t="inlineStr">
        <is>
          <t>اردیبهشت</t>
        </is>
      </c>
      <c r="C1191" s="306">
        <f>IF('دانش‌آموزان'!E103="","",'دانش‌آموزان'!B103)</f>
        <v/>
      </c>
      <c r="D1191" s="306">
        <f>IF('دانش‌آموزان'!C103="","",'دانش‌آموزان'!C103)</f>
        <v/>
      </c>
      <c r="E1191" s="306">
        <f>IF('دانش‌آموزان'!E103="","",'دانش‌آموزان'!E103&amp;" "&amp;'دانش‌آموزان'!F103)</f>
        <v/>
      </c>
      <c r="F1191" s="306">
        <f>IF('دانش‌آموزان'!I103="","",'دانش‌آموزان'!I103)</f>
        <v/>
      </c>
      <c r="G1191" s="307" t="n"/>
      <c r="H1191" s="307" t="n"/>
      <c r="I1191" s="307" t="n"/>
      <c r="J1191" s="307" t="n"/>
      <c r="K1191" s="313">
        <f>IF(COUNT(G1191:J1191)=0,"",AVERAGE(G1191:J1191)*4)</f>
        <v/>
      </c>
      <c r="L1191" s="306">
        <f>IF(C1191="","",IF(COUNT(G1191:J1191)=0,"",IF(COUNT(G1191:J1191)&lt;4,"موقت - اطلاعات ناقص",IF(K1191&gt;=17,"عالی",IF(K1191&gt;=14,"خوب",IF(K1191&gt;=10,"متوسط","ضعیف"))))))</f>
        <v/>
      </c>
      <c r="M1191" s="306" t="n">
        <v>11</v>
      </c>
      <c r="N1191" s="314">
        <f>IF(C1191="","",COUNT(G1191:J1191)/4)</f>
        <v/>
      </c>
      <c r="O1191" s="307" t="n"/>
    </row>
    <row r="1192" ht="24" customHeight="1">
      <c r="A1192" s="306" t="n">
        <v>1188</v>
      </c>
      <c r="B1192" s="306" t="inlineStr">
        <is>
          <t>خرداد</t>
        </is>
      </c>
      <c r="C1192" s="306">
        <f>IF('دانش‌آموزان'!E103="","",'دانش‌آموزان'!B103)</f>
        <v/>
      </c>
      <c r="D1192" s="306">
        <f>IF('دانش‌آموزان'!C103="","",'دانش‌آموزان'!C103)</f>
        <v/>
      </c>
      <c r="E1192" s="306">
        <f>IF('دانش‌آموزان'!E103="","",'دانش‌آموزان'!E103&amp;" "&amp;'دانش‌آموزان'!F103)</f>
        <v/>
      </c>
      <c r="F1192" s="306">
        <f>IF('دانش‌آموزان'!I103="","",'دانش‌آموزان'!I103)</f>
        <v/>
      </c>
      <c r="G1192" s="307" t="n"/>
      <c r="H1192" s="307" t="n"/>
      <c r="I1192" s="307" t="n"/>
      <c r="J1192" s="307" t="n"/>
      <c r="K1192" s="313">
        <f>IF(COUNT(G1192:J1192)=0,"",AVERAGE(G1192:J1192)*4)</f>
        <v/>
      </c>
      <c r="L1192" s="306">
        <f>IF(C1192="","",IF(COUNT(G1192:J1192)=0,"",IF(COUNT(G1192:J1192)&lt;4,"موقت - اطلاعات ناقص",IF(K1192&gt;=17,"عالی",IF(K1192&gt;=14,"خوب",IF(K1192&gt;=10,"متوسط","ضعیف"))))))</f>
        <v/>
      </c>
      <c r="M1192" s="306" t="n">
        <v>12</v>
      </c>
      <c r="N1192" s="314">
        <f>IF(C1192="","",COUNT(G1192:J1192)/4)</f>
        <v/>
      </c>
      <c r="O1192" s="307" t="n"/>
    </row>
    <row r="1193" ht="24" customHeight="1">
      <c r="A1193" s="306" t="n">
        <v>1189</v>
      </c>
      <c r="B1193" s="306" t="inlineStr">
        <is>
          <t>تیر</t>
        </is>
      </c>
      <c r="C1193" s="306">
        <f>IF('دانش‌آموزان'!E104="","",'دانش‌آموزان'!B104)</f>
        <v/>
      </c>
      <c r="D1193" s="306">
        <f>IF('دانش‌آموزان'!C104="","",'دانش‌آموزان'!C104)</f>
        <v/>
      </c>
      <c r="E1193" s="306">
        <f>IF('دانش‌آموزان'!E104="","",'دانش‌آموزان'!E104&amp;" "&amp;'دانش‌آموزان'!F104)</f>
        <v/>
      </c>
      <c r="F1193" s="306">
        <f>IF('دانش‌آموزان'!I104="","",'دانش‌آموزان'!I104)</f>
        <v/>
      </c>
      <c r="G1193" s="307" t="n"/>
      <c r="H1193" s="307" t="n"/>
      <c r="I1193" s="307" t="n"/>
      <c r="J1193" s="307" t="n"/>
      <c r="K1193" s="313">
        <f>IF(COUNT(G1193:J1193)=0,"",AVERAGE(G1193:J1193)*4)</f>
        <v/>
      </c>
      <c r="L1193" s="306">
        <f>IF(C1193="","",IF(COUNT(G1193:J1193)=0,"",IF(COUNT(G1193:J1193)&lt;4,"موقت - اطلاعات ناقص",IF(K1193&gt;=17,"عالی",IF(K1193&gt;=14,"خوب",IF(K1193&gt;=10,"متوسط","ضعیف"))))))</f>
        <v/>
      </c>
      <c r="M1193" s="306" t="n">
        <v>1</v>
      </c>
      <c r="N1193" s="314">
        <f>IF(C1193="","",COUNT(G1193:J1193)/4)</f>
        <v/>
      </c>
      <c r="O1193" s="307" t="n"/>
    </row>
    <row r="1194" ht="24" customHeight="1">
      <c r="A1194" s="306" t="n">
        <v>1190</v>
      </c>
      <c r="B1194" s="306" t="inlineStr">
        <is>
          <t>مرداد</t>
        </is>
      </c>
      <c r="C1194" s="306">
        <f>IF('دانش‌آموزان'!E104="","",'دانش‌آموزان'!B104)</f>
        <v/>
      </c>
      <c r="D1194" s="306">
        <f>IF('دانش‌آموزان'!C104="","",'دانش‌آموزان'!C104)</f>
        <v/>
      </c>
      <c r="E1194" s="306">
        <f>IF('دانش‌آموزان'!E104="","",'دانش‌آموزان'!E104&amp;" "&amp;'دانش‌آموزان'!F104)</f>
        <v/>
      </c>
      <c r="F1194" s="306">
        <f>IF('دانش‌آموزان'!I104="","",'دانش‌آموزان'!I104)</f>
        <v/>
      </c>
      <c r="G1194" s="307" t="n"/>
      <c r="H1194" s="307" t="n"/>
      <c r="I1194" s="307" t="n"/>
      <c r="J1194" s="307" t="n"/>
      <c r="K1194" s="313">
        <f>IF(COUNT(G1194:J1194)=0,"",AVERAGE(G1194:J1194)*4)</f>
        <v/>
      </c>
      <c r="L1194" s="306">
        <f>IF(C1194="","",IF(COUNT(G1194:J1194)=0,"",IF(COUNT(G1194:J1194)&lt;4,"موقت - اطلاعات ناقص",IF(K1194&gt;=17,"عالی",IF(K1194&gt;=14,"خوب",IF(K1194&gt;=10,"متوسط","ضعیف"))))))</f>
        <v/>
      </c>
      <c r="M1194" s="306" t="n">
        <v>2</v>
      </c>
      <c r="N1194" s="314">
        <f>IF(C1194="","",COUNT(G1194:J1194)/4)</f>
        <v/>
      </c>
      <c r="O1194" s="307" t="n"/>
    </row>
    <row r="1195" ht="24" customHeight="1">
      <c r="A1195" s="306" t="n">
        <v>1191</v>
      </c>
      <c r="B1195" s="306" t="inlineStr">
        <is>
          <t>شهریور</t>
        </is>
      </c>
      <c r="C1195" s="306">
        <f>IF('دانش‌آموزان'!E104="","",'دانش‌آموزان'!B104)</f>
        <v/>
      </c>
      <c r="D1195" s="306">
        <f>IF('دانش‌آموزان'!C104="","",'دانش‌آموزان'!C104)</f>
        <v/>
      </c>
      <c r="E1195" s="306">
        <f>IF('دانش‌آموزان'!E104="","",'دانش‌آموزان'!E104&amp;" "&amp;'دانش‌آموزان'!F104)</f>
        <v/>
      </c>
      <c r="F1195" s="306">
        <f>IF('دانش‌آموزان'!I104="","",'دانش‌آموزان'!I104)</f>
        <v/>
      </c>
      <c r="G1195" s="307" t="n"/>
      <c r="H1195" s="307" t="n"/>
      <c r="I1195" s="307" t="n"/>
      <c r="J1195" s="307" t="n"/>
      <c r="K1195" s="313">
        <f>IF(COUNT(G1195:J1195)=0,"",AVERAGE(G1195:J1195)*4)</f>
        <v/>
      </c>
      <c r="L1195" s="306">
        <f>IF(C1195="","",IF(COUNT(G1195:J1195)=0,"",IF(COUNT(G1195:J1195)&lt;4,"موقت - اطلاعات ناقص",IF(K1195&gt;=17,"عالی",IF(K1195&gt;=14,"خوب",IF(K1195&gt;=10,"متوسط","ضعیف"))))))</f>
        <v/>
      </c>
      <c r="M1195" s="306" t="n">
        <v>3</v>
      </c>
      <c r="N1195" s="314">
        <f>IF(C1195="","",COUNT(G1195:J1195)/4)</f>
        <v/>
      </c>
      <c r="O1195" s="307" t="n"/>
    </row>
    <row r="1196" ht="24" customHeight="1">
      <c r="A1196" s="306" t="n">
        <v>1192</v>
      </c>
      <c r="B1196" s="306" t="inlineStr">
        <is>
          <t>مهر</t>
        </is>
      </c>
      <c r="C1196" s="306">
        <f>IF('دانش‌آموزان'!E104="","",'دانش‌آموزان'!B104)</f>
        <v/>
      </c>
      <c r="D1196" s="306">
        <f>IF('دانش‌آموزان'!C104="","",'دانش‌آموزان'!C104)</f>
        <v/>
      </c>
      <c r="E1196" s="306">
        <f>IF('دانش‌آموزان'!E104="","",'دانش‌آموزان'!E104&amp;" "&amp;'دانش‌آموزان'!F104)</f>
        <v/>
      </c>
      <c r="F1196" s="306">
        <f>IF('دانش‌آموزان'!I104="","",'دانش‌آموزان'!I104)</f>
        <v/>
      </c>
      <c r="G1196" s="307" t="n"/>
      <c r="H1196" s="307" t="n"/>
      <c r="I1196" s="307" t="n"/>
      <c r="J1196" s="307" t="n"/>
      <c r="K1196" s="313">
        <f>IF(COUNT(G1196:J1196)=0,"",AVERAGE(G1196:J1196)*4)</f>
        <v/>
      </c>
      <c r="L1196" s="306">
        <f>IF(C1196="","",IF(COUNT(G1196:J1196)=0,"",IF(COUNT(G1196:J1196)&lt;4,"موقت - اطلاعات ناقص",IF(K1196&gt;=17,"عالی",IF(K1196&gt;=14,"خوب",IF(K1196&gt;=10,"متوسط","ضعیف"))))))</f>
        <v/>
      </c>
      <c r="M1196" s="306" t="n">
        <v>4</v>
      </c>
      <c r="N1196" s="314">
        <f>IF(C1196="","",COUNT(G1196:J1196)/4)</f>
        <v/>
      </c>
      <c r="O1196" s="307" t="n"/>
    </row>
    <row r="1197" ht="24" customHeight="1">
      <c r="A1197" s="306" t="n">
        <v>1193</v>
      </c>
      <c r="B1197" s="306" t="inlineStr">
        <is>
          <t>آبان</t>
        </is>
      </c>
      <c r="C1197" s="306">
        <f>IF('دانش‌آموزان'!E104="","",'دانش‌آموزان'!B104)</f>
        <v/>
      </c>
      <c r="D1197" s="306">
        <f>IF('دانش‌آموزان'!C104="","",'دانش‌آموزان'!C104)</f>
        <v/>
      </c>
      <c r="E1197" s="306">
        <f>IF('دانش‌آموزان'!E104="","",'دانش‌آموزان'!E104&amp;" "&amp;'دانش‌آموزان'!F104)</f>
        <v/>
      </c>
      <c r="F1197" s="306">
        <f>IF('دانش‌آموزان'!I104="","",'دانش‌آموزان'!I104)</f>
        <v/>
      </c>
      <c r="G1197" s="307" t="n"/>
      <c r="H1197" s="307" t="n"/>
      <c r="I1197" s="307" t="n"/>
      <c r="J1197" s="307" t="n"/>
      <c r="K1197" s="313">
        <f>IF(COUNT(G1197:J1197)=0,"",AVERAGE(G1197:J1197)*4)</f>
        <v/>
      </c>
      <c r="L1197" s="306">
        <f>IF(C1197="","",IF(COUNT(G1197:J1197)=0,"",IF(COUNT(G1197:J1197)&lt;4,"موقت - اطلاعات ناقص",IF(K1197&gt;=17,"عالی",IF(K1197&gt;=14,"خوب",IF(K1197&gt;=10,"متوسط","ضعیف"))))))</f>
        <v/>
      </c>
      <c r="M1197" s="306" t="n">
        <v>5</v>
      </c>
      <c r="N1197" s="314">
        <f>IF(C1197="","",COUNT(G1197:J1197)/4)</f>
        <v/>
      </c>
      <c r="O1197" s="307" t="n"/>
    </row>
    <row r="1198" ht="24" customHeight="1">
      <c r="A1198" s="306" t="n">
        <v>1194</v>
      </c>
      <c r="B1198" s="306" t="inlineStr">
        <is>
          <t>آذر</t>
        </is>
      </c>
      <c r="C1198" s="306">
        <f>IF('دانش‌آموزان'!E104="","",'دانش‌آموزان'!B104)</f>
        <v/>
      </c>
      <c r="D1198" s="306">
        <f>IF('دانش‌آموزان'!C104="","",'دانش‌آموزان'!C104)</f>
        <v/>
      </c>
      <c r="E1198" s="306">
        <f>IF('دانش‌آموزان'!E104="","",'دانش‌آموزان'!E104&amp;" "&amp;'دانش‌آموزان'!F104)</f>
        <v/>
      </c>
      <c r="F1198" s="306">
        <f>IF('دانش‌آموزان'!I104="","",'دانش‌آموزان'!I104)</f>
        <v/>
      </c>
      <c r="G1198" s="307" t="n"/>
      <c r="H1198" s="307" t="n"/>
      <c r="I1198" s="307" t="n"/>
      <c r="J1198" s="307" t="n"/>
      <c r="K1198" s="313">
        <f>IF(COUNT(G1198:J1198)=0,"",AVERAGE(G1198:J1198)*4)</f>
        <v/>
      </c>
      <c r="L1198" s="306">
        <f>IF(C1198="","",IF(COUNT(G1198:J1198)=0,"",IF(COUNT(G1198:J1198)&lt;4,"موقت - اطلاعات ناقص",IF(K1198&gt;=17,"عالی",IF(K1198&gt;=14,"خوب",IF(K1198&gt;=10,"متوسط","ضعیف"))))))</f>
        <v/>
      </c>
      <c r="M1198" s="306" t="n">
        <v>6</v>
      </c>
      <c r="N1198" s="314">
        <f>IF(C1198="","",COUNT(G1198:J1198)/4)</f>
        <v/>
      </c>
      <c r="O1198" s="307" t="n"/>
    </row>
    <row r="1199" ht="24" customHeight="1">
      <c r="A1199" s="306" t="n">
        <v>1195</v>
      </c>
      <c r="B1199" s="306" t="inlineStr">
        <is>
          <t>دی</t>
        </is>
      </c>
      <c r="C1199" s="306">
        <f>IF('دانش‌آموزان'!E104="","",'دانش‌آموزان'!B104)</f>
        <v/>
      </c>
      <c r="D1199" s="306">
        <f>IF('دانش‌آموزان'!C104="","",'دانش‌آموزان'!C104)</f>
        <v/>
      </c>
      <c r="E1199" s="306">
        <f>IF('دانش‌آموزان'!E104="","",'دانش‌آموزان'!E104&amp;" "&amp;'دانش‌آموزان'!F104)</f>
        <v/>
      </c>
      <c r="F1199" s="306">
        <f>IF('دانش‌آموزان'!I104="","",'دانش‌آموزان'!I104)</f>
        <v/>
      </c>
      <c r="G1199" s="307" t="n"/>
      <c r="H1199" s="307" t="n"/>
      <c r="I1199" s="307" t="n"/>
      <c r="J1199" s="307" t="n"/>
      <c r="K1199" s="313">
        <f>IF(COUNT(G1199:J1199)=0,"",AVERAGE(G1199:J1199)*4)</f>
        <v/>
      </c>
      <c r="L1199" s="306">
        <f>IF(C1199="","",IF(COUNT(G1199:J1199)=0,"",IF(COUNT(G1199:J1199)&lt;4,"موقت - اطلاعات ناقص",IF(K1199&gt;=17,"عالی",IF(K1199&gt;=14,"خوب",IF(K1199&gt;=10,"متوسط","ضعیف"))))))</f>
        <v/>
      </c>
      <c r="M1199" s="306" t="n">
        <v>7</v>
      </c>
      <c r="N1199" s="314">
        <f>IF(C1199="","",COUNT(G1199:J1199)/4)</f>
        <v/>
      </c>
      <c r="O1199" s="307" t="n"/>
    </row>
    <row r="1200" ht="24" customHeight="1">
      <c r="A1200" s="306" t="n">
        <v>1196</v>
      </c>
      <c r="B1200" s="306" t="inlineStr">
        <is>
          <t>بهمن</t>
        </is>
      </c>
      <c r="C1200" s="306">
        <f>IF('دانش‌آموزان'!E104="","",'دانش‌آموزان'!B104)</f>
        <v/>
      </c>
      <c r="D1200" s="306">
        <f>IF('دانش‌آموزان'!C104="","",'دانش‌آموزان'!C104)</f>
        <v/>
      </c>
      <c r="E1200" s="306">
        <f>IF('دانش‌آموزان'!E104="","",'دانش‌آموزان'!E104&amp;" "&amp;'دانش‌آموزان'!F104)</f>
        <v/>
      </c>
      <c r="F1200" s="306">
        <f>IF('دانش‌آموزان'!I104="","",'دانش‌آموزان'!I104)</f>
        <v/>
      </c>
      <c r="G1200" s="307" t="n"/>
      <c r="H1200" s="307" t="n"/>
      <c r="I1200" s="307" t="n"/>
      <c r="J1200" s="307" t="n"/>
      <c r="K1200" s="313">
        <f>IF(COUNT(G1200:J1200)=0,"",AVERAGE(G1200:J1200)*4)</f>
        <v/>
      </c>
      <c r="L1200" s="306">
        <f>IF(C1200="","",IF(COUNT(G1200:J1200)=0,"",IF(COUNT(G1200:J1200)&lt;4,"موقت - اطلاعات ناقص",IF(K1200&gt;=17,"عالی",IF(K1200&gt;=14,"خوب",IF(K1200&gt;=10,"متوسط","ضعیف"))))))</f>
        <v/>
      </c>
      <c r="M1200" s="306" t="n">
        <v>8</v>
      </c>
      <c r="N1200" s="314">
        <f>IF(C1200="","",COUNT(G1200:J1200)/4)</f>
        <v/>
      </c>
      <c r="O1200" s="307" t="n"/>
    </row>
    <row r="1201" ht="24" customHeight="1">
      <c r="A1201" s="306" t="n">
        <v>1197</v>
      </c>
      <c r="B1201" s="306" t="inlineStr">
        <is>
          <t>اسفند</t>
        </is>
      </c>
      <c r="C1201" s="306">
        <f>IF('دانش‌آموزان'!E104="","",'دانش‌آموزان'!B104)</f>
        <v/>
      </c>
      <c r="D1201" s="306">
        <f>IF('دانش‌آموزان'!C104="","",'دانش‌آموزان'!C104)</f>
        <v/>
      </c>
      <c r="E1201" s="306">
        <f>IF('دانش‌آموزان'!E104="","",'دانش‌آموزان'!E104&amp;" "&amp;'دانش‌آموزان'!F104)</f>
        <v/>
      </c>
      <c r="F1201" s="306">
        <f>IF('دانش‌آموزان'!I104="","",'دانش‌آموزان'!I104)</f>
        <v/>
      </c>
      <c r="G1201" s="307" t="n"/>
      <c r="H1201" s="307" t="n"/>
      <c r="I1201" s="307" t="n"/>
      <c r="J1201" s="307" t="n"/>
      <c r="K1201" s="313">
        <f>IF(COUNT(G1201:J1201)=0,"",AVERAGE(G1201:J1201)*4)</f>
        <v/>
      </c>
      <c r="L1201" s="306">
        <f>IF(C1201="","",IF(COUNT(G1201:J1201)=0,"",IF(COUNT(G1201:J1201)&lt;4,"موقت - اطلاعات ناقص",IF(K1201&gt;=17,"عالی",IF(K1201&gt;=14,"خوب",IF(K1201&gt;=10,"متوسط","ضعیف"))))))</f>
        <v/>
      </c>
      <c r="M1201" s="306" t="n">
        <v>9</v>
      </c>
      <c r="N1201" s="314">
        <f>IF(C1201="","",COUNT(G1201:J1201)/4)</f>
        <v/>
      </c>
      <c r="O1201" s="307" t="n"/>
    </row>
    <row r="1202" ht="24" customHeight="1">
      <c r="A1202" s="306" t="n">
        <v>1198</v>
      </c>
      <c r="B1202" s="306" t="inlineStr">
        <is>
          <t>فروردین</t>
        </is>
      </c>
      <c r="C1202" s="306">
        <f>IF('دانش‌آموزان'!E104="","",'دانش‌آموزان'!B104)</f>
        <v/>
      </c>
      <c r="D1202" s="306">
        <f>IF('دانش‌آموزان'!C104="","",'دانش‌آموزان'!C104)</f>
        <v/>
      </c>
      <c r="E1202" s="306">
        <f>IF('دانش‌آموزان'!E104="","",'دانش‌آموزان'!E104&amp;" "&amp;'دانش‌آموزان'!F104)</f>
        <v/>
      </c>
      <c r="F1202" s="306">
        <f>IF('دانش‌آموزان'!I104="","",'دانش‌آموزان'!I104)</f>
        <v/>
      </c>
      <c r="G1202" s="307" t="n"/>
      <c r="H1202" s="307" t="n"/>
      <c r="I1202" s="307" t="n"/>
      <c r="J1202" s="307" t="n"/>
      <c r="K1202" s="313">
        <f>IF(COUNT(G1202:J1202)=0,"",AVERAGE(G1202:J1202)*4)</f>
        <v/>
      </c>
      <c r="L1202" s="306">
        <f>IF(C1202="","",IF(COUNT(G1202:J1202)=0,"",IF(COUNT(G1202:J1202)&lt;4,"موقت - اطلاعات ناقص",IF(K1202&gt;=17,"عالی",IF(K1202&gt;=14,"خوب",IF(K1202&gt;=10,"متوسط","ضعیف"))))))</f>
        <v/>
      </c>
      <c r="M1202" s="306" t="n">
        <v>10</v>
      </c>
      <c r="N1202" s="314">
        <f>IF(C1202="","",COUNT(G1202:J1202)/4)</f>
        <v/>
      </c>
      <c r="O1202" s="307" t="n"/>
    </row>
    <row r="1203" ht="24" customHeight="1">
      <c r="A1203" s="306" t="n">
        <v>1199</v>
      </c>
      <c r="B1203" s="306" t="inlineStr">
        <is>
          <t>اردیبهشت</t>
        </is>
      </c>
      <c r="C1203" s="306">
        <f>IF('دانش‌آموزان'!E104="","",'دانش‌آموزان'!B104)</f>
        <v/>
      </c>
      <c r="D1203" s="306">
        <f>IF('دانش‌آموزان'!C104="","",'دانش‌آموزان'!C104)</f>
        <v/>
      </c>
      <c r="E1203" s="306">
        <f>IF('دانش‌آموزان'!E104="","",'دانش‌آموزان'!E104&amp;" "&amp;'دانش‌آموزان'!F104)</f>
        <v/>
      </c>
      <c r="F1203" s="306">
        <f>IF('دانش‌آموزان'!I104="","",'دانش‌آموزان'!I104)</f>
        <v/>
      </c>
      <c r="G1203" s="307" t="n"/>
      <c r="H1203" s="307" t="n"/>
      <c r="I1203" s="307" t="n"/>
      <c r="J1203" s="307" t="n"/>
      <c r="K1203" s="313">
        <f>IF(COUNT(G1203:J1203)=0,"",AVERAGE(G1203:J1203)*4)</f>
        <v/>
      </c>
      <c r="L1203" s="306">
        <f>IF(C1203="","",IF(COUNT(G1203:J1203)=0,"",IF(COUNT(G1203:J1203)&lt;4,"موقت - اطلاعات ناقص",IF(K1203&gt;=17,"عالی",IF(K1203&gt;=14,"خوب",IF(K1203&gt;=10,"متوسط","ضعیف"))))))</f>
        <v/>
      </c>
      <c r="M1203" s="306" t="n">
        <v>11</v>
      </c>
      <c r="N1203" s="314">
        <f>IF(C1203="","",COUNT(G1203:J1203)/4)</f>
        <v/>
      </c>
      <c r="O1203" s="307" t="n"/>
    </row>
    <row r="1204" ht="24" customHeight="1">
      <c r="A1204" s="306" t="n">
        <v>1200</v>
      </c>
      <c r="B1204" s="306" t="inlineStr">
        <is>
          <t>خرداد</t>
        </is>
      </c>
      <c r="C1204" s="306">
        <f>IF('دانش‌آموزان'!E104="","",'دانش‌آموزان'!B104)</f>
        <v/>
      </c>
      <c r="D1204" s="306">
        <f>IF('دانش‌آموزان'!C104="","",'دانش‌آموزان'!C104)</f>
        <v/>
      </c>
      <c r="E1204" s="306">
        <f>IF('دانش‌آموزان'!E104="","",'دانش‌آموزان'!E104&amp;" "&amp;'دانش‌آموزان'!F104)</f>
        <v/>
      </c>
      <c r="F1204" s="306">
        <f>IF('دانش‌آموزان'!I104="","",'دانش‌آموزان'!I104)</f>
        <v/>
      </c>
      <c r="G1204" s="307" t="n"/>
      <c r="H1204" s="307" t="n"/>
      <c r="I1204" s="307" t="n"/>
      <c r="J1204" s="307" t="n"/>
      <c r="K1204" s="313">
        <f>IF(COUNT(G1204:J1204)=0,"",AVERAGE(G1204:J1204)*4)</f>
        <v/>
      </c>
      <c r="L1204" s="306">
        <f>IF(C1204="","",IF(COUNT(G1204:J1204)=0,"",IF(COUNT(G1204:J1204)&lt;4,"موقت - اطلاعات ناقص",IF(K1204&gt;=17,"عالی",IF(K1204&gt;=14,"خوب",IF(K1204&gt;=10,"متوسط","ضعیف"))))))</f>
        <v/>
      </c>
      <c r="M1204" s="306" t="n">
        <v>12</v>
      </c>
      <c r="N1204" s="314">
        <f>IF(C1204="","",COUNT(G1204:J1204)/4)</f>
        <v/>
      </c>
      <c r="O1204" s="307" t="n"/>
    </row>
  </sheetData>
  <autoFilter ref="A4:O1204"/>
  <mergeCells count="4">
    <mergeCell ref="A1:O1"/>
    <mergeCell ref="K3:N3"/>
    <mergeCell ref="A2:O2"/>
    <mergeCell ref="G3:J3"/>
  </mergeCells>
  <conditionalFormatting sqref="L5:L1204">
    <cfRule type="expression" priority="1" dxfId="5">
      <formula>ISNUMBER(SEARCH("موقت",L5))</formula>
    </cfRule>
    <cfRule type="expression" priority="2" dxfId="6">
      <formula>L5="عالی"</formula>
    </cfRule>
  </conditionalFormatting>
  <dataValidations count="1">
    <dataValidation sqref="G5:J1204" showDropDown="0" showInputMessage="1" showErrorMessage="1" allowBlank="1" errorTitle="امتیاز نامعتبر" error="امتیاز باید عدد صحیح بین ۰ تا ۵ باشد." promptTitle="امتیاز ارزیابی" prompt="یک عدد صحیح بین ۰ تا ۵ وارد کنید." type="whole" operator="between">
      <formula1>0</formula1>
      <formula2>5</formula2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قالب ساده جمع‌آوری اطلاعات مدرسه</dc:title>
  <dc:subject xmlns:dc="http://purl.org/dc/elements/1.1/">کلاس‌بندی، دانش‌آموزان و چهار شاخص ارزیابی ماهانه</dc:subject>
  <dcterms:created xmlns:dcterms="http://purl.org/dc/terms/" xmlns:xsi="http://www.w3.org/2001/XMLSchema-instance" xsi:type="dcterms:W3CDTF">2026-08-02T06:44:03Z</dcterms:created>
  <dcterms:modified xmlns:dcterms="http://purl.org/dc/terms/" xmlns:xsi="http://www.w3.org/2001/XMLSchema-instance" xsi:type="dcterms:W3CDTF">2026-08-02T06:44:05Z</dcterms:modified>
</cp:coreProperties>
</file>